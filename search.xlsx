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am\OneDrive\바탕 화면\paper-search\"/>
    </mc:Choice>
  </mc:AlternateContent>
  <xr:revisionPtr revIDLastSave="0" documentId="13_ncr:1_{38F69B9F-5307-4A3E-8584-EE1E8BD61746}" xr6:coauthVersionLast="47" xr6:coauthVersionMax="47" xr10:uidLastSave="{00000000-0000-0000-0000-000000000000}"/>
  <bookViews>
    <workbookView xWindow="6804" yWindow="816" windowWidth="14340" windowHeight="12336" activeTab="3" xr2:uid="{D6A5D5BB-8F2D-4767-82A6-71C66A63B33A}"/>
  </bookViews>
  <sheets>
    <sheet name="두성" sheetId="1" r:id="rId1"/>
    <sheet name="삼원" sheetId="2" r:id="rId2"/>
    <sheet name="한국" sheetId="3" r:id="rId3"/>
    <sheet name="무림" sheetId="4" r:id="rId4"/>
    <sheet name="삼화" sheetId="5" r:id="rId5"/>
    <sheet name="서경" sheetId="6" r:id="rId6"/>
    <sheet name="한솔" sheetId="7" r:id="rId7"/>
    <sheet name="전주" sheetId="8" r:id="rId8"/>
  </sheets>
  <definedNames>
    <definedName name="_xlnm.Print_Area" localSheetId="0">두성!$A$1:$L$2283</definedName>
    <definedName name="_xlnm.Print_Area" localSheetId="1">삼원!$A$1:$J$2557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58" i="1" l="1"/>
  <c r="I1058" i="1" s="1"/>
  <c r="H1059" i="1"/>
  <c r="I1059" i="1" s="1"/>
  <c r="D1161" i="1"/>
  <c r="A498" i="2"/>
  <c r="A499" i="2"/>
  <c r="A500" i="2" s="1"/>
  <c r="A501" i="2" s="1"/>
  <c r="A502" i="2" s="1"/>
  <c r="A504" i="2" s="1"/>
  <c r="A505" i="2" s="1"/>
  <c r="A506" i="2" s="1"/>
  <c r="A507" i="2" s="1"/>
  <c r="A508" i="2" s="1"/>
  <c r="A509" i="2" s="1"/>
  <c r="A2482" i="2"/>
  <c r="A2421" i="2"/>
  <c r="A2422" i="2" s="1"/>
  <c r="A2423" i="2" s="1"/>
  <c r="A2424" i="2" s="1"/>
  <c r="A2391" i="2"/>
  <c r="A2392" i="2" s="1"/>
  <c r="A2393" i="2" s="1"/>
  <c r="A2394" i="2" s="1"/>
  <c r="A2395" i="2" s="1"/>
  <c r="A2396" i="2" s="1"/>
  <c r="A2397" i="2" s="1"/>
  <c r="A2398" i="2" s="1"/>
  <c r="A2399" i="2" s="1"/>
  <c r="A2400" i="2" s="1"/>
  <c r="A2401" i="2" s="1"/>
  <c r="A2402" i="2" s="1"/>
  <c r="A2403" i="2" s="1"/>
  <c r="A2404" i="2" s="1"/>
  <c r="A2409" i="2" s="1"/>
  <c r="A2410" i="2" s="1"/>
  <c r="A2411" i="2" s="1"/>
  <c r="A2412" i="2" s="1"/>
  <c r="A2413" i="2" s="1"/>
  <c r="A2414" i="2" s="1"/>
  <c r="A2415" i="2" s="1"/>
  <c r="A2416" i="2" s="1"/>
  <c r="A2418" i="2" s="1"/>
  <c r="A2419" i="2" s="1"/>
  <c r="A2390" i="2"/>
  <c r="A2368" i="2"/>
  <c r="A2369" i="2" s="1"/>
  <c r="A2370" i="2" s="1"/>
  <c r="A2371" i="2" s="1"/>
  <c r="A2372" i="2" s="1"/>
  <c r="A2373" i="2" s="1"/>
  <c r="A2374" i="2" s="1"/>
  <c r="A2375" i="2" s="1"/>
  <c r="A2376" i="2" s="1"/>
  <c r="A2377" i="2" s="1"/>
  <c r="A2378" i="2" s="1"/>
  <c r="A2379" i="2" s="1"/>
  <c r="A2380" i="2" s="1"/>
  <c r="A2381" i="2" s="1"/>
  <c r="A2382" i="2" s="1"/>
  <c r="A2383" i="2" s="1"/>
  <c r="A2384" i="2" s="1"/>
  <c r="A2385" i="2" s="1"/>
  <c r="A2386" i="2" s="1"/>
  <c r="A2387" i="2" s="1"/>
  <c r="A2388" i="2" s="1"/>
  <c r="A2357" i="2"/>
  <c r="A2358" i="2" s="1"/>
  <c r="A2359" i="2" s="1"/>
  <c r="A2360" i="2" s="1"/>
  <c r="A2361" i="2" s="1"/>
  <c r="A2362" i="2" s="1"/>
  <c r="A2363" i="2" s="1"/>
  <c r="A2364" i="2" s="1"/>
  <c r="A2365" i="2" s="1"/>
  <c r="A2366" i="2" s="1"/>
  <c r="A2354" i="2"/>
  <c r="A2355" i="2" s="1"/>
  <c r="A2348" i="2"/>
  <c r="A2349" i="2" s="1"/>
  <c r="A2350" i="2" s="1"/>
  <c r="A2351" i="2" s="1"/>
  <c r="A2352" i="2" s="1"/>
  <c r="A2331" i="2"/>
  <c r="A2332" i="2" s="1"/>
  <c r="A2333" i="2" s="1"/>
  <c r="A2334" i="2" s="1"/>
  <c r="A2335" i="2" s="1"/>
  <c r="A2336" i="2" s="1"/>
  <c r="A2337" i="2" s="1"/>
  <c r="A2273" i="2"/>
  <c r="A2262" i="2"/>
  <c r="A2263" i="2" s="1"/>
  <c r="A2264" i="2" s="1"/>
  <c r="A2265" i="2" s="1"/>
  <c r="A2266" i="2" s="1"/>
  <c r="A2267" i="2" s="1"/>
  <c r="A2268" i="2" s="1"/>
  <c r="A2269" i="2" s="1"/>
  <c r="A2270" i="2" s="1"/>
  <c r="A2258" i="2"/>
  <c r="A2259" i="2" s="1"/>
  <c r="A2260" i="2" s="1"/>
  <c r="A2245" i="2"/>
  <c r="A2246" i="2" s="1"/>
  <c r="A2247" i="2" s="1"/>
  <c r="A2248" i="2" s="1"/>
  <c r="A2249" i="2" s="1"/>
  <c r="A2250" i="2" s="1"/>
  <c r="A2251" i="2" s="1"/>
  <c r="A2252" i="2" s="1"/>
  <c r="A2253" i="2" s="1"/>
  <c r="A2254" i="2" s="1"/>
  <c r="A2256" i="2" s="1"/>
  <c r="A2257" i="2" s="1"/>
  <c r="A2237" i="2"/>
  <c r="A2238" i="2" s="1"/>
  <c r="A2239" i="2" s="1"/>
  <c r="A2240" i="2" s="1"/>
  <c r="A2241" i="2" s="1"/>
  <c r="A2242" i="2" s="1"/>
  <c r="A2243" i="2" s="1"/>
  <c r="A2219" i="2"/>
  <c r="A2220" i="2" s="1"/>
  <c r="A2221" i="2" s="1"/>
  <c r="A2222" i="2" s="1"/>
  <c r="A2223" i="2" s="1"/>
  <c r="A2224" i="2" s="1"/>
  <c r="A2226" i="2" s="1"/>
  <c r="A2227" i="2" s="1"/>
  <c r="A2228" i="2" s="1"/>
  <c r="A2229" i="2" s="1"/>
  <c r="A2230" i="2" s="1"/>
  <c r="A2231" i="2" s="1"/>
  <c r="A2234" i="2" s="1"/>
  <c r="A2235" i="2" s="1"/>
  <c r="A2236" i="2" s="1"/>
  <c r="A2207" i="2"/>
  <c r="A2210" i="2" s="1"/>
  <c r="A2211" i="2" s="1"/>
  <c r="A2213" i="2" s="1"/>
  <c r="A2214" i="2" s="1"/>
  <c r="A2215" i="2" s="1"/>
  <c r="A2216" i="2" s="1"/>
  <c r="A2217" i="2" s="1"/>
  <c r="A2202" i="2"/>
  <c r="A2203" i="2" s="1"/>
  <c r="A2204" i="2" s="1"/>
  <c r="A2205" i="2" s="1"/>
  <c r="A2175" i="2"/>
  <c r="A2176" i="2" s="1"/>
  <c r="A2177" i="2" s="1"/>
  <c r="A2179" i="2" s="1"/>
  <c r="A2180" i="2" s="1"/>
  <c r="A2181" i="2" s="1"/>
  <c r="A2182" i="2" s="1"/>
  <c r="A2183" i="2" s="1"/>
  <c r="A2184" i="2" s="1"/>
  <c r="A2185" i="2" s="1"/>
  <c r="A2186" i="2" s="1"/>
  <c r="A2187" i="2" s="1"/>
  <c r="A2188" i="2" s="1"/>
  <c r="A2189" i="2" s="1"/>
  <c r="A2190" i="2" s="1"/>
  <c r="A2191" i="2" s="1"/>
  <c r="A2193" i="2" s="1"/>
  <c r="A2195" i="2" s="1"/>
  <c r="A2196" i="2" s="1"/>
  <c r="A2197" i="2" s="1"/>
  <c r="A2198" i="2" s="1"/>
  <c r="A2199" i="2" s="1"/>
  <c r="A2200" i="2" s="1"/>
  <c r="A2173" i="2"/>
  <c r="A2174" i="2" s="1"/>
  <c r="A2169" i="2"/>
  <c r="A2158" i="2"/>
  <c r="A2161" i="2" s="1"/>
  <c r="A2162" i="2" s="1"/>
  <c r="A2163" i="2" s="1"/>
  <c r="A2164" i="2" s="1"/>
  <c r="A2166" i="2" s="1"/>
  <c r="A2167" i="2" s="1"/>
  <c r="A2146" i="2"/>
  <c r="A2147" i="2" s="1"/>
  <c r="A2148" i="2" s="1"/>
  <c r="A2149" i="2" s="1"/>
  <c r="A2150" i="2" s="1"/>
  <c r="A2151" i="2" s="1"/>
  <c r="A2152" i="2" s="1"/>
  <c r="A2154" i="2" s="1"/>
  <c r="A2155" i="2" s="1"/>
  <c r="A2156" i="2" s="1"/>
  <c r="A2125" i="2"/>
  <c r="A2127" i="2" s="1"/>
  <c r="A2128" i="2" s="1"/>
  <c r="A2129" i="2" s="1"/>
  <c r="A2132" i="2" s="1"/>
  <c r="A2133" i="2" s="1"/>
  <c r="A2134" i="2" s="1"/>
  <c r="A2135" i="2" s="1"/>
  <c r="A2136" i="2" s="1"/>
  <c r="A2137" i="2" s="1"/>
  <c r="A2138" i="2" s="1"/>
  <c r="A2139" i="2" s="1"/>
  <c r="A2140" i="2" s="1"/>
  <c r="A2141" i="2" s="1"/>
  <c r="A2142" i="2" s="1"/>
  <c r="A2143" i="2" s="1"/>
  <c r="A2144" i="2" s="1"/>
  <c r="A2115" i="2"/>
  <c r="A2116" i="2" s="1"/>
  <c r="A2117" i="2" s="1"/>
  <c r="A2118" i="2" s="1"/>
  <c r="A2119" i="2" s="1"/>
  <c r="A2120" i="2" s="1"/>
  <c r="A2121" i="2" s="1"/>
  <c r="A2123" i="2" s="1"/>
  <c r="A2124" i="2" s="1"/>
  <c r="A2105" i="2"/>
  <c r="A2106" i="2" s="1"/>
  <c r="A2107" i="2" s="1"/>
  <c r="A2108" i="2" s="1"/>
  <c r="A2109" i="2" s="1"/>
  <c r="A2110" i="2" s="1"/>
  <c r="A2111" i="2" s="1"/>
  <c r="A2112" i="2" s="1"/>
  <c r="A2092" i="2"/>
  <c r="A2093" i="2" s="1"/>
  <c r="A2094" i="2" s="1"/>
  <c r="A2095" i="2" s="1"/>
  <c r="A2096" i="2" s="1"/>
  <c r="A2097" i="2" s="1"/>
  <c r="A2098" i="2" s="1"/>
  <c r="A2099" i="2" s="1"/>
  <c r="A2100" i="2" s="1"/>
  <c r="A2101" i="2" s="1"/>
  <c r="A2102" i="2" s="1"/>
  <c r="A2103" i="2" s="1"/>
  <c r="A2085" i="2"/>
  <c r="A2086" i="2" s="1"/>
  <c r="A2087" i="2" s="1"/>
  <c r="A2088" i="2" s="1"/>
  <c r="A2089" i="2" s="1"/>
  <c r="A2090" i="2" s="1"/>
  <c r="A2074" i="2"/>
  <c r="A2075" i="2" s="1"/>
  <c r="A2076" i="2" s="1"/>
  <c r="A2077" i="2" s="1"/>
  <c r="A2078" i="2" s="1"/>
  <c r="A2079" i="2" s="1"/>
  <c r="A2080" i="2" s="1"/>
  <c r="A2081" i="2" s="1"/>
  <c r="A2082" i="2" s="1"/>
  <c r="A2083" i="2" s="1"/>
  <c r="A2072" i="2"/>
  <c r="A2058" i="2"/>
  <c r="A2059" i="2" s="1"/>
  <c r="A2060" i="2" s="1"/>
  <c r="A2061" i="2" s="1"/>
  <c r="A2062" i="2" s="1"/>
  <c r="A2063" i="2" s="1"/>
  <c r="A2064" i="2" s="1"/>
  <c r="A2065" i="2" s="1"/>
  <c r="A2066" i="2" s="1"/>
  <c r="A2067" i="2" s="1"/>
  <c r="A2068" i="2" s="1"/>
  <c r="A2069" i="2" s="1"/>
  <c r="A2070" i="2" s="1"/>
  <c r="A2071" i="2" s="1"/>
  <c r="A2053" i="2"/>
  <c r="A2054" i="2" s="1"/>
  <c r="A2055" i="2" s="1"/>
  <c r="A2056" i="2" s="1"/>
  <c r="A2057" i="2" s="1"/>
  <c r="A2050" i="2"/>
  <c r="A2051" i="2" s="1"/>
  <c r="A2048" i="2"/>
  <c r="A2049" i="2" s="1"/>
  <c r="A2044" i="2"/>
  <c r="A2045" i="2" s="1"/>
  <c r="A2042" i="2"/>
  <c r="A2043" i="2" s="1"/>
  <c r="A2041" i="2"/>
  <c r="A2038" i="2"/>
  <c r="A2039" i="2" s="1"/>
  <c r="A2030" i="2"/>
  <c r="A2029" i="2"/>
  <c r="A2012" i="2"/>
  <c r="A2011" i="2"/>
  <c r="A1993" i="2"/>
  <c r="A1984" i="2"/>
  <c r="A1987" i="2" s="1"/>
  <c r="A1982" i="2"/>
  <c r="A1981" i="2"/>
  <c r="A1978" i="2"/>
  <c r="A1975" i="2"/>
  <c r="A1973" i="2"/>
  <c r="A1964" i="2"/>
  <c r="A1965" i="2" s="1"/>
  <c r="A1966" i="2" s="1"/>
  <c r="A1967" i="2" s="1"/>
  <c r="A1968" i="2" s="1"/>
  <c r="A1969" i="2" s="1"/>
  <c r="A1970" i="2" s="1"/>
  <c r="A1971" i="2" s="1"/>
  <c r="A1951" i="2"/>
  <c r="A1952" i="2" s="1"/>
  <c r="A1953" i="2" s="1"/>
  <c r="A1954" i="2" s="1"/>
  <c r="A1955" i="2" s="1"/>
  <c r="A1956" i="2" s="1"/>
  <c r="A1957" i="2" s="1"/>
  <c r="A1958" i="2" s="1"/>
  <c r="A1959" i="2" s="1"/>
  <c r="A1960" i="2" s="1"/>
  <c r="A1961" i="2" s="1"/>
  <c r="A1962" i="2" s="1"/>
  <c r="A1940" i="2"/>
  <c r="A1941" i="2" s="1"/>
  <c r="A1942" i="2" s="1"/>
  <c r="A1943" i="2" s="1"/>
  <c r="A1944" i="2" s="1"/>
  <c r="A1945" i="2" s="1"/>
  <c r="A1946" i="2" s="1"/>
  <c r="A1947" i="2" s="1"/>
  <c r="A1948" i="2" s="1"/>
  <c r="A1949" i="2" s="1"/>
  <c r="A1924" i="2"/>
  <c r="A1925" i="2" s="1"/>
  <c r="A1926" i="2" s="1"/>
  <c r="A1927" i="2" s="1"/>
  <c r="A1928" i="2" s="1"/>
  <c r="A1929" i="2" s="1"/>
  <c r="A1930" i="2" s="1"/>
  <c r="A1931" i="2" s="1"/>
  <c r="A1932" i="2" s="1"/>
  <c r="A1933" i="2" s="1"/>
  <c r="A1934" i="2" s="1"/>
  <c r="A1935" i="2" s="1"/>
  <c r="A1936" i="2" s="1"/>
  <c r="A1937" i="2" s="1"/>
  <c r="A1938" i="2" s="1"/>
  <c r="A1920" i="2"/>
  <c r="A1921" i="2" s="1"/>
  <c r="A1922" i="2" s="1"/>
  <c r="A1913" i="2"/>
  <c r="A1914" i="2" s="1"/>
  <c r="A1915" i="2" s="1"/>
  <c r="A1917" i="2" s="1"/>
  <c r="A1918" i="2" s="1"/>
  <c r="A1908" i="2"/>
  <c r="A1909" i="2" s="1"/>
  <c r="A1910" i="2" s="1"/>
  <c r="A1911" i="2" s="1"/>
  <c r="A1902" i="2"/>
  <c r="A1903" i="2" s="1"/>
  <c r="A1905" i="2" s="1"/>
  <c r="A1906" i="2" s="1"/>
  <c r="A1882" i="2"/>
  <c r="A1898" i="2" s="1"/>
  <c r="A1899" i="2" s="1"/>
  <c r="A1900" i="2" s="1"/>
  <c r="A1855" i="2"/>
  <c r="A1856" i="2" s="1"/>
  <c r="A1857" i="2" s="1"/>
  <c r="A1858" i="2" s="1"/>
  <c r="A1859" i="2" s="1"/>
  <c r="A1860" i="2" s="1"/>
  <c r="A1861" i="2" s="1"/>
  <c r="A1862" i="2" s="1"/>
  <c r="A1863" i="2" s="1"/>
  <c r="A1864" i="2" s="1"/>
  <c r="A1865" i="2" s="1"/>
  <c r="A1866" i="2" s="1"/>
  <c r="A1867" i="2" s="1"/>
  <c r="A1868" i="2" s="1"/>
  <c r="A1869" i="2" s="1"/>
  <c r="A1870" i="2" s="1"/>
  <c r="A1871" i="2" s="1"/>
  <c r="A1872" i="2" s="1"/>
  <c r="A1873" i="2" s="1"/>
  <c r="A1874" i="2" s="1"/>
  <c r="A1875" i="2" s="1"/>
  <c r="A1876" i="2" s="1"/>
  <c r="A1879" i="2" s="1"/>
  <c r="A1836" i="2"/>
  <c r="A1837" i="2" s="1"/>
  <c r="A1838" i="2" s="1"/>
  <c r="A1839" i="2" s="1"/>
  <c r="A1840" i="2" s="1"/>
  <c r="A1841" i="2" s="1"/>
  <c r="A1842" i="2" s="1"/>
  <c r="A1843" i="2" s="1"/>
  <c r="A1844" i="2" s="1"/>
  <c r="A1845" i="2" s="1"/>
  <c r="A1846" i="2" s="1"/>
  <c r="A1847" i="2" s="1"/>
  <c r="A1848" i="2" s="1"/>
  <c r="A1849" i="2" s="1"/>
  <c r="A1850" i="2" s="1"/>
  <c r="A1851" i="2" s="1"/>
  <c r="A1852" i="2" s="1"/>
  <c r="A1853" i="2" s="1"/>
  <c r="A1854" i="2" s="1"/>
  <c r="A1788" i="2"/>
  <c r="A1790" i="2" s="1"/>
  <c r="A1792" i="2" s="1"/>
  <c r="A1796" i="2" s="1"/>
  <c r="A1798" i="2" s="1"/>
  <c r="A1761" i="2"/>
  <c r="A1762" i="2" s="1"/>
  <c r="A1763" i="2" s="1"/>
  <c r="A1764" i="2" s="1"/>
  <c r="A1765" i="2" s="1"/>
  <c r="A1766" i="2" s="1"/>
  <c r="A1767" i="2" s="1"/>
  <c r="A1768" i="2" s="1"/>
  <c r="A1769" i="2" s="1"/>
  <c r="A1770" i="2" s="1"/>
  <c r="A1771" i="2" s="1"/>
  <c r="A1772" i="2" s="1"/>
  <c r="A1773" i="2" s="1"/>
  <c r="A1774" i="2" s="1"/>
  <c r="A1775" i="2" s="1"/>
  <c r="A1776" i="2" s="1"/>
  <c r="A1777" i="2" s="1"/>
  <c r="A1779" i="2" s="1"/>
  <c r="A1780" i="2" s="1"/>
  <c r="A1781" i="2" s="1"/>
  <c r="A1782" i="2" s="1"/>
  <c r="A1783" i="2" s="1"/>
  <c r="A1784" i="2" s="1"/>
  <c r="A1785" i="2" s="1"/>
  <c r="A1786" i="2" s="1"/>
  <c r="A1749" i="2"/>
  <c r="A1750" i="2" s="1"/>
  <c r="A1751" i="2" s="1"/>
  <c r="A1752" i="2" s="1"/>
  <c r="A1754" i="2" s="1"/>
  <c r="A1755" i="2" s="1"/>
  <c r="A1757" i="2" s="1"/>
  <c r="A1758" i="2" s="1"/>
  <c r="A1759" i="2" s="1"/>
  <c r="A1746" i="2"/>
  <c r="A1747" i="2" s="1"/>
  <c r="A1748" i="2" s="1"/>
  <c r="A1724" i="2"/>
  <c r="A1725" i="2" s="1"/>
  <c r="A1726" i="2" s="1"/>
  <c r="A1727" i="2" s="1"/>
  <c r="A1728" i="2" s="1"/>
  <c r="A1729" i="2" s="1"/>
  <c r="A1730" i="2" s="1"/>
  <c r="A1731" i="2" s="1"/>
  <c r="A1732" i="2" s="1"/>
  <c r="A1733" i="2" s="1"/>
  <c r="A1734" i="2" s="1"/>
  <c r="A1735" i="2" s="1"/>
  <c r="A1736" i="2" s="1"/>
  <c r="A1737" i="2" s="1"/>
  <c r="A1738" i="2" s="1"/>
  <c r="A1739" i="2" s="1"/>
  <c r="A1740" i="2" s="1"/>
  <c r="A1741" i="2" s="1"/>
  <c r="A1742" i="2" s="1"/>
  <c r="A1743" i="2" s="1"/>
  <c r="A1744" i="2" s="1"/>
  <c r="A1719" i="2"/>
  <c r="A1720" i="2" s="1"/>
  <c r="A1721" i="2" s="1"/>
  <c r="A1722" i="2" s="1"/>
  <c r="A1709" i="2"/>
  <c r="A1710" i="2" s="1"/>
  <c r="A1711" i="2" s="1"/>
  <c r="A1712" i="2" s="1"/>
  <c r="A1713" i="2" s="1"/>
  <c r="A1714" i="2" s="1"/>
  <c r="A1715" i="2" s="1"/>
  <c r="A1716" i="2" s="1"/>
  <c r="A1717" i="2" s="1"/>
  <c r="A1674" i="2"/>
  <c r="A1675" i="2" s="1"/>
  <c r="A1676" i="2" s="1"/>
  <c r="A1677" i="2" s="1"/>
  <c r="A1678" i="2" s="1"/>
  <c r="A1679" i="2" s="1"/>
  <c r="A1680" i="2" s="1"/>
  <c r="A1681" i="2" s="1"/>
  <c r="A1682" i="2" s="1"/>
  <c r="A1683" i="2" s="1"/>
  <c r="A1684" i="2" s="1"/>
  <c r="A1685" i="2" s="1"/>
  <c r="A1686" i="2" s="1"/>
  <c r="A1687" i="2" s="1"/>
  <c r="A1688" i="2" s="1"/>
  <c r="A1689" i="2" s="1"/>
  <c r="A1690" i="2" s="1"/>
  <c r="A1691" i="2" s="1"/>
  <c r="A1692" i="2" s="1"/>
  <c r="A1693" i="2" s="1"/>
  <c r="A1694" i="2" s="1"/>
  <c r="A1695" i="2" s="1"/>
  <c r="A1696" i="2" s="1"/>
  <c r="A1697" i="2" s="1"/>
  <c r="A1698" i="2" s="1"/>
  <c r="A1699" i="2" s="1"/>
  <c r="A1700" i="2" s="1"/>
  <c r="A1701" i="2" s="1"/>
  <c r="A1702" i="2" s="1"/>
  <c r="A1703" i="2" s="1"/>
  <c r="A1704" i="2" s="1"/>
  <c r="A1705" i="2" s="1"/>
  <c r="A1706" i="2" s="1"/>
  <c r="A1707" i="2" s="1"/>
  <c r="A1667" i="2"/>
  <c r="A1668" i="2" s="1"/>
  <c r="A1669" i="2" s="1"/>
  <c r="A1671" i="2" s="1"/>
  <c r="A1672" i="2" s="1"/>
  <c r="A1657" i="2"/>
  <c r="A1658" i="2" s="1"/>
  <c r="A1659" i="2" s="1"/>
  <c r="A1660" i="2" s="1"/>
  <c r="A1661" i="2" s="1"/>
  <c r="A1662" i="2" s="1"/>
  <c r="A1663" i="2" s="1"/>
  <c r="A1664" i="2" s="1"/>
  <c r="A1649" i="2"/>
  <c r="A1650" i="2" s="1"/>
  <c r="A1629" i="2"/>
  <c r="A1630" i="2" s="1"/>
  <c r="A1631" i="2" s="1"/>
  <c r="A1632" i="2" s="1"/>
  <c r="A1633" i="2" s="1"/>
  <c r="A1634" i="2" s="1"/>
  <c r="A1635" i="2" s="1"/>
  <c r="A1636" i="2" s="1"/>
  <c r="A1638" i="2" s="1"/>
  <c r="A1639" i="2" s="1"/>
  <c r="A1640" i="2" s="1"/>
  <c r="A1641" i="2" s="1"/>
  <c r="A1642" i="2" s="1"/>
  <c r="A1643" i="2" s="1"/>
  <c r="A1644" i="2" s="1"/>
  <c r="A1645" i="2" s="1"/>
  <c r="A1646" i="2" s="1"/>
  <c r="A1616" i="2"/>
  <c r="A1617" i="2" s="1"/>
  <c r="A1618" i="2" s="1"/>
  <c r="A1619" i="2" s="1"/>
  <c r="A1620" i="2" s="1"/>
  <c r="A1621" i="2" s="1"/>
  <c r="A1622" i="2" s="1"/>
  <c r="A1623" i="2" s="1"/>
  <c r="A1624" i="2" s="1"/>
  <c r="A1625" i="2" s="1"/>
  <c r="A1627" i="2" s="1"/>
  <c r="A1628" i="2" s="1"/>
  <c r="A1607" i="2"/>
  <c r="A1608" i="2" s="1"/>
  <c r="A1609" i="2" s="1"/>
  <c r="A1610" i="2" s="1"/>
  <c r="A1611" i="2" s="1"/>
  <c r="A1591" i="2"/>
  <c r="A1592" i="2" s="1"/>
  <c r="A1593" i="2" s="1"/>
  <c r="A1594" i="2" s="1"/>
  <c r="A1595" i="2" s="1"/>
  <c r="A1596" i="2" s="1"/>
  <c r="A1597" i="2" s="1"/>
  <c r="A1598" i="2" s="1"/>
  <c r="A1599" i="2" s="1"/>
  <c r="A1600" i="2" s="1"/>
  <c r="A1601" i="2" s="1"/>
  <c r="A1602" i="2" s="1"/>
  <c r="A1603" i="2" s="1"/>
  <c r="A1604" i="2" s="1"/>
  <c r="A1605" i="2" s="1"/>
  <c r="A1579" i="2"/>
  <c r="A1580" i="2" s="1"/>
  <c r="A1581" i="2" s="1"/>
  <c r="A1582" i="2" s="1"/>
  <c r="A1583" i="2" s="1"/>
  <c r="A1584" i="2" s="1"/>
  <c r="A1585" i="2" s="1"/>
  <c r="A1586" i="2" s="1"/>
  <c r="A1587" i="2" s="1"/>
  <c r="A1588" i="2" s="1"/>
  <c r="A1589" i="2" s="1"/>
  <c r="A1572" i="2"/>
  <c r="A1573" i="2" s="1"/>
  <c r="A1574" i="2" s="1"/>
  <c r="A1575" i="2" s="1"/>
  <c r="A1576" i="2" s="1"/>
  <c r="A1577" i="2" s="1"/>
  <c r="A1558" i="2"/>
  <c r="A1559" i="2" s="1"/>
  <c r="A1560" i="2" s="1"/>
  <c r="A1561" i="2" s="1"/>
  <c r="A1563" i="2" s="1"/>
  <c r="A1564" i="2" s="1"/>
  <c r="A1565" i="2" s="1"/>
  <c r="A1566" i="2" s="1"/>
  <c r="A1567" i="2" s="1"/>
  <c r="A1570" i="2" s="1"/>
  <c r="A1465" i="2"/>
  <c r="A1466" i="2" s="1"/>
  <c r="A1467" i="2" s="1"/>
  <c r="A1468" i="2" s="1"/>
  <c r="A1469" i="2" s="1"/>
  <c r="A1470" i="2" s="1"/>
  <c r="A1471" i="2" s="1"/>
  <c r="A1472" i="2" s="1"/>
  <c r="A1473" i="2" s="1"/>
  <c r="A1474" i="2" s="1"/>
  <c r="A1459" i="2"/>
  <c r="A1460" i="2" s="1"/>
  <c r="A1461" i="2" s="1"/>
  <c r="A1462" i="2" s="1"/>
  <c r="A1463" i="2" s="1"/>
  <c r="A1446" i="2"/>
  <c r="A1447" i="2" s="1"/>
  <c r="A1448" i="2" s="1"/>
  <c r="A1449" i="2" s="1"/>
  <c r="A1450" i="2" s="1"/>
  <c r="A1451" i="2" s="1"/>
  <c r="A1452" i="2" s="1"/>
  <c r="A1453" i="2" s="1"/>
  <c r="A1454" i="2" s="1"/>
  <c r="A1455" i="2" s="1"/>
  <c r="A1456" i="2" s="1"/>
  <c r="A1457" i="2" s="1"/>
  <c r="A1438" i="2"/>
  <c r="A1439" i="2" s="1"/>
  <c r="A1440" i="2" s="1"/>
  <c r="A1442" i="2" s="1"/>
  <c r="A1443" i="2" s="1"/>
  <c r="A1444" i="2" s="1"/>
  <c r="A1432" i="2"/>
  <c r="A1433" i="2" s="1"/>
  <c r="A1434" i="2" s="1"/>
  <c r="A1435" i="2" s="1"/>
  <c r="A1436" i="2" s="1"/>
  <c r="A1412" i="2"/>
  <c r="A1413" i="2" s="1"/>
  <c r="A1414" i="2" s="1"/>
  <c r="A1415" i="2" s="1"/>
  <c r="A1416" i="2" s="1"/>
  <c r="A1417" i="2" s="1"/>
  <c r="A1418" i="2" s="1"/>
  <c r="A1419" i="2" s="1"/>
  <c r="A1420" i="2" s="1"/>
  <c r="A1421" i="2" s="1"/>
  <c r="A1422" i="2" s="1"/>
  <c r="A1423" i="2" s="1"/>
  <c r="A1424" i="2" s="1"/>
  <c r="A1425" i="2" s="1"/>
  <c r="A1426" i="2" s="1"/>
  <c r="A1427" i="2" s="1"/>
  <c r="A1428" i="2" s="1"/>
  <c r="A1429" i="2" s="1"/>
  <c r="A1430" i="2" s="1"/>
  <c r="A1431" i="2" s="1"/>
  <c r="A1329" i="2"/>
  <c r="A1330" i="2" s="1"/>
  <c r="A1331" i="2" s="1"/>
  <c r="A1332" i="2" s="1"/>
  <c r="A1324" i="2"/>
  <c r="A1325" i="2" s="1"/>
  <c r="A1326" i="2" s="1"/>
  <c r="A1327" i="2" s="1"/>
  <c r="A1320" i="2"/>
  <c r="A1321" i="2" s="1"/>
  <c r="A1322" i="2" s="1"/>
  <c r="A1314" i="2"/>
  <c r="A1315" i="2" s="1"/>
  <c r="A1317" i="2" s="1"/>
  <c r="A1318" i="2" s="1"/>
  <c r="A1304" i="2"/>
  <c r="A1305" i="2" s="1"/>
  <c r="A1306" i="2" s="1"/>
  <c r="A1307" i="2" s="1"/>
  <c r="A1308" i="2" s="1"/>
  <c r="A1309" i="2" s="1"/>
  <c r="A1310" i="2" s="1"/>
  <c r="A1311" i="2" s="1"/>
  <c r="A1295" i="2"/>
  <c r="A1296" i="2" s="1"/>
  <c r="A1297" i="2" s="1"/>
  <c r="A1298" i="2" s="1"/>
  <c r="A1299" i="2" s="1"/>
  <c r="A1300" i="2" s="1"/>
  <c r="A1301" i="2" s="1"/>
  <c r="A1302" i="2" s="1"/>
  <c r="A1290" i="2"/>
  <c r="A1291" i="2" s="1"/>
  <c r="A1292" i="2" s="1"/>
  <c r="A1293" i="2" s="1"/>
  <c r="A1273" i="2"/>
  <c r="A1274" i="2" s="1"/>
  <c r="A1275" i="2" s="1"/>
  <c r="A1276" i="2" s="1"/>
  <c r="A1277" i="2" s="1"/>
  <c r="A1278" i="2" s="1"/>
  <c r="A1285" i="2" s="1"/>
  <c r="A1286" i="2" s="1"/>
  <c r="A1287" i="2" s="1"/>
  <c r="A1288" i="2" s="1"/>
  <c r="A1252" i="2"/>
  <c r="A1253" i="2" s="1"/>
  <c r="A1254" i="2" s="1"/>
  <c r="A1255" i="2" s="1"/>
  <c r="A1256" i="2" s="1"/>
  <c r="A1257" i="2" s="1"/>
  <c r="A1258" i="2" s="1"/>
  <c r="A1259" i="2" s="1"/>
  <c r="A1260" i="2" s="1"/>
  <c r="A1261" i="2" s="1"/>
  <c r="A1264" i="2" s="1"/>
  <c r="A1265" i="2" s="1"/>
  <c r="A1266" i="2" s="1"/>
  <c r="A1268" i="2" s="1"/>
  <c r="A1269" i="2" s="1"/>
  <c r="A1270" i="2" s="1"/>
  <c r="A1250" i="2"/>
  <c r="A1248" i="2"/>
  <c r="A1240" i="2"/>
  <c r="A1241" i="2" s="1"/>
  <c r="A1242" i="2" s="1"/>
  <c r="A1243" i="2" s="1"/>
  <c r="A1244" i="2" s="1"/>
  <c r="A1245" i="2" s="1"/>
  <c r="A1246" i="2" s="1"/>
  <c r="A1238" i="2"/>
  <c r="A1220" i="2"/>
  <c r="A1235" i="2" s="1"/>
  <c r="A1236" i="2" s="1"/>
  <c r="A1237" i="2" s="1"/>
  <c r="A1218" i="2"/>
  <c r="A1219" i="2" s="1"/>
  <c r="A1198" i="2"/>
  <c r="A1199" i="2" s="1"/>
  <c r="A1200" i="2" s="1"/>
  <c r="A1201" i="2" s="1"/>
  <c r="A1202" i="2" s="1"/>
  <c r="A1203" i="2" s="1"/>
  <c r="A1204" i="2" s="1"/>
  <c r="A1205" i="2" s="1"/>
  <c r="A1206" i="2" s="1"/>
  <c r="A1207" i="2" s="1"/>
  <c r="A1208" i="2" s="1"/>
  <c r="A1209" i="2" s="1"/>
  <c r="A1210" i="2" s="1"/>
  <c r="A1211" i="2" s="1"/>
  <c r="A1212" i="2" s="1"/>
  <c r="A1213" i="2" s="1"/>
  <c r="A1214" i="2" s="1"/>
  <c r="A1215" i="2" s="1"/>
  <c r="A1216" i="2" s="1"/>
  <c r="A1193" i="2"/>
  <c r="A1194" i="2" s="1"/>
  <c r="A1195" i="2" s="1"/>
  <c r="A1196" i="2" s="1"/>
  <c r="A1183" i="2"/>
  <c r="A1184" i="2" s="1"/>
  <c r="A1190" i="2" s="1"/>
  <c r="A1191" i="2" s="1"/>
  <c r="A1174" i="2"/>
  <c r="A1176" i="2" s="1"/>
  <c r="A1177" i="2" s="1"/>
  <c r="A1179" i="2" s="1"/>
  <c r="A1166" i="2"/>
  <c r="A1167" i="2" s="1"/>
  <c r="A1168" i="2" s="1"/>
  <c r="A1169" i="2" s="1"/>
  <c r="A1170" i="2" s="1"/>
  <c r="A1171" i="2" s="1"/>
  <c r="A1145" i="2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32" i="2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26" i="2"/>
  <c r="A1127" i="2" s="1"/>
  <c r="A1128" i="2" s="1"/>
  <c r="A1129" i="2" s="1"/>
  <c r="A1130" i="2" s="1"/>
  <c r="A1117" i="2"/>
  <c r="A1121" i="2" s="1"/>
  <c r="A1122" i="2" s="1"/>
  <c r="A1123" i="2" s="1"/>
  <c r="A1124" i="2" s="1"/>
  <c r="A1111" i="2"/>
  <c r="A1112" i="2" s="1"/>
  <c r="A1113" i="2" s="1"/>
  <c r="A1114" i="2" s="1"/>
  <c r="A1115" i="2" s="1"/>
  <c r="A1101" i="2"/>
  <c r="A1102" i="2" s="1"/>
  <c r="A1103" i="2" s="1"/>
  <c r="A1104" i="2" s="1"/>
  <c r="A1105" i="2" s="1"/>
  <c r="A1106" i="2" s="1"/>
  <c r="A1107" i="2" s="1"/>
  <c r="A1108" i="2" s="1"/>
  <c r="A1109" i="2" s="1"/>
  <c r="A1097" i="2"/>
  <c r="A1098" i="2" s="1"/>
  <c r="A1099" i="2" s="1"/>
  <c r="A1100" i="2" s="1"/>
  <c r="A1078" i="2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53" i="2"/>
  <c r="A1054" i="2" s="1"/>
  <c r="A1055" i="2" s="1"/>
  <c r="A1056" i="2" s="1"/>
  <c r="A1057" i="2" s="1"/>
  <c r="A1058" i="2" s="1"/>
  <c r="A1059" i="2" s="1"/>
  <c r="A1060" i="2" s="1"/>
  <c r="A1061" i="2" s="1"/>
  <c r="A1062" i="2" s="1"/>
  <c r="A1036" i="2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29" i="2"/>
  <c r="A1030" i="2" s="1"/>
  <c r="A1031" i="2" s="1"/>
  <c r="A1032" i="2" s="1"/>
  <c r="A1033" i="2" s="1"/>
  <c r="A1034" i="2" s="1"/>
  <c r="A1020" i="2"/>
  <c r="A1021" i="2" s="1"/>
  <c r="A1022" i="2" s="1"/>
  <c r="A1023" i="2" s="1"/>
  <c r="A1024" i="2" s="1"/>
  <c r="A1025" i="2" s="1"/>
  <c r="A1026" i="2" s="1"/>
  <c r="A1027" i="2" s="1"/>
  <c r="A1014" i="2"/>
  <c r="A1015" i="2" s="1"/>
  <c r="A1016" i="2" s="1"/>
  <c r="A1017" i="2" s="1"/>
  <c r="A1018" i="2" s="1"/>
  <c r="A998" i="2"/>
  <c r="A999" i="2" s="1"/>
  <c r="A1005" i="2" s="1"/>
  <c r="A1008" i="2" s="1"/>
  <c r="A1010" i="2" s="1"/>
  <c r="A1011" i="2" s="1"/>
  <c r="A969" i="2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62" i="2"/>
  <c r="A963" i="2" s="1"/>
  <c r="A964" i="2" s="1"/>
  <c r="A965" i="2" s="1"/>
  <c r="A967" i="2" s="1"/>
  <c r="A956" i="2"/>
  <c r="A957" i="2" s="1"/>
  <c r="A958" i="2" s="1"/>
  <c r="A959" i="2" s="1"/>
  <c r="A960" i="2" s="1"/>
  <c r="A949" i="2"/>
  <c r="A950" i="2" s="1"/>
  <c r="A951" i="2" s="1"/>
  <c r="A952" i="2" s="1"/>
  <c r="A953" i="2" s="1"/>
  <c r="A941" i="2"/>
  <c r="A942" i="2" s="1"/>
  <c r="A943" i="2" s="1"/>
  <c r="A944" i="2" s="1"/>
  <c r="A945" i="2" s="1"/>
  <c r="A946" i="2" s="1"/>
  <c r="A947" i="2" s="1"/>
  <c r="A937" i="2"/>
  <c r="A938" i="2" s="1"/>
  <c r="A939" i="2" s="1"/>
  <c r="A935" i="2"/>
  <c r="A923" i="2"/>
  <c r="A925" i="2" s="1"/>
  <c r="A926" i="2" s="1"/>
  <c r="A927" i="2" s="1"/>
  <c r="A929" i="2" s="1"/>
  <c r="A930" i="2" s="1"/>
  <c r="A934" i="2" s="1"/>
  <c r="A919" i="2"/>
  <c r="A910" i="2"/>
  <c r="A911" i="2" s="1"/>
  <c r="A912" i="2" s="1"/>
  <c r="A913" i="2" s="1"/>
  <c r="A915" i="2" s="1"/>
  <c r="A916" i="2" s="1"/>
  <c r="A908" i="2"/>
  <c r="A902" i="2"/>
  <c r="A903" i="2" s="1"/>
  <c r="A904" i="2" s="1"/>
  <c r="A905" i="2" s="1"/>
  <c r="A906" i="2" s="1"/>
  <c r="A891" i="2"/>
  <c r="A892" i="2" s="1"/>
  <c r="A893" i="2" s="1"/>
  <c r="A894" i="2" s="1"/>
  <c r="A895" i="2" s="1"/>
  <c r="A901" i="2" s="1"/>
  <c r="A884" i="2"/>
  <c r="A885" i="2" s="1"/>
  <c r="A886" i="2" s="1"/>
  <c r="A887" i="2" s="1"/>
  <c r="A888" i="2" s="1"/>
  <c r="A889" i="2" s="1"/>
  <c r="A873" i="2"/>
  <c r="A874" i="2" s="1"/>
  <c r="A865" i="2"/>
  <c r="A866" i="2" s="1"/>
  <c r="A867" i="2" s="1"/>
  <c r="A868" i="2" s="1"/>
  <c r="A870" i="2" s="1"/>
  <c r="A860" i="2"/>
  <c r="A861" i="2" s="1"/>
  <c r="A862" i="2" s="1"/>
  <c r="A863" i="2" s="1"/>
  <c r="A846" i="2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27" i="2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4" i="2" s="1"/>
  <c r="A821" i="2"/>
  <c r="A822" i="2" s="1"/>
  <c r="A823" i="2" s="1"/>
  <c r="A824" i="2" s="1"/>
  <c r="A825" i="2" s="1"/>
  <c r="A808" i="2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779" i="2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77" i="2"/>
  <c r="A778" i="2" s="1"/>
  <c r="A758" i="2"/>
  <c r="A760" i="2" s="1"/>
  <c r="A761" i="2" s="1"/>
  <c r="A762" i="2" s="1"/>
  <c r="A763" i="2" s="1"/>
  <c r="A765" i="2" s="1"/>
  <c r="A766" i="2" s="1"/>
  <c r="A767" i="2" s="1"/>
  <c r="A768" i="2" s="1"/>
  <c r="A770" i="2" s="1"/>
  <c r="A771" i="2" s="1"/>
  <c r="A772" i="2" s="1"/>
  <c r="A773" i="2" s="1"/>
  <c r="A774" i="2" s="1"/>
  <c r="A775" i="2" s="1"/>
  <c r="A747" i="2"/>
  <c r="A748" i="2" s="1"/>
  <c r="A749" i="2" s="1"/>
  <c r="A750" i="2" s="1"/>
  <c r="A751" i="2" s="1"/>
  <c r="A753" i="2" s="1"/>
  <c r="A754" i="2" s="1"/>
  <c r="A755" i="2" s="1"/>
  <c r="A756" i="2" s="1"/>
  <c r="A738" i="2"/>
  <c r="A739" i="2" s="1"/>
  <c r="A740" i="2" s="1"/>
  <c r="A741" i="2" s="1"/>
  <c r="A742" i="2" s="1"/>
  <c r="A744" i="2" s="1"/>
  <c r="A745" i="2" s="1"/>
  <c r="A746" i="2" s="1"/>
  <c r="A735" i="2"/>
  <c r="A736" i="2" s="1"/>
  <c r="A728" i="2"/>
  <c r="A729" i="2" s="1"/>
  <c r="A730" i="2" s="1"/>
  <c r="A731" i="2" s="1"/>
  <c r="A732" i="2" s="1"/>
  <c r="A690" i="2"/>
  <c r="A687" i="2"/>
  <c r="A688" i="2" s="1"/>
  <c r="A689" i="2" s="1"/>
  <c r="A654" i="2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51" i="2"/>
  <c r="A641" i="2"/>
  <c r="A642" i="2" s="1"/>
  <c r="A643" i="2" s="1"/>
  <c r="A644" i="2" s="1"/>
  <c r="A645" i="2" s="1"/>
  <c r="A646" i="2" s="1"/>
  <c r="A647" i="2" s="1"/>
  <c r="A648" i="2" s="1"/>
  <c r="A649" i="2" s="1"/>
  <c r="A650" i="2" s="1"/>
  <c r="A640" i="2"/>
  <c r="A632" i="2"/>
  <c r="A633" i="2" s="1"/>
  <c r="A634" i="2" s="1"/>
  <c r="A635" i="2" s="1"/>
  <c r="A636" i="2" s="1"/>
  <c r="A637" i="2" s="1"/>
  <c r="A638" i="2" s="1"/>
  <c r="A625" i="2"/>
  <c r="A626" i="2" s="1"/>
  <c r="A627" i="2" s="1"/>
  <c r="A628" i="2" s="1"/>
  <c r="A629" i="2" s="1"/>
  <c r="A630" i="2" s="1"/>
  <c r="A606" i="2"/>
  <c r="A607" i="2" s="1"/>
  <c r="A608" i="2" s="1"/>
  <c r="A609" i="2" s="1"/>
  <c r="A610" i="2" s="1"/>
  <c r="A613" i="2" s="1"/>
  <c r="A614" i="2" s="1"/>
  <c r="A615" i="2" s="1"/>
  <c r="A617" i="2" s="1"/>
  <c r="A618" i="2" s="1"/>
  <c r="A619" i="2" s="1"/>
  <c r="A621" i="2" s="1"/>
  <c r="A622" i="2" s="1"/>
  <c r="A623" i="2" s="1"/>
  <c r="A605" i="2"/>
  <c r="A596" i="2"/>
  <c r="A597" i="2" s="1"/>
  <c r="A598" i="2" s="1"/>
  <c r="A599" i="2" s="1"/>
  <c r="A600" i="2" s="1"/>
  <c r="A601" i="2" s="1"/>
  <c r="A602" i="2" s="1"/>
  <c r="A603" i="2" s="1"/>
  <c r="A579" i="2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71" i="2"/>
  <c r="A572" i="2" s="1"/>
  <c r="A573" i="2" s="1"/>
  <c r="A574" i="2" s="1"/>
  <c r="A575" i="2" s="1"/>
  <c r="A576" i="2" s="1"/>
  <c r="A577" i="2" s="1"/>
  <c r="A557" i="2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34" i="2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24" i="2"/>
  <c r="A525" i="2" s="1"/>
  <c r="A526" i="2" s="1"/>
  <c r="A527" i="2" s="1"/>
  <c r="A528" i="2" s="1"/>
  <c r="A529" i="2" s="1"/>
  <c r="A530" i="2" s="1"/>
  <c r="A531" i="2" s="1"/>
  <c r="A532" i="2" s="1"/>
  <c r="A512" i="2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487" i="2"/>
  <c r="A488" i="2" s="1"/>
  <c r="A489" i="2" s="1"/>
  <c r="A490" i="2" s="1"/>
  <c r="A491" i="2" s="1"/>
  <c r="A474" i="2"/>
  <c r="A481" i="2" s="1"/>
  <c r="A439" i="2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10" i="2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321" i="2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9" i="2" s="1"/>
  <c r="A307" i="2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04" i="2"/>
  <c r="A305" i="2" s="1"/>
  <c r="A306" i="2" s="1"/>
  <c r="A296" i="2"/>
  <c r="A297" i="2" s="1"/>
  <c r="A298" i="2" s="1"/>
  <c r="A299" i="2" s="1"/>
  <c r="A300" i="2" s="1"/>
  <c r="A301" i="2" s="1"/>
  <c r="A302" i="2" s="1"/>
  <c r="A303" i="2" s="1"/>
  <c r="A294" i="2"/>
  <c r="A281" i="2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73" i="2"/>
  <c r="A274" i="2" s="1"/>
  <c r="A275" i="2" s="1"/>
  <c r="A278" i="2" s="1"/>
  <c r="A279" i="2" s="1"/>
  <c r="A202" i="2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7" i="2" s="1"/>
  <c r="A218" i="2" s="1"/>
  <c r="A219" i="2" s="1"/>
  <c r="A220" i="2" s="1"/>
  <c r="A221" i="2" s="1"/>
  <c r="A222" i="2" s="1"/>
  <c r="A223" i="2" s="1"/>
  <c r="A224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4" i="2" s="1"/>
  <c r="A255" i="2" s="1"/>
  <c r="A261" i="2" s="1"/>
  <c r="A262" i="2" s="1"/>
  <c r="A263" i="2" s="1"/>
  <c r="A264" i="2" s="1"/>
  <c r="A265" i="2" s="1"/>
  <c r="A266" i="2" s="1"/>
  <c r="A267" i="2" s="1"/>
  <c r="A269" i="2" s="1"/>
  <c r="A270" i="2" s="1"/>
  <c r="A271" i="2" s="1"/>
  <c r="A272" i="2" s="1"/>
  <c r="A150" i="2"/>
  <c r="A151" i="2" s="1"/>
  <c r="A152" i="2" s="1"/>
  <c r="A153" i="2" s="1"/>
  <c r="A155" i="2" s="1"/>
  <c r="A156" i="2" s="1"/>
  <c r="A157" i="2" s="1"/>
  <c r="A158" i="2" s="1"/>
  <c r="A159" i="2" s="1"/>
  <c r="A160" i="2" s="1"/>
  <c r="A161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89" i="2"/>
  <c r="A90" i="2" s="1"/>
  <c r="A91" i="2" s="1"/>
  <c r="A92" i="2" s="1"/>
  <c r="A93" i="2" s="1"/>
  <c r="A94" i="2" s="1"/>
  <c r="A95" i="2" s="1"/>
  <c r="A96" i="2" s="1"/>
  <c r="A97" i="2" s="1"/>
  <c r="A98" i="2" s="1"/>
  <c r="A83" i="2"/>
  <c r="A84" i="2" s="1"/>
  <c r="A85" i="2" s="1"/>
  <c r="A86" i="2" s="1"/>
  <c r="A87" i="2" s="1"/>
  <c r="A73" i="2"/>
  <c r="A74" i="2" s="1"/>
  <c r="A75" i="2" s="1"/>
  <c r="A76" i="2" s="1"/>
  <c r="A77" i="2" s="1"/>
  <c r="A78" i="2" s="1"/>
  <c r="A79" i="2" s="1"/>
  <c r="A80" i="2" s="1"/>
  <c r="A81" i="2" s="1"/>
  <c r="A62" i="2"/>
  <c r="A63" i="2" s="1"/>
  <c r="A64" i="2" s="1"/>
  <c r="A65" i="2" s="1"/>
  <c r="A66" i="2" s="1"/>
  <c r="A67" i="2" s="1"/>
  <c r="A68" i="2" s="1"/>
  <c r="A69" i="2" s="1"/>
  <c r="A70" i="2" s="1"/>
  <c r="A71" i="2" s="1"/>
  <c r="A46" i="2"/>
  <c r="A47" i="2" s="1"/>
  <c r="A48" i="2" s="1"/>
  <c r="A49" i="2" s="1"/>
  <c r="A50" i="2" s="1"/>
  <c r="A51" i="2" s="1"/>
  <c r="A52" i="2" s="1"/>
  <c r="A53" i="2" s="1"/>
  <c r="A56" i="2" s="1"/>
  <c r="A42" i="2"/>
  <c r="A43" i="2" s="1"/>
  <c r="A44" i="2" s="1"/>
  <c r="A29" i="2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23" i="2"/>
  <c r="A24" i="2" s="1"/>
  <c r="A25" i="2" s="1"/>
  <c r="A26" i="2" s="1"/>
  <c r="A27" i="2" s="1"/>
  <c r="A11" i="2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3" i="2"/>
  <c r="A4" i="2" s="1"/>
  <c r="A5" i="2" s="1"/>
  <c r="A6" i="2" s="1"/>
  <c r="A7" i="2" s="1"/>
  <c r="A8" i="2" s="1"/>
  <c r="A9" i="2" s="1"/>
  <c r="A10" i="2" s="1"/>
  <c r="C96" i="5"/>
  <c r="C97" i="5" s="1"/>
  <c r="C99" i="5"/>
  <c r="C100" i="5" s="1"/>
  <c r="C102" i="5"/>
  <c r="C103" i="5" s="1"/>
  <c r="C105" i="5"/>
  <c r="C106" i="5" s="1"/>
  <c r="C3" i="1"/>
  <c r="C6" i="1"/>
  <c r="C7" i="1" s="1"/>
  <c r="C8" i="1" s="1"/>
  <c r="C9" i="1" s="1"/>
  <c r="C10" i="1" s="1"/>
  <c r="C11" i="1" s="1"/>
  <c r="C12" i="1" s="1"/>
  <c r="C31" i="1"/>
  <c r="C33" i="1"/>
  <c r="C35" i="1"/>
  <c r="C37" i="1"/>
  <c r="C38" i="1" s="1"/>
  <c r="C46" i="1"/>
  <c r="C75" i="1"/>
  <c r="C76" i="1" s="1"/>
  <c r="C77" i="1" s="1"/>
  <c r="C78" i="1" s="1"/>
  <c r="C79" i="1" s="1"/>
  <c r="C80" i="1" s="1"/>
  <c r="C81" i="1" s="1"/>
  <c r="C82" i="1" s="1"/>
  <c r="C85" i="1"/>
  <c r="C86" i="1" s="1"/>
  <c r="C87" i="1" s="1"/>
  <c r="C88" i="1" s="1"/>
  <c r="C89" i="1" s="1"/>
  <c r="C91" i="1"/>
  <c r="C92" i="1" s="1"/>
  <c r="C93" i="1" s="1"/>
  <c r="C95" i="1"/>
  <c r="C96" i="1" s="1"/>
  <c r="C97" i="1" s="1"/>
  <c r="C99" i="1"/>
  <c r="C101" i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9" i="1"/>
  <c r="C201" i="1"/>
  <c r="C203" i="1"/>
  <c r="C204" i="1" s="1"/>
  <c r="C205" i="1" s="1"/>
  <c r="C206" i="1" s="1"/>
  <c r="C208" i="1"/>
  <c r="C210" i="1"/>
  <c r="C212" i="1"/>
  <c r="C213" i="1" s="1"/>
  <c r="C215" i="1"/>
  <c r="C216" i="1" s="1"/>
  <c r="C218" i="1"/>
  <c r="C219" i="1" s="1"/>
  <c r="C220" i="1" s="1"/>
  <c r="C221" i="1" s="1"/>
  <c r="C223" i="1"/>
  <c r="C225" i="1"/>
  <c r="C226" i="1" s="1"/>
  <c r="C227" i="1" s="1"/>
  <c r="C228" i="1" s="1"/>
  <c r="C233" i="1"/>
  <c r="C234" i="1" s="1"/>
  <c r="C238" i="1"/>
  <c r="C240" i="1"/>
  <c r="C241" i="1" s="1"/>
  <c r="C243" i="1"/>
  <c r="C246" i="1"/>
  <c r="C248" i="1"/>
  <c r="C249" i="1" s="1"/>
  <c r="C250" i="1" s="1"/>
  <c r="C252" i="1"/>
  <c r="C254" i="1"/>
  <c r="C256" i="1"/>
  <c r="C258" i="1"/>
  <c r="C259" i="1" s="1"/>
  <c r="C263" i="1"/>
  <c r="C264" i="1" s="1"/>
  <c r="C266" i="1"/>
  <c r="C267" i="1" s="1"/>
  <c r="C269" i="1"/>
  <c r="C270" i="1" s="1"/>
  <c r="C271" i="1" s="1"/>
  <c r="C272" i="1" s="1"/>
  <c r="C277" i="1"/>
  <c r="C278" i="1" s="1"/>
  <c r="C279" i="1" s="1"/>
  <c r="C281" i="1"/>
  <c r="C282" i="1" s="1"/>
  <c r="C283" i="1" s="1"/>
  <c r="C289" i="1"/>
  <c r="C290" i="1" s="1"/>
  <c r="C291" i="1" s="1"/>
  <c r="C292" i="1" s="1"/>
  <c r="C293" i="1" s="1"/>
  <c r="C296" i="1"/>
  <c r="C297" i="1" s="1"/>
  <c r="C299" i="1"/>
  <c r="C301" i="1"/>
  <c r="C306" i="1"/>
  <c r="C307" i="1" s="1"/>
  <c r="C308" i="1" s="1"/>
  <c r="C310" i="1"/>
  <c r="C311" i="1" s="1"/>
  <c r="C312" i="1" s="1"/>
  <c r="C313" i="1" s="1"/>
  <c r="C330" i="1"/>
  <c r="C331" i="1" s="1"/>
  <c r="C332" i="1" s="1"/>
  <c r="C333" i="1" s="1"/>
  <c r="C337" i="1"/>
  <c r="C338" i="1" s="1"/>
  <c r="C340" i="1"/>
  <c r="C341" i="1" s="1"/>
  <c r="C343" i="1"/>
  <c r="C344" i="1" s="1"/>
  <c r="C346" i="1"/>
  <c r="C347" i="1" s="1"/>
  <c r="C349" i="1"/>
  <c r="C350" i="1" s="1"/>
  <c r="C352" i="1"/>
  <c r="C353" i="1" s="1"/>
  <c r="C365" i="1"/>
  <c r="C367" i="1"/>
  <c r="C390" i="1"/>
  <c r="C409" i="1"/>
  <c r="C446" i="1"/>
  <c r="C447" i="1" s="1"/>
  <c r="C457" i="1"/>
  <c r="C459" i="1"/>
  <c r="C461" i="1"/>
  <c r="C463" i="1"/>
  <c r="C465" i="1"/>
  <c r="C466" i="1" s="1"/>
  <c r="C467" i="1" s="1"/>
  <c r="C469" i="1"/>
  <c r="C472" i="1"/>
  <c r="C473" i="1" s="1"/>
  <c r="C478" i="1"/>
  <c r="C479" i="1" s="1"/>
  <c r="C480" i="1" s="1"/>
  <c r="C481" i="1" s="1"/>
  <c r="C482" i="1" s="1"/>
  <c r="C483" i="1" s="1"/>
  <c r="C484" i="1" s="1"/>
  <c r="C485" i="1" s="1"/>
  <c r="C492" i="1"/>
  <c r="C493" i="1" s="1"/>
  <c r="C498" i="1"/>
  <c r="C528" i="1"/>
  <c r="C551" i="1"/>
  <c r="C552" i="1" s="1"/>
  <c r="C583" i="1"/>
  <c r="C584" i="1" s="1"/>
  <c r="C585" i="1" s="1"/>
  <c r="C587" i="1"/>
  <c r="C588" i="1" s="1"/>
  <c r="C589" i="1" s="1"/>
  <c r="C591" i="1"/>
  <c r="C592" i="1" s="1"/>
  <c r="C593" i="1" s="1"/>
  <c r="C595" i="1"/>
  <c r="C596" i="1" s="1"/>
  <c r="C597" i="1" s="1"/>
  <c r="C598" i="1" s="1"/>
  <c r="C600" i="1"/>
  <c r="C601" i="1" s="1"/>
  <c r="C602" i="1" s="1"/>
  <c r="C603" i="1" s="1"/>
  <c r="C605" i="1"/>
  <c r="C606" i="1" s="1"/>
  <c r="C607" i="1" s="1"/>
  <c r="C609" i="1"/>
  <c r="C610" i="1" s="1"/>
  <c r="C611" i="1" s="1"/>
  <c r="C618" i="1"/>
  <c r="C619" i="1" s="1"/>
  <c r="C620" i="1" s="1"/>
  <c r="C621" i="1" s="1"/>
  <c r="C622" i="1" s="1"/>
  <c r="C624" i="1"/>
  <c r="C625" i="1" s="1"/>
  <c r="C626" i="1" s="1"/>
  <c r="C627" i="1" s="1"/>
  <c r="C628" i="1" s="1"/>
  <c r="C630" i="1"/>
  <c r="C632" i="1"/>
  <c r="C635" i="1"/>
  <c r="C638" i="1"/>
  <c r="C641" i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1" i="1"/>
  <c r="C672" i="1" s="1"/>
  <c r="C673" i="1" s="1"/>
  <c r="C674" i="1" s="1"/>
  <c r="C676" i="1"/>
  <c r="C677" i="1" s="1"/>
  <c r="C678" i="1" s="1"/>
  <c r="C679" i="1" s="1"/>
  <c r="C681" i="1"/>
  <c r="C682" i="1" s="1"/>
  <c r="C683" i="1" s="1"/>
  <c r="C684" i="1" s="1"/>
  <c r="C686" i="1"/>
  <c r="C687" i="1" s="1"/>
  <c r="C688" i="1" s="1"/>
  <c r="C689" i="1" s="1"/>
  <c r="C690" i="1" s="1"/>
  <c r="C691" i="1" s="1"/>
  <c r="C693" i="1"/>
  <c r="C695" i="1"/>
  <c r="C697" i="1"/>
  <c r="C698" i="1" s="1"/>
  <c r="C700" i="1"/>
  <c r="C702" i="1"/>
  <c r="C704" i="1"/>
  <c r="C708" i="1"/>
  <c r="C716" i="1"/>
  <c r="C727" i="1"/>
  <c r="C728" i="1" s="1"/>
  <c r="C730" i="1"/>
  <c r="C731" i="1" s="1"/>
  <c r="C733" i="1"/>
  <c r="C734" i="1" s="1"/>
  <c r="C757" i="1"/>
  <c r="C759" i="1"/>
  <c r="C767" i="1"/>
  <c r="C769" i="1"/>
  <c r="C771" i="1"/>
  <c r="C773" i="1"/>
  <c r="C774" i="1" s="1"/>
  <c r="C776" i="1"/>
  <c r="C777" i="1" s="1"/>
  <c r="C778" i="1" s="1"/>
  <c r="C780" i="1"/>
  <c r="C781" i="1" s="1"/>
  <c r="C785" i="1"/>
  <c r="C786" i="1" s="1"/>
  <c r="C788" i="1"/>
  <c r="C789" i="1" s="1"/>
  <c r="C790" i="1" s="1"/>
  <c r="C792" i="1"/>
  <c r="C793" i="1" s="1"/>
  <c r="C795" i="1"/>
  <c r="C796" i="1" s="1"/>
  <c r="C800" i="1"/>
  <c r="C801" i="1" s="1"/>
  <c r="C803" i="1"/>
  <c r="C805" i="1"/>
  <c r="C823" i="1"/>
  <c r="C824" i="1" s="1"/>
  <c r="C856" i="1"/>
  <c r="C857" i="1" s="1"/>
  <c r="C858" i="1" s="1"/>
  <c r="C859" i="1" s="1"/>
  <c r="C860" i="1" s="1"/>
  <c r="C863" i="1"/>
  <c r="C864" i="1" s="1"/>
  <c r="C866" i="1"/>
  <c r="C867" i="1" s="1"/>
  <c r="C868" i="1" s="1"/>
  <c r="C871" i="1"/>
  <c r="C872" i="1" s="1"/>
  <c r="C873" i="1" s="1"/>
  <c r="C888" i="1"/>
  <c r="C889" i="1" s="1"/>
  <c r="C890" i="1" s="1"/>
  <c r="C891" i="1" s="1"/>
  <c r="C981" i="1"/>
  <c r="C984" i="1"/>
  <c r="C985" i="1" s="1"/>
  <c r="C987" i="1"/>
  <c r="C1018" i="1"/>
  <c r="C1030" i="1"/>
  <c r="C1031" i="1" s="1"/>
  <c r="C1033" i="1"/>
  <c r="C1034" i="1" s="1"/>
  <c r="C1036" i="1"/>
  <c r="C1097" i="1"/>
  <c r="C1099" i="1"/>
  <c r="C1133" i="1"/>
  <c r="C1134" i="1" s="1"/>
  <c r="C1135" i="1" s="1"/>
  <c r="C1137" i="1"/>
  <c r="C1138" i="1" s="1"/>
  <c r="C1139" i="1" s="1"/>
  <c r="C1141" i="1"/>
  <c r="C1149" i="1"/>
  <c r="C1150" i="1" s="1"/>
  <c r="C1152" i="1"/>
  <c r="C1153" i="1" s="1"/>
  <c r="C1155" i="1"/>
  <c r="C1156" i="1" s="1"/>
  <c r="C1161" i="1"/>
  <c r="C1164" i="1"/>
  <c r="C1170" i="1"/>
  <c r="C1171" i="1" s="1"/>
  <c r="C1172" i="1" s="1"/>
  <c r="C1184" i="1"/>
  <c r="C1185" i="1" s="1"/>
  <c r="C1186" i="1" s="1"/>
  <c r="C1187" i="1" s="1"/>
  <c r="C1192" i="1"/>
  <c r="C1211" i="1"/>
  <c r="C1212" i="1" s="1"/>
  <c r="C1213" i="1" s="1"/>
  <c r="C1214" i="1" s="1"/>
  <c r="C1216" i="1"/>
  <c r="C1218" i="1"/>
  <c r="C1220" i="1"/>
  <c r="C1225" i="1"/>
  <c r="C1227" i="1"/>
  <c r="C1228" i="1" s="1"/>
  <c r="C1233" i="1"/>
  <c r="C1234" i="1" s="1"/>
  <c r="C1235" i="1" s="1"/>
  <c r="C1236" i="1" s="1"/>
  <c r="C1237" i="1" s="1"/>
  <c r="C1238" i="1" s="1"/>
  <c r="C1239" i="1" s="1"/>
  <c r="C1240" i="1" s="1"/>
  <c r="C1241" i="1" s="1"/>
  <c r="C1243" i="1"/>
  <c r="C1244" i="1" s="1"/>
  <c r="C1245" i="1" s="1"/>
  <c r="C1246" i="1" s="1"/>
  <c r="C1247" i="1" s="1"/>
  <c r="C1248" i="1" s="1"/>
  <c r="C1249" i="1" s="1"/>
  <c r="C1250" i="1" s="1"/>
  <c r="C1252" i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3" i="1"/>
  <c r="C1264" i="1" s="1"/>
  <c r="C1265" i="1" s="1"/>
  <c r="C1266" i="1" s="1"/>
  <c r="C1267" i="1" s="1"/>
  <c r="C1268" i="1" s="1"/>
  <c r="C1269" i="1" s="1"/>
  <c r="C1270" i="1" s="1"/>
  <c r="C1271" i="1" s="1"/>
  <c r="C1273" i="1"/>
  <c r="C1274" i="1" s="1"/>
  <c r="C1275" i="1" s="1"/>
  <c r="C1276" i="1" s="1"/>
  <c r="C1278" i="1"/>
  <c r="C1279" i="1" s="1"/>
  <c r="C1280" i="1" s="1"/>
  <c r="C1283" i="1"/>
  <c r="C1285" i="1"/>
  <c r="C1287" i="1"/>
  <c r="C1288" i="1" s="1"/>
  <c r="C1290" i="1"/>
  <c r="C1293" i="1"/>
  <c r="C1295" i="1"/>
  <c r="C1297" i="1"/>
  <c r="C1299" i="1"/>
  <c r="C1301" i="1"/>
  <c r="C1303" i="1"/>
  <c r="C1305" i="1"/>
  <c r="C1307" i="1"/>
  <c r="C1309" i="1"/>
  <c r="C1311" i="1"/>
  <c r="C1314" i="1"/>
  <c r="C1316" i="1"/>
  <c r="C1317" i="1" s="1"/>
  <c r="C1318" i="1" s="1"/>
  <c r="C1319" i="1" s="1"/>
  <c r="C1320" i="1" s="1"/>
  <c r="C1321" i="1" s="1"/>
  <c r="C1326" i="1"/>
  <c r="C1327" i="1" s="1"/>
  <c r="C1330" i="1"/>
  <c r="C1332" i="1"/>
  <c r="C1335" i="1"/>
  <c r="C1349" i="1"/>
  <c r="C1351" i="1"/>
  <c r="C1353" i="1"/>
  <c r="C1365" i="1"/>
  <c r="C1372" i="1"/>
  <c r="C1375" i="1"/>
  <c r="C1417" i="1"/>
  <c r="C1423" i="1"/>
  <c r="C1431" i="1"/>
  <c r="C1442" i="1"/>
  <c r="C1454" i="1"/>
  <c r="C1455" i="1" s="1"/>
  <c r="C1465" i="1"/>
  <c r="C1466" i="1" s="1"/>
  <c r="C1508" i="1"/>
  <c r="C1512" i="1"/>
  <c r="C1534" i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50" i="1"/>
  <c r="C1556" i="1"/>
  <c r="C1557" i="1" s="1"/>
  <c r="C1559" i="1"/>
  <c r="C1562" i="1"/>
  <c r="C1570" i="1"/>
  <c r="C1572" i="1"/>
  <c r="C1574" i="1"/>
  <c r="C1575" i="1" s="1"/>
  <c r="C1576" i="1" s="1"/>
  <c r="C1577" i="1" s="1"/>
  <c r="C1579" i="1"/>
  <c r="C1581" i="1"/>
  <c r="C1582" i="1" s="1"/>
  <c r="C1583" i="1" s="1"/>
  <c r="C1584" i="1" s="1"/>
  <c r="C1585" i="1" s="1"/>
  <c r="C1586" i="1" s="1"/>
  <c r="C1588" i="1"/>
  <c r="C1590" i="1"/>
  <c r="C1592" i="1"/>
  <c r="C1593" i="1" s="1"/>
  <c r="C1594" i="1" s="1"/>
  <c r="C1595" i="1" s="1"/>
  <c r="C1596" i="1" s="1"/>
  <c r="C1598" i="1"/>
  <c r="C1599" i="1" s="1"/>
  <c r="C1601" i="1"/>
  <c r="C1604" i="1"/>
  <c r="C1606" i="1"/>
  <c r="C1608" i="1"/>
  <c r="C1610" i="1"/>
  <c r="C1612" i="1"/>
  <c r="C1615" i="1"/>
  <c r="C1616" i="1" s="1"/>
  <c r="C1622" i="1"/>
  <c r="C1623" i="1" s="1"/>
  <c r="C1624" i="1" s="1"/>
  <c r="C1627" i="1"/>
  <c r="C1628" i="1" s="1"/>
  <c r="C1646" i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658" i="1" s="1"/>
  <c r="C1659" i="1" s="1"/>
  <c r="C1660" i="1" s="1"/>
  <c r="C1661" i="1" s="1"/>
  <c r="C1662" i="1" s="1"/>
  <c r="C1663" i="1" s="1"/>
  <c r="C1664" i="1" s="1"/>
  <c r="C1665" i="1" s="1"/>
  <c r="C1666" i="1" s="1"/>
  <c r="C1667" i="1" s="1"/>
  <c r="C1668" i="1" s="1"/>
  <c r="C1669" i="1" s="1"/>
  <c r="C1670" i="1" s="1"/>
  <c r="C1671" i="1" s="1"/>
  <c r="C1672" i="1" s="1"/>
  <c r="C1673" i="1" s="1"/>
  <c r="C1735" i="1"/>
  <c r="C1742" i="1"/>
  <c r="C1749" i="1"/>
  <c r="C1756" i="1"/>
  <c r="C1757" i="1" s="1"/>
  <c r="C1759" i="1"/>
  <c r="C1761" i="1"/>
  <c r="C1763" i="1"/>
  <c r="C1764" i="1" s="1"/>
  <c r="C1766" i="1"/>
  <c r="C1767" i="1" s="1"/>
  <c r="C1768" i="1" s="1"/>
  <c r="C1771" i="1"/>
  <c r="C1772" i="1" s="1"/>
  <c r="C1773" i="1" s="1"/>
  <c r="C1775" i="1"/>
  <c r="C1777" i="1"/>
  <c r="C1778" i="1" s="1"/>
  <c r="C1796" i="1"/>
  <c r="C1798" i="1"/>
  <c r="C1802" i="1"/>
  <c r="C1804" i="1"/>
  <c r="C1805" i="1" s="1"/>
  <c r="C1807" i="1"/>
  <c r="C1808" i="1" s="1"/>
  <c r="C1810" i="1"/>
  <c r="C1811" i="1" s="1"/>
  <c r="C1813" i="1"/>
  <c r="C1815" i="1"/>
  <c r="C1816" i="1" s="1"/>
  <c r="C1818" i="1"/>
  <c r="C1820" i="1"/>
  <c r="C1822" i="1"/>
  <c r="C1823" i="1" s="1"/>
  <c r="C1824" i="1" s="1"/>
  <c r="C1827" i="1"/>
  <c r="C1831" i="1"/>
  <c r="C1834" i="1"/>
  <c r="C1835" i="1" s="1"/>
  <c r="C1836" i="1" s="1"/>
  <c r="C1839" i="1"/>
  <c r="C1840" i="1" s="1"/>
  <c r="C1842" i="1"/>
  <c r="C1843" i="1" s="1"/>
  <c r="C1872" i="1"/>
  <c r="C1873" i="1" s="1"/>
  <c r="C1876" i="1"/>
  <c r="C1877" i="1" s="1"/>
  <c r="C1903" i="1"/>
  <c r="C1904" i="1" s="1"/>
  <c r="C1906" i="1"/>
  <c r="C1907" i="1" s="1"/>
  <c r="C1909" i="1"/>
  <c r="C1911" i="1"/>
  <c r="C1912" i="1" s="1"/>
  <c r="C1915" i="1"/>
  <c r="C1916" i="1" s="1"/>
  <c r="C1927" i="1"/>
  <c r="C1928" i="1" s="1"/>
  <c r="C1930" i="1"/>
  <c r="C1942" i="1"/>
  <c r="C1943" i="1" s="1"/>
  <c r="C1944" i="1" s="1"/>
  <c r="C1947" i="1"/>
  <c r="C1948" i="1" s="1"/>
  <c r="C1949" i="1" s="1"/>
  <c r="C1951" i="1"/>
  <c r="C1952" i="1" s="1"/>
  <c r="C1953" i="1" s="1"/>
  <c r="C1955" i="1"/>
  <c r="C1956" i="1" s="1"/>
  <c r="C1957" i="1" s="1"/>
  <c r="C1960" i="1"/>
  <c r="C1961" i="1" s="1"/>
  <c r="C1965" i="1"/>
  <c r="C1966" i="1" s="1"/>
  <c r="C1967" i="1" s="1"/>
  <c r="C1968" i="1" s="1"/>
  <c r="C1969" i="1" s="1"/>
  <c r="C1971" i="1"/>
  <c r="C1972" i="1" s="1"/>
  <c r="C1973" i="1" s="1"/>
  <c r="C1974" i="1" s="1"/>
  <c r="C1975" i="1" s="1"/>
  <c r="C1977" i="1"/>
  <c r="C1978" i="1" s="1"/>
  <c r="C1979" i="1" s="1"/>
  <c r="C1980" i="1" s="1"/>
  <c r="C1981" i="1" s="1"/>
  <c r="C1984" i="1"/>
  <c r="C1986" i="1"/>
  <c r="C1994" i="1"/>
  <c r="C2001" i="1"/>
  <c r="C2002" i="1" s="1"/>
  <c r="C2004" i="1"/>
  <c r="C2006" i="1"/>
  <c r="C2007" i="1" s="1"/>
  <c r="C2008" i="1" s="1"/>
  <c r="C2010" i="1"/>
  <c r="C2014" i="1"/>
  <c r="C2015" i="1" s="1"/>
  <c r="C2016" i="1" s="1"/>
  <c r="C2017" i="1" s="1"/>
  <c r="C2018" i="1" s="1"/>
  <c r="C2019" i="1" s="1"/>
  <c r="C2020" i="1" s="1"/>
  <c r="C2028" i="1"/>
  <c r="C2029" i="1" s="1"/>
  <c r="C2032" i="1"/>
  <c r="C2042" i="1"/>
  <c r="C2043" i="1" s="1"/>
  <c r="C2045" i="1"/>
  <c r="C2046" i="1" s="1"/>
  <c r="C2049" i="1"/>
  <c r="C2051" i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2" i="1"/>
  <c r="C2064" i="1"/>
  <c r="C2068" i="1"/>
  <c r="C2069" i="1" s="1"/>
  <c r="C2071" i="1"/>
  <c r="C2073" i="1"/>
  <c r="C2075" i="1"/>
  <c r="C2076" i="1" s="1"/>
  <c r="C2077" i="1" s="1"/>
  <c r="C2078" i="1" s="1"/>
  <c r="C2079" i="1" s="1"/>
  <c r="C2080" i="1" s="1"/>
  <c r="C2082" i="1"/>
  <c r="C2083" i="1" s="1"/>
  <c r="C2084" i="1" s="1"/>
  <c r="C2085" i="1" s="1"/>
  <c r="C2086" i="1" s="1"/>
  <c r="C2087" i="1" s="1"/>
  <c r="C2089" i="1"/>
  <c r="C2090" i="1" s="1"/>
  <c r="C2091" i="1" s="1"/>
  <c r="C2092" i="1" s="1"/>
  <c r="C2095" i="1"/>
  <c r="C2096" i="1" s="1"/>
  <c r="C2097" i="1" s="1"/>
  <c r="C2102" i="1"/>
  <c r="C2103" i="1" s="1"/>
  <c r="C2104" i="1" s="1"/>
  <c r="C2105" i="1" s="1"/>
  <c r="C2106" i="1" s="1"/>
  <c r="C2107" i="1" s="1"/>
  <c r="C2109" i="1"/>
  <c r="C2130" i="1"/>
  <c r="C2132" i="1"/>
  <c r="C2134" i="1"/>
  <c r="C2135" i="1" s="1"/>
  <c r="C2149" i="1"/>
  <c r="C2151" i="1"/>
  <c r="C2153" i="1"/>
  <c r="C2154" i="1" s="1"/>
  <c r="C2155" i="1" s="1"/>
  <c r="C2157" i="1"/>
  <c r="C2159" i="1"/>
  <c r="C2160" i="1" s="1"/>
  <c r="C2161" i="1" s="1"/>
  <c r="C2164" i="1"/>
  <c r="C2165" i="1" s="1"/>
  <c r="C2167" i="1"/>
  <c r="C2168" i="1" s="1"/>
  <c r="C2170" i="1"/>
  <c r="C2171" i="1" s="1"/>
  <c r="C2172" i="1" s="1"/>
  <c r="C2173" i="1" s="1"/>
  <c r="C2178" i="1"/>
  <c r="C2179" i="1" s="1"/>
  <c r="C2181" i="1"/>
  <c r="C2183" i="1"/>
  <c r="C2185" i="1"/>
  <c r="C2187" i="1"/>
  <c r="C2189" i="1"/>
  <c r="C2190" i="1" s="1"/>
  <c r="C2192" i="1"/>
  <c r="C2193" i="1" s="1"/>
  <c r="C2195" i="1"/>
  <c r="C2196" i="1" s="1"/>
  <c r="C2249" i="1"/>
  <c r="C1070" i="1" l="1"/>
  <c r="C1071" i="1" s="1"/>
  <c r="C235" i="1"/>
  <c r="H2227" i="1"/>
  <c r="I2227" i="1" s="1"/>
  <c r="H1787" i="1"/>
  <c r="I1787" i="1" s="1"/>
  <c r="H228" i="1" l="1"/>
  <c r="I228" i="1" s="1"/>
  <c r="E266" i="6" l="1"/>
  <c r="E264" i="6"/>
  <c r="E256" i="6"/>
  <c r="E248" i="6"/>
  <c r="E246" i="6"/>
  <c r="E244" i="6" l="1"/>
  <c r="E242" i="6"/>
  <c r="E240" i="6"/>
  <c r="E238" i="6"/>
  <c r="E236" i="6"/>
  <c r="E234" i="6"/>
  <c r="E232" i="6"/>
  <c r="E230" i="6"/>
  <c r="E228" i="6"/>
  <c r="E226" i="6"/>
  <c r="E212" i="6"/>
  <c r="E206" i="6"/>
  <c r="E204" i="6"/>
  <c r="H2231" i="1"/>
  <c r="I2231" i="1" s="1"/>
  <c r="H2230" i="1"/>
  <c r="I2230" i="1" s="1"/>
  <c r="H2229" i="1"/>
  <c r="I2229" i="1" s="1"/>
  <c r="H2228" i="1"/>
  <c r="I2228" i="1" s="1"/>
  <c r="H2226" i="1"/>
  <c r="I2226" i="1" s="1"/>
  <c r="H2225" i="1"/>
  <c r="I2225" i="1" s="1"/>
  <c r="H2224" i="1"/>
  <c r="I2224" i="1" s="1"/>
  <c r="H2223" i="1"/>
  <c r="I2223" i="1" s="1"/>
  <c r="H2222" i="1"/>
  <c r="I2222" i="1" s="1"/>
  <c r="H2221" i="1"/>
  <c r="I2221" i="1" s="1"/>
  <c r="H2220" i="1"/>
  <c r="I2220" i="1" s="1"/>
  <c r="H2219" i="1"/>
  <c r="I2219" i="1" s="1"/>
  <c r="H2218" i="1"/>
  <c r="I2218" i="1" s="1"/>
  <c r="H2217" i="1"/>
  <c r="I2217" i="1" s="1"/>
  <c r="H2216" i="1"/>
  <c r="I2216" i="1" s="1"/>
  <c r="H2215" i="1"/>
  <c r="I2215" i="1" s="1"/>
  <c r="H2214" i="1"/>
  <c r="I2214" i="1" s="1"/>
  <c r="H2213" i="1"/>
  <c r="I2213" i="1" s="1"/>
  <c r="I2212" i="1"/>
  <c r="I2211" i="1"/>
  <c r="I2210" i="1"/>
  <c r="I2209" i="1"/>
  <c r="I2208" i="1"/>
  <c r="H2207" i="1"/>
  <c r="I2207" i="1" s="1"/>
  <c r="H2206" i="1"/>
  <c r="I2206" i="1" s="1"/>
  <c r="H2205" i="1"/>
  <c r="I2205" i="1" s="1"/>
  <c r="H2204" i="1"/>
  <c r="I2204" i="1" s="1"/>
  <c r="H2203" i="1"/>
  <c r="I2203" i="1" s="1"/>
  <c r="H2202" i="1"/>
  <c r="I2202" i="1" s="1"/>
  <c r="H2201" i="1"/>
  <c r="I2201" i="1" s="1"/>
  <c r="H2200" i="1"/>
  <c r="I2200" i="1" s="1"/>
  <c r="H2199" i="1"/>
  <c r="I2199" i="1" s="1"/>
  <c r="H2198" i="1"/>
  <c r="I2198" i="1" s="1"/>
  <c r="H2197" i="1"/>
  <c r="I2197" i="1" s="1"/>
  <c r="H2196" i="1"/>
  <c r="I2196" i="1" s="1"/>
  <c r="H2195" i="1"/>
  <c r="I2195" i="1" s="1"/>
  <c r="H2194" i="1"/>
  <c r="I2194" i="1" s="1"/>
  <c r="H2193" i="1"/>
  <c r="I2193" i="1" s="1"/>
  <c r="H2192" i="1"/>
  <c r="I2192" i="1" s="1"/>
  <c r="H2191" i="1"/>
  <c r="I2191" i="1" s="1"/>
  <c r="H2190" i="1"/>
  <c r="I2190" i="1" s="1"/>
  <c r="H2189" i="1"/>
  <c r="I2189" i="1" s="1"/>
  <c r="H2188" i="1"/>
  <c r="I2188" i="1" s="1"/>
  <c r="H2187" i="1"/>
  <c r="I2187" i="1" s="1"/>
  <c r="H2186" i="1"/>
  <c r="I2186" i="1" s="1"/>
  <c r="H2185" i="1"/>
  <c r="I2185" i="1" s="1"/>
  <c r="H2184" i="1"/>
  <c r="I2184" i="1" s="1"/>
  <c r="H2183" i="1"/>
  <c r="I2183" i="1" s="1"/>
  <c r="H2182" i="1"/>
  <c r="I2182" i="1" s="1"/>
  <c r="H2181" i="1"/>
  <c r="I2181" i="1" s="1"/>
  <c r="H2180" i="1"/>
  <c r="I2180" i="1" s="1"/>
  <c r="H2179" i="1"/>
  <c r="I2179" i="1" s="1"/>
  <c r="H2178" i="1"/>
  <c r="I2178" i="1" s="1"/>
  <c r="H2177" i="1"/>
  <c r="I2177" i="1" s="1"/>
  <c r="H2176" i="1"/>
  <c r="I2176" i="1" s="1"/>
  <c r="H2175" i="1"/>
  <c r="I2175" i="1" s="1"/>
  <c r="H2174" i="1"/>
  <c r="I2174" i="1" s="1"/>
  <c r="H2173" i="1"/>
  <c r="I2173" i="1" s="1"/>
  <c r="H2172" i="1"/>
  <c r="I2172" i="1" s="1"/>
  <c r="H2171" i="1"/>
  <c r="I2171" i="1" s="1"/>
  <c r="H2170" i="1"/>
  <c r="I2170" i="1" s="1"/>
  <c r="H2169" i="1"/>
  <c r="I2169" i="1" s="1"/>
  <c r="H2168" i="1"/>
  <c r="I2168" i="1" s="1"/>
  <c r="H2167" i="1"/>
  <c r="I2167" i="1" s="1"/>
  <c r="H2166" i="1"/>
  <c r="I2166" i="1" s="1"/>
  <c r="H2165" i="1"/>
  <c r="I2165" i="1" s="1"/>
  <c r="H2164" i="1"/>
  <c r="I2164" i="1" s="1"/>
  <c r="H2163" i="1"/>
  <c r="I2163" i="1" s="1"/>
  <c r="H2162" i="1"/>
  <c r="I2162" i="1" s="1"/>
  <c r="H2161" i="1"/>
  <c r="I2161" i="1" s="1"/>
  <c r="H2160" i="1"/>
  <c r="I2160" i="1" s="1"/>
  <c r="H2159" i="1"/>
  <c r="I2159" i="1" s="1"/>
  <c r="H2158" i="1"/>
  <c r="I2158" i="1" s="1"/>
  <c r="H2157" i="1"/>
  <c r="I2157" i="1" s="1"/>
  <c r="H2156" i="1"/>
  <c r="I2156" i="1" s="1"/>
  <c r="H2155" i="1"/>
  <c r="I2155" i="1" s="1"/>
  <c r="H2154" i="1"/>
  <c r="I2154" i="1" s="1"/>
  <c r="H2153" i="1"/>
  <c r="I2153" i="1" s="1"/>
  <c r="H2152" i="1"/>
  <c r="I2152" i="1" s="1"/>
  <c r="H2151" i="1"/>
  <c r="I2151" i="1" s="1"/>
  <c r="H2150" i="1"/>
  <c r="I2150" i="1" s="1"/>
  <c r="H2149" i="1"/>
  <c r="I2149" i="1" s="1"/>
  <c r="H2148" i="1"/>
  <c r="I2148" i="1" s="1"/>
  <c r="H2147" i="1"/>
  <c r="I2147" i="1" s="1"/>
  <c r="H2146" i="1"/>
  <c r="I2146" i="1" s="1"/>
  <c r="H2145" i="1"/>
  <c r="I2145" i="1" s="1"/>
  <c r="H2144" i="1"/>
  <c r="I2144" i="1" s="1"/>
  <c r="H2143" i="1"/>
  <c r="I2143" i="1" s="1"/>
  <c r="H2142" i="1"/>
  <c r="I2142" i="1" s="1"/>
  <c r="H2141" i="1"/>
  <c r="I2141" i="1" s="1"/>
  <c r="H2140" i="1"/>
  <c r="I2140" i="1" s="1"/>
  <c r="H2139" i="1"/>
  <c r="I2139" i="1" s="1"/>
  <c r="H2138" i="1"/>
  <c r="I2138" i="1" s="1"/>
  <c r="H2137" i="1"/>
  <c r="I2137" i="1" s="1"/>
  <c r="H2136" i="1"/>
  <c r="I2136" i="1" s="1"/>
  <c r="H2135" i="1"/>
  <c r="I2135" i="1" s="1"/>
  <c r="H2134" i="1"/>
  <c r="I2134" i="1" s="1"/>
  <c r="H2133" i="1"/>
  <c r="I2133" i="1" s="1"/>
  <c r="H2132" i="1"/>
  <c r="I2132" i="1" s="1"/>
  <c r="H2131" i="1"/>
  <c r="I2131" i="1" s="1"/>
  <c r="H2130" i="1"/>
  <c r="I2130" i="1" s="1"/>
  <c r="H2129" i="1"/>
  <c r="I2129" i="1" s="1"/>
  <c r="H2128" i="1"/>
  <c r="I2128" i="1" s="1"/>
  <c r="H2127" i="1"/>
  <c r="I2127" i="1" s="1"/>
  <c r="H2126" i="1"/>
  <c r="I2126" i="1" s="1"/>
  <c r="H2125" i="1"/>
  <c r="I2125" i="1" s="1"/>
  <c r="H2124" i="1"/>
  <c r="I2124" i="1" s="1"/>
  <c r="H2123" i="1"/>
  <c r="I2123" i="1" s="1"/>
  <c r="H2122" i="1"/>
  <c r="I2122" i="1" s="1"/>
  <c r="H2121" i="1"/>
  <c r="I2121" i="1" s="1"/>
  <c r="H2120" i="1"/>
  <c r="I2120" i="1" s="1"/>
  <c r="H2119" i="1"/>
  <c r="I2119" i="1" s="1"/>
  <c r="H2118" i="1"/>
  <c r="I2118" i="1" s="1"/>
  <c r="H2115" i="1"/>
  <c r="I2115" i="1" s="1"/>
  <c r="H2114" i="1"/>
  <c r="I2114" i="1" s="1"/>
  <c r="H2113" i="1"/>
  <c r="I2113" i="1" s="1"/>
  <c r="H2112" i="1"/>
  <c r="I2112" i="1" s="1"/>
  <c r="H2111" i="1"/>
  <c r="I2111" i="1" s="1"/>
  <c r="H2110" i="1"/>
  <c r="I2110" i="1" s="1"/>
  <c r="I2109" i="1"/>
  <c r="I2108" i="1"/>
  <c r="I2107" i="1"/>
  <c r="I2106" i="1"/>
  <c r="I2105" i="1"/>
  <c r="I2104" i="1"/>
  <c r="I2103" i="1"/>
  <c r="I2102" i="1"/>
  <c r="I2101" i="1"/>
  <c r="H2100" i="1"/>
  <c r="I2100" i="1" s="1"/>
  <c r="H2099" i="1"/>
  <c r="I2099" i="1" s="1"/>
  <c r="H2098" i="1"/>
  <c r="I2098" i="1" s="1"/>
  <c r="H2097" i="1"/>
  <c r="I2097" i="1" s="1"/>
  <c r="H2096" i="1"/>
  <c r="I2096" i="1" s="1"/>
  <c r="H2095" i="1"/>
  <c r="I2095" i="1" s="1"/>
  <c r="H2094" i="1"/>
  <c r="I2094" i="1" s="1"/>
  <c r="H2093" i="1"/>
  <c r="I2093" i="1" s="1"/>
  <c r="H2092" i="1"/>
  <c r="I2092" i="1" s="1"/>
  <c r="H2091" i="1"/>
  <c r="I2091" i="1" s="1"/>
  <c r="H2090" i="1"/>
  <c r="I2090" i="1" s="1"/>
  <c r="H2089" i="1"/>
  <c r="I2089" i="1" s="1"/>
  <c r="H2088" i="1"/>
  <c r="I2088" i="1" s="1"/>
  <c r="H2087" i="1"/>
  <c r="I2087" i="1" s="1"/>
  <c r="H2086" i="1"/>
  <c r="I2086" i="1" s="1"/>
  <c r="H2085" i="1"/>
  <c r="I2085" i="1" s="1"/>
  <c r="H2084" i="1"/>
  <c r="I2084" i="1" s="1"/>
  <c r="H2083" i="1"/>
  <c r="I2083" i="1" s="1"/>
  <c r="H2082" i="1"/>
  <c r="I2082" i="1" s="1"/>
  <c r="H2081" i="1"/>
  <c r="I2081" i="1" s="1"/>
  <c r="H2080" i="1"/>
  <c r="I2080" i="1" s="1"/>
  <c r="H2079" i="1"/>
  <c r="I2079" i="1" s="1"/>
  <c r="H2078" i="1"/>
  <c r="I2078" i="1" s="1"/>
  <c r="H2077" i="1"/>
  <c r="I2077" i="1" s="1"/>
  <c r="H2076" i="1"/>
  <c r="I2076" i="1" s="1"/>
  <c r="H2075" i="1"/>
  <c r="I2075" i="1" s="1"/>
  <c r="H2074" i="1"/>
  <c r="I2074" i="1" s="1"/>
  <c r="H2073" i="1"/>
  <c r="I2073" i="1" s="1"/>
  <c r="H2072" i="1"/>
  <c r="I2072" i="1" s="1"/>
  <c r="H2071" i="1"/>
  <c r="I2071" i="1" s="1"/>
  <c r="H2070" i="1"/>
  <c r="I2070" i="1" s="1"/>
  <c r="H2069" i="1"/>
  <c r="I2069" i="1" s="1"/>
  <c r="H2068" i="1"/>
  <c r="I2068" i="1" s="1"/>
  <c r="H2067" i="1"/>
  <c r="I2067" i="1" s="1"/>
  <c r="H2066" i="1"/>
  <c r="I2066" i="1" s="1"/>
  <c r="H2065" i="1"/>
  <c r="I2065" i="1" s="1"/>
  <c r="H2064" i="1"/>
  <c r="I2064" i="1" s="1"/>
  <c r="H2063" i="1"/>
  <c r="I2063" i="1" s="1"/>
  <c r="H2060" i="1"/>
  <c r="I2060" i="1" s="1"/>
  <c r="H2059" i="1"/>
  <c r="I2059" i="1" s="1"/>
  <c r="H2058" i="1"/>
  <c r="I2058" i="1" s="1"/>
  <c r="H2057" i="1"/>
  <c r="I2057" i="1" s="1"/>
  <c r="H2056" i="1"/>
  <c r="I2056" i="1" s="1"/>
  <c r="H2055" i="1"/>
  <c r="I2055" i="1" s="1"/>
  <c r="H2054" i="1"/>
  <c r="I2054" i="1" s="1"/>
  <c r="H2053" i="1"/>
  <c r="I2053" i="1" s="1"/>
  <c r="H2052" i="1"/>
  <c r="I2052" i="1" s="1"/>
  <c r="H2051" i="1"/>
  <c r="I2051" i="1" s="1"/>
  <c r="H2050" i="1"/>
  <c r="I2050" i="1" s="1"/>
  <c r="H2049" i="1"/>
  <c r="I2049" i="1" s="1"/>
  <c r="H2048" i="1"/>
  <c r="I2048" i="1" s="1"/>
  <c r="H2047" i="1"/>
  <c r="I2047" i="1" s="1"/>
  <c r="H2046" i="1"/>
  <c r="I2046" i="1" s="1"/>
  <c r="H2045" i="1"/>
  <c r="I2045" i="1" s="1"/>
  <c r="H2044" i="1"/>
  <c r="I2044" i="1" s="1"/>
  <c r="H2043" i="1"/>
  <c r="I2043" i="1" s="1"/>
  <c r="H2036" i="1"/>
  <c r="I2036" i="1" s="1"/>
  <c r="H2035" i="1"/>
  <c r="I2035" i="1" s="1"/>
  <c r="H2034" i="1"/>
  <c r="I2034" i="1" s="1"/>
  <c r="H2033" i="1"/>
  <c r="I2033" i="1" s="1"/>
  <c r="H2030" i="1"/>
  <c r="I2030" i="1" s="1"/>
  <c r="H2029" i="1"/>
  <c r="I2029" i="1" s="1"/>
  <c r="H2028" i="1"/>
  <c r="I2028" i="1" s="1"/>
  <c r="H2027" i="1"/>
  <c r="I2027" i="1" s="1"/>
  <c r="H2026" i="1"/>
  <c r="I2026" i="1" s="1"/>
  <c r="H2025" i="1"/>
  <c r="I2025" i="1" s="1"/>
  <c r="H2024" i="1"/>
  <c r="I2024" i="1" s="1"/>
  <c r="H2023" i="1"/>
  <c r="I2023" i="1" s="1"/>
  <c r="H2022" i="1"/>
  <c r="I2022" i="1" s="1"/>
  <c r="H2021" i="1"/>
  <c r="I2021" i="1" s="1"/>
  <c r="H2020" i="1"/>
  <c r="I2020" i="1" s="1"/>
  <c r="H2019" i="1"/>
  <c r="I2019" i="1" s="1"/>
  <c r="H2018" i="1"/>
  <c r="I2018" i="1" s="1"/>
  <c r="H2017" i="1"/>
  <c r="I2017" i="1" s="1"/>
  <c r="H2016" i="1"/>
  <c r="I2016" i="1" s="1"/>
  <c r="H2015" i="1"/>
  <c r="I2015" i="1" s="1"/>
  <c r="H2014" i="1"/>
  <c r="I2014" i="1" s="1"/>
  <c r="H2013" i="1"/>
  <c r="I2013" i="1" s="1"/>
  <c r="H2012" i="1"/>
  <c r="I2012" i="1" s="1"/>
  <c r="H2011" i="1"/>
  <c r="I2011" i="1" s="1"/>
  <c r="H2008" i="1"/>
  <c r="I2008" i="1" s="1"/>
  <c r="H2007" i="1"/>
  <c r="I2007" i="1" s="1"/>
  <c r="H2006" i="1"/>
  <c r="I2006" i="1" s="1"/>
  <c r="H2005" i="1"/>
  <c r="I2005" i="1" s="1"/>
  <c r="H2004" i="1"/>
  <c r="I2004" i="1" s="1"/>
  <c r="H2003" i="1"/>
  <c r="I2003" i="1" s="1"/>
  <c r="H1999" i="1"/>
  <c r="I1999" i="1" s="1"/>
  <c r="H1998" i="1"/>
  <c r="I1998" i="1" s="1"/>
  <c r="H1997" i="1"/>
  <c r="I1997" i="1" s="1"/>
  <c r="H1996" i="1"/>
  <c r="I1996" i="1" s="1"/>
  <c r="H1995" i="1"/>
  <c r="I1995" i="1" s="1"/>
  <c r="H1994" i="1"/>
  <c r="I1994" i="1" s="1"/>
  <c r="H1993" i="1"/>
  <c r="I1993" i="1" s="1"/>
  <c r="H1992" i="1"/>
  <c r="I1992" i="1" s="1"/>
  <c r="H1991" i="1"/>
  <c r="I1991" i="1" s="1"/>
  <c r="H1990" i="1"/>
  <c r="I1990" i="1" s="1"/>
  <c r="H1989" i="1"/>
  <c r="I1989" i="1" s="1"/>
  <c r="H1988" i="1"/>
  <c r="I1988" i="1" s="1"/>
  <c r="H1987" i="1"/>
  <c r="I1987" i="1" s="1"/>
  <c r="H1986" i="1"/>
  <c r="I1986" i="1" s="1"/>
  <c r="H1985" i="1"/>
  <c r="I1985" i="1" s="1"/>
  <c r="H1984" i="1"/>
  <c r="I1984" i="1" s="1"/>
  <c r="H1983" i="1"/>
  <c r="I1983" i="1" s="1"/>
  <c r="H1982" i="1"/>
  <c r="I1982" i="1" s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H1963" i="1"/>
  <c r="I1963" i="1" s="1"/>
  <c r="H1962" i="1"/>
  <c r="I1962" i="1" s="1"/>
  <c r="H1961" i="1"/>
  <c r="I1961" i="1" s="1"/>
  <c r="H1960" i="1"/>
  <c r="I1960" i="1" s="1"/>
  <c r="H1959" i="1"/>
  <c r="I1959" i="1" s="1"/>
  <c r="H1958" i="1"/>
  <c r="I1958" i="1" s="1"/>
  <c r="H1957" i="1"/>
  <c r="I1957" i="1" s="1"/>
  <c r="H1956" i="1"/>
  <c r="I1956" i="1" s="1"/>
  <c r="H1955" i="1"/>
  <c r="I1955" i="1" s="1"/>
  <c r="H1954" i="1"/>
  <c r="I1954" i="1" s="1"/>
  <c r="H1953" i="1"/>
  <c r="I1953" i="1" s="1"/>
  <c r="H1952" i="1"/>
  <c r="I1952" i="1" s="1"/>
  <c r="H1951" i="1"/>
  <c r="I1951" i="1" s="1"/>
  <c r="H1950" i="1"/>
  <c r="I1950" i="1" s="1"/>
  <c r="H1949" i="1"/>
  <c r="I1949" i="1" s="1"/>
  <c r="H1948" i="1"/>
  <c r="I1948" i="1" s="1"/>
  <c r="H1947" i="1"/>
  <c r="I1947" i="1" s="1"/>
  <c r="H1946" i="1"/>
  <c r="I1946" i="1" s="1"/>
  <c r="H1945" i="1"/>
  <c r="I1945" i="1" s="1"/>
  <c r="H1944" i="1"/>
  <c r="I1944" i="1" s="1"/>
  <c r="H1943" i="1"/>
  <c r="I1943" i="1" s="1"/>
  <c r="H1942" i="1"/>
  <c r="I1942" i="1" s="1"/>
  <c r="H1941" i="1"/>
  <c r="I1941" i="1" s="1"/>
  <c r="I1940" i="1"/>
  <c r="I1939" i="1"/>
  <c r="H1938" i="1"/>
  <c r="I1938" i="1" s="1"/>
  <c r="H1937" i="1"/>
  <c r="I1937" i="1" s="1"/>
  <c r="H1936" i="1"/>
  <c r="I1936" i="1" s="1"/>
  <c r="H1935" i="1"/>
  <c r="I1935" i="1" s="1"/>
  <c r="H1934" i="1"/>
  <c r="I1934" i="1" s="1"/>
  <c r="H1933" i="1"/>
  <c r="I1933" i="1" s="1"/>
  <c r="H1932" i="1"/>
  <c r="I1932" i="1" s="1"/>
  <c r="H1931" i="1"/>
  <c r="I1931" i="1" s="1"/>
  <c r="H1930" i="1"/>
  <c r="I1930" i="1" s="1"/>
  <c r="H1929" i="1"/>
  <c r="I1929" i="1" s="1"/>
  <c r="H1928" i="1"/>
  <c r="I1928" i="1" s="1"/>
  <c r="H1927" i="1"/>
  <c r="I1927" i="1" s="1"/>
  <c r="H1926" i="1"/>
  <c r="I1926" i="1" s="1"/>
  <c r="H1925" i="1"/>
  <c r="I1925" i="1" s="1"/>
  <c r="H1924" i="1"/>
  <c r="I1924" i="1" s="1"/>
  <c r="H1923" i="1"/>
  <c r="I1923" i="1" s="1"/>
  <c r="H1922" i="1"/>
  <c r="I1922" i="1" s="1"/>
  <c r="H1921" i="1"/>
  <c r="I1921" i="1" s="1"/>
  <c r="H1920" i="1"/>
  <c r="I1920" i="1" s="1"/>
  <c r="I1919" i="1"/>
  <c r="I1918" i="1"/>
  <c r="I1917" i="1"/>
  <c r="I1916" i="1"/>
  <c r="I1915" i="1"/>
  <c r="I1914" i="1"/>
  <c r="I1913" i="1"/>
  <c r="H1912" i="1"/>
  <c r="I1912" i="1" s="1"/>
  <c r="H1911" i="1"/>
  <c r="I1911" i="1" s="1"/>
  <c r="H1910" i="1"/>
  <c r="I1910" i="1" s="1"/>
  <c r="H1909" i="1"/>
  <c r="I1909" i="1" s="1"/>
  <c r="H1908" i="1"/>
  <c r="I1908" i="1" s="1"/>
  <c r="H1907" i="1"/>
  <c r="I1907" i="1" s="1"/>
  <c r="H1906" i="1"/>
  <c r="I1906" i="1" s="1"/>
  <c r="H1905" i="1"/>
  <c r="I1905" i="1" s="1"/>
  <c r="H1904" i="1"/>
  <c r="I1904" i="1" s="1"/>
  <c r="H1903" i="1"/>
  <c r="I1903" i="1" s="1"/>
  <c r="H1902" i="1"/>
  <c r="I1902" i="1" s="1"/>
  <c r="H1901" i="1"/>
  <c r="I1901" i="1" s="1"/>
  <c r="H1900" i="1"/>
  <c r="I1900" i="1" s="1"/>
  <c r="H1899" i="1"/>
  <c r="I1899" i="1" s="1"/>
  <c r="H1898" i="1"/>
  <c r="I1898" i="1" s="1"/>
  <c r="H1897" i="1"/>
  <c r="I1897" i="1" s="1"/>
  <c r="H1896" i="1"/>
  <c r="I1896" i="1" s="1"/>
  <c r="H1895" i="1"/>
  <c r="I1895" i="1" s="1"/>
  <c r="H1894" i="1"/>
  <c r="I1894" i="1" s="1"/>
  <c r="H1893" i="1"/>
  <c r="I1893" i="1" s="1"/>
  <c r="H1892" i="1"/>
  <c r="I1892" i="1" s="1"/>
  <c r="H1891" i="1"/>
  <c r="I1891" i="1" s="1"/>
  <c r="H1890" i="1"/>
  <c r="I1890" i="1" s="1"/>
  <c r="H1889" i="1"/>
  <c r="I1889" i="1" s="1"/>
  <c r="H1888" i="1"/>
  <c r="I1888" i="1" s="1"/>
  <c r="H1887" i="1"/>
  <c r="I1887" i="1" s="1"/>
  <c r="H1886" i="1"/>
  <c r="I1886" i="1" s="1"/>
  <c r="H1885" i="1"/>
  <c r="I1885" i="1" s="1"/>
  <c r="H1884" i="1"/>
  <c r="I1884" i="1" s="1"/>
  <c r="H1883" i="1"/>
  <c r="I1883" i="1" s="1"/>
  <c r="H1882" i="1"/>
  <c r="I1882" i="1" s="1"/>
  <c r="H1881" i="1"/>
  <c r="I1881" i="1" s="1"/>
  <c r="H1880" i="1"/>
  <c r="I1880" i="1" s="1"/>
  <c r="H1879" i="1"/>
  <c r="I1879" i="1" s="1"/>
  <c r="H1878" i="1"/>
  <c r="I1878" i="1" s="1"/>
  <c r="H1877" i="1"/>
  <c r="I1877" i="1" s="1"/>
  <c r="H1876" i="1"/>
  <c r="I1876" i="1" s="1"/>
  <c r="H1875" i="1"/>
  <c r="I1875" i="1" s="1"/>
  <c r="H1874" i="1"/>
  <c r="I1874" i="1" s="1"/>
  <c r="H1873" i="1"/>
  <c r="I1873" i="1" s="1"/>
  <c r="H1872" i="1"/>
  <c r="I1872" i="1" s="1"/>
  <c r="H1871" i="1"/>
  <c r="I1871" i="1" s="1"/>
  <c r="H1870" i="1"/>
  <c r="I1870" i="1" s="1"/>
  <c r="H1843" i="1"/>
  <c r="I1843" i="1" s="1"/>
  <c r="H1842" i="1"/>
  <c r="I1842" i="1" s="1"/>
  <c r="H1841" i="1"/>
  <c r="I1841" i="1" s="1"/>
  <c r="H1840" i="1"/>
  <c r="I1840" i="1" s="1"/>
  <c r="H1839" i="1"/>
  <c r="I1839" i="1" s="1"/>
  <c r="H1838" i="1"/>
  <c r="I1838" i="1" s="1"/>
  <c r="H1837" i="1"/>
  <c r="I1837" i="1" s="1"/>
  <c r="H1829" i="1"/>
  <c r="I1829" i="1" s="1"/>
  <c r="H1828" i="1"/>
  <c r="I1828" i="1" s="1"/>
  <c r="H1827" i="1"/>
  <c r="I1827" i="1" s="1"/>
  <c r="H1826" i="1"/>
  <c r="I1826" i="1" s="1"/>
  <c r="H1825" i="1"/>
  <c r="I1825" i="1" s="1"/>
  <c r="H1824" i="1"/>
  <c r="I1824" i="1" s="1"/>
  <c r="H1823" i="1"/>
  <c r="I1823" i="1" s="1"/>
  <c r="H1822" i="1"/>
  <c r="I1822" i="1" s="1"/>
  <c r="H1821" i="1"/>
  <c r="I1821" i="1" s="1"/>
  <c r="H1820" i="1"/>
  <c r="I1820" i="1" s="1"/>
  <c r="H1819" i="1"/>
  <c r="I1819" i="1" s="1"/>
  <c r="I1818" i="1"/>
  <c r="I1817" i="1"/>
  <c r="I1816" i="1"/>
  <c r="I1815" i="1"/>
  <c r="I1814" i="1"/>
  <c r="H1813" i="1"/>
  <c r="I1813" i="1" s="1"/>
  <c r="H1812" i="1"/>
  <c r="I1812" i="1" s="1"/>
  <c r="H1811" i="1"/>
  <c r="I1811" i="1" s="1"/>
  <c r="H1810" i="1"/>
  <c r="I1810" i="1" s="1"/>
  <c r="H1809" i="1"/>
  <c r="I1809" i="1" s="1"/>
  <c r="H1808" i="1"/>
  <c r="I1808" i="1" s="1"/>
  <c r="H1807" i="1"/>
  <c r="I1807" i="1" s="1"/>
  <c r="H1806" i="1"/>
  <c r="I1806" i="1" s="1"/>
  <c r="H1805" i="1"/>
  <c r="I1805" i="1" s="1"/>
  <c r="H1804" i="1"/>
  <c r="I1804" i="1" s="1"/>
  <c r="H1803" i="1"/>
  <c r="I1803" i="1" s="1"/>
  <c r="H1802" i="1"/>
  <c r="I1802" i="1" s="1"/>
  <c r="H1801" i="1"/>
  <c r="I1801" i="1" s="1"/>
  <c r="H1793" i="1"/>
  <c r="I1793" i="1" s="1"/>
  <c r="H1792" i="1"/>
  <c r="I1792" i="1" s="1"/>
  <c r="H1791" i="1"/>
  <c r="I1791" i="1" s="1"/>
  <c r="H1790" i="1"/>
  <c r="I1790" i="1" s="1"/>
  <c r="H1789" i="1"/>
  <c r="I1789" i="1" s="1"/>
  <c r="H1788" i="1"/>
  <c r="I1788" i="1" s="1"/>
  <c r="H1786" i="1"/>
  <c r="I1786" i="1" s="1"/>
  <c r="H1785" i="1"/>
  <c r="I1785" i="1" s="1"/>
  <c r="H1784" i="1"/>
  <c r="I1784" i="1" s="1"/>
  <c r="H1783" i="1"/>
  <c r="I1783" i="1" s="1"/>
  <c r="H1782" i="1"/>
  <c r="I1782" i="1" s="1"/>
  <c r="H1781" i="1"/>
  <c r="I1781" i="1" s="1"/>
  <c r="H1780" i="1"/>
  <c r="I1780" i="1" s="1"/>
  <c r="H1779" i="1"/>
  <c r="I1779" i="1" s="1"/>
  <c r="I1778" i="1"/>
  <c r="I1777" i="1"/>
  <c r="I1776" i="1"/>
  <c r="H1775" i="1"/>
  <c r="I1775" i="1" s="1"/>
  <c r="H1774" i="1"/>
  <c r="I1774" i="1" s="1"/>
  <c r="H1773" i="1"/>
  <c r="I1773" i="1" s="1"/>
  <c r="H1772" i="1"/>
  <c r="I1772" i="1" s="1"/>
  <c r="H1771" i="1"/>
  <c r="I1771" i="1" s="1"/>
  <c r="H1770" i="1"/>
  <c r="I1770" i="1" s="1"/>
  <c r="H1769" i="1"/>
  <c r="I1769" i="1" s="1"/>
  <c r="H1768" i="1"/>
  <c r="I1768" i="1" s="1"/>
  <c r="H1767" i="1"/>
  <c r="I1767" i="1" s="1"/>
  <c r="H1766" i="1"/>
  <c r="I1766" i="1" s="1"/>
  <c r="H1765" i="1"/>
  <c r="I1765" i="1" s="1"/>
  <c r="H1764" i="1"/>
  <c r="I1764" i="1" s="1"/>
  <c r="H1763" i="1"/>
  <c r="I1763" i="1" s="1"/>
  <c r="H1762" i="1"/>
  <c r="I1762" i="1" s="1"/>
  <c r="H1761" i="1"/>
  <c r="I1761" i="1" s="1"/>
  <c r="H1760" i="1"/>
  <c r="I1760" i="1" s="1"/>
  <c r="H1759" i="1"/>
  <c r="I1759" i="1" s="1"/>
  <c r="H1758" i="1"/>
  <c r="I1758" i="1" s="1"/>
  <c r="H1757" i="1"/>
  <c r="I1757" i="1" s="1"/>
  <c r="H1756" i="1"/>
  <c r="I1756" i="1" s="1"/>
  <c r="H1755" i="1"/>
  <c r="I1755" i="1" s="1"/>
  <c r="H1745" i="1"/>
  <c r="I1745" i="1" s="1"/>
  <c r="H1744" i="1"/>
  <c r="I1744" i="1" s="1"/>
  <c r="H1743" i="1"/>
  <c r="I1743" i="1" s="1"/>
  <c r="H1742" i="1"/>
  <c r="I1742" i="1" s="1"/>
  <c r="H1741" i="1"/>
  <c r="I1741" i="1" s="1"/>
  <c r="H1740" i="1"/>
  <c r="I1740" i="1" s="1"/>
  <c r="H1739" i="1"/>
  <c r="I1739" i="1" s="1"/>
  <c r="H1738" i="1"/>
  <c r="I1738" i="1" s="1"/>
  <c r="H1737" i="1"/>
  <c r="I1737" i="1" s="1"/>
  <c r="H1736" i="1"/>
  <c r="I1736" i="1" s="1"/>
  <c r="H1735" i="1"/>
  <c r="I1735" i="1" s="1"/>
  <c r="H1734" i="1"/>
  <c r="I1734" i="1" s="1"/>
  <c r="H1733" i="1"/>
  <c r="I1733" i="1" s="1"/>
  <c r="H1732" i="1"/>
  <c r="I1732" i="1" s="1"/>
  <c r="H1731" i="1"/>
  <c r="I1731" i="1" s="1"/>
  <c r="H1730" i="1"/>
  <c r="I1730" i="1" s="1"/>
  <c r="H1729" i="1"/>
  <c r="I1729" i="1" s="1"/>
  <c r="H1728" i="1"/>
  <c r="I1728" i="1" s="1"/>
  <c r="H1727" i="1"/>
  <c r="I1727" i="1" s="1"/>
  <c r="H1726" i="1"/>
  <c r="I1726" i="1" s="1"/>
  <c r="H1725" i="1"/>
  <c r="I1725" i="1" s="1"/>
  <c r="H1724" i="1"/>
  <c r="I1724" i="1" s="1"/>
  <c r="H1723" i="1"/>
  <c r="I1723" i="1" s="1"/>
  <c r="H1722" i="1"/>
  <c r="I1722" i="1" s="1"/>
  <c r="H1721" i="1"/>
  <c r="I1721" i="1" s="1"/>
  <c r="H1720" i="1"/>
  <c r="I1720" i="1" s="1"/>
  <c r="H1719" i="1"/>
  <c r="I1719" i="1" s="1"/>
  <c r="H1718" i="1"/>
  <c r="I1718" i="1" s="1"/>
  <c r="H1717" i="1"/>
  <c r="I1717" i="1" s="1"/>
  <c r="H1716" i="1"/>
  <c r="I1716" i="1" s="1"/>
  <c r="H1715" i="1"/>
  <c r="I1715" i="1" s="1"/>
  <c r="H1714" i="1"/>
  <c r="I1714" i="1" s="1"/>
  <c r="H1713" i="1"/>
  <c r="I1713" i="1" s="1"/>
  <c r="H1712" i="1"/>
  <c r="I1712" i="1" s="1"/>
  <c r="H1711" i="1"/>
  <c r="I1711" i="1" s="1"/>
  <c r="H1710" i="1"/>
  <c r="I1710" i="1" s="1"/>
  <c r="H1709" i="1"/>
  <c r="I1709" i="1" s="1"/>
  <c r="H1708" i="1"/>
  <c r="I1708" i="1" s="1"/>
  <c r="H1707" i="1"/>
  <c r="I1707" i="1" s="1"/>
  <c r="H1706" i="1"/>
  <c r="I1706" i="1" s="1"/>
  <c r="H1705" i="1"/>
  <c r="I1705" i="1" s="1"/>
  <c r="H1704" i="1"/>
  <c r="I1704" i="1" s="1"/>
  <c r="H1703" i="1"/>
  <c r="I1703" i="1" s="1"/>
  <c r="H1702" i="1"/>
  <c r="I1702" i="1" s="1"/>
  <c r="H1701" i="1"/>
  <c r="I1701" i="1" s="1"/>
  <c r="H1700" i="1"/>
  <c r="I1700" i="1" s="1"/>
  <c r="H1699" i="1"/>
  <c r="I1699" i="1" s="1"/>
  <c r="H1698" i="1"/>
  <c r="I1698" i="1" s="1"/>
  <c r="H1697" i="1"/>
  <c r="I1697" i="1" s="1"/>
  <c r="H1696" i="1"/>
  <c r="I1696" i="1" s="1"/>
  <c r="H1695" i="1"/>
  <c r="I1695" i="1" s="1"/>
  <c r="H1694" i="1"/>
  <c r="I1694" i="1" s="1"/>
  <c r="H1693" i="1"/>
  <c r="I1693" i="1" s="1"/>
  <c r="H1692" i="1"/>
  <c r="I1692" i="1" s="1"/>
  <c r="H1691" i="1"/>
  <c r="I1691" i="1" s="1"/>
  <c r="H1690" i="1"/>
  <c r="I1690" i="1" s="1"/>
  <c r="H1689" i="1"/>
  <c r="I1689" i="1" s="1"/>
  <c r="H1688" i="1"/>
  <c r="I1688" i="1" s="1"/>
  <c r="H1687" i="1"/>
  <c r="I1687" i="1" s="1"/>
  <c r="H1686" i="1"/>
  <c r="I1686" i="1" s="1"/>
  <c r="H1685" i="1"/>
  <c r="I1685" i="1" s="1"/>
  <c r="H1684" i="1"/>
  <c r="I1684" i="1" s="1"/>
  <c r="H1683" i="1"/>
  <c r="I1683" i="1" s="1"/>
  <c r="H1682" i="1"/>
  <c r="I1682" i="1" s="1"/>
  <c r="H1681" i="1"/>
  <c r="I1681" i="1" s="1"/>
  <c r="H1680" i="1"/>
  <c r="I1680" i="1" s="1"/>
  <c r="H1679" i="1"/>
  <c r="I1679" i="1" s="1"/>
  <c r="H1678" i="1"/>
  <c r="I1678" i="1" s="1"/>
  <c r="H1677" i="1"/>
  <c r="I1677" i="1" s="1"/>
  <c r="H1676" i="1"/>
  <c r="I1676" i="1" s="1"/>
  <c r="H1675" i="1"/>
  <c r="I1675" i="1" s="1"/>
  <c r="H1645" i="1"/>
  <c r="I1645" i="1" s="1"/>
  <c r="H1644" i="1"/>
  <c r="I1644" i="1" s="1"/>
  <c r="H1643" i="1"/>
  <c r="I1643" i="1" s="1"/>
  <c r="H1642" i="1"/>
  <c r="I1642" i="1" s="1"/>
  <c r="H1641" i="1"/>
  <c r="I1641" i="1" s="1"/>
  <c r="H1640" i="1"/>
  <c r="I1640" i="1" s="1"/>
  <c r="H1639" i="1"/>
  <c r="I1639" i="1" s="1"/>
  <c r="H1638" i="1"/>
  <c r="I1638" i="1" s="1"/>
  <c r="H1637" i="1"/>
  <c r="I1637" i="1" s="1"/>
  <c r="H1636" i="1"/>
  <c r="I1636" i="1" s="1"/>
  <c r="H1635" i="1"/>
  <c r="I1635" i="1" s="1"/>
  <c r="H1634" i="1"/>
  <c r="I1634" i="1" s="1"/>
  <c r="H1633" i="1"/>
  <c r="I1633" i="1" s="1"/>
  <c r="H1632" i="1"/>
  <c r="I1632" i="1" s="1"/>
  <c r="H1631" i="1"/>
  <c r="I1631" i="1" s="1"/>
  <c r="H1630" i="1"/>
  <c r="I1630" i="1" s="1"/>
  <c r="H1629" i="1"/>
  <c r="I1629" i="1" s="1"/>
  <c r="H1628" i="1"/>
  <c r="I1628" i="1" s="1"/>
  <c r="H1621" i="1"/>
  <c r="I1621" i="1" s="1"/>
  <c r="H1620" i="1"/>
  <c r="I1620" i="1" s="1"/>
  <c r="H1619" i="1"/>
  <c r="I1619" i="1" s="1"/>
  <c r="H1618" i="1"/>
  <c r="I1618" i="1" s="1"/>
  <c r="H1617" i="1"/>
  <c r="I1617" i="1" s="1"/>
  <c r="H1615" i="1"/>
  <c r="I1615" i="1" s="1"/>
  <c r="H1614" i="1"/>
  <c r="I1614" i="1" s="1"/>
  <c r="H1613" i="1"/>
  <c r="I1613" i="1" s="1"/>
  <c r="I1612" i="1"/>
  <c r="I1611" i="1"/>
  <c r="I1610" i="1"/>
  <c r="I1609" i="1"/>
  <c r="H1608" i="1"/>
  <c r="I1608" i="1" s="1"/>
  <c r="H1607" i="1"/>
  <c r="I1607" i="1" s="1"/>
  <c r="H1606" i="1"/>
  <c r="I1606" i="1" s="1"/>
  <c r="H1605" i="1"/>
  <c r="I1605" i="1" s="1"/>
  <c r="H1604" i="1"/>
  <c r="I1604" i="1" s="1"/>
  <c r="H1603" i="1"/>
  <c r="I1603" i="1" s="1"/>
  <c r="H1602" i="1"/>
  <c r="I1602" i="1" s="1"/>
  <c r="H1601" i="1"/>
  <c r="I1601" i="1" s="1"/>
  <c r="H1600" i="1"/>
  <c r="I1600" i="1" s="1"/>
  <c r="H1599" i="1"/>
  <c r="I1599" i="1" s="1"/>
  <c r="H1598" i="1"/>
  <c r="I1598" i="1" s="1"/>
  <c r="H1597" i="1"/>
  <c r="I1597" i="1" s="1"/>
  <c r="H1596" i="1"/>
  <c r="I1596" i="1" s="1"/>
  <c r="H1595" i="1"/>
  <c r="I1595" i="1" s="1"/>
  <c r="H1594" i="1"/>
  <c r="I1594" i="1" s="1"/>
  <c r="H1593" i="1"/>
  <c r="I1593" i="1" s="1"/>
  <c r="H1592" i="1"/>
  <c r="I1592" i="1" s="1"/>
  <c r="H1591" i="1"/>
  <c r="I1591" i="1" s="1"/>
  <c r="H1590" i="1"/>
  <c r="I1590" i="1" s="1"/>
  <c r="H1589" i="1"/>
  <c r="I1589" i="1" s="1"/>
  <c r="H1588" i="1"/>
  <c r="I1588" i="1" s="1"/>
  <c r="H1587" i="1"/>
  <c r="I1587" i="1" s="1"/>
  <c r="H1586" i="1"/>
  <c r="I1586" i="1" s="1"/>
  <c r="H1585" i="1"/>
  <c r="I1585" i="1" s="1"/>
  <c r="H1584" i="1"/>
  <c r="I1584" i="1" s="1"/>
  <c r="H1583" i="1"/>
  <c r="I1583" i="1" s="1"/>
  <c r="H1582" i="1"/>
  <c r="I1582" i="1" s="1"/>
  <c r="H1581" i="1"/>
  <c r="I1581" i="1" s="1"/>
  <c r="H1580" i="1"/>
  <c r="I1580" i="1" s="1"/>
  <c r="H1579" i="1"/>
  <c r="I1579" i="1" s="1"/>
  <c r="H1578" i="1"/>
  <c r="I1578" i="1" s="1"/>
  <c r="H1576" i="1"/>
  <c r="I1576" i="1" s="1"/>
  <c r="H1575" i="1"/>
  <c r="I1575" i="1" s="1"/>
  <c r="H1574" i="1"/>
  <c r="I1574" i="1" s="1"/>
  <c r="H1573" i="1"/>
  <c r="I1573" i="1" s="1"/>
  <c r="H1571" i="1"/>
  <c r="I1571" i="1" s="1"/>
  <c r="H1570" i="1"/>
  <c r="I1570" i="1" s="1"/>
  <c r="H1569" i="1"/>
  <c r="I1569" i="1" s="1"/>
  <c r="H1568" i="1"/>
  <c r="I1568" i="1" s="1"/>
  <c r="H1567" i="1"/>
  <c r="I1567" i="1" s="1"/>
  <c r="H1566" i="1"/>
  <c r="I1566" i="1" s="1"/>
  <c r="H1565" i="1"/>
  <c r="I1565" i="1" s="1"/>
  <c r="H1564" i="1"/>
  <c r="I1564" i="1" s="1"/>
  <c r="H1563" i="1"/>
  <c r="I1563" i="1" s="1"/>
  <c r="H1560" i="1"/>
  <c r="I1560" i="1" s="1"/>
  <c r="H1559" i="1"/>
  <c r="I1559" i="1" s="1"/>
  <c r="H1558" i="1"/>
  <c r="I1558" i="1" s="1"/>
  <c r="H1554" i="1"/>
  <c r="I1554" i="1" s="1"/>
  <c r="H1553" i="1"/>
  <c r="I1553" i="1" s="1"/>
  <c r="H1552" i="1"/>
  <c r="I1552" i="1" s="1"/>
  <c r="H1551" i="1"/>
  <c r="I1551" i="1" s="1"/>
  <c r="H1550" i="1"/>
  <c r="I1550" i="1" s="1"/>
  <c r="H1549" i="1"/>
  <c r="I1549" i="1" s="1"/>
  <c r="H1533" i="1"/>
  <c r="I1533" i="1" s="1"/>
  <c r="H1532" i="1"/>
  <c r="I1532" i="1" s="1"/>
  <c r="H1531" i="1"/>
  <c r="I1531" i="1" s="1"/>
  <c r="H1530" i="1"/>
  <c r="I1530" i="1" s="1"/>
  <c r="H1529" i="1"/>
  <c r="I1529" i="1" s="1"/>
  <c r="H1528" i="1"/>
  <c r="I1528" i="1" s="1"/>
  <c r="H1527" i="1"/>
  <c r="I1527" i="1" s="1"/>
  <c r="H1526" i="1"/>
  <c r="I1526" i="1" s="1"/>
  <c r="H1525" i="1"/>
  <c r="I1525" i="1" s="1"/>
  <c r="H1524" i="1"/>
  <c r="I1524" i="1" s="1"/>
  <c r="H1523" i="1"/>
  <c r="I1523" i="1" s="1"/>
  <c r="H1522" i="1"/>
  <c r="I1522" i="1" s="1"/>
  <c r="H1521" i="1"/>
  <c r="I1521" i="1" s="1"/>
  <c r="H1520" i="1"/>
  <c r="I1520" i="1" s="1"/>
  <c r="H1519" i="1"/>
  <c r="I1519" i="1" s="1"/>
  <c r="H1518" i="1"/>
  <c r="I1518" i="1" s="1"/>
  <c r="H1517" i="1"/>
  <c r="I1517" i="1" s="1"/>
  <c r="H1516" i="1"/>
  <c r="I1516" i="1" s="1"/>
  <c r="I1515" i="1"/>
  <c r="I1514" i="1"/>
  <c r="H1513" i="1"/>
  <c r="I1513" i="1" s="1"/>
  <c r="I1512" i="1"/>
  <c r="I1511" i="1"/>
  <c r="I1510" i="1"/>
  <c r="H1509" i="1"/>
  <c r="I1509" i="1" s="1"/>
  <c r="H1508" i="1"/>
  <c r="I1508" i="1" s="1"/>
  <c r="H1507" i="1"/>
  <c r="I1507" i="1" s="1"/>
  <c r="H1506" i="1"/>
  <c r="I1506" i="1" s="1"/>
  <c r="H1505" i="1"/>
  <c r="I1505" i="1" s="1"/>
  <c r="H1504" i="1"/>
  <c r="I1504" i="1" s="1"/>
  <c r="H1503" i="1"/>
  <c r="I1503" i="1" s="1"/>
  <c r="H1502" i="1"/>
  <c r="I1502" i="1" s="1"/>
  <c r="H1501" i="1"/>
  <c r="I1501" i="1" s="1"/>
  <c r="H1500" i="1"/>
  <c r="I1500" i="1" s="1"/>
  <c r="H1499" i="1"/>
  <c r="I1499" i="1" s="1"/>
  <c r="H1498" i="1"/>
  <c r="I1498" i="1" s="1"/>
  <c r="H1497" i="1"/>
  <c r="I1497" i="1" s="1"/>
  <c r="H1496" i="1"/>
  <c r="I1496" i="1" s="1"/>
  <c r="H1495" i="1"/>
  <c r="I1495" i="1" s="1"/>
  <c r="H1494" i="1"/>
  <c r="I1494" i="1" s="1"/>
  <c r="H1493" i="1"/>
  <c r="I1493" i="1" s="1"/>
  <c r="H1492" i="1"/>
  <c r="I1492" i="1" s="1"/>
  <c r="H1491" i="1"/>
  <c r="I1491" i="1" s="1"/>
  <c r="H1490" i="1"/>
  <c r="I1490" i="1" s="1"/>
  <c r="H1489" i="1"/>
  <c r="I1489" i="1" s="1"/>
  <c r="H1488" i="1"/>
  <c r="I1488" i="1" s="1"/>
  <c r="H1487" i="1"/>
  <c r="I1487" i="1" s="1"/>
  <c r="H1486" i="1"/>
  <c r="I1486" i="1" s="1"/>
  <c r="H1485" i="1"/>
  <c r="I1485" i="1" s="1"/>
  <c r="H1484" i="1"/>
  <c r="I1484" i="1" s="1"/>
  <c r="H1483" i="1"/>
  <c r="I1483" i="1" s="1"/>
  <c r="H1482" i="1"/>
  <c r="I1482" i="1" s="1"/>
  <c r="H1481" i="1"/>
  <c r="I1481" i="1" s="1"/>
  <c r="H1480" i="1"/>
  <c r="I1480" i="1" s="1"/>
  <c r="H1479" i="1"/>
  <c r="I1479" i="1" s="1"/>
  <c r="H1478" i="1"/>
  <c r="I1478" i="1" s="1"/>
  <c r="H1477" i="1"/>
  <c r="I1477" i="1" s="1"/>
  <c r="H1476" i="1"/>
  <c r="I1476" i="1" s="1"/>
  <c r="H1475" i="1"/>
  <c r="I1475" i="1" s="1"/>
  <c r="H1474" i="1"/>
  <c r="I1474" i="1" s="1"/>
  <c r="H1473" i="1"/>
  <c r="I1473" i="1" s="1"/>
  <c r="H1472" i="1"/>
  <c r="I1472" i="1" s="1"/>
  <c r="H1471" i="1"/>
  <c r="I1471" i="1" s="1"/>
  <c r="H1470" i="1"/>
  <c r="I1470" i="1" s="1"/>
  <c r="H1469" i="1"/>
  <c r="I1469" i="1" s="1"/>
  <c r="H1468" i="1"/>
  <c r="I1468" i="1" s="1"/>
  <c r="I1467" i="1"/>
  <c r="I1466" i="1"/>
  <c r="I1465" i="1"/>
  <c r="I1464" i="1"/>
  <c r="I1463" i="1"/>
  <c r="H1462" i="1"/>
  <c r="I1462" i="1" s="1"/>
  <c r="H1461" i="1"/>
  <c r="I1461" i="1" s="1"/>
  <c r="H1460" i="1"/>
  <c r="I1460" i="1" s="1"/>
  <c r="H1459" i="1"/>
  <c r="I1459" i="1" s="1"/>
  <c r="H1458" i="1"/>
  <c r="I1458" i="1" s="1"/>
  <c r="H1457" i="1"/>
  <c r="I1457" i="1" s="1"/>
  <c r="H1456" i="1"/>
  <c r="I1456" i="1" s="1"/>
  <c r="H1455" i="1"/>
  <c r="I1455" i="1" s="1"/>
  <c r="H1454" i="1"/>
  <c r="I1454" i="1" s="1"/>
  <c r="H1453" i="1"/>
  <c r="I1453" i="1" s="1"/>
  <c r="H1416" i="1"/>
  <c r="I1416" i="1" s="1"/>
  <c r="H1415" i="1"/>
  <c r="I1415" i="1" s="1"/>
  <c r="H1414" i="1"/>
  <c r="I1414" i="1" s="1"/>
  <c r="H1413" i="1"/>
  <c r="I1413" i="1" s="1"/>
  <c r="H1412" i="1"/>
  <c r="I1412" i="1" s="1"/>
  <c r="H1411" i="1"/>
  <c r="I1411" i="1" s="1"/>
  <c r="H1410" i="1"/>
  <c r="I1410" i="1" s="1"/>
  <c r="H1409" i="1"/>
  <c r="I1409" i="1" s="1"/>
  <c r="H1408" i="1"/>
  <c r="I1408" i="1" s="1"/>
  <c r="H1407" i="1"/>
  <c r="I1407" i="1" s="1"/>
  <c r="H1406" i="1"/>
  <c r="I1406" i="1" s="1"/>
  <c r="H1405" i="1"/>
  <c r="I1405" i="1" s="1"/>
  <c r="H1404" i="1"/>
  <c r="I1404" i="1" s="1"/>
  <c r="H1403" i="1"/>
  <c r="I1403" i="1" s="1"/>
  <c r="H1402" i="1"/>
  <c r="I1402" i="1" s="1"/>
  <c r="H1401" i="1"/>
  <c r="I1401" i="1" s="1"/>
  <c r="H1400" i="1"/>
  <c r="I1400" i="1" s="1"/>
  <c r="H1399" i="1"/>
  <c r="I1399" i="1" s="1"/>
  <c r="H1398" i="1"/>
  <c r="I1398" i="1" s="1"/>
  <c r="H1397" i="1"/>
  <c r="I1397" i="1" s="1"/>
  <c r="H1396" i="1"/>
  <c r="I1396" i="1" s="1"/>
  <c r="H1395" i="1"/>
  <c r="I1395" i="1" s="1"/>
  <c r="H1394" i="1"/>
  <c r="I1394" i="1" s="1"/>
  <c r="H1393" i="1"/>
  <c r="I1393" i="1" s="1"/>
  <c r="H1392" i="1"/>
  <c r="I1392" i="1" s="1"/>
  <c r="H1391" i="1"/>
  <c r="I1391" i="1" s="1"/>
  <c r="H1390" i="1"/>
  <c r="I1390" i="1" s="1"/>
  <c r="H1389" i="1"/>
  <c r="I1389" i="1" s="1"/>
  <c r="H1388" i="1"/>
  <c r="I1388" i="1" s="1"/>
  <c r="H1387" i="1"/>
  <c r="I1387" i="1" s="1"/>
  <c r="H1386" i="1"/>
  <c r="I1386" i="1" s="1"/>
  <c r="H1385" i="1"/>
  <c r="I1385" i="1" s="1"/>
  <c r="H1384" i="1"/>
  <c r="I1384" i="1" s="1"/>
  <c r="H1383" i="1"/>
  <c r="I1383" i="1" s="1"/>
  <c r="H1382" i="1"/>
  <c r="I1382" i="1" s="1"/>
  <c r="H1381" i="1"/>
  <c r="I1381" i="1" s="1"/>
  <c r="H1380" i="1"/>
  <c r="I1380" i="1" s="1"/>
  <c r="H1379" i="1"/>
  <c r="I1379" i="1" s="1"/>
  <c r="H1378" i="1"/>
  <c r="I1378" i="1" s="1"/>
  <c r="H1377" i="1"/>
  <c r="I1377" i="1" s="1"/>
  <c r="H1376" i="1"/>
  <c r="I1376" i="1" s="1"/>
  <c r="H1375" i="1"/>
  <c r="I1375" i="1" s="1"/>
  <c r="H1374" i="1"/>
  <c r="I1374" i="1" s="1"/>
  <c r="H1373" i="1"/>
  <c r="I1373" i="1" s="1"/>
  <c r="H1372" i="1"/>
  <c r="I1372" i="1" s="1"/>
  <c r="H1371" i="1"/>
  <c r="I1371" i="1" s="1"/>
  <c r="H1370" i="1"/>
  <c r="I1370" i="1" s="1"/>
  <c r="H1369" i="1"/>
  <c r="I1369" i="1" s="1"/>
  <c r="H1368" i="1"/>
  <c r="I1368" i="1" s="1"/>
  <c r="H1367" i="1"/>
  <c r="I1367" i="1" s="1"/>
  <c r="H1366" i="1"/>
  <c r="I1366" i="1" s="1"/>
  <c r="H1364" i="1"/>
  <c r="I1364" i="1" s="1"/>
  <c r="H1363" i="1"/>
  <c r="I1363" i="1" s="1"/>
  <c r="H1362" i="1"/>
  <c r="I1362" i="1" s="1"/>
  <c r="H1361" i="1"/>
  <c r="I1361" i="1" s="1"/>
  <c r="H1360" i="1"/>
  <c r="I1360" i="1" s="1"/>
  <c r="H1359" i="1"/>
  <c r="I1359" i="1" s="1"/>
  <c r="H1358" i="1"/>
  <c r="I1358" i="1" s="1"/>
  <c r="H1357" i="1"/>
  <c r="I1357" i="1" s="1"/>
  <c r="H1356" i="1"/>
  <c r="I1356" i="1" s="1"/>
  <c r="H1355" i="1"/>
  <c r="I1355" i="1" s="1"/>
  <c r="H1354" i="1"/>
  <c r="I1354" i="1" s="1"/>
  <c r="H1353" i="1"/>
  <c r="I1353" i="1" s="1"/>
  <c r="H1352" i="1"/>
  <c r="I1352" i="1" s="1"/>
  <c r="H1351" i="1"/>
  <c r="I1351" i="1" s="1"/>
  <c r="H1350" i="1"/>
  <c r="I1350" i="1" s="1"/>
  <c r="H1349" i="1"/>
  <c r="I1349" i="1" s="1"/>
  <c r="H1348" i="1"/>
  <c r="I1348" i="1" s="1"/>
  <c r="H1347" i="1"/>
  <c r="I1347" i="1" s="1"/>
  <c r="H1346" i="1"/>
  <c r="I1346" i="1" s="1"/>
  <c r="H1345" i="1"/>
  <c r="I1345" i="1" s="1"/>
  <c r="H1344" i="1"/>
  <c r="I1344" i="1" s="1"/>
  <c r="H1343" i="1"/>
  <c r="I1343" i="1" s="1"/>
  <c r="H1342" i="1"/>
  <c r="I1342" i="1" s="1"/>
  <c r="H1341" i="1"/>
  <c r="I1341" i="1" s="1"/>
  <c r="H1340" i="1"/>
  <c r="I1340" i="1" s="1"/>
  <c r="H1339" i="1"/>
  <c r="I1339" i="1" s="1"/>
  <c r="H1338" i="1"/>
  <c r="I1338" i="1" s="1"/>
  <c r="H1337" i="1"/>
  <c r="I1337" i="1" s="1"/>
  <c r="H1336" i="1"/>
  <c r="I1336" i="1" s="1"/>
  <c r="H1335" i="1"/>
  <c r="I1335" i="1" s="1"/>
  <c r="H1334" i="1"/>
  <c r="I1334" i="1" s="1"/>
  <c r="H1333" i="1"/>
  <c r="I1333" i="1" s="1"/>
  <c r="H1332" i="1"/>
  <c r="I1332" i="1" s="1"/>
  <c r="H1331" i="1"/>
  <c r="I1331" i="1" s="1"/>
  <c r="H1330" i="1"/>
  <c r="I1330" i="1" s="1"/>
  <c r="H1329" i="1"/>
  <c r="I1329" i="1" s="1"/>
  <c r="H1328" i="1"/>
  <c r="I1328" i="1" s="1"/>
  <c r="H1327" i="1"/>
  <c r="I1327" i="1" s="1"/>
  <c r="H1326" i="1"/>
  <c r="I1326" i="1" s="1"/>
  <c r="H1325" i="1"/>
  <c r="I1325" i="1" s="1"/>
  <c r="H1324" i="1"/>
  <c r="I1324" i="1" s="1"/>
  <c r="H1323" i="1"/>
  <c r="I1323" i="1" s="1"/>
  <c r="H1322" i="1"/>
  <c r="I1322" i="1" s="1"/>
  <c r="H1321" i="1"/>
  <c r="I1321" i="1" s="1"/>
  <c r="H1320" i="1"/>
  <c r="I1320" i="1" s="1"/>
  <c r="H1319" i="1"/>
  <c r="I1319" i="1" s="1"/>
  <c r="H1318" i="1"/>
  <c r="I1318" i="1" s="1"/>
  <c r="H1317" i="1"/>
  <c r="I1317" i="1" s="1"/>
  <c r="H1316" i="1"/>
  <c r="I1316" i="1" s="1"/>
  <c r="H1315" i="1"/>
  <c r="I1315" i="1" s="1"/>
  <c r="H1314" i="1"/>
  <c r="I1314" i="1" s="1"/>
  <c r="H1313" i="1"/>
  <c r="I1313" i="1" s="1"/>
  <c r="H1312" i="1"/>
  <c r="I1312" i="1" s="1"/>
  <c r="H1311" i="1"/>
  <c r="I1311" i="1" s="1"/>
  <c r="H1310" i="1"/>
  <c r="I1310" i="1" s="1"/>
  <c r="H1309" i="1"/>
  <c r="I1309" i="1" s="1"/>
  <c r="H1308" i="1"/>
  <c r="I1308" i="1" s="1"/>
  <c r="H1307" i="1"/>
  <c r="I1307" i="1" s="1"/>
  <c r="H1306" i="1"/>
  <c r="I1306" i="1" s="1"/>
  <c r="I1305" i="1"/>
  <c r="I1304" i="1"/>
  <c r="I1303" i="1"/>
  <c r="I1302" i="1"/>
  <c r="H1301" i="1"/>
  <c r="I1301" i="1" s="1"/>
  <c r="H1300" i="1"/>
  <c r="I1300" i="1" s="1"/>
  <c r="H1299" i="1"/>
  <c r="I1299" i="1" s="1"/>
  <c r="H1298" i="1"/>
  <c r="I1298" i="1" s="1"/>
  <c r="H1297" i="1"/>
  <c r="I1297" i="1" s="1"/>
  <c r="H1296" i="1"/>
  <c r="I1296" i="1" s="1"/>
  <c r="H1295" i="1"/>
  <c r="I1295" i="1" s="1"/>
  <c r="H1294" i="1"/>
  <c r="I1294" i="1" s="1"/>
  <c r="H1293" i="1"/>
  <c r="I1293" i="1" s="1"/>
  <c r="H1292" i="1"/>
  <c r="I1292" i="1" s="1"/>
  <c r="H1291" i="1"/>
  <c r="I1291" i="1" s="1"/>
  <c r="H1290" i="1"/>
  <c r="I1290" i="1" s="1"/>
  <c r="H1289" i="1"/>
  <c r="I1289" i="1" s="1"/>
  <c r="H1288" i="1"/>
  <c r="I1288" i="1" s="1"/>
  <c r="H1287" i="1"/>
  <c r="I1287" i="1" s="1"/>
  <c r="H1286" i="1"/>
  <c r="I1286" i="1" s="1"/>
  <c r="H1285" i="1"/>
  <c r="I1285" i="1" s="1"/>
  <c r="H1284" i="1"/>
  <c r="I1284" i="1" s="1"/>
  <c r="H1283" i="1"/>
  <c r="I1283" i="1" s="1"/>
  <c r="H1282" i="1"/>
  <c r="I1282" i="1" s="1"/>
  <c r="H1281" i="1"/>
  <c r="I1281" i="1" s="1"/>
  <c r="H1280" i="1"/>
  <c r="I1280" i="1" s="1"/>
  <c r="H1279" i="1"/>
  <c r="I1279" i="1" s="1"/>
  <c r="H1278" i="1"/>
  <c r="I1278" i="1" s="1"/>
  <c r="H1277" i="1"/>
  <c r="I1277" i="1" s="1"/>
  <c r="H1276" i="1"/>
  <c r="I1276" i="1" s="1"/>
  <c r="H1275" i="1"/>
  <c r="I1275" i="1" s="1"/>
  <c r="H1274" i="1"/>
  <c r="I1274" i="1" s="1"/>
  <c r="H1273" i="1"/>
  <c r="I1273" i="1" s="1"/>
  <c r="H1272" i="1"/>
  <c r="I1272" i="1" s="1"/>
  <c r="H1271" i="1"/>
  <c r="I1271" i="1" s="1"/>
  <c r="H1270" i="1"/>
  <c r="I1270" i="1" s="1"/>
  <c r="H1269" i="1"/>
  <c r="I1269" i="1" s="1"/>
  <c r="H1268" i="1"/>
  <c r="I1268" i="1" s="1"/>
  <c r="H1267" i="1"/>
  <c r="I1267" i="1" s="1"/>
  <c r="H1266" i="1"/>
  <c r="I1266" i="1" s="1"/>
  <c r="H1265" i="1"/>
  <c r="I1265" i="1" s="1"/>
  <c r="H1264" i="1"/>
  <c r="I1264" i="1" s="1"/>
  <c r="H1263" i="1"/>
  <c r="I1263" i="1" s="1"/>
  <c r="H1262" i="1"/>
  <c r="I1262" i="1" s="1"/>
  <c r="H1261" i="1"/>
  <c r="I1261" i="1" s="1"/>
  <c r="H1260" i="1"/>
  <c r="I1260" i="1" s="1"/>
  <c r="H1259" i="1"/>
  <c r="I1259" i="1" s="1"/>
  <c r="H1258" i="1"/>
  <c r="I1258" i="1" s="1"/>
  <c r="H1257" i="1"/>
  <c r="I1257" i="1" s="1"/>
  <c r="H1256" i="1"/>
  <c r="I1256" i="1" s="1"/>
  <c r="H1255" i="1"/>
  <c r="I1255" i="1" s="1"/>
  <c r="H1254" i="1"/>
  <c r="I1254" i="1" s="1"/>
  <c r="H1253" i="1"/>
  <c r="I1253" i="1" s="1"/>
  <c r="H1252" i="1"/>
  <c r="I1252" i="1" s="1"/>
  <c r="H1251" i="1"/>
  <c r="I1251" i="1" s="1"/>
  <c r="H1250" i="1"/>
  <c r="I1250" i="1" s="1"/>
  <c r="H1249" i="1"/>
  <c r="I1249" i="1" s="1"/>
  <c r="H1248" i="1"/>
  <c r="I1248" i="1" s="1"/>
  <c r="H1247" i="1"/>
  <c r="I1247" i="1" s="1"/>
  <c r="H1246" i="1"/>
  <c r="I1246" i="1" s="1"/>
  <c r="H1245" i="1"/>
  <c r="I1245" i="1" s="1"/>
  <c r="H1244" i="1"/>
  <c r="I1244" i="1" s="1"/>
  <c r="H1243" i="1"/>
  <c r="I1243" i="1" s="1"/>
  <c r="H1242" i="1"/>
  <c r="I1242" i="1" s="1"/>
  <c r="H1241" i="1"/>
  <c r="I1241" i="1" s="1"/>
  <c r="H1240" i="1"/>
  <c r="I1240" i="1" s="1"/>
  <c r="H1239" i="1"/>
  <c r="I1239" i="1" s="1"/>
  <c r="H1238" i="1"/>
  <c r="I1238" i="1" s="1"/>
  <c r="H1237" i="1"/>
  <c r="I1237" i="1" s="1"/>
  <c r="H1236" i="1"/>
  <c r="I1236" i="1" s="1"/>
  <c r="H1235" i="1"/>
  <c r="I1235" i="1" s="1"/>
  <c r="H1234" i="1"/>
  <c r="I1234" i="1" s="1"/>
  <c r="H1233" i="1"/>
  <c r="I1233" i="1" s="1"/>
  <c r="H1232" i="1"/>
  <c r="I1232" i="1" s="1"/>
  <c r="H1231" i="1"/>
  <c r="I1231" i="1" s="1"/>
  <c r="H1230" i="1"/>
  <c r="I1230" i="1" s="1"/>
  <c r="H1229" i="1"/>
  <c r="I1229" i="1" s="1"/>
  <c r="H1228" i="1"/>
  <c r="I1228" i="1" s="1"/>
  <c r="H1227" i="1"/>
  <c r="I1227" i="1" s="1"/>
  <c r="H1226" i="1"/>
  <c r="I1226" i="1" s="1"/>
  <c r="H1225" i="1"/>
  <c r="I1225" i="1" s="1"/>
  <c r="H1224" i="1"/>
  <c r="I1224" i="1" s="1"/>
  <c r="H1223" i="1"/>
  <c r="I1223" i="1" s="1"/>
  <c r="H1222" i="1"/>
  <c r="I1222" i="1" s="1"/>
  <c r="H1221" i="1"/>
  <c r="I1221" i="1" s="1"/>
  <c r="H1220" i="1"/>
  <c r="I1220" i="1" s="1"/>
  <c r="H1219" i="1"/>
  <c r="I1219" i="1" s="1"/>
  <c r="H1218" i="1"/>
  <c r="I1218" i="1" s="1"/>
  <c r="H1217" i="1"/>
  <c r="I1217" i="1" s="1"/>
  <c r="H1216" i="1"/>
  <c r="I1216" i="1" s="1"/>
  <c r="H1215" i="1"/>
  <c r="I1215" i="1" s="1"/>
  <c r="H1214" i="1"/>
  <c r="I1214" i="1" s="1"/>
  <c r="H1213" i="1"/>
  <c r="I1213" i="1" s="1"/>
  <c r="H1212" i="1"/>
  <c r="I1212" i="1" s="1"/>
  <c r="H1211" i="1"/>
  <c r="I1211" i="1" s="1"/>
  <c r="H1210" i="1"/>
  <c r="I1210" i="1" s="1"/>
  <c r="H1209" i="1"/>
  <c r="I1209" i="1" s="1"/>
  <c r="H1208" i="1"/>
  <c r="I1208" i="1" s="1"/>
  <c r="H1207" i="1"/>
  <c r="I1207" i="1" s="1"/>
  <c r="H1206" i="1"/>
  <c r="I1206" i="1" s="1"/>
  <c r="I1205" i="1"/>
  <c r="I1204" i="1"/>
  <c r="I1203" i="1"/>
  <c r="I1202" i="1"/>
  <c r="I1201" i="1"/>
  <c r="I1200" i="1"/>
  <c r="I1199" i="1"/>
  <c r="H1198" i="1"/>
  <c r="I1198" i="1" s="1"/>
  <c r="H1197" i="1"/>
  <c r="I1197" i="1" s="1"/>
  <c r="H1196" i="1"/>
  <c r="I1196" i="1" s="1"/>
  <c r="H1195" i="1"/>
  <c r="I1195" i="1" s="1"/>
  <c r="H1194" i="1"/>
  <c r="I1194" i="1" s="1"/>
  <c r="H1193" i="1"/>
  <c r="I1193" i="1" s="1"/>
  <c r="H1192" i="1"/>
  <c r="I1192" i="1" s="1"/>
  <c r="H1191" i="1"/>
  <c r="I1191" i="1" s="1"/>
  <c r="H1190" i="1"/>
  <c r="I1190" i="1" s="1"/>
  <c r="H1189" i="1"/>
  <c r="I1189" i="1" s="1"/>
  <c r="H1188" i="1"/>
  <c r="I1188" i="1" s="1"/>
  <c r="H1187" i="1"/>
  <c r="I1187" i="1" s="1"/>
  <c r="H1185" i="1"/>
  <c r="I1185" i="1" s="1"/>
  <c r="H1184" i="1"/>
  <c r="I1184" i="1" s="1"/>
  <c r="H1183" i="1"/>
  <c r="I1183" i="1" s="1"/>
  <c r="H1182" i="1"/>
  <c r="I1182" i="1" s="1"/>
  <c r="H1181" i="1"/>
  <c r="I1181" i="1" s="1"/>
  <c r="H1180" i="1"/>
  <c r="I1180" i="1" s="1"/>
  <c r="H1179" i="1"/>
  <c r="I1179" i="1" s="1"/>
  <c r="H1178" i="1"/>
  <c r="I1178" i="1" s="1"/>
  <c r="H1177" i="1"/>
  <c r="I1177" i="1" s="1"/>
  <c r="H1176" i="1"/>
  <c r="I1176" i="1" s="1"/>
  <c r="H1175" i="1"/>
  <c r="I1175" i="1" s="1"/>
  <c r="H1174" i="1"/>
  <c r="I1174" i="1" s="1"/>
  <c r="H1173" i="1"/>
  <c r="I1173" i="1" s="1"/>
  <c r="H1172" i="1"/>
  <c r="I1172" i="1" s="1"/>
  <c r="H1170" i="1"/>
  <c r="I1170" i="1" s="1"/>
  <c r="H1169" i="1"/>
  <c r="I1169" i="1" s="1"/>
  <c r="H1168" i="1"/>
  <c r="I1168" i="1" s="1"/>
  <c r="H1167" i="1"/>
  <c r="I1167" i="1" s="1"/>
  <c r="H1166" i="1"/>
  <c r="I1166" i="1" s="1"/>
  <c r="H1165" i="1"/>
  <c r="I1165" i="1" s="1"/>
  <c r="H1164" i="1"/>
  <c r="I1164" i="1" s="1"/>
  <c r="H1163" i="1"/>
  <c r="I1163" i="1" s="1"/>
  <c r="H1162" i="1"/>
  <c r="I1162" i="1" s="1"/>
  <c r="H1161" i="1"/>
  <c r="I1161" i="1" s="1"/>
  <c r="H1160" i="1"/>
  <c r="I1160" i="1" s="1"/>
  <c r="H1159" i="1"/>
  <c r="I1159" i="1" s="1"/>
  <c r="H1158" i="1"/>
  <c r="I1158" i="1" s="1"/>
  <c r="H1157" i="1"/>
  <c r="I1157" i="1" s="1"/>
  <c r="I1150" i="1"/>
  <c r="I1149" i="1"/>
  <c r="I1148" i="1"/>
  <c r="H1147" i="1"/>
  <c r="I1147" i="1" s="1"/>
  <c r="H1146" i="1"/>
  <c r="I1146" i="1" s="1"/>
  <c r="H1145" i="1"/>
  <c r="I1145" i="1" s="1"/>
  <c r="H1144" i="1"/>
  <c r="I1144" i="1" s="1"/>
  <c r="H1143" i="1"/>
  <c r="I1143" i="1" s="1"/>
  <c r="H1142" i="1"/>
  <c r="I1142" i="1" s="1"/>
  <c r="H1141" i="1"/>
  <c r="I1141" i="1" s="1"/>
  <c r="H1140" i="1"/>
  <c r="I1140" i="1" s="1"/>
  <c r="H1139" i="1"/>
  <c r="I1139" i="1" s="1"/>
  <c r="H1138" i="1"/>
  <c r="I1138" i="1" s="1"/>
  <c r="H1137" i="1"/>
  <c r="I1137" i="1" s="1"/>
  <c r="H1136" i="1"/>
  <c r="I1136" i="1" s="1"/>
  <c r="I1135" i="1"/>
  <c r="I1134" i="1"/>
  <c r="I1133" i="1"/>
  <c r="I1132" i="1"/>
  <c r="H1131" i="1"/>
  <c r="I1131" i="1" s="1"/>
  <c r="H1130" i="1"/>
  <c r="I1130" i="1" s="1"/>
  <c r="H1129" i="1"/>
  <c r="I1129" i="1" s="1"/>
  <c r="H1128" i="1"/>
  <c r="I1128" i="1" s="1"/>
  <c r="H1127" i="1"/>
  <c r="I1127" i="1" s="1"/>
  <c r="H1126" i="1"/>
  <c r="I1126" i="1" s="1"/>
  <c r="H1125" i="1"/>
  <c r="I1125" i="1" s="1"/>
  <c r="H1124" i="1"/>
  <c r="I1124" i="1" s="1"/>
  <c r="H1123" i="1"/>
  <c r="I1123" i="1" s="1"/>
  <c r="H1122" i="1"/>
  <c r="I1122" i="1" s="1"/>
  <c r="H1121" i="1"/>
  <c r="I1121" i="1" s="1"/>
  <c r="H1120" i="1"/>
  <c r="I1120" i="1" s="1"/>
  <c r="H1119" i="1"/>
  <c r="I1119" i="1" s="1"/>
  <c r="H1118" i="1"/>
  <c r="I1118" i="1" s="1"/>
  <c r="H1117" i="1"/>
  <c r="I1117" i="1" s="1"/>
  <c r="H1116" i="1"/>
  <c r="I1116" i="1" s="1"/>
  <c r="H1115" i="1"/>
  <c r="I1115" i="1" s="1"/>
  <c r="H1114" i="1"/>
  <c r="I1114" i="1" s="1"/>
  <c r="H1113" i="1"/>
  <c r="I1113" i="1" s="1"/>
  <c r="H1112" i="1"/>
  <c r="I1112" i="1" s="1"/>
  <c r="H1111" i="1"/>
  <c r="I1111" i="1" s="1"/>
  <c r="H1110" i="1"/>
  <c r="I1110" i="1" s="1"/>
  <c r="H1109" i="1"/>
  <c r="I1109" i="1" s="1"/>
  <c r="H1108" i="1"/>
  <c r="I1108" i="1" s="1"/>
  <c r="H1107" i="1"/>
  <c r="I1107" i="1" s="1"/>
  <c r="H1106" i="1"/>
  <c r="I1106" i="1" s="1"/>
  <c r="H1105" i="1"/>
  <c r="I1105" i="1" s="1"/>
  <c r="H1104" i="1"/>
  <c r="I1104" i="1" s="1"/>
  <c r="H1103" i="1"/>
  <c r="I1103" i="1" s="1"/>
  <c r="H1102" i="1"/>
  <c r="I1102" i="1" s="1"/>
  <c r="H1101" i="1"/>
  <c r="I1101" i="1" s="1"/>
  <c r="H1100" i="1"/>
  <c r="I1100" i="1" s="1"/>
  <c r="H1099" i="1"/>
  <c r="I1099" i="1" s="1"/>
  <c r="H1098" i="1"/>
  <c r="I1098" i="1" s="1"/>
  <c r="H1097" i="1"/>
  <c r="I1097" i="1" s="1"/>
  <c r="H1096" i="1"/>
  <c r="I1096" i="1" s="1"/>
  <c r="I1095" i="1"/>
  <c r="I1094" i="1"/>
  <c r="I1093" i="1"/>
  <c r="I1092" i="1"/>
  <c r="H1091" i="1"/>
  <c r="I1091" i="1" s="1"/>
  <c r="H1090" i="1"/>
  <c r="I1090" i="1" s="1"/>
  <c r="H1089" i="1"/>
  <c r="I1089" i="1" s="1"/>
  <c r="H1088" i="1"/>
  <c r="I1088" i="1" s="1"/>
  <c r="H1087" i="1"/>
  <c r="I1087" i="1" s="1"/>
  <c r="H1086" i="1"/>
  <c r="I1086" i="1" s="1"/>
  <c r="H1085" i="1"/>
  <c r="I1085" i="1" s="1"/>
  <c r="H1084" i="1"/>
  <c r="I1084" i="1" s="1"/>
  <c r="H1083" i="1"/>
  <c r="I1083" i="1" s="1"/>
  <c r="H1082" i="1"/>
  <c r="I1082" i="1" s="1"/>
  <c r="H1081" i="1"/>
  <c r="I1081" i="1" s="1"/>
  <c r="H1080" i="1"/>
  <c r="I1080" i="1" s="1"/>
  <c r="H1079" i="1"/>
  <c r="I1079" i="1" s="1"/>
  <c r="H1078" i="1"/>
  <c r="I1078" i="1" s="1"/>
  <c r="H1077" i="1"/>
  <c r="I1077" i="1" s="1"/>
  <c r="H1076" i="1"/>
  <c r="I1076" i="1" s="1"/>
  <c r="H1075" i="1"/>
  <c r="I1075" i="1" s="1"/>
  <c r="H1074" i="1"/>
  <c r="I1074" i="1" s="1"/>
  <c r="H1073" i="1"/>
  <c r="I1073" i="1" s="1"/>
  <c r="H1072" i="1"/>
  <c r="I1072" i="1" s="1"/>
  <c r="H1071" i="1"/>
  <c r="I1071" i="1" s="1"/>
  <c r="H1070" i="1"/>
  <c r="I1070" i="1" s="1"/>
  <c r="H1069" i="1"/>
  <c r="I1069" i="1" s="1"/>
  <c r="H1068" i="1"/>
  <c r="I1068" i="1" s="1"/>
  <c r="H1067" i="1"/>
  <c r="I1067" i="1" s="1"/>
  <c r="H1066" i="1"/>
  <c r="I1066" i="1" s="1"/>
  <c r="H1065" i="1"/>
  <c r="I1065" i="1" s="1"/>
  <c r="H1064" i="1"/>
  <c r="I1064" i="1" s="1"/>
  <c r="H1063" i="1"/>
  <c r="I1063" i="1" s="1"/>
  <c r="H1062" i="1"/>
  <c r="I1062" i="1" s="1"/>
  <c r="H1061" i="1"/>
  <c r="I1061" i="1" s="1"/>
  <c r="H1060" i="1"/>
  <c r="I1060" i="1" s="1"/>
  <c r="H1057" i="1"/>
  <c r="I1057" i="1" s="1"/>
  <c r="H1056" i="1"/>
  <c r="I1056" i="1" s="1"/>
  <c r="H1055" i="1"/>
  <c r="I1055" i="1" s="1"/>
  <c r="H1054" i="1"/>
  <c r="I1054" i="1" s="1"/>
  <c r="H1053" i="1"/>
  <c r="I1053" i="1" s="1"/>
  <c r="H1052" i="1"/>
  <c r="I1052" i="1" s="1"/>
  <c r="H1051" i="1"/>
  <c r="I1051" i="1" s="1"/>
  <c r="H1050" i="1"/>
  <c r="I1050" i="1" s="1"/>
  <c r="H1049" i="1"/>
  <c r="I1049" i="1" s="1"/>
  <c r="H1048" i="1"/>
  <c r="I1048" i="1" s="1"/>
  <c r="H1047" i="1"/>
  <c r="I1047" i="1" s="1"/>
  <c r="H1046" i="1"/>
  <c r="I1046" i="1" s="1"/>
  <c r="H1045" i="1"/>
  <c r="I1045" i="1" s="1"/>
  <c r="H1044" i="1"/>
  <c r="I1044" i="1" s="1"/>
  <c r="H1043" i="1"/>
  <c r="I1043" i="1" s="1"/>
  <c r="H1042" i="1"/>
  <c r="I1042" i="1" s="1"/>
  <c r="H1041" i="1"/>
  <c r="I1041" i="1" s="1"/>
  <c r="H1040" i="1"/>
  <c r="I1040" i="1" s="1"/>
  <c r="H1039" i="1"/>
  <c r="I1039" i="1" s="1"/>
  <c r="H1038" i="1"/>
  <c r="I1038" i="1" s="1"/>
  <c r="H1037" i="1"/>
  <c r="I1037" i="1" s="1"/>
  <c r="H1036" i="1"/>
  <c r="I1036" i="1" s="1"/>
  <c r="H1035" i="1"/>
  <c r="I1035" i="1" s="1"/>
  <c r="H1034" i="1"/>
  <c r="I1034" i="1" s="1"/>
  <c r="H1033" i="1"/>
  <c r="I1033" i="1" s="1"/>
  <c r="H1032" i="1"/>
  <c r="I1032" i="1" s="1"/>
  <c r="H1031" i="1"/>
  <c r="I1031" i="1" s="1"/>
  <c r="H1030" i="1"/>
  <c r="I1030" i="1" s="1"/>
  <c r="H1029" i="1"/>
  <c r="I1029" i="1" s="1"/>
  <c r="H1028" i="1"/>
  <c r="I1028" i="1" s="1"/>
  <c r="H1027" i="1"/>
  <c r="I1027" i="1" s="1"/>
  <c r="H1026" i="1"/>
  <c r="I1026" i="1" s="1"/>
  <c r="H1025" i="1"/>
  <c r="I1025" i="1" s="1"/>
  <c r="H1024" i="1"/>
  <c r="I1024" i="1" s="1"/>
  <c r="H1023" i="1"/>
  <c r="I1023" i="1" s="1"/>
  <c r="H1022" i="1"/>
  <c r="I1022" i="1" s="1"/>
  <c r="H1021" i="1"/>
  <c r="I1021" i="1" s="1"/>
  <c r="H1020" i="1"/>
  <c r="I1020" i="1" s="1"/>
  <c r="H1019" i="1"/>
  <c r="I1019" i="1" s="1"/>
  <c r="H1018" i="1"/>
  <c r="I1018" i="1" s="1"/>
  <c r="H1017" i="1"/>
  <c r="I1017" i="1" s="1"/>
  <c r="H1016" i="1"/>
  <c r="I1016" i="1" s="1"/>
  <c r="H1015" i="1"/>
  <c r="I1015" i="1" s="1"/>
  <c r="H1014" i="1"/>
  <c r="I1014" i="1" s="1"/>
  <c r="H1013" i="1"/>
  <c r="I1013" i="1" s="1"/>
  <c r="H1012" i="1"/>
  <c r="I1012" i="1" s="1"/>
  <c r="H1011" i="1"/>
  <c r="I1011" i="1" s="1"/>
  <c r="H1010" i="1"/>
  <c r="I1010" i="1" s="1"/>
  <c r="H1009" i="1"/>
  <c r="I1009" i="1" s="1"/>
  <c r="H1008" i="1"/>
  <c r="I1008" i="1" s="1"/>
  <c r="H1007" i="1"/>
  <c r="I1007" i="1" s="1"/>
  <c r="H1006" i="1"/>
  <c r="I1006" i="1" s="1"/>
  <c r="H1005" i="1"/>
  <c r="I1005" i="1" s="1"/>
  <c r="H1004" i="1"/>
  <c r="I1004" i="1" s="1"/>
  <c r="H1003" i="1"/>
  <c r="I1003" i="1" s="1"/>
  <c r="H1002" i="1"/>
  <c r="I1002" i="1" s="1"/>
  <c r="H1001" i="1"/>
  <c r="I1001" i="1" s="1"/>
  <c r="H1000" i="1"/>
  <c r="I1000" i="1" s="1"/>
  <c r="H999" i="1"/>
  <c r="I999" i="1" s="1"/>
  <c r="H998" i="1"/>
  <c r="I998" i="1" s="1"/>
  <c r="H997" i="1"/>
  <c r="I997" i="1" s="1"/>
  <c r="H996" i="1"/>
  <c r="I996" i="1" s="1"/>
  <c r="H995" i="1"/>
  <c r="I995" i="1" s="1"/>
  <c r="H994" i="1"/>
  <c r="I994" i="1" s="1"/>
  <c r="H993" i="1"/>
  <c r="I993" i="1" s="1"/>
  <c r="H992" i="1"/>
  <c r="I992" i="1" s="1"/>
  <c r="H991" i="1"/>
  <c r="I991" i="1" s="1"/>
  <c r="H990" i="1"/>
  <c r="I990" i="1" s="1"/>
  <c r="H989" i="1"/>
  <c r="I989" i="1" s="1"/>
  <c r="H988" i="1"/>
  <c r="I988" i="1" s="1"/>
  <c r="I987" i="1"/>
  <c r="I986" i="1"/>
  <c r="H985" i="1"/>
  <c r="I985" i="1" s="1"/>
  <c r="H984" i="1"/>
  <c r="I984" i="1" s="1"/>
  <c r="H983" i="1"/>
  <c r="I983" i="1" s="1"/>
  <c r="H982" i="1"/>
  <c r="I982" i="1" s="1"/>
  <c r="H981" i="1"/>
  <c r="I981" i="1" s="1"/>
  <c r="H980" i="1"/>
  <c r="I980" i="1" s="1"/>
  <c r="H979" i="1"/>
  <c r="I979" i="1" s="1"/>
  <c r="H978" i="1"/>
  <c r="I978" i="1" s="1"/>
  <c r="H977" i="1"/>
  <c r="I977" i="1" s="1"/>
  <c r="H976" i="1"/>
  <c r="I976" i="1" s="1"/>
  <c r="H975" i="1"/>
  <c r="I975" i="1" s="1"/>
  <c r="H974" i="1"/>
  <c r="I974" i="1" s="1"/>
  <c r="H973" i="1"/>
  <c r="I973" i="1" s="1"/>
  <c r="H972" i="1"/>
  <c r="I972" i="1" s="1"/>
  <c r="H971" i="1"/>
  <c r="I971" i="1" s="1"/>
  <c r="H970" i="1"/>
  <c r="I970" i="1" s="1"/>
  <c r="H969" i="1"/>
  <c r="I969" i="1" s="1"/>
  <c r="H968" i="1"/>
  <c r="I968" i="1" s="1"/>
  <c r="H967" i="1"/>
  <c r="I967" i="1" s="1"/>
  <c r="H966" i="1"/>
  <c r="I966" i="1" s="1"/>
  <c r="H965" i="1"/>
  <c r="I965" i="1" s="1"/>
  <c r="H964" i="1"/>
  <c r="I964" i="1" s="1"/>
  <c r="H963" i="1"/>
  <c r="I963" i="1" s="1"/>
  <c r="H962" i="1"/>
  <c r="I962" i="1" s="1"/>
  <c r="H961" i="1"/>
  <c r="I961" i="1" s="1"/>
  <c r="H960" i="1"/>
  <c r="I960" i="1" s="1"/>
  <c r="H959" i="1"/>
  <c r="I959" i="1" s="1"/>
  <c r="H958" i="1"/>
  <c r="I958" i="1" s="1"/>
  <c r="H957" i="1"/>
  <c r="I957" i="1" s="1"/>
  <c r="H956" i="1"/>
  <c r="I956" i="1" s="1"/>
  <c r="H955" i="1"/>
  <c r="I955" i="1" s="1"/>
  <c r="H954" i="1"/>
  <c r="I954" i="1" s="1"/>
  <c r="H953" i="1"/>
  <c r="I953" i="1" s="1"/>
  <c r="H952" i="1"/>
  <c r="I952" i="1" s="1"/>
  <c r="H951" i="1"/>
  <c r="I951" i="1" s="1"/>
  <c r="H950" i="1"/>
  <c r="I950" i="1" s="1"/>
  <c r="H949" i="1"/>
  <c r="I949" i="1" s="1"/>
  <c r="H948" i="1"/>
  <c r="I948" i="1" s="1"/>
  <c r="H947" i="1"/>
  <c r="I947" i="1" s="1"/>
  <c r="H946" i="1"/>
  <c r="I946" i="1" s="1"/>
  <c r="H945" i="1"/>
  <c r="I945" i="1" s="1"/>
  <c r="H944" i="1"/>
  <c r="I944" i="1" s="1"/>
  <c r="H943" i="1"/>
  <c r="I943" i="1" s="1"/>
  <c r="H942" i="1"/>
  <c r="I942" i="1" s="1"/>
  <c r="H941" i="1"/>
  <c r="I941" i="1" s="1"/>
  <c r="H940" i="1"/>
  <c r="I940" i="1" s="1"/>
  <c r="H939" i="1"/>
  <c r="I939" i="1" s="1"/>
  <c r="H938" i="1"/>
  <c r="I938" i="1" s="1"/>
  <c r="H937" i="1"/>
  <c r="I937" i="1" s="1"/>
  <c r="H936" i="1"/>
  <c r="I936" i="1" s="1"/>
  <c r="H935" i="1"/>
  <c r="I935" i="1" s="1"/>
  <c r="H934" i="1"/>
  <c r="I934" i="1" s="1"/>
  <c r="H933" i="1"/>
  <c r="I933" i="1" s="1"/>
  <c r="H932" i="1"/>
  <c r="I932" i="1" s="1"/>
  <c r="H931" i="1"/>
  <c r="I931" i="1" s="1"/>
  <c r="H930" i="1"/>
  <c r="I930" i="1" s="1"/>
  <c r="H929" i="1"/>
  <c r="I929" i="1" s="1"/>
  <c r="H928" i="1"/>
  <c r="I928" i="1" s="1"/>
  <c r="H927" i="1"/>
  <c r="I927" i="1" s="1"/>
  <c r="H926" i="1"/>
  <c r="I926" i="1" s="1"/>
  <c r="H925" i="1"/>
  <c r="I925" i="1" s="1"/>
  <c r="H924" i="1"/>
  <c r="I924" i="1" s="1"/>
  <c r="H923" i="1"/>
  <c r="I923" i="1" s="1"/>
  <c r="H922" i="1"/>
  <c r="I922" i="1" s="1"/>
  <c r="H921" i="1"/>
  <c r="I921" i="1" s="1"/>
  <c r="H920" i="1"/>
  <c r="I920" i="1" s="1"/>
  <c r="H919" i="1"/>
  <c r="I919" i="1" s="1"/>
  <c r="H918" i="1"/>
  <c r="I918" i="1" s="1"/>
  <c r="H917" i="1"/>
  <c r="I917" i="1" s="1"/>
  <c r="H916" i="1"/>
  <c r="I916" i="1" s="1"/>
  <c r="H915" i="1"/>
  <c r="I915" i="1" s="1"/>
  <c r="H914" i="1"/>
  <c r="I914" i="1" s="1"/>
  <c r="H913" i="1"/>
  <c r="I913" i="1" s="1"/>
  <c r="H912" i="1"/>
  <c r="I912" i="1" s="1"/>
  <c r="H911" i="1"/>
  <c r="I911" i="1" s="1"/>
  <c r="H910" i="1"/>
  <c r="I910" i="1" s="1"/>
  <c r="H909" i="1"/>
  <c r="I909" i="1" s="1"/>
  <c r="H908" i="1"/>
  <c r="I908" i="1" s="1"/>
  <c r="H907" i="1"/>
  <c r="I907" i="1" s="1"/>
  <c r="H906" i="1"/>
  <c r="I906" i="1" s="1"/>
  <c r="H905" i="1"/>
  <c r="I905" i="1" s="1"/>
  <c r="H904" i="1"/>
  <c r="I904" i="1" s="1"/>
  <c r="H903" i="1"/>
  <c r="I903" i="1" s="1"/>
  <c r="H902" i="1"/>
  <c r="I902" i="1" s="1"/>
  <c r="H901" i="1"/>
  <c r="I901" i="1" s="1"/>
  <c r="H900" i="1"/>
  <c r="I900" i="1" s="1"/>
  <c r="H899" i="1"/>
  <c r="I899" i="1" s="1"/>
  <c r="H898" i="1"/>
  <c r="I898" i="1" s="1"/>
  <c r="H892" i="1"/>
  <c r="I892" i="1" s="1"/>
  <c r="H887" i="1"/>
  <c r="I887" i="1" s="1"/>
  <c r="H886" i="1"/>
  <c r="I886" i="1" s="1"/>
  <c r="H885" i="1"/>
  <c r="I885" i="1" s="1"/>
  <c r="H884" i="1"/>
  <c r="I884" i="1" s="1"/>
  <c r="H883" i="1"/>
  <c r="I883" i="1" s="1"/>
  <c r="H882" i="1"/>
  <c r="I882" i="1" s="1"/>
  <c r="H881" i="1"/>
  <c r="I881" i="1" s="1"/>
  <c r="H880" i="1"/>
  <c r="I880" i="1" s="1"/>
  <c r="H879" i="1"/>
  <c r="I879" i="1" s="1"/>
  <c r="H878" i="1"/>
  <c r="I878" i="1" s="1"/>
  <c r="H877" i="1"/>
  <c r="I877" i="1" s="1"/>
  <c r="H876" i="1"/>
  <c r="I876" i="1" s="1"/>
  <c r="H875" i="1"/>
  <c r="I875" i="1" s="1"/>
  <c r="H874" i="1"/>
  <c r="I874" i="1" s="1"/>
  <c r="H869" i="1"/>
  <c r="I869" i="1" s="1"/>
  <c r="H868" i="1"/>
  <c r="I868" i="1" s="1"/>
  <c r="H867" i="1"/>
  <c r="I867" i="1" s="1"/>
  <c r="H866" i="1"/>
  <c r="I866" i="1" s="1"/>
  <c r="H865" i="1"/>
  <c r="I865" i="1" s="1"/>
  <c r="H864" i="1"/>
  <c r="I864" i="1" s="1"/>
  <c r="H863" i="1"/>
  <c r="I863" i="1" s="1"/>
  <c r="H862" i="1"/>
  <c r="I862" i="1" s="1"/>
  <c r="H861" i="1"/>
  <c r="I861" i="1" s="1"/>
  <c r="H860" i="1"/>
  <c r="I860" i="1" s="1"/>
  <c r="H859" i="1"/>
  <c r="I859" i="1" s="1"/>
  <c r="H858" i="1"/>
  <c r="I858" i="1" s="1"/>
  <c r="H857" i="1"/>
  <c r="I857" i="1" s="1"/>
  <c r="H856" i="1"/>
  <c r="I856" i="1" s="1"/>
  <c r="H855" i="1"/>
  <c r="I855" i="1" s="1"/>
  <c r="H854" i="1"/>
  <c r="I854" i="1" s="1"/>
  <c r="H853" i="1"/>
  <c r="I853" i="1" s="1"/>
  <c r="H852" i="1"/>
  <c r="I852" i="1" s="1"/>
  <c r="H851" i="1"/>
  <c r="I851" i="1" s="1"/>
  <c r="H850" i="1"/>
  <c r="I850" i="1" s="1"/>
  <c r="H849" i="1"/>
  <c r="I849" i="1" s="1"/>
  <c r="H848" i="1"/>
  <c r="I848" i="1" s="1"/>
  <c r="H847" i="1"/>
  <c r="I847" i="1" s="1"/>
  <c r="H846" i="1"/>
  <c r="I846" i="1" s="1"/>
  <c r="H845" i="1"/>
  <c r="I845" i="1" s="1"/>
  <c r="H844" i="1"/>
  <c r="I844" i="1" s="1"/>
  <c r="H843" i="1"/>
  <c r="I843" i="1" s="1"/>
  <c r="H842" i="1"/>
  <c r="I842" i="1" s="1"/>
  <c r="H841" i="1"/>
  <c r="I841" i="1" s="1"/>
  <c r="H840" i="1"/>
  <c r="I840" i="1" s="1"/>
  <c r="H839" i="1"/>
  <c r="I839" i="1" s="1"/>
  <c r="H838" i="1"/>
  <c r="I838" i="1" s="1"/>
  <c r="H837" i="1"/>
  <c r="I837" i="1" s="1"/>
  <c r="H836" i="1"/>
  <c r="I836" i="1" s="1"/>
  <c r="H835" i="1"/>
  <c r="I835" i="1" s="1"/>
  <c r="H834" i="1"/>
  <c r="I834" i="1" s="1"/>
  <c r="H833" i="1"/>
  <c r="I833" i="1" s="1"/>
  <c r="H832" i="1"/>
  <c r="I832" i="1" s="1"/>
  <c r="H831" i="1"/>
  <c r="I831" i="1" s="1"/>
  <c r="H830" i="1"/>
  <c r="I830" i="1" s="1"/>
  <c r="H829" i="1"/>
  <c r="I829" i="1" s="1"/>
  <c r="H828" i="1"/>
  <c r="I828" i="1" s="1"/>
  <c r="H827" i="1"/>
  <c r="I827" i="1" s="1"/>
  <c r="H826" i="1"/>
  <c r="I826" i="1" s="1"/>
  <c r="H825" i="1"/>
  <c r="I825" i="1" s="1"/>
  <c r="H824" i="1"/>
  <c r="I824" i="1" s="1"/>
  <c r="H823" i="1"/>
  <c r="I823" i="1" s="1"/>
  <c r="H822" i="1"/>
  <c r="I822" i="1" s="1"/>
  <c r="H821" i="1"/>
  <c r="I821" i="1" s="1"/>
  <c r="H820" i="1"/>
  <c r="I820" i="1" s="1"/>
  <c r="H819" i="1"/>
  <c r="I819" i="1" s="1"/>
  <c r="H818" i="1"/>
  <c r="I818" i="1" s="1"/>
  <c r="H817" i="1"/>
  <c r="I817" i="1" s="1"/>
  <c r="I816" i="1"/>
  <c r="I815" i="1"/>
  <c r="H814" i="1"/>
  <c r="I814" i="1" s="1"/>
  <c r="H813" i="1"/>
  <c r="I813" i="1" s="1"/>
  <c r="H812" i="1"/>
  <c r="I812" i="1" s="1"/>
  <c r="H811" i="1"/>
  <c r="I811" i="1" s="1"/>
  <c r="H810" i="1"/>
  <c r="I810" i="1" s="1"/>
  <c r="H809" i="1"/>
  <c r="I809" i="1" s="1"/>
  <c r="H808" i="1"/>
  <c r="I808" i="1" s="1"/>
  <c r="H807" i="1"/>
  <c r="I807" i="1" s="1"/>
  <c r="H806" i="1"/>
  <c r="I806" i="1" s="1"/>
  <c r="H805" i="1"/>
  <c r="I805" i="1" s="1"/>
  <c r="H804" i="1"/>
  <c r="I804" i="1" s="1"/>
  <c r="H803" i="1"/>
  <c r="I803" i="1" s="1"/>
  <c r="H802" i="1"/>
  <c r="I802" i="1" s="1"/>
  <c r="H801" i="1"/>
  <c r="I801" i="1" s="1"/>
  <c r="H800" i="1"/>
  <c r="I800" i="1" s="1"/>
  <c r="H799" i="1"/>
  <c r="I799" i="1" s="1"/>
  <c r="H798" i="1"/>
  <c r="I798" i="1" s="1"/>
  <c r="H797" i="1"/>
  <c r="I797" i="1" s="1"/>
  <c r="H796" i="1"/>
  <c r="I796" i="1" s="1"/>
  <c r="H795" i="1"/>
  <c r="I795" i="1" s="1"/>
  <c r="H794" i="1"/>
  <c r="I794" i="1" s="1"/>
  <c r="H793" i="1"/>
  <c r="I793" i="1" s="1"/>
  <c r="H792" i="1"/>
  <c r="I792" i="1" s="1"/>
  <c r="H791" i="1"/>
  <c r="I791" i="1" s="1"/>
  <c r="H790" i="1"/>
  <c r="I790" i="1" s="1"/>
  <c r="H789" i="1"/>
  <c r="I789" i="1" s="1"/>
  <c r="H788" i="1"/>
  <c r="I788" i="1" s="1"/>
  <c r="H787" i="1"/>
  <c r="I787" i="1" s="1"/>
  <c r="H786" i="1"/>
  <c r="I786" i="1" s="1"/>
  <c r="H785" i="1"/>
  <c r="I785" i="1" s="1"/>
  <c r="H784" i="1"/>
  <c r="I784" i="1" s="1"/>
  <c r="H783" i="1"/>
  <c r="I783" i="1" s="1"/>
  <c r="H782" i="1"/>
  <c r="I782" i="1" s="1"/>
  <c r="H781" i="1"/>
  <c r="I781" i="1" s="1"/>
  <c r="H780" i="1"/>
  <c r="I780" i="1" s="1"/>
  <c r="H779" i="1"/>
  <c r="I779" i="1" s="1"/>
  <c r="H778" i="1"/>
  <c r="I778" i="1" s="1"/>
  <c r="H777" i="1"/>
  <c r="I777" i="1" s="1"/>
  <c r="H776" i="1"/>
  <c r="I776" i="1" s="1"/>
  <c r="H775" i="1"/>
  <c r="I775" i="1" s="1"/>
  <c r="H774" i="1"/>
  <c r="I774" i="1" s="1"/>
  <c r="H773" i="1"/>
  <c r="I773" i="1" s="1"/>
  <c r="H772" i="1"/>
  <c r="I772" i="1" s="1"/>
  <c r="H771" i="1"/>
  <c r="I771" i="1" s="1"/>
  <c r="H770" i="1"/>
  <c r="I770" i="1" s="1"/>
  <c r="H769" i="1"/>
  <c r="I769" i="1" s="1"/>
  <c r="H768" i="1"/>
  <c r="I768" i="1" s="1"/>
  <c r="I767" i="1"/>
  <c r="I766" i="1"/>
  <c r="H765" i="1"/>
  <c r="I765" i="1" s="1"/>
  <c r="H764" i="1"/>
  <c r="I764" i="1" s="1"/>
  <c r="H763" i="1"/>
  <c r="I763" i="1" s="1"/>
  <c r="H762" i="1"/>
  <c r="I762" i="1" s="1"/>
  <c r="H761" i="1"/>
  <c r="I761" i="1" s="1"/>
  <c r="H760" i="1"/>
  <c r="I760" i="1" s="1"/>
  <c r="H759" i="1"/>
  <c r="I759" i="1" s="1"/>
  <c r="H758" i="1"/>
  <c r="I758" i="1" s="1"/>
  <c r="H757" i="1"/>
  <c r="I757" i="1" s="1"/>
  <c r="H756" i="1"/>
  <c r="I756" i="1" s="1"/>
  <c r="H755" i="1"/>
  <c r="I755" i="1" s="1"/>
  <c r="H754" i="1"/>
  <c r="I754" i="1" s="1"/>
  <c r="H753" i="1"/>
  <c r="I753" i="1" s="1"/>
  <c r="H752" i="1"/>
  <c r="I752" i="1" s="1"/>
  <c r="H751" i="1"/>
  <c r="I751" i="1" s="1"/>
  <c r="H750" i="1"/>
  <c r="I750" i="1" s="1"/>
  <c r="H749" i="1"/>
  <c r="I749" i="1" s="1"/>
  <c r="H748" i="1"/>
  <c r="I748" i="1" s="1"/>
  <c r="H747" i="1"/>
  <c r="I747" i="1" s="1"/>
  <c r="H746" i="1"/>
  <c r="I746" i="1" s="1"/>
  <c r="H745" i="1"/>
  <c r="I745" i="1" s="1"/>
  <c r="H744" i="1"/>
  <c r="I744" i="1" s="1"/>
  <c r="H743" i="1"/>
  <c r="I743" i="1" s="1"/>
  <c r="H742" i="1"/>
  <c r="I742" i="1" s="1"/>
  <c r="H741" i="1"/>
  <c r="I741" i="1" s="1"/>
  <c r="H740" i="1"/>
  <c r="I740" i="1" s="1"/>
  <c r="H739" i="1"/>
  <c r="I739" i="1" s="1"/>
  <c r="H738" i="1"/>
  <c r="I738" i="1" s="1"/>
  <c r="H737" i="1"/>
  <c r="I737" i="1" s="1"/>
  <c r="H736" i="1"/>
  <c r="I736" i="1" s="1"/>
  <c r="H735" i="1"/>
  <c r="I735" i="1" s="1"/>
  <c r="H734" i="1"/>
  <c r="I734" i="1" s="1"/>
  <c r="H733" i="1"/>
  <c r="I733" i="1" s="1"/>
  <c r="H732" i="1"/>
  <c r="I732" i="1" s="1"/>
  <c r="H731" i="1"/>
  <c r="I731" i="1" s="1"/>
  <c r="H730" i="1"/>
  <c r="I730" i="1" s="1"/>
  <c r="H729" i="1"/>
  <c r="I729" i="1" s="1"/>
  <c r="H728" i="1"/>
  <c r="I728" i="1" s="1"/>
  <c r="H727" i="1"/>
  <c r="I727" i="1" s="1"/>
  <c r="H726" i="1"/>
  <c r="I726" i="1" s="1"/>
  <c r="H725" i="1"/>
  <c r="I725" i="1" s="1"/>
  <c r="H724" i="1"/>
  <c r="I724" i="1" s="1"/>
  <c r="H723" i="1"/>
  <c r="I723" i="1" s="1"/>
  <c r="H722" i="1"/>
  <c r="I722" i="1" s="1"/>
  <c r="H721" i="1"/>
  <c r="I721" i="1" s="1"/>
  <c r="H720" i="1"/>
  <c r="I720" i="1" s="1"/>
  <c r="H719" i="1"/>
  <c r="I719" i="1" s="1"/>
  <c r="H718" i="1"/>
  <c r="I718" i="1" s="1"/>
  <c r="H717" i="1"/>
  <c r="I717" i="1" s="1"/>
  <c r="H716" i="1"/>
  <c r="I716" i="1" s="1"/>
  <c r="H715" i="1"/>
  <c r="I715" i="1" s="1"/>
  <c r="H714" i="1"/>
  <c r="I714" i="1" s="1"/>
  <c r="H713" i="1"/>
  <c r="I713" i="1" s="1"/>
  <c r="H712" i="1"/>
  <c r="I712" i="1" s="1"/>
  <c r="H711" i="1"/>
  <c r="I711" i="1" s="1"/>
  <c r="H710" i="1"/>
  <c r="I710" i="1" s="1"/>
  <c r="H709" i="1"/>
  <c r="I709" i="1" s="1"/>
  <c r="H708" i="1"/>
  <c r="I708" i="1" s="1"/>
  <c r="H707" i="1"/>
  <c r="I707" i="1" s="1"/>
  <c r="H706" i="1"/>
  <c r="I706" i="1" s="1"/>
  <c r="H705" i="1"/>
  <c r="I705" i="1" s="1"/>
  <c r="H704" i="1"/>
  <c r="I704" i="1" s="1"/>
  <c r="H703" i="1"/>
  <c r="I703" i="1" s="1"/>
  <c r="H702" i="1"/>
  <c r="I702" i="1" s="1"/>
  <c r="H701" i="1"/>
  <c r="I701" i="1" s="1"/>
  <c r="H700" i="1"/>
  <c r="I700" i="1" s="1"/>
  <c r="H699" i="1"/>
  <c r="I699" i="1" s="1"/>
  <c r="H698" i="1"/>
  <c r="I698" i="1" s="1"/>
  <c r="H697" i="1"/>
  <c r="I697" i="1" s="1"/>
  <c r="H696" i="1"/>
  <c r="I696" i="1" s="1"/>
  <c r="H695" i="1"/>
  <c r="I695" i="1" s="1"/>
  <c r="H694" i="1"/>
  <c r="I694" i="1" s="1"/>
  <c r="H693" i="1"/>
  <c r="I693" i="1" s="1"/>
  <c r="H692" i="1"/>
  <c r="I692" i="1" s="1"/>
  <c r="H691" i="1"/>
  <c r="I691" i="1" s="1"/>
  <c r="H688" i="1"/>
  <c r="I688" i="1" s="1"/>
  <c r="H687" i="1"/>
  <c r="I687" i="1" s="1"/>
  <c r="H686" i="1"/>
  <c r="I686" i="1" s="1"/>
  <c r="H685" i="1"/>
  <c r="I685" i="1" s="1"/>
  <c r="H684" i="1"/>
  <c r="I684" i="1" s="1"/>
  <c r="H683" i="1"/>
  <c r="I683" i="1" s="1"/>
  <c r="H682" i="1"/>
  <c r="I682" i="1" s="1"/>
  <c r="H681" i="1"/>
  <c r="I681" i="1" s="1"/>
  <c r="H680" i="1"/>
  <c r="I680" i="1" s="1"/>
  <c r="H679" i="1"/>
  <c r="I679" i="1" s="1"/>
  <c r="H678" i="1"/>
  <c r="I678" i="1" s="1"/>
  <c r="H677" i="1"/>
  <c r="I677" i="1" s="1"/>
  <c r="H676" i="1"/>
  <c r="I676" i="1" s="1"/>
  <c r="H675" i="1"/>
  <c r="I675" i="1" s="1"/>
  <c r="H674" i="1"/>
  <c r="I674" i="1" s="1"/>
  <c r="H673" i="1"/>
  <c r="I673" i="1" s="1"/>
  <c r="H672" i="1"/>
  <c r="I672" i="1" s="1"/>
  <c r="H671" i="1"/>
  <c r="I671" i="1" s="1"/>
  <c r="H670" i="1"/>
  <c r="I670" i="1" s="1"/>
  <c r="H640" i="1"/>
  <c r="I640" i="1" s="1"/>
  <c r="H639" i="1"/>
  <c r="I639" i="1" s="1"/>
  <c r="H638" i="1"/>
  <c r="I638" i="1" s="1"/>
  <c r="H637" i="1"/>
  <c r="I637" i="1" s="1"/>
  <c r="H632" i="1"/>
  <c r="I632" i="1" s="1"/>
  <c r="H631" i="1"/>
  <c r="I631" i="1" s="1"/>
  <c r="H630" i="1"/>
  <c r="I630" i="1" s="1"/>
  <c r="H629" i="1"/>
  <c r="I629" i="1" s="1"/>
  <c r="H628" i="1"/>
  <c r="I628" i="1" s="1"/>
  <c r="H627" i="1"/>
  <c r="I627" i="1" s="1"/>
  <c r="H626" i="1"/>
  <c r="I626" i="1" s="1"/>
  <c r="H625" i="1"/>
  <c r="I625" i="1" s="1"/>
  <c r="H624" i="1"/>
  <c r="I624" i="1" s="1"/>
  <c r="H623" i="1"/>
  <c r="I623" i="1" s="1"/>
  <c r="H622" i="1"/>
  <c r="I622" i="1" s="1"/>
  <c r="H621" i="1"/>
  <c r="I621" i="1" s="1"/>
  <c r="H620" i="1"/>
  <c r="I620" i="1" s="1"/>
  <c r="H619" i="1"/>
  <c r="I619" i="1" s="1"/>
  <c r="H618" i="1"/>
  <c r="I618" i="1" s="1"/>
  <c r="H617" i="1"/>
  <c r="I617" i="1" s="1"/>
  <c r="H616" i="1"/>
  <c r="I616" i="1" s="1"/>
  <c r="H615" i="1"/>
  <c r="I615" i="1" s="1"/>
  <c r="H614" i="1"/>
  <c r="I614" i="1" s="1"/>
  <c r="H613" i="1"/>
  <c r="I613" i="1" s="1"/>
  <c r="H612" i="1"/>
  <c r="I612" i="1" s="1"/>
  <c r="H611" i="1"/>
  <c r="I611" i="1" s="1"/>
  <c r="H610" i="1"/>
  <c r="I610" i="1" s="1"/>
  <c r="H609" i="1"/>
  <c r="I609" i="1" s="1"/>
  <c r="H608" i="1"/>
  <c r="I608" i="1" s="1"/>
  <c r="H607" i="1"/>
  <c r="I607" i="1" s="1"/>
  <c r="H606" i="1"/>
  <c r="I606" i="1" s="1"/>
  <c r="H605" i="1"/>
  <c r="I605" i="1" s="1"/>
  <c r="H604" i="1"/>
  <c r="I604" i="1" s="1"/>
  <c r="H603" i="1"/>
  <c r="I603" i="1" s="1"/>
  <c r="H602" i="1"/>
  <c r="I602" i="1" s="1"/>
  <c r="H601" i="1"/>
  <c r="I601" i="1" s="1"/>
  <c r="H600" i="1"/>
  <c r="I600" i="1" s="1"/>
  <c r="H599" i="1"/>
  <c r="I599" i="1" s="1"/>
  <c r="H598" i="1"/>
  <c r="I598" i="1" s="1"/>
  <c r="H597" i="1"/>
  <c r="I597" i="1" s="1"/>
  <c r="H596" i="1"/>
  <c r="I596" i="1" s="1"/>
  <c r="H595" i="1"/>
  <c r="I595" i="1" s="1"/>
  <c r="H594" i="1"/>
  <c r="I594" i="1" s="1"/>
  <c r="H593" i="1"/>
  <c r="I593" i="1" s="1"/>
  <c r="H592" i="1"/>
  <c r="I592" i="1" s="1"/>
  <c r="H591" i="1"/>
  <c r="I591" i="1" s="1"/>
  <c r="H590" i="1"/>
  <c r="I590" i="1" s="1"/>
  <c r="H589" i="1"/>
  <c r="I589" i="1" s="1"/>
  <c r="H588" i="1"/>
  <c r="I588" i="1" s="1"/>
  <c r="H587" i="1"/>
  <c r="I587" i="1" s="1"/>
  <c r="H586" i="1"/>
  <c r="I586" i="1" s="1"/>
  <c r="H585" i="1"/>
  <c r="I585" i="1" s="1"/>
  <c r="H584" i="1"/>
  <c r="I584" i="1" s="1"/>
  <c r="H583" i="1"/>
  <c r="I583" i="1" s="1"/>
  <c r="H582" i="1"/>
  <c r="I582" i="1" s="1"/>
  <c r="H476" i="1"/>
  <c r="I476" i="1" s="1"/>
  <c r="H475" i="1"/>
  <c r="I475" i="1" s="1"/>
  <c r="H474" i="1"/>
  <c r="I474" i="1" s="1"/>
  <c r="H473" i="1"/>
  <c r="I473" i="1" s="1"/>
  <c r="H472" i="1"/>
  <c r="I472" i="1" s="1"/>
  <c r="H471" i="1"/>
  <c r="I471" i="1" s="1"/>
  <c r="H470" i="1"/>
  <c r="I470" i="1" s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H455" i="1"/>
  <c r="I455" i="1" s="1"/>
  <c r="H454" i="1"/>
  <c r="I454" i="1" s="1"/>
  <c r="H453" i="1"/>
  <c r="I453" i="1" s="1"/>
  <c r="H452" i="1"/>
  <c r="I452" i="1" s="1"/>
  <c r="H451" i="1"/>
  <c r="I451" i="1" s="1"/>
  <c r="H450" i="1"/>
  <c r="I450" i="1" s="1"/>
  <c r="H449" i="1"/>
  <c r="I449" i="1" s="1"/>
  <c r="H448" i="1"/>
  <c r="I448" i="1" s="1"/>
  <c r="H440" i="1"/>
  <c r="I440" i="1" s="1"/>
  <c r="H439" i="1"/>
  <c r="I439" i="1" s="1"/>
  <c r="H438" i="1"/>
  <c r="I438" i="1" s="1"/>
  <c r="H437" i="1"/>
  <c r="I437" i="1" s="1"/>
  <c r="H436" i="1"/>
  <c r="I436" i="1" s="1"/>
  <c r="H435" i="1"/>
  <c r="I435" i="1" s="1"/>
  <c r="H434" i="1"/>
  <c r="I434" i="1" s="1"/>
  <c r="H433" i="1"/>
  <c r="I433" i="1" s="1"/>
  <c r="H432" i="1"/>
  <c r="I432" i="1" s="1"/>
  <c r="H431" i="1"/>
  <c r="I431" i="1" s="1"/>
  <c r="H430" i="1"/>
  <c r="I430" i="1" s="1"/>
  <c r="H429" i="1"/>
  <c r="I429" i="1" s="1"/>
  <c r="H428" i="1"/>
  <c r="I428" i="1" s="1"/>
  <c r="H427" i="1"/>
  <c r="I427" i="1" s="1"/>
  <c r="H426" i="1"/>
  <c r="I426" i="1" s="1"/>
  <c r="H425" i="1"/>
  <c r="I425" i="1" s="1"/>
  <c r="H424" i="1"/>
  <c r="I424" i="1" s="1"/>
  <c r="H423" i="1"/>
  <c r="I423" i="1" s="1"/>
  <c r="H422" i="1"/>
  <c r="I422" i="1" s="1"/>
  <c r="H421" i="1"/>
  <c r="I421" i="1" s="1"/>
  <c r="H420" i="1"/>
  <c r="I420" i="1" s="1"/>
  <c r="H419" i="1"/>
  <c r="I419" i="1" s="1"/>
  <c r="H418" i="1"/>
  <c r="I418" i="1" s="1"/>
  <c r="H417" i="1"/>
  <c r="I417" i="1" s="1"/>
  <c r="H416" i="1"/>
  <c r="I416" i="1" s="1"/>
  <c r="H415" i="1"/>
  <c r="I415" i="1" s="1"/>
  <c r="H410" i="1"/>
  <c r="I410" i="1" s="1"/>
  <c r="H409" i="1"/>
  <c r="I409" i="1" s="1"/>
  <c r="H408" i="1"/>
  <c r="I408" i="1" s="1"/>
  <c r="H407" i="1"/>
  <c r="I407" i="1" s="1"/>
  <c r="H406" i="1"/>
  <c r="I406" i="1" s="1"/>
  <c r="H405" i="1"/>
  <c r="I405" i="1" s="1"/>
  <c r="H404" i="1"/>
  <c r="I404" i="1" s="1"/>
  <c r="H403" i="1"/>
  <c r="I403" i="1" s="1"/>
  <c r="H402" i="1"/>
  <c r="I402" i="1" s="1"/>
  <c r="H401" i="1"/>
  <c r="I401" i="1" s="1"/>
  <c r="H400" i="1"/>
  <c r="I400" i="1" s="1"/>
  <c r="H399" i="1"/>
  <c r="I399" i="1" s="1"/>
  <c r="H398" i="1"/>
  <c r="I398" i="1" s="1"/>
  <c r="H397" i="1"/>
  <c r="I397" i="1" s="1"/>
  <c r="H396" i="1"/>
  <c r="I396" i="1" s="1"/>
  <c r="H395" i="1"/>
  <c r="I395" i="1" s="1"/>
  <c r="H394" i="1"/>
  <c r="I394" i="1" s="1"/>
  <c r="H393" i="1"/>
  <c r="I393" i="1" s="1"/>
  <c r="H392" i="1"/>
  <c r="I392" i="1" s="1"/>
  <c r="I391" i="1"/>
  <c r="I390" i="1"/>
  <c r="I389" i="1"/>
  <c r="I388" i="1"/>
  <c r="H387" i="1"/>
  <c r="I387" i="1" s="1"/>
  <c r="H386" i="1"/>
  <c r="I386" i="1" s="1"/>
  <c r="H385" i="1"/>
  <c r="I385" i="1" s="1"/>
  <c r="H384" i="1"/>
  <c r="I384" i="1" s="1"/>
  <c r="H383" i="1"/>
  <c r="I383" i="1" s="1"/>
  <c r="H382" i="1"/>
  <c r="I382" i="1" s="1"/>
  <c r="H381" i="1"/>
  <c r="I381" i="1" s="1"/>
  <c r="H380" i="1"/>
  <c r="I380" i="1" s="1"/>
  <c r="H379" i="1"/>
  <c r="I379" i="1" s="1"/>
  <c r="H378" i="1"/>
  <c r="I378" i="1" s="1"/>
  <c r="H377" i="1"/>
  <c r="I377" i="1" s="1"/>
  <c r="H376" i="1"/>
  <c r="I376" i="1" s="1"/>
  <c r="H375" i="1"/>
  <c r="I375" i="1" s="1"/>
  <c r="H374" i="1"/>
  <c r="I374" i="1" s="1"/>
  <c r="H373" i="1"/>
  <c r="I373" i="1" s="1"/>
  <c r="H372" i="1"/>
  <c r="I372" i="1" s="1"/>
  <c r="H371" i="1"/>
  <c r="I371" i="1" s="1"/>
  <c r="H370" i="1"/>
  <c r="I370" i="1" s="1"/>
  <c r="H369" i="1"/>
  <c r="I369" i="1" s="1"/>
  <c r="H368" i="1"/>
  <c r="I368" i="1" s="1"/>
  <c r="H367" i="1"/>
  <c r="I367" i="1" s="1"/>
  <c r="H366" i="1"/>
  <c r="I366" i="1" s="1"/>
  <c r="H365" i="1"/>
  <c r="I365" i="1" s="1"/>
  <c r="H364" i="1"/>
  <c r="I364" i="1" s="1"/>
  <c r="H363" i="1"/>
  <c r="I363" i="1" s="1"/>
  <c r="H362" i="1"/>
  <c r="I362" i="1" s="1"/>
  <c r="H361" i="1"/>
  <c r="I361" i="1" s="1"/>
  <c r="H360" i="1"/>
  <c r="I360" i="1" s="1"/>
  <c r="H359" i="1"/>
  <c r="I359" i="1" s="1"/>
  <c r="H358" i="1"/>
  <c r="I358" i="1" s="1"/>
  <c r="H357" i="1"/>
  <c r="I357" i="1" s="1"/>
  <c r="H356" i="1"/>
  <c r="I356" i="1" s="1"/>
  <c r="H355" i="1"/>
  <c r="I355" i="1" s="1"/>
  <c r="H354" i="1"/>
  <c r="I354" i="1" s="1"/>
  <c r="H353" i="1"/>
  <c r="I353" i="1" s="1"/>
  <c r="H352" i="1"/>
  <c r="I352" i="1" s="1"/>
  <c r="H351" i="1"/>
  <c r="I351" i="1" s="1"/>
  <c r="H350" i="1"/>
  <c r="I350" i="1" s="1"/>
  <c r="H349" i="1"/>
  <c r="I349" i="1" s="1"/>
  <c r="H348" i="1"/>
  <c r="I348" i="1" s="1"/>
  <c r="H347" i="1"/>
  <c r="I347" i="1" s="1"/>
  <c r="H346" i="1"/>
  <c r="I346" i="1" s="1"/>
  <c r="H345" i="1"/>
  <c r="I345" i="1" s="1"/>
  <c r="H344" i="1"/>
  <c r="I344" i="1" s="1"/>
  <c r="H343" i="1"/>
  <c r="I343" i="1" s="1"/>
  <c r="H342" i="1"/>
  <c r="I342" i="1" s="1"/>
  <c r="H341" i="1"/>
  <c r="I341" i="1" s="1"/>
  <c r="H340" i="1"/>
  <c r="I340" i="1" s="1"/>
  <c r="H339" i="1"/>
  <c r="I339" i="1" s="1"/>
  <c r="H338" i="1"/>
  <c r="I338" i="1" s="1"/>
  <c r="H337" i="1"/>
  <c r="I337" i="1" s="1"/>
  <c r="H336" i="1"/>
  <c r="I336" i="1" s="1"/>
  <c r="H335" i="1"/>
  <c r="I335" i="1" s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H314" i="1"/>
  <c r="I314" i="1" s="1"/>
  <c r="H313" i="1"/>
  <c r="I313" i="1" s="1"/>
  <c r="H312" i="1"/>
  <c r="I312" i="1" s="1"/>
  <c r="H311" i="1"/>
  <c r="I311" i="1" s="1"/>
  <c r="H310" i="1"/>
  <c r="I310" i="1" s="1"/>
  <c r="H309" i="1"/>
  <c r="I309" i="1" s="1"/>
  <c r="I308" i="1"/>
  <c r="I307" i="1"/>
  <c r="I306" i="1"/>
  <c r="I305" i="1"/>
  <c r="I304" i="1"/>
  <c r="I301" i="1"/>
  <c r="I300" i="1"/>
  <c r="I299" i="1"/>
  <c r="I298" i="1"/>
  <c r="I297" i="1"/>
  <c r="I296" i="1"/>
  <c r="I294" i="1"/>
  <c r="I293" i="1"/>
  <c r="I292" i="1"/>
  <c r="I291" i="1"/>
  <c r="I290" i="1"/>
  <c r="I289" i="1"/>
  <c r="I284" i="1"/>
  <c r="I283" i="1"/>
  <c r="I282" i="1"/>
  <c r="I281" i="1"/>
  <c r="I280" i="1"/>
  <c r="I279" i="1"/>
  <c r="I278" i="1"/>
  <c r="I277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H260" i="1"/>
  <c r="I260" i="1" s="1"/>
  <c r="I259" i="1"/>
  <c r="I258" i="1"/>
  <c r="I257" i="1"/>
  <c r="I256" i="1"/>
  <c r="I255" i="1"/>
  <c r="I253" i="1"/>
  <c r="I252" i="1"/>
  <c r="I251" i="1"/>
  <c r="I250" i="1"/>
  <c r="I248" i="1"/>
  <c r="I247" i="1"/>
  <c r="I245" i="1"/>
  <c r="I244" i="1"/>
  <c r="I243" i="1"/>
  <c r="I242" i="1"/>
  <c r="I241" i="1"/>
  <c r="I240" i="1"/>
  <c r="I239" i="1"/>
  <c r="I237" i="1"/>
  <c r="I236" i="1"/>
  <c r="I235" i="1"/>
  <c r="I233" i="1"/>
  <c r="I232" i="1"/>
  <c r="I231" i="1"/>
  <c r="I230" i="1"/>
  <c r="I229" i="1"/>
  <c r="H227" i="1"/>
  <c r="I227" i="1" s="1"/>
  <c r="H226" i="1"/>
  <c r="I226" i="1" s="1"/>
  <c r="H225" i="1"/>
  <c r="I225" i="1" s="1"/>
  <c r="H224" i="1"/>
  <c r="I224" i="1" s="1"/>
  <c r="H223" i="1"/>
  <c r="I223" i="1" s="1"/>
  <c r="H222" i="1"/>
  <c r="I222" i="1" s="1"/>
  <c r="I221" i="1"/>
  <c r="I220" i="1"/>
  <c r="I219" i="1"/>
  <c r="I218" i="1"/>
  <c r="I217" i="1"/>
  <c r="H216" i="1"/>
  <c r="I216" i="1" s="1"/>
  <c r="H215" i="1"/>
  <c r="I215" i="1" s="1"/>
  <c r="H214" i="1"/>
  <c r="I214" i="1" s="1"/>
  <c r="H213" i="1"/>
  <c r="I213" i="1" s="1"/>
  <c r="H212" i="1"/>
  <c r="I212" i="1" s="1"/>
  <c r="H211" i="1"/>
  <c r="I211" i="1" s="1"/>
  <c r="H208" i="1"/>
  <c r="I208" i="1" s="1"/>
  <c r="H207" i="1"/>
  <c r="I207" i="1" s="1"/>
  <c r="H206" i="1"/>
  <c r="I206" i="1" s="1"/>
  <c r="H205" i="1"/>
  <c r="I205" i="1" s="1"/>
  <c r="H204" i="1"/>
  <c r="I204" i="1" s="1"/>
  <c r="H203" i="1"/>
  <c r="I203" i="1" s="1"/>
  <c r="H202" i="1"/>
  <c r="I202" i="1" s="1"/>
  <c r="H199" i="1"/>
  <c r="I199" i="1" s="1"/>
  <c r="H198" i="1"/>
  <c r="I198" i="1" s="1"/>
  <c r="H197" i="1"/>
  <c r="I197" i="1" s="1"/>
  <c r="H196" i="1"/>
  <c r="I196" i="1" s="1"/>
  <c r="H195" i="1"/>
  <c r="I195" i="1" s="1"/>
  <c r="H194" i="1"/>
  <c r="I194" i="1" s="1"/>
  <c r="H193" i="1"/>
  <c r="I193" i="1" s="1"/>
  <c r="H192" i="1"/>
  <c r="I192" i="1" s="1"/>
  <c r="H191" i="1"/>
  <c r="I191" i="1" s="1"/>
  <c r="H190" i="1"/>
  <c r="I190" i="1" s="1"/>
  <c r="H73" i="1"/>
  <c r="I73" i="1" s="1"/>
  <c r="H72" i="1"/>
  <c r="I72" i="1" s="1"/>
  <c r="H71" i="1"/>
  <c r="I71" i="1" s="1"/>
  <c r="H70" i="1"/>
  <c r="I70" i="1" s="1"/>
  <c r="H69" i="1"/>
  <c r="I69" i="1" s="1"/>
  <c r="H68" i="1"/>
  <c r="I68" i="1" s="1"/>
  <c r="H67" i="1"/>
  <c r="I67" i="1" s="1"/>
  <c r="H66" i="1"/>
  <c r="I66" i="1" s="1"/>
  <c r="H65" i="1"/>
  <c r="I65" i="1" s="1"/>
  <c r="H64" i="1"/>
  <c r="I64" i="1" s="1"/>
  <c r="H63" i="1"/>
  <c r="I63" i="1" s="1"/>
  <c r="H62" i="1"/>
  <c r="I62" i="1" s="1"/>
  <c r="H61" i="1"/>
  <c r="I61" i="1" s="1"/>
  <c r="H60" i="1"/>
  <c r="I60" i="1" s="1"/>
  <c r="H59" i="1"/>
  <c r="I59" i="1" s="1"/>
  <c r="H58" i="1"/>
  <c r="I58" i="1" s="1"/>
  <c r="H57" i="1"/>
  <c r="I57" i="1" s="1"/>
  <c r="H56" i="1"/>
  <c r="I56" i="1" s="1"/>
  <c r="H55" i="1"/>
  <c r="I55" i="1" s="1"/>
  <c r="H54" i="1"/>
  <c r="I54" i="1" s="1"/>
  <c r="H53" i="1"/>
  <c r="I53" i="1" s="1"/>
  <c r="H52" i="1"/>
  <c r="I52" i="1" s="1"/>
  <c r="H51" i="1"/>
  <c r="I51" i="1" s="1"/>
  <c r="H50" i="1"/>
  <c r="I50" i="1" s="1"/>
  <c r="H49" i="1"/>
  <c r="I49" i="1" s="1"/>
  <c r="H48" i="1"/>
  <c r="I48" i="1" s="1"/>
  <c r="H47" i="1"/>
  <c r="I47" i="1" s="1"/>
  <c r="H46" i="1"/>
  <c r="I46" i="1" s="1"/>
  <c r="H45" i="1"/>
  <c r="I45" i="1" s="1"/>
  <c r="H44" i="1"/>
  <c r="I44" i="1" s="1"/>
  <c r="H43" i="1"/>
  <c r="I43" i="1" s="1"/>
  <c r="H42" i="1"/>
  <c r="I42" i="1" s="1"/>
  <c r="H41" i="1"/>
  <c r="I41" i="1" s="1"/>
  <c r="H40" i="1"/>
  <c r="I40" i="1" s="1"/>
  <c r="H39" i="1"/>
  <c r="I39" i="1" s="1"/>
  <c r="H38" i="1"/>
  <c r="I38" i="1" s="1"/>
  <c r="H37" i="1"/>
  <c r="I37" i="1" s="1"/>
  <c r="H36" i="1"/>
  <c r="I36" i="1" s="1"/>
  <c r="H34" i="1"/>
  <c r="I34" i="1" s="1"/>
  <c r="H32" i="1"/>
  <c r="I32" i="1" s="1"/>
  <c r="H30" i="1"/>
  <c r="I30" i="1" s="1"/>
  <c r="H29" i="1"/>
  <c r="I29" i="1" s="1"/>
  <c r="H28" i="1"/>
  <c r="I28" i="1" s="1"/>
  <c r="H27" i="1"/>
  <c r="I27" i="1" s="1"/>
  <c r="H26" i="1"/>
  <c r="I26" i="1" s="1"/>
  <c r="H25" i="1"/>
  <c r="I25" i="1" s="1"/>
  <c r="H24" i="1"/>
  <c r="I24" i="1" s="1"/>
  <c r="H23" i="1"/>
  <c r="I23" i="1" s="1"/>
  <c r="H22" i="1"/>
  <c r="I22" i="1" s="1"/>
  <c r="H21" i="1"/>
  <c r="I21" i="1" s="1"/>
  <c r="H20" i="1"/>
  <c r="I20" i="1" s="1"/>
  <c r="H19" i="1"/>
  <c r="I19" i="1" s="1"/>
  <c r="H18" i="1"/>
  <c r="I18" i="1" s="1"/>
  <c r="H17" i="1"/>
  <c r="I17" i="1" s="1"/>
  <c r="H16" i="1"/>
  <c r="I16" i="1" s="1"/>
  <c r="H15" i="1"/>
  <c r="I15" i="1" s="1"/>
  <c r="H14" i="1"/>
  <c r="I14" i="1" s="1"/>
  <c r="H13" i="1"/>
  <c r="I13" i="1" s="1"/>
  <c r="H12" i="1"/>
  <c r="I12" i="1" s="1"/>
  <c r="H11" i="1"/>
  <c r="I11" i="1" s="1"/>
  <c r="H10" i="1"/>
  <c r="I10" i="1" s="1"/>
  <c r="H9" i="1"/>
  <c r="I9" i="1" s="1"/>
  <c r="H8" i="1"/>
  <c r="I8" i="1" s="1"/>
  <c r="H7" i="1"/>
  <c r="I7" i="1" s="1"/>
  <c r="H6" i="1"/>
  <c r="I6" i="1" s="1"/>
  <c r="H5" i="1"/>
  <c r="I5" i="1" s="1"/>
  <c r="H4" i="1"/>
  <c r="I4" i="1" s="1"/>
  <c r="H3" i="1"/>
  <c r="I3" i="1" s="1"/>
  <c r="H2" i="1"/>
  <c r="I2" i="1" s="1"/>
</calcChain>
</file>

<file path=xl/sharedStrings.xml><?xml version="1.0" encoding="utf-8"?>
<sst xmlns="http://schemas.openxmlformats.org/spreadsheetml/2006/main" count="7976" uniqueCount="4902">
  <si>
    <t>E - 보드</t>
    <phoneticPr fontId="7" type="noConversion"/>
  </si>
  <si>
    <t>800x1100</t>
  </si>
  <si>
    <t>Y01.Y02.Y03.Y05.Y06</t>
    <phoneticPr fontId="7" type="noConversion"/>
  </si>
  <si>
    <t>Y07.Y08</t>
    <phoneticPr fontId="7" type="noConversion"/>
  </si>
  <si>
    <t>D05</t>
    <phoneticPr fontId="7" type="noConversion"/>
  </si>
  <si>
    <t>K03</t>
  </si>
  <si>
    <t>N05</t>
    <phoneticPr fontId="7" type="noConversion"/>
  </si>
  <si>
    <t>W01</t>
    <phoneticPr fontId="7" type="noConversion"/>
  </si>
  <si>
    <t>P10.P11.P12</t>
    <phoneticPr fontId="7" type="noConversion"/>
  </si>
  <si>
    <t>D02.D03.B07</t>
    <phoneticPr fontId="7" type="noConversion"/>
  </si>
  <si>
    <t>CL01.CL02.CL03</t>
    <phoneticPr fontId="7" type="noConversion"/>
  </si>
  <si>
    <t>B04</t>
    <phoneticPr fontId="7" type="noConversion"/>
  </si>
  <si>
    <t>D04</t>
    <phoneticPr fontId="7" type="noConversion"/>
  </si>
  <si>
    <t>N04</t>
    <phoneticPr fontId="7" type="noConversion"/>
  </si>
  <si>
    <t>Y04</t>
    <phoneticPr fontId="7" type="noConversion"/>
  </si>
  <si>
    <t xml:space="preserve">G03 </t>
    <phoneticPr fontId="7" type="noConversion"/>
  </si>
  <si>
    <t>G03</t>
    <phoneticPr fontId="7" type="noConversion"/>
  </si>
  <si>
    <t>G04</t>
    <phoneticPr fontId="7" type="noConversion"/>
  </si>
  <si>
    <t>G04</t>
  </si>
  <si>
    <t>GA크라프트보드
(지에이크라프트보드)</t>
    <phoneticPr fontId="7" type="noConversion"/>
  </si>
  <si>
    <t>800x1100</t>
    <phoneticPr fontId="7" type="noConversion"/>
  </si>
  <si>
    <t>GA파일
(지에이파일)</t>
    <phoneticPr fontId="4" type="noConversion"/>
  </si>
  <si>
    <t>1091x788</t>
  </si>
  <si>
    <t>360~362.365</t>
    <phoneticPr fontId="4" type="noConversion"/>
  </si>
  <si>
    <t>363.366.367</t>
    <phoneticPr fontId="4" type="noConversion"/>
  </si>
  <si>
    <t>364</t>
    <phoneticPr fontId="4" type="noConversion"/>
  </si>
  <si>
    <t>IJ하이브리드</t>
    <phoneticPr fontId="4" type="noConversion"/>
  </si>
  <si>
    <t>788x1091</t>
    <phoneticPr fontId="4" type="noConversion"/>
  </si>
  <si>
    <t>939x636</t>
    <phoneticPr fontId="4" type="noConversion"/>
  </si>
  <si>
    <t>Leather Paper</t>
    <phoneticPr fontId="7" type="noConversion"/>
  </si>
  <si>
    <t>1070x50M</t>
    <phoneticPr fontId="7" type="noConversion"/>
  </si>
  <si>
    <t>KX(나머지).RC</t>
    <phoneticPr fontId="7" type="noConversion"/>
  </si>
  <si>
    <t>KX(015남색.BLACK)</t>
    <phoneticPr fontId="7" type="noConversion"/>
  </si>
  <si>
    <t>LP매트</t>
    <phoneticPr fontId="7" type="noConversion"/>
  </si>
  <si>
    <t>600x800</t>
    <phoneticPr fontId="7" type="noConversion"/>
  </si>
  <si>
    <t>NS보드</t>
    <phoneticPr fontId="7" type="noConversion"/>
  </si>
  <si>
    <t>7</t>
    <phoneticPr fontId="7" type="noConversion"/>
  </si>
  <si>
    <t>8</t>
    <phoneticPr fontId="7" type="noConversion"/>
  </si>
  <si>
    <t>9</t>
    <phoneticPr fontId="7" type="noConversion"/>
  </si>
  <si>
    <t>11</t>
    <phoneticPr fontId="7" type="noConversion"/>
  </si>
  <si>
    <t>13</t>
    <phoneticPr fontId="7" type="noConversion"/>
  </si>
  <si>
    <t>14</t>
    <phoneticPr fontId="7" type="noConversion"/>
  </si>
  <si>
    <t>15</t>
    <phoneticPr fontId="7" type="noConversion"/>
  </si>
  <si>
    <t>17</t>
    <phoneticPr fontId="7" type="noConversion"/>
  </si>
  <si>
    <t>19</t>
    <phoneticPr fontId="7" type="noConversion"/>
  </si>
  <si>
    <t>7 (벌크)</t>
    <phoneticPr fontId="7" type="noConversion"/>
  </si>
  <si>
    <t>8 (벌크)</t>
    <phoneticPr fontId="7" type="noConversion"/>
  </si>
  <si>
    <t>9 (벌크)</t>
    <phoneticPr fontId="7" type="noConversion"/>
  </si>
  <si>
    <t>11 (벌크)</t>
    <phoneticPr fontId="7" type="noConversion"/>
  </si>
  <si>
    <t>13 (벌크)</t>
    <phoneticPr fontId="7" type="noConversion"/>
  </si>
  <si>
    <t>14 (벌크)</t>
    <phoneticPr fontId="7" type="noConversion"/>
  </si>
  <si>
    <t>15 (벌크)</t>
    <phoneticPr fontId="7" type="noConversion"/>
  </si>
  <si>
    <t>17 (벌크)</t>
    <phoneticPr fontId="7" type="noConversion"/>
  </si>
  <si>
    <t>19 (벌크)</t>
    <phoneticPr fontId="7" type="noConversion"/>
  </si>
  <si>
    <t>22 / NPCC</t>
    <phoneticPr fontId="7" type="noConversion"/>
  </si>
  <si>
    <t>24 / NPCC</t>
    <phoneticPr fontId="7" type="noConversion"/>
  </si>
  <si>
    <t>28 / NPCC</t>
    <phoneticPr fontId="7" type="noConversion"/>
  </si>
  <si>
    <t>22 (벌크) / NPCC</t>
    <phoneticPr fontId="7" type="noConversion"/>
  </si>
  <si>
    <t>24 (벌크) / NPCC</t>
    <phoneticPr fontId="7" type="noConversion"/>
  </si>
  <si>
    <t>28 (벌크) / NPCC</t>
    <phoneticPr fontId="7" type="noConversion"/>
  </si>
  <si>
    <t>OA팬시페이퍼</t>
    <phoneticPr fontId="4" type="noConversion"/>
  </si>
  <si>
    <t>A4</t>
    <phoneticPr fontId="4" type="noConversion"/>
  </si>
  <si>
    <t>(점보) P계열</t>
    <phoneticPr fontId="7" type="noConversion"/>
  </si>
  <si>
    <t>(점보) P계열.A계열</t>
    <phoneticPr fontId="7" type="noConversion"/>
  </si>
  <si>
    <t>(점보) P계열.A계열</t>
  </si>
  <si>
    <t>(점보) K계열</t>
    <phoneticPr fontId="7" type="noConversion"/>
  </si>
  <si>
    <t>(점보) P계열</t>
  </si>
  <si>
    <t>(점보) P25</t>
  </si>
  <si>
    <t>(점보) J계열</t>
  </si>
  <si>
    <t>K계열</t>
  </si>
  <si>
    <t>P계열</t>
  </si>
  <si>
    <t>Q계열</t>
  </si>
  <si>
    <t>75</t>
    <phoneticPr fontId="7" type="noConversion"/>
  </si>
  <si>
    <t>(점보) Q계열</t>
    <phoneticPr fontId="7" type="noConversion"/>
  </si>
  <si>
    <t>(점보) PS계열(사탕수수)</t>
    <phoneticPr fontId="7" type="noConversion"/>
  </si>
  <si>
    <t>PS계열(사탕수수)</t>
    <phoneticPr fontId="7" type="noConversion"/>
  </si>
  <si>
    <t>(점보) K계열</t>
  </si>
  <si>
    <t>(점보) M계열</t>
  </si>
  <si>
    <t>M계열</t>
  </si>
  <si>
    <t>(점보) R계열</t>
    <phoneticPr fontId="7" type="noConversion"/>
  </si>
  <si>
    <t>R계열</t>
  </si>
  <si>
    <t>A3</t>
    <phoneticPr fontId="4" type="noConversion"/>
  </si>
  <si>
    <t>K계열</t>
    <phoneticPr fontId="4" type="noConversion"/>
  </si>
  <si>
    <t>M계열</t>
    <phoneticPr fontId="4" type="noConversion"/>
  </si>
  <si>
    <t>R계열</t>
    <phoneticPr fontId="4" type="noConversion"/>
  </si>
  <si>
    <t>고쿠요</t>
    <phoneticPr fontId="7" type="noConversion"/>
  </si>
  <si>
    <t>65x142</t>
    <phoneticPr fontId="7" type="noConversion"/>
  </si>
  <si>
    <t>가위 001.002(어린이)</t>
    <phoneticPr fontId="7" type="noConversion"/>
  </si>
  <si>
    <t>75x174</t>
  </si>
  <si>
    <t>가위 003~007</t>
    <phoneticPr fontId="7" type="noConversion"/>
  </si>
  <si>
    <t>72x177</t>
  </si>
  <si>
    <t>가위 008.009(칼겸용)</t>
    <phoneticPr fontId="7" type="noConversion"/>
  </si>
  <si>
    <t>75x174</t>
    <phoneticPr fontId="7" type="noConversion"/>
  </si>
  <si>
    <t>가위 010~012(불소코팅)</t>
    <phoneticPr fontId="7" type="noConversion"/>
  </si>
  <si>
    <t>110mm(날42mm)</t>
    <phoneticPr fontId="7" type="noConversion"/>
  </si>
  <si>
    <t>가위 013~018(휴대용)</t>
    <phoneticPr fontId="7" type="noConversion"/>
  </si>
  <si>
    <t>121x60</t>
    <phoneticPr fontId="7" type="noConversion"/>
  </si>
  <si>
    <t>가위 019.020(어린이첫가위)</t>
    <phoneticPr fontId="7" type="noConversion"/>
  </si>
  <si>
    <t>113x35</t>
    <phoneticPr fontId="7" type="noConversion"/>
  </si>
  <si>
    <t>휴대가위 001(칼겸용슬라이드)</t>
    <phoneticPr fontId="7" type="noConversion"/>
  </si>
  <si>
    <t>휴대가위 002.003(칼겸용슬라이드)</t>
    <phoneticPr fontId="7" type="noConversion"/>
  </si>
  <si>
    <t>189x83</t>
    <phoneticPr fontId="7" type="noConversion"/>
  </si>
  <si>
    <t>만능가위</t>
    <phoneticPr fontId="7" type="noConversion"/>
  </si>
  <si>
    <t>A5</t>
    <phoneticPr fontId="7" type="noConversion"/>
  </si>
  <si>
    <t>노트 001.003(일반선)</t>
    <phoneticPr fontId="7" type="noConversion"/>
  </si>
  <si>
    <t>노트 002.004(도트선)</t>
    <phoneticPr fontId="7" type="noConversion"/>
  </si>
  <si>
    <t>노트 005(방안선)</t>
    <phoneticPr fontId="7" type="noConversion"/>
  </si>
  <si>
    <t>노트 006(도트선)</t>
    <phoneticPr fontId="7" type="noConversion"/>
  </si>
  <si>
    <t>노트 007(무지)</t>
    <phoneticPr fontId="7" type="noConversion"/>
  </si>
  <si>
    <t>A4</t>
    <phoneticPr fontId="7" type="noConversion"/>
  </si>
  <si>
    <t>노트 010(도트선).013(방안선)</t>
    <phoneticPr fontId="7" type="noConversion"/>
  </si>
  <si>
    <t>노트 011.012(도트선)</t>
    <phoneticPr fontId="7" type="noConversion"/>
  </si>
  <si>
    <t>노트 014(방안선)</t>
    <phoneticPr fontId="7" type="noConversion"/>
  </si>
  <si>
    <t>노트 015(무지)</t>
    <phoneticPr fontId="7" type="noConversion"/>
  </si>
  <si>
    <t>노트 016.017(일반선)</t>
    <phoneticPr fontId="7" type="noConversion"/>
  </si>
  <si>
    <t>노트 018~020(도트선)</t>
    <phoneticPr fontId="7" type="noConversion"/>
  </si>
  <si>
    <t>B5</t>
    <phoneticPr fontId="7" type="noConversion"/>
  </si>
  <si>
    <t>노트 008(방안선)</t>
    <phoneticPr fontId="7" type="noConversion"/>
  </si>
  <si>
    <t>노트 009(무지)</t>
    <phoneticPr fontId="7" type="noConversion"/>
  </si>
  <si>
    <t>노트 021.023(일반선)</t>
    <phoneticPr fontId="7" type="noConversion"/>
  </si>
  <si>
    <t>노트 022.024~034(도트선)</t>
    <phoneticPr fontId="7" type="noConversion"/>
  </si>
  <si>
    <t>노트 035(방안선).036(무지)</t>
    <phoneticPr fontId="7" type="noConversion"/>
  </si>
  <si>
    <t>노트 037(도트선)</t>
    <phoneticPr fontId="7" type="noConversion"/>
  </si>
  <si>
    <t>캠퍼스플랫노트 A001~003.B001~003</t>
    <phoneticPr fontId="7" type="noConversion"/>
  </si>
  <si>
    <t>캠퍼스플랫노트 A004.B004</t>
    <phoneticPr fontId="7" type="noConversion"/>
  </si>
  <si>
    <t>68x4x96</t>
    <phoneticPr fontId="7" type="noConversion"/>
  </si>
  <si>
    <t>노트라벨 001~004</t>
    <phoneticPr fontId="7" type="noConversion"/>
  </si>
  <si>
    <t>루즈리프*플래너 001.003.004</t>
    <phoneticPr fontId="7" type="noConversion"/>
  </si>
  <si>
    <t>루즈리프*플래너 002</t>
    <phoneticPr fontId="7" type="noConversion"/>
  </si>
  <si>
    <t>루즈리프 011.013.015.016</t>
    <phoneticPr fontId="7" type="noConversion"/>
  </si>
  <si>
    <t>루즈리프 012.014</t>
    <phoneticPr fontId="7" type="noConversion"/>
  </si>
  <si>
    <t>루즈리프 005~008</t>
    <phoneticPr fontId="7" type="noConversion"/>
  </si>
  <si>
    <t>루즈리프 009.010</t>
    <phoneticPr fontId="7" type="noConversion"/>
  </si>
  <si>
    <t>87x200</t>
    <phoneticPr fontId="7" type="noConversion"/>
  </si>
  <si>
    <t>마크타스 001.002</t>
    <phoneticPr fontId="7" type="noConversion"/>
  </si>
  <si>
    <t>105x193</t>
    <phoneticPr fontId="7" type="noConversion"/>
  </si>
  <si>
    <t>마크타스 003</t>
    <phoneticPr fontId="7" type="noConversion"/>
  </si>
  <si>
    <t>바인더 011~018</t>
    <phoneticPr fontId="7" type="noConversion"/>
  </si>
  <si>
    <t>76x45x60</t>
    <phoneticPr fontId="7" type="noConversion"/>
  </si>
  <si>
    <t>보빈 001</t>
    <phoneticPr fontId="7" type="noConversion"/>
  </si>
  <si>
    <t>21x21x18</t>
    <phoneticPr fontId="7" type="noConversion"/>
  </si>
  <si>
    <t>보빈 002</t>
    <phoneticPr fontId="7" type="noConversion"/>
  </si>
  <si>
    <t>30x23x22</t>
    <phoneticPr fontId="7" type="noConversion"/>
  </si>
  <si>
    <t>보빈 003~005</t>
    <phoneticPr fontId="7" type="noConversion"/>
  </si>
  <si>
    <t>38x38x24</t>
    <phoneticPr fontId="7" type="noConversion"/>
  </si>
  <si>
    <t>보빈 006~008</t>
    <phoneticPr fontId="7" type="noConversion"/>
  </si>
  <si>
    <t>15x131</t>
    <phoneticPr fontId="7" type="noConversion"/>
  </si>
  <si>
    <t>비틀팁 비비드001.소프트006.007</t>
    <phoneticPr fontId="7" type="noConversion"/>
  </si>
  <si>
    <t>비틀팁 비비드002.003.소프트005</t>
    <phoneticPr fontId="7" type="noConversion"/>
  </si>
  <si>
    <t>46x132</t>
    <phoneticPr fontId="7" type="noConversion"/>
  </si>
  <si>
    <t>비틀팁 비비드004.소프트008</t>
    <phoneticPr fontId="7" type="noConversion"/>
  </si>
  <si>
    <t>소프트링 001.003</t>
    <phoneticPr fontId="7" type="noConversion"/>
  </si>
  <si>
    <t>소프트링 002</t>
    <phoneticPr fontId="7" type="noConversion"/>
  </si>
  <si>
    <t>소프트링 009.010.012.023~025.029~031</t>
    <phoneticPr fontId="7" type="noConversion"/>
  </si>
  <si>
    <t>소프트링 013.014</t>
    <phoneticPr fontId="7" type="noConversion"/>
  </si>
  <si>
    <t>소프트링 007.008.011</t>
    <phoneticPr fontId="7" type="noConversion"/>
  </si>
  <si>
    <t>소프트링 004.006</t>
    <phoneticPr fontId="7" type="noConversion"/>
  </si>
  <si>
    <t>소프트링 005</t>
    <phoneticPr fontId="7" type="noConversion"/>
  </si>
  <si>
    <t>소프트링 017.020~022.026~028.032~034</t>
    <phoneticPr fontId="7" type="noConversion"/>
  </si>
  <si>
    <t>소프트링 018</t>
    <phoneticPr fontId="7" type="noConversion"/>
  </si>
  <si>
    <t>소프트링 015.016.019</t>
    <phoneticPr fontId="7" type="noConversion"/>
  </si>
  <si>
    <t>스마트링 001~005</t>
    <phoneticPr fontId="7" type="noConversion"/>
  </si>
  <si>
    <t>스마트링 006</t>
    <phoneticPr fontId="7" type="noConversion"/>
  </si>
  <si>
    <t>스마트링 007~011</t>
    <phoneticPr fontId="7" type="noConversion"/>
  </si>
  <si>
    <t>시스테믹 001.002</t>
    <phoneticPr fontId="7" type="noConversion"/>
  </si>
  <si>
    <t>시스테믹 003.004</t>
    <phoneticPr fontId="7" type="noConversion"/>
  </si>
  <si>
    <t>시스테믹 005.006</t>
    <phoneticPr fontId="7" type="noConversion"/>
  </si>
  <si>
    <t>시스테믹 007</t>
    <phoneticPr fontId="7" type="noConversion"/>
  </si>
  <si>
    <t>시스테믹 008</t>
    <phoneticPr fontId="7" type="noConversion"/>
  </si>
  <si>
    <t>13x142</t>
    <phoneticPr fontId="7" type="noConversion"/>
  </si>
  <si>
    <t>암기용펜 001</t>
    <phoneticPr fontId="7" type="noConversion"/>
  </si>
  <si>
    <t>115x184</t>
    <phoneticPr fontId="7" type="noConversion"/>
  </si>
  <si>
    <t>암기용펜 002</t>
    <phoneticPr fontId="7" type="noConversion"/>
  </si>
  <si>
    <t>암기용펜 003</t>
    <phoneticPr fontId="7" type="noConversion"/>
  </si>
  <si>
    <t>13x120</t>
    <phoneticPr fontId="7" type="noConversion"/>
  </si>
  <si>
    <t>암기용펜 004</t>
    <phoneticPr fontId="7" type="noConversion"/>
  </si>
  <si>
    <t>200x25</t>
    <phoneticPr fontId="7" type="noConversion"/>
  </si>
  <si>
    <t>엔피츠샤프 001~011</t>
    <phoneticPr fontId="7" type="noConversion"/>
  </si>
  <si>
    <t>22x119</t>
    <phoneticPr fontId="7" type="noConversion"/>
  </si>
  <si>
    <t>커터 001~004</t>
    <phoneticPr fontId="7" type="noConversion"/>
  </si>
  <si>
    <t>20x40</t>
    <phoneticPr fontId="7" type="noConversion"/>
  </si>
  <si>
    <t>클립커터 001~003</t>
    <phoneticPr fontId="7" type="noConversion"/>
  </si>
  <si>
    <t>20x48</t>
    <phoneticPr fontId="7" type="noConversion"/>
  </si>
  <si>
    <t>클립커터 004~006</t>
    <phoneticPr fontId="7" type="noConversion"/>
  </si>
  <si>
    <t>트윈링 001~003</t>
    <phoneticPr fontId="7" type="noConversion"/>
  </si>
  <si>
    <t>트윈링 004.005</t>
    <phoneticPr fontId="7" type="noConversion"/>
  </si>
  <si>
    <t>트윈링 006</t>
    <phoneticPr fontId="7" type="noConversion"/>
  </si>
  <si>
    <t>패드 001</t>
    <phoneticPr fontId="7" type="noConversion"/>
  </si>
  <si>
    <t>패드 002</t>
  </si>
  <si>
    <t>패드 003</t>
  </si>
  <si>
    <t>35x77</t>
    <phoneticPr fontId="7" type="noConversion"/>
  </si>
  <si>
    <t>풀테이프 011</t>
    <phoneticPr fontId="7" type="noConversion"/>
  </si>
  <si>
    <t>26x120</t>
    <phoneticPr fontId="7" type="noConversion"/>
  </si>
  <si>
    <t>풀테이프 015.016</t>
    <phoneticPr fontId="7" type="noConversion"/>
  </si>
  <si>
    <t>31x91</t>
    <phoneticPr fontId="7" type="noConversion"/>
  </si>
  <si>
    <t>풀테이프 017</t>
    <phoneticPr fontId="7" type="noConversion"/>
  </si>
  <si>
    <t>27x71</t>
    <phoneticPr fontId="7" type="noConversion"/>
  </si>
  <si>
    <t>풀테이프리필 011</t>
    <phoneticPr fontId="7" type="noConversion"/>
  </si>
  <si>
    <t>풀테이프리필 012</t>
    <phoneticPr fontId="7" type="noConversion"/>
  </si>
  <si>
    <t>22x84</t>
    <phoneticPr fontId="7" type="noConversion"/>
  </si>
  <si>
    <t>풀테이프리필 013</t>
    <phoneticPr fontId="7" type="noConversion"/>
  </si>
  <si>
    <t>24x72</t>
    <phoneticPr fontId="7" type="noConversion"/>
  </si>
  <si>
    <t>풀테이프리필 014</t>
    <phoneticPr fontId="7" type="noConversion"/>
  </si>
  <si>
    <t>190x20x100</t>
    <phoneticPr fontId="7" type="noConversion"/>
  </si>
  <si>
    <t>피프펜케이스 001~004</t>
    <phoneticPr fontId="7" type="noConversion"/>
  </si>
  <si>
    <t>34x95x85</t>
    <phoneticPr fontId="7" type="noConversion"/>
  </si>
  <si>
    <t>하리낙스 001~004</t>
    <phoneticPr fontId="7" type="noConversion"/>
  </si>
  <si>
    <t>32x121x100</t>
    <phoneticPr fontId="7" type="noConversion"/>
  </si>
  <si>
    <t>하리낙스 005~009</t>
    <phoneticPr fontId="7" type="noConversion"/>
  </si>
  <si>
    <t>27x87x53</t>
    <phoneticPr fontId="7" type="noConversion"/>
  </si>
  <si>
    <t>하리낙스 010~013</t>
    <phoneticPr fontId="7" type="noConversion"/>
  </si>
  <si>
    <t>골든캐스크슈퍼아트</t>
    <phoneticPr fontId="4" type="noConversion"/>
  </si>
  <si>
    <t>구김색지</t>
    <phoneticPr fontId="4" type="noConversion"/>
  </si>
  <si>
    <t>788x1091</t>
  </si>
  <si>
    <t>110.113.114.116.118~120.122.123.126.128.129.131</t>
    <phoneticPr fontId="7" type="noConversion"/>
  </si>
  <si>
    <t>111.112.115.117.121.124.125.127.130.132.133</t>
    <phoneticPr fontId="7" type="noConversion"/>
  </si>
  <si>
    <t>4절</t>
    <phoneticPr fontId="4" type="noConversion"/>
  </si>
  <si>
    <t>구김주름지</t>
    <phoneticPr fontId="4" type="noConversion"/>
  </si>
  <si>
    <t>1091x788</t>
    <phoneticPr fontId="7" type="noConversion"/>
  </si>
  <si>
    <t>130~132.134.136.139~143.148~153.156</t>
    <phoneticPr fontId="7" type="noConversion"/>
  </si>
  <si>
    <t>138.144.146.147.154</t>
    <phoneticPr fontId="7" type="noConversion"/>
  </si>
  <si>
    <t>145.155</t>
    <phoneticPr fontId="4" type="noConversion"/>
  </si>
  <si>
    <t>133.135</t>
    <phoneticPr fontId="7" type="noConversion"/>
  </si>
  <si>
    <t>137</t>
    <phoneticPr fontId="7" type="noConversion"/>
  </si>
  <si>
    <t>구김펄색지</t>
    <phoneticPr fontId="4" type="noConversion"/>
  </si>
  <si>
    <t>110~116.118~120.122.123.129</t>
    <phoneticPr fontId="7" type="noConversion"/>
  </si>
  <si>
    <t>117.121.124~128.130~133</t>
    <phoneticPr fontId="7" type="noConversion"/>
  </si>
  <si>
    <t>그라피에코</t>
    <phoneticPr fontId="7" type="noConversion"/>
  </si>
  <si>
    <t>111~114</t>
    <phoneticPr fontId="7" type="noConversion"/>
  </si>
  <si>
    <t>116.118~120</t>
    <phoneticPr fontId="7" type="noConversion"/>
  </si>
  <si>
    <t>121</t>
    <phoneticPr fontId="7" type="noConversion"/>
  </si>
  <si>
    <t>그문드925</t>
    <phoneticPr fontId="4" type="noConversion"/>
  </si>
  <si>
    <t>680x1000</t>
    <phoneticPr fontId="4" type="noConversion"/>
  </si>
  <si>
    <t>291</t>
    <phoneticPr fontId="4" type="noConversion"/>
  </si>
  <si>
    <t>292</t>
    <phoneticPr fontId="4" type="noConversion"/>
  </si>
  <si>
    <t>293</t>
    <phoneticPr fontId="4" type="noConversion"/>
  </si>
  <si>
    <t>700x1000</t>
    <phoneticPr fontId="4" type="noConversion"/>
  </si>
  <si>
    <t>301</t>
    <phoneticPr fontId="4" type="noConversion"/>
  </si>
  <si>
    <t>302</t>
    <phoneticPr fontId="4" type="noConversion"/>
  </si>
  <si>
    <t>303</t>
    <phoneticPr fontId="4" type="noConversion"/>
  </si>
  <si>
    <t>304</t>
    <phoneticPr fontId="4" type="noConversion"/>
  </si>
  <si>
    <t>305</t>
    <phoneticPr fontId="4" type="noConversion"/>
  </si>
  <si>
    <t>그문드라벨</t>
    <phoneticPr fontId="7" type="noConversion"/>
  </si>
  <si>
    <t>01~04</t>
    <phoneticPr fontId="7" type="noConversion"/>
  </si>
  <si>
    <t>06</t>
    <phoneticPr fontId="7" type="noConversion"/>
  </si>
  <si>
    <t>07</t>
    <phoneticPr fontId="7" type="noConversion"/>
  </si>
  <si>
    <t>08</t>
    <phoneticPr fontId="7" type="noConversion"/>
  </si>
  <si>
    <t>09</t>
    <phoneticPr fontId="7" type="noConversion"/>
  </si>
  <si>
    <t>1000x700</t>
    <phoneticPr fontId="4" type="noConversion"/>
  </si>
  <si>
    <t>01.03.04</t>
    <phoneticPr fontId="7" type="noConversion"/>
  </si>
  <si>
    <t>그문드메탈릭</t>
    <phoneticPr fontId="4" type="noConversion"/>
  </si>
  <si>
    <t>62.84</t>
    <phoneticPr fontId="4" type="noConversion"/>
  </si>
  <si>
    <t>10.59.63</t>
    <phoneticPr fontId="4" type="noConversion"/>
  </si>
  <si>
    <t>88</t>
    <phoneticPr fontId="4" type="noConversion"/>
  </si>
  <si>
    <t>그문드우드</t>
    <phoneticPr fontId="7" type="noConversion"/>
  </si>
  <si>
    <t>700x1000</t>
    <phoneticPr fontId="7" type="noConversion"/>
  </si>
  <si>
    <t>S패턴 03Limba</t>
    <phoneticPr fontId="7" type="noConversion"/>
  </si>
  <si>
    <t>S패턴 09Gingko</t>
    <phoneticPr fontId="7" type="noConversion"/>
  </si>
  <si>
    <t>S패턴 02Bubinga.04Abura.05Imbuya.07Abachi</t>
    <phoneticPr fontId="7" type="noConversion"/>
  </si>
  <si>
    <t>S패턴 01Tindalo.03Limba.08Panga</t>
    <phoneticPr fontId="7" type="noConversion"/>
  </si>
  <si>
    <t>S패턴 02Bubinga.06Chacate</t>
    <phoneticPr fontId="7" type="noConversion"/>
  </si>
  <si>
    <t>V패턴 03Limba</t>
    <phoneticPr fontId="7" type="noConversion"/>
  </si>
  <si>
    <t>V패턴 09Gingko</t>
    <phoneticPr fontId="7" type="noConversion"/>
  </si>
  <si>
    <t>V패턴 02Bubinga.04Abura.05Imbuya.07Abachi</t>
    <phoneticPr fontId="7" type="noConversion"/>
  </si>
  <si>
    <t>V패턴 01Tindalo.03Limba.08Panga</t>
    <phoneticPr fontId="7" type="noConversion"/>
  </si>
  <si>
    <t>V패턴 02Bubinga.06Chacate</t>
    <phoneticPr fontId="7" type="noConversion"/>
  </si>
  <si>
    <t>S패턴 09Gingko (양면합지)</t>
    <phoneticPr fontId="7" type="noConversion"/>
  </si>
  <si>
    <t>V패턴 09Gingko (양면합지)</t>
    <phoneticPr fontId="7" type="noConversion"/>
  </si>
  <si>
    <t>그문드유즈드</t>
    <phoneticPr fontId="7" type="noConversion"/>
  </si>
  <si>
    <t>000.001.003</t>
    <phoneticPr fontId="7" type="noConversion"/>
  </si>
  <si>
    <t>004.006.007</t>
    <phoneticPr fontId="7" type="noConversion"/>
  </si>
  <si>
    <t>002.005.008.009</t>
    <phoneticPr fontId="7" type="noConversion"/>
  </si>
  <si>
    <t>그문드커버머티리얼</t>
    <phoneticPr fontId="4" type="noConversion"/>
  </si>
  <si>
    <t>1020x700</t>
    <phoneticPr fontId="4" type="noConversion"/>
  </si>
  <si>
    <t>720x1000</t>
    <phoneticPr fontId="4" type="noConversion"/>
  </si>
  <si>
    <t>실크925 L138</t>
    <phoneticPr fontId="7" type="noConversion"/>
  </si>
  <si>
    <t>크리스털리넨 138</t>
    <phoneticPr fontId="7" type="noConversion"/>
  </si>
  <si>
    <t>그문드컬러매트</t>
    <phoneticPr fontId="4" type="noConversion"/>
  </si>
  <si>
    <t>007.027.046.049.050</t>
    <phoneticPr fontId="4" type="noConversion"/>
  </si>
  <si>
    <t>001.003.025.045</t>
    <phoneticPr fontId="4" type="noConversion"/>
  </si>
  <si>
    <t>011.012.021.044</t>
    <phoneticPr fontId="4" type="noConversion"/>
  </si>
  <si>
    <t>004.006.014.016.023.028.031.032.034~038.054.057</t>
    <phoneticPr fontId="4" type="noConversion"/>
  </si>
  <si>
    <t>010.055.059.060.063</t>
    <phoneticPr fontId="4" type="noConversion"/>
  </si>
  <si>
    <t>086</t>
    <phoneticPr fontId="4" type="noConversion"/>
  </si>
  <si>
    <t>062.084</t>
    <phoneticPr fontId="4" type="noConversion"/>
  </si>
  <si>
    <t>092.094</t>
    <phoneticPr fontId="4" type="noConversion"/>
  </si>
  <si>
    <t>090</t>
    <phoneticPr fontId="4" type="noConversion"/>
  </si>
  <si>
    <t>085</t>
    <phoneticPr fontId="4" type="noConversion"/>
  </si>
  <si>
    <t>088.093</t>
    <phoneticPr fontId="4" type="noConversion"/>
  </si>
  <si>
    <t>1000x700</t>
    <phoneticPr fontId="7" type="noConversion"/>
  </si>
  <si>
    <t>099</t>
    <phoneticPr fontId="4" type="noConversion"/>
  </si>
  <si>
    <t>071.072</t>
    <phoneticPr fontId="4" type="noConversion"/>
  </si>
  <si>
    <t>그문드컬러푸드</t>
    <phoneticPr fontId="7" type="noConversion"/>
  </si>
  <si>
    <t>007.046.049</t>
    <phoneticPr fontId="7" type="noConversion"/>
  </si>
  <si>
    <t>004.023.028.037</t>
    <phoneticPr fontId="7" type="noConversion"/>
  </si>
  <si>
    <t>010</t>
    <phoneticPr fontId="7" type="noConversion"/>
  </si>
  <si>
    <t>그문드컬러헤비</t>
    <phoneticPr fontId="7" type="noConversion"/>
  </si>
  <si>
    <t>680x980</t>
    <phoneticPr fontId="7" type="noConversion"/>
  </si>
  <si>
    <t>007.027.046.049.050</t>
    <phoneticPr fontId="7" type="noConversion"/>
  </si>
  <si>
    <t>001.003.025.045.071.072</t>
    <phoneticPr fontId="7" type="noConversion"/>
  </si>
  <si>
    <t>980x680</t>
    <phoneticPr fontId="7" type="noConversion"/>
  </si>
  <si>
    <t>099</t>
    <phoneticPr fontId="7" type="noConversion"/>
  </si>
  <si>
    <t>그문드코튼</t>
    <phoneticPr fontId="4" type="noConversion"/>
  </si>
  <si>
    <t>Max White.Linen Cream</t>
    <phoneticPr fontId="4" type="noConversion"/>
  </si>
  <si>
    <t>Grey.Gentlemen Blue</t>
    <phoneticPr fontId="4" type="noConversion"/>
  </si>
  <si>
    <t>Power Blue</t>
    <phoneticPr fontId="4" type="noConversion"/>
  </si>
  <si>
    <t>Shiny Cream</t>
    <phoneticPr fontId="4" type="noConversion"/>
  </si>
  <si>
    <t>그문드포푸드
(그문드for푸드)</t>
    <phoneticPr fontId="4" type="noConversion"/>
  </si>
  <si>
    <t>301.305</t>
    <phoneticPr fontId="4" type="noConversion"/>
  </si>
  <si>
    <t>307</t>
    <phoneticPr fontId="4" type="noConversion"/>
  </si>
  <si>
    <t>308</t>
    <phoneticPr fontId="4" type="noConversion"/>
  </si>
  <si>
    <t>311</t>
    <phoneticPr fontId="4" type="noConversion"/>
  </si>
  <si>
    <t>302.303</t>
    <phoneticPr fontId="4" type="noConversion"/>
  </si>
  <si>
    <t>글라신지</t>
    <phoneticPr fontId="7" type="noConversion"/>
  </si>
  <si>
    <t>940x636</t>
    <phoneticPr fontId="7" type="noConversion"/>
  </si>
  <si>
    <t>CHOCO</t>
    <phoneticPr fontId="7" type="noConversion"/>
  </si>
  <si>
    <t>기포지</t>
    <phoneticPr fontId="4" type="noConversion"/>
  </si>
  <si>
    <t>1100x800</t>
    <phoneticPr fontId="4" type="noConversion"/>
  </si>
  <si>
    <t>기포지 (Uncoat) Deep Rough</t>
    <phoneticPr fontId="4" type="noConversion"/>
  </si>
  <si>
    <t>기포지 (Uncoat) Light Rough</t>
    <phoneticPr fontId="4" type="noConversion"/>
  </si>
  <si>
    <t>기포지 (Uncoat) Midium Rough</t>
    <phoneticPr fontId="4" type="noConversion"/>
  </si>
  <si>
    <t>940x640</t>
    <phoneticPr fontId="4" type="noConversion"/>
  </si>
  <si>
    <t>1100x800</t>
  </si>
  <si>
    <t>흑기포지 (Coat)</t>
    <phoneticPr fontId="7" type="noConversion"/>
  </si>
  <si>
    <t>흑기포지 (Uncoat)</t>
    <phoneticPr fontId="7" type="noConversion"/>
  </si>
  <si>
    <t>940x640</t>
  </si>
  <si>
    <t>내츄럴보드</t>
    <phoneticPr fontId="7" type="noConversion"/>
  </si>
  <si>
    <t>312Kraft board</t>
    <phoneticPr fontId="7" type="noConversion"/>
  </si>
  <si>
    <t>352Kraft board</t>
    <phoneticPr fontId="7" type="noConversion"/>
  </si>
  <si>
    <t>354Power kraft</t>
    <phoneticPr fontId="7" type="noConversion"/>
  </si>
  <si>
    <t>401High board</t>
    <phoneticPr fontId="7" type="noConversion"/>
  </si>
  <si>
    <t>402Kraft board</t>
    <phoneticPr fontId="7" type="noConversion"/>
  </si>
  <si>
    <r>
      <t xml:space="preserve">네이처팩
</t>
    </r>
    <r>
      <rPr>
        <sz val="8"/>
        <rFont val="맑은 고딕"/>
        <family val="3"/>
        <charset val="129"/>
        <scheme val="minor"/>
      </rPr>
      <t>*식품 인증</t>
    </r>
    <phoneticPr fontId="7" type="noConversion"/>
  </si>
  <si>
    <t>790x1092</t>
    <phoneticPr fontId="7" type="noConversion"/>
  </si>
  <si>
    <t>(러프) 화이트</t>
    <phoneticPr fontId="7" type="noConversion"/>
  </si>
  <si>
    <t>(러프) 베이지</t>
    <phoneticPr fontId="7" type="noConversion"/>
  </si>
  <si>
    <t>939x636</t>
    <phoneticPr fontId="7" type="noConversion"/>
  </si>
  <si>
    <t>787x1092</t>
    <phoneticPr fontId="7" type="noConversion"/>
  </si>
  <si>
    <t>(스무스) 베이지</t>
    <phoneticPr fontId="7" type="noConversion"/>
  </si>
  <si>
    <t>뉴라인</t>
    <phoneticPr fontId="4" type="noConversion"/>
  </si>
  <si>
    <t>222~224</t>
    <phoneticPr fontId="4" type="noConversion"/>
  </si>
  <si>
    <t>302~304</t>
    <phoneticPr fontId="4" type="noConversion"/>
  </si>
  <si>
    <t>311.312</t>
    <phoneticPr fontId="4" type="noConversion"/>
  </si>
  <si>
    <t>1091x788</t>
    <phoneticPr fontId="4" type="noConversion"/>
  </si>
  <si>
    <t>636x939</t>
    <phoneticPr fontId="4" type="noConversion"/>
  </si>
  <si>
    <t>뉴에이프릴브라이드</t>
    <phoneticPr fontId="4" type="noConversion"/>
  </si>
  <si>
    <t>Ultra White. Max White</t>
    <phoneticPr fontId="4" type="noConversion"/>
  </si>
  <si>
    <t>939x636</t>
  </si>
  <si>
    <t>뉴즈</t>
    <phoneticPr fontId="4" type="noConversion"/>
  </si>
  <si>
    <t>M240.V241</t>
    <phoneticPr fontId="7" type="noConversion"/>
  </si>
  <si>
    <t>M300.V301</t>
    <phoneticPr fontId="7" type="noConversion"/>
  </si>
  <si>
    <t>M360.V361</t>
    <phoneticPr fontId="7" type="noConversion"/>
  </si>
  <si>
    <t>뉴칼라
(NC)</t>
    <phoneticPr fontId="4" type="noConversion"/>
  </si>
  <si>
    <t>00.01.03.06.07.10.12~14.16.17.19.21.22.25.34.37.38.41.42.44.47.53.61.63.64.66.67</t>
    <phoneticPr fontId="4" type="noConversion"/>
  </si>
  <si>
    <t>08.09.15.18.20.23.24.26.28~33.43.45.48~51.62.68</t>
    <phoneticPr fontId="4" type="noConversion"/>
  </si>
  <si>
    <t>36번 (검은색)</t>
    <phoneticPr fontId="7" type="noConversion"/>
  </si>
  <si>
    <t>50품목</t>
    <phoneticPr fontId="7" type="noConversion"/>
  </si>
  <si>
    <t>8절</t>
    <phoneticPr fontId="4" type="noConversion"/>
  </si>
  <si>
    <t>44품목</t>
    <phoneticPr fontId="7" type="noConversion"/>
  </si>
  <si>
    <r>
      <t xml:space="preserve">뉴크라프트보드
</t>
    </r>
    <r>
      <rPr>
        <sz val="8"/>
        <rFont val="맑은 고딕"/>
        <family val="3"/>
        <charset val="129"/>
        <scheme val="minor"/>
      </rPr>
      <t>*식품 인증</t>
    </r>
    <phoneticPr fontId="4" type="noConversion"/>
  </si>
  <si>
    <t>뉴클로스</t>
    <phoneticPr fontId="7" type="noConversion"/>
  </si>
  <si>
    <t>770x1091</t>
    <phoneticPr fontId="7" type="noConversion"/>
  </si>
  <si>
    <t>3패턴(D.K.S) 6색</t>
    <phoneticPr fontId="7" type="noConversion"/>
  </si>
  <si>
    <t>다이넬SG28</t>
    <phoneticPr fontId="4" type="noConversion"/>
  </si>
  <si>
    <t>1040x100M</t>
  </si>
  <si>
    <t>1040x700</t>
    <phoneticPr fontId="4" type="noConversion"/>
  </si>
  <si>
    <t>담음</t>
    <phoneticPr fontId="7" type="noConversion"/>
  </si>
  <si>
    <t>400x620x120</t>
    <phoneticPr fontId="7" type="noConversion"/>
  </si>
  <si>
    <t xml:space="preserve">大01~03 </t>
    <phoneticPr fontId="7" type="noConversion"/>
  </si>
  <si>
    <t>250x400x70</t>
    <phoneticPr fontId="7" type="noConversion"/>
  </si>
  <si>
    <t>小01~03</t>
    <phoneticPr fontId="7" type="noConversion"/>
  </si>
  <si>
    <t>대례지</t>
    <phoneticPr fontId="4" type="noConversion"/>
  </si>
  <si>
    <t>A0.A1.A2</t>
    <phoneticPr fontId="4" type="noConversion"/>
  </si>
  <si>
    <t>D0.D1.D2</t>
    <phoneticPr fontId="4" type="noConversion"/>
  </si>
  <si>
    <t>B0.B1.B2</t>
    <phoneticPr fontId="4" type="noConversion"/>
  </si>
  <si>
    <t>C0.C1</t>
    <phoneticPr fontId="4" type="noConversion"/>
  </si>
  <si>
    <t>E0.E1</t>
    <phoneticPr fontId="4" type="noConversion"/>
  </si>
  <si>
    <t>D3.D4.D5</t>
    <phoneticPr fontId="4" type="noConversion"/>
  </si>
  <si>
    <t>B3.B4.B5</t>
    <phoneticPr fontId="4" type="noConversion"/>
  </si>
  <si>
    <t>91.92.94.95</t>
    <phoneticPr fontId="4" type="noConversion"/>
  </si>
  <si>
    <t>더내추럴</t>
    <phoneticPr fontId="7" type="noConversion"/>
  </si>
  <si>
    <t>01.02.04.06.08~20</t>
    <phoneticPr fontId="7" type="noConversion"/>
  </si>
  <si>
    <t>03.05.07</t>
    <phoneticPr fontId="7" type="noConversion"/>
  </si>
  <si>
    <t>01</t>
    <phoneticPr fontId="7" type="noConversion"/>
  </si>
  <si>
    <t>03</t>
    <phoneticPr fontId="7" type="noConversion"/>
  </si>
  <si>
    <t>01.04.09.12.16.19.20</t>
    <phoneticPr fontId="7" type="noConversion"/>
  </si>
  <si>
    <t>더키스</t>
    <phoneticPr fontId="4" type="noConversion"/>
  </si>
  <si>
    <t>101화이트</t>
    <phoneticPr fontId="4" type="noConversion"/>
  </si>
  <si>
    <t>112블랙</t>
    <phoneticPr fontId="4" type="noConversion"/>
  </si>
  <si>
    <t>301화이트.302내추럴.303크림</t>
    <phoneticPr fontId="4" type="noConversion"/>
  </si>
  <si>
    <t>304그레이.305오렌지.306핑크.308그린</t>
    <phoneticPr fontId="4" type="noConversion"/>
  </si>
  <si>
    <t>307레드.311다크그레이</t>
    <phoneticPr fontId="4" type="noConversion"/>
  </si>
  <si>
    <t>309퍼플.310블루.312블랙</t>
    <phoneticPr fontId="4" type="noConversion"/>
  </si>
  <si>
    <t>401화이트</t>
    <phoneticPr fontId="4" type="noConversion"/>
  </si>
  <si>
    <t>412블랙</t>
    <phoneticPr fontId="4" type="noConversion"/>
  </si>
  <si>
    <t>돌비늘지</t>
    <phoneticPr fontId="4" type="noConversion"/>
  </si>
  <si>
    <t>S150</t>
    <phoneticPr fontId="4" type="noConversion"/>
  </si>
  <si>
    <t>A180</t>
    <phoneticPr fontId="4" type="noConversion"/>
  </si>
  <si>
    <t>PL180</t>
    <phoneticPr fontId="4" type="noConversion"/>
  </si>
  <si>
    <t>SR180</t>
    <phoneticPr fontId="4" type="noConversion"/>
  </si>
  <si>
    <t>P190</t>
    <phoneticPr fontId="7" type="noConversion"/>
  </si>
  <si>
    <t>F210</t>
    <phoneticPr fontId="4" type="noConversion"/>
  </si>
  <si>
    <t>R215</t>
    <phoneticPr fontId="4" type="noConversion"/>
  </si>
  <si>
    <t>두성디지털인쇄용지
(DDP)</t>
    <phoneticPr fontId="7" type="noConversion"/>
  </si>
  <si>
    <t>460x320</t>
  </si>
  <si>
    <t>스타드림 240Silver.241Quartz.243Gold.264Crystal</t>
    <phoneticPr fontId="7" type="noConversion"/>
  </si>
  <si>
    <t>유포YPI</t>
  </si>
  <si>
    <t>옥토퍼스유포XAD1058</t>
    <phoneticPr fontId="7" type="noConversion"/>
  </si>
  <si>
    <t>530x750</t>
  </si>
  <si>
    <t>464x315</t>
  </si>
  <si>
    <t>IJ하이브리드</t>
    <phoneticPr fontId="7" type="noConversion"/>
  </si>
  <si>
    <t>골든캐스크슈퍼아트</t>
  </si>
  <si>
    <t>320x457</t>
  </si>
  <si>
    <t>그문드디지털CM.CS.WS</t>
    <phoneticPr fontId="7" type="noConversion"/>
  </si>
  <si>
    <t>457x320</t>
  </si>
  <si>
    <t xml:space="preserve">그문드디지털CM </t>
  </si>
  <si>
    <t>그문드디지털CS</t>
    <phoneticPr fontId="7" type="noConversion"/>
  </si>
  <si>
    <t>그문드디지털271.272.274</t>
    <phoneticPr fontId="7" type="noConversion"/>
  </si>
  <si>
    <t>그문드디지털275~279</t>
    <phoneticPr fontId="7" type="noConversion"/>
  </si>
  <si>
    <t>315x464</t>
  </si>
  <si>
    <t>대례지C1</t>
  </si>
  <si>
    <t>457x305</t>
  </si>
  <si>
    <t>루프잉스웰버티컬EW.EC</t>
    <phoneticPr fontId="7" type="noConversion"/>
  </si>
  <si>
    <t>루프잉스웰버티컬EC</t>
  </si>
  <si>
    <t>매쉬멜로우W</t>
  </si>
  <si>
    <t>루미네센스MW</t>
  </si>
  <si>
    <t>메리트W</t>
  </si>
  <si>
    <t>320x460</t>
  </si>
  <si>
    <t>모딜리아니Candido</t>
  </si>
  <si>
    <t>문켄폴라ID</t>
  </si>
  <si>
    <t>반누보W</t>
    <phoneticPr fontId="7" type="noConversion"/>
  </si>
  <si>
    <t>반누보SW.W</t>
    <phoneticPr fontId="7" type="noConversion"/>
  </si>
  <si>
    <t>반누보SW</t>
    <phoneticPr fontId="7" type="noConversion"/>
  </si>
  <si>
    <t>솔루션펠트SW.W</t>
    <phoneticPr fontId="7" type="noConversion"/>
  </si>
  <si>
    <t>솔루션린넨SW.W</t>
    <phoneticPr fontId="7" type="noConversion"/>
  </si>
  <si>
    <t>솔루션린넨W</t>
    <phoneticPr fontId="7" type="noConversion"/>
  </si>
  <si>
    <t>솔루션린넨SW</t>
  </si>
  <si>
    <t>스타더스트01</t>
  </si>
  <si>
    <t>스노우크리스탈</t>
  </si>
  <si>
    <t>스타드림 120Silver.121Quartz.123Gold.144Crystal</t>
    <phoneticPr fontId="7" type="noConversion"/>
  </si>
  <si>
    <t>씨에라</t>
  </si>
  <si>
    <t>악틱매트</t>
  </si>
  <si>
    <t>에어러스</t>
  </si>
  <si>
    <t>에브리데이G.S</t>
    <phoneticPr fontId="7" type="noConversion"/>
  </si>
  <si>
    <t>330x483</t>
  </si>
  <si>
    <t>옵션스무스</t>
  </si>
  <si>
    <t>483x330</t>
  </si>
  <si>
    <t>유포BLUE</t>
  </si>
  <si>
    <t>464x315</t>
    <phoneticPr fontId="7" type="noConversion"/>
  </si>
  <si>
    <t>인버코트M.G</t>
    <phoneticPr fontId="7" type="noConversion"/>
  </si>
  <si>
    <t>450x320</t>
  </si>
  <si>
    <t>인버코트C</t>
  </si>
  <si>
    <t>뉴인버코트G</t>
  </si>
  <si>
    <t>페르라SW</t>
  </si>
  <si>
    <t>젠틀페이스W</t>
  </si>
  <si>
    <t>두성디지털프린트페이퍼
(DDP)</t>
    <phoneticPr fontId="4" type="noConversion"/>
  </si>
  <si>
    <t>401 하이브리드</t>
  </si>
  <si>
    <t>402 하이브리드</t>
  </si>
  <si>
    <t>403 하이브리드</t>
  </si>
  <si>
    <t>404.407 매쉬W.N</t>
    <phoneticPr fontId="7" type="noConversion"/>
  </si>
  <si>
    <t>405 매쉬W</t>
    <phoneticPr fontId="7" type="noConversion"/>
  </si>
  <si>
    <t>406 매쉬W</t>
  </si>
  <si>
    <t>408 매쉬N</t>
  </si>
  <si>
    <t>409 매쉬N</t>
  </si>
  <si>
    <t>410 스타더스트</t>
  </si>
  <si>
    <t>411 스타더스트</t>
    <phoneticPr fontId="7" type="noConversion"/>
  </si>
  <si>
    <t>412 스타더스트</t>
    <phoneticPr fontId="7" type="noConversion"/>
  </si>
  <si>
    <t>423 인의예지-구름</t>
    <phoneticPr fontId="7" type="noConversion"/>
  </si>
  <si>
    <t>424 인의예지-구름</t>
  </si>
  <si>
    <t>426 인의예지-옛생각</t>
    <phoneticPr fontId="7" type="noConversion"/>
  </si>
  <si>
    <t>427~433 일루미IJ</t>
    <phoneticPr fontId="7" type="noConversion"/>
  </si>
  <si>
    <r>
      <t xml:space="preserve">두성컬러팩
</t>
    </r>
    <r>
      <rPr>
        <sz val="8"/>
        <rFont val="맑은 고딕"/>
        <family val="3"/>
        <charset val="129"/>
        <scheme val="minor"/>
      </rPr>
      <t>(구)두성칼라화일</t>
    </r>
    <phoneticPr fontId="4" type="noConversion"/>
  </si>
  <si>
    <t>151.152</t>
    <phoneticPr fontId="4" type="noConversion"/>
  </si>
  <si>
    <t>185</t>
    <phoneticPr fontId="7" type="noConversion"/>
  </si>
  <si>
    <t>186.187</t>
    <phoneticPr fontId="7" type="noConversion"/>
  </si>
  <si>
    <t>200</t>
    <phoneticPr fontId="4" type="noConversion"/>
  </si>
  <si>
    <t>201.202</t>
    <phoneticPr fontId="4" type="noConversion"/>
  </si>
  <si>
    <t>235</t>
    <phoneticPr fontId="7" type="noConversion"/>
  </si>
  <si>
    <t>236.237</t>
    <phoneticPr fontId="7" type="noConversion"/>
  </si>
  <si>
    <t>260</t>
    <phoneticPr fontId="4" type="noConversion"/>
  </si>
  <si>
    <t>261.262</t>
    <phoneticPr fontId="4" type="noConversion"/>
  </si>
  <si>
    <t>295</t>
    <phoneticPr fontId="7" type="noConversion"/>
  </si>
  <si>
    <t>296.297</t>
    <phoneticPr fontId="7" type="noConversion"/>
  </si>
  <si>
    <t>301~307.309~311.313~315.317.321~323.325.326.329~331.333.334</t>
    <phoneticPr fontId="4" type="noConversion"/>
  </si>
  <si>
    <t>308.312.316.318~320.324.327.328.332</t>
    <phoneticPr fontId="4" type="noConversion"/>
  </si>
  <si>
    <t>300</t>
    <phoneticPr fontId="4" type="noConversion"/>
  </si>
  <si>
    <t>335</t>
    <phoneticPr fontId="7" type="noConversion"/>
  </si>
  <si>
    <t>336.337</t>
    <phoneticPr fontId="7" type="noConversion"/>
  </si>
  <si>
    <t>360</t>
    <phoneticPr fontId="4" type="noConversion"/>
  </si>
  <si>
    <t>361.362.365.393.394</t>
    <phoneticPr fontId="4" type="noConversion"/>
  </si>
  <si>
    <t>368.376.378.379.384</t>
    <phoneticPr fontId="7" type="noConversion"/>
  </si>
  <si>
    <t>395</t>
    <phoneticPr fontId="7" type="noConversion"/>
  </si>
  <si>
    <t>396.397</t>
    <phoneticPr fontId="7" type="noConversion"/>
  </si>
  <si>
    <t>420</t>
    <phoneticPr fontId="4" type="noConversion"/>
  </si>
  <si>
    <t>421.422</t>
    <phoneticPr fontId="4" type="noConversion"/>
  </si>
  <si>
    <t>455</t>
    <phoneticPr fontId="7" type="noConversion"/>
  </si>
  <si>
    <t>456.457</t>
    <phoneticPr fontId="7" type="noConversion"/>
  </si>
  <si>
    <t>460</t>
    <phoneticPr fontId="4" type="noConversion"/>
  </si>
  <si>
    <t>461.462</t>
    <phoneticPr fontId="4" type="noConversion"/>
  </si>
  <si>
    <t>495</t>
    <phoneticPr fontId="7" type="noConversion"/>
  </si>
  <si>
    <t>496.497</t>
    <phoneticPr fontId="7" type="noConversion"/>
  </si>
  <si>
    <t>디에스레이드 (DSL)</t>
    <phoneticPr fontId="7" type="noConversion"/>
  </si>
  <si>
    <t>09.17.25.32</t>
    <phoneticPr fontId="7" type="noConversion"/>
  </si>
  <si>
    <t>디에스프린스
(DSP)</t>
    <phoneticPr fontId="4" type="noConversion"/>
  </si>
  <si>
    <t>디자이너스칼라
(DC)</t>
    <phoneticPr fontId="4" type="noConversion"/>
  </si>
  <si>
    <t>D54.58.59.61.H72.L열.N07~13.50.55~62.O열.P열.S03~08.Y06.08.11~13</t>
    <phoneticPr fontId="7" type="noConversion"/>
  </si>
  <si>
    <t>D50.52.53.55.57.63.65.67.69.70.H50.58.64.70.N01.51~54.63~73.S02.Y10</t>
    <phoneticPr fontId="7" type="noConversion"/>
  </si>
  <si>
    <t>B열.C열.E열.F열.G열.M열.N03~06.R열.Y03~05</t>
    <phoneticPr fontId="7" type="noConversion"/>
  </si>
  <si>
    <t>H53.61.N02.S10~13.X열</t>
    <phoneticPr fontId="7" type="noConversion"/>
  </si>
  <si>
    <t>I열</t>
    <phoneticPr fontId="7" type="noConversion"/>
  </si>
  <si>
    <t>V열</t>
    <phoneticPr fontId="7" type="noConversion"/>
  </si>
  <si>
    <t>B열.C열.D54.58.59.61.E열.F열.G열.H72.L열.M열</t>
    <phoneticPr fontId="7" type="noConversion"/>
  </si>
  <si>
    <t>N03~13.50.55~62.O열.P열.R열.S03~08.Y03~06.08.11~13</t>
    <phoneticPr fontId="7" type="noConversion"/>
  </si>
  <si>
    <t>D50.52.53.55.57.63.65.67.69.70.H50.53.58.61.64.70</t>
    <phoneticPr fontId="7" type="noConversion"/>
  </si>
  <si>
    <t>N01.02.51~54.63~73.S02.10~13.X열.Y10</t>
    <phoneticPr fontId="7" type="noConversion"/>
  </si>
  <si>
    <t>L열.N03~13.56.58.61.P열.R05.S03.05.07.08.Y06.Y11</t>
    <phoneticPr fontId="7" type="noConversion"/>
  </si>
  <si>
    <t>H열.N01.02.52~54.63.65.68.70~72.S02.Y10</t>
    <phoneticPr fontId="7" type="noConversion"/>
  </si>
  <si>
    <t>N07</t>
    <phoneticPr fontId="7" type="noConversion"/>
  </si>
  <si>
    <t>66색상</t>
    <phoneticPr fontId="4" type="noConversion"/>
  </si>
  <si>
    <t>34색상</t>
    <phoneticPr fontId="4" type="noConversion"/>
  </si>
  <si>
    <t>A4</t>
  </si>
  <si>
    <t>60색상</t>
    <phoneticPr fontId="4" type="noConversion"/>
  </si>
  <si>
    <t>디자이너스칼라보드</t>
    <phoneticPr fontId="7" type="noConversion"/>
  </si>
  <si>
    <t>C62.68.L71.N09.55.P50.Y06</t>
    <phoneticPr fontId="7" type="noConversion"/>
  </si>
  <si>
    <t>H61.70.N01.52.S10</t>
    <phoneticPr fontId="7" type="noConversion"/>
  </si>
  <si>
    <t>디자이너스칼라키라</t>
    <phoneticPr fontId="7" type="noConversion"/>
  </si>
  <si>
    <t>K열 (4.5.9.50.54.62.65.68.71.73)</t>
    <phoneticPr fontId="7" type="noConversion"/>
  </si>
  <si>
    <t>디자인마스킹테이프
(DMTK)</t>
    <phoneticPr fontId="7" type="noConversion"/>
  </si>
  <si>
    <t>15mmx10M</t>
  </si>
  <si>
    <t>01D 라인 나머지.01P 라인</t>
    <phoneticPr fontId="7" type="noConversion"/>
  </si>
  <si>
    <t>01D 라인(214.215.218.219)</t>
    <phoneticPr fontId="7" type="noConversion"/>
  </si>
  <si>
    <t>15mmx7M</t>
  </si>
  <si>
    <t>01D 라인 나머지.KID 라인.01P 라인 나머지</t>
    <phoneticPr fontId="7" type="noConversion"/>
  </si>
  <si>
    <t>01D 라인(214.215.218.219).01P 라인(205.206)</t>
    <phoneticPr fontId="7" type="noConversion"/>
  </si>
  <si>
    <t>7mmx7M</t>
  </si>
  <si>
    <t>EX1P 라인(184.186)</t>
  </si>
  <si>
    <t>10mmx7M</t>
  </si>
  <si>
    <t>EX1P 라인(200.201)</t>
  </si>
  <si>
    <t>EX1P 라인(127)</t>
    <phoneticPr fontId="7" type="noConversion"/>
  </si>
  <si>
    <t>EX1P 라인(80)</t>
    <phoneticPr fontId="7" type="noConversion"/>
  </si>
  <si>
    <t>EX1P 라인(나머지)</t>
    <phoneticPr fontId="7" type="noConversion"/>
  </si>
  <si>
    <t>EX1P 라인</t>
    <phoneticPr fontId="7" type="noConversion"/>
  </si>
  <si>
    <t>18mmx10M</t>
  </si>
  <si>
    <t>EX1P 라인(165)</t>
    <phoneticPr fontId="7" type="noConversion"/>
  </si>
  <si>
    <t>EX1P 라인(129)</t>
  </si>
  <si>
    <t>EX1P 라인(151)</t>
  </si>
  <si>
    <t>18mmx7M</t>
  </si>
  <si>
    <t>EX1P 라인(129.151.213)</t>
    <phoneticPr fontId="7" type="noConversion"/>
  </si>
  <si>
    <t>20mmx10M</t>
  </si>
  <si>
    <t>EX1P 라인(63.81.82.111.115)</t>
    <phoneticPr fontId="7" type="noConversion"/>
  </si>
  <si>
    <t>EX1P 라인(136)</t>
  </si>
  <si>
    <t>20mmx7M</t>
  </si>
  <si>
    <t>EX1P 라인(63.82.96)</t>
  </si>
  <si>
    <t>23mmx7M</t>
  </si>
  <si>
    <t>EX1P 라인(112)</t>
  </si>
  <si>
    <t>25mmx10M</t>
  </si>
  <si>
    <t>EX1P 라인(116)</t>
    <phoneticPr fontId="7" type="noConversion"/>
  </si>
  <si>
    <t>EX1P 라인(141)</t>
    <phoneticPr fontId="7" type="noConversion"/>
  </si>
  <si>
    <t>25mmx7M</t>
  </si>
  <si>
    <t>EX1P 라인(116)</t>
  </si>
  <si>
    <t>30mmx10M</t>
  </si>
  <si>
    <t>EX1P 라인(33~35.60.72.73.89.90.93)</t>
    <phoneticPr fontId="7" type="noConversion"/>
  </si>
  <si>
    <t>30mmx7M</t>
  </si>
  <si>
    <t>EX1P 라인(33~36.60.75.83.89.90)</t>
  </si>
  <si>
    <t>35mmx10M</t>
  </si>
  <si>
    <t>EX1P 라인(59.76)</t>
  </si>
  <si>
    <t>35mmx7M</t>
  </si>
  <si>
    <t>EX1P 라인(59)</t>
  </si>
  <si>
    <t>6mmx10M</t>
  </si>
  <si>
    <t>SLIM 라인(10~18)</t>
    <phoneticPr fontId="7" type="noConversion"/>
  </si>
  <si>
    <t>6mmx7M</t>
  </si>
  <si>
    <t>SLIM 라인(10~15.21)</t>
  </si>
  <si>
    <t>W40xD18xH105</t>
  </si>
  <si>
    <t>TC 라인</t>
  </si>
  <si>
    <t>디프매트</t>
    <phoneticPr fontId="4" type="noConversion"/>
  </si>
  <si>
    <t>120.121.131.137</t>
    <phoneticPr fontId="4" type="noConversion"/>
  </si>
  <si>
    <t>123.127.132</t>
    <phoneticPr fontId="4" type="noConversion"/>
  </si>
  <si>
    <t>122.128.129.133</t>
    <phoneticPr fontId="4" type="noConversion"/>
  </si>
  <si>
    <t>124~126.134~136.138</t>
    <phoneticPr fontId="4" type="noConversion"/>
  </si>
  <si>
    <t>130</t>
    <phoneticPr fontId="4" type="noConversion"/>
  </si>
  <si>
    <t>250.251.261.267</t>
    <phoneticPr fontId="4" type="noConversion"/>
  </si>
  <si>
    <t>253.257.262</t>
    <phoneticPr fontId="4" type="noConversion"/>
  </si>
  <si>
    <t>252.258.259.263</t>
    <phoneticPr fontId="4" type="noConversion"/>
  </si>
  <si>
    <t>254~256.264~266.268</t>
    <phoneticPr fontId="4" type="noConversion"/>
  </si>
  <si>
    <t>300.301.311.317</t>
    <phoneticPr fontId="4" type="noConversion"/>
  </si>
  <si>
    <t>303.307.312</t>
    <phoneticPr fontId="4" type="noConversion"/>
  </si>
  <si>
    <t>302.308.309.313</t>
    <phoneticPr fontId="4" type="noConversion"/>
  </si>
  <si>
    <t>304~306.314~316.318</t>
    <phoneticPr fontId="4" type="noConversion"/>
  </si>
  <si>
    <t>310</t>
    <phoneticPr fontId="4" type="noConversion"/>
  </si>
  <si>
    <t>420.421.437</t>
    <phoneticPr fontId="4" type="noConversion"/>
  </si>
  <si>
    <t>438</t>
    <phoneticPr fontId="7" type="noConversion"/>
  </si>
  <si>
    <t>430</t>
    <phoneticPr fontId="4" type="noConversion"/>
  </si>
  <si>
    <t>라이넬</t>
    <phoneticPr fontId="4" type="noConversion"/>
  </si>
  <si>
    <t>1040x100M</t>
    <phoneticPr fontId="4" type="noConversion"/>
  </si>
  <si>
    <r>
      <t xml:space="preserve">라이덜
</t>
    </r>
    <r>
      <rPr>
        <sz val="8"/>
        <rFont val="맑은 고딕"/>
        <family val="3"/>
        <charset val="129"/>
        <scheme val="minor"/>
      </rPr>
      <t>*항균기능</t>
    </r>
    <phoneticPr fontId="7" type="noConversion"/>
  </si>
  <si>
    <t>788x1091</t>
    <phoneticPr fontId="7" type="noConversion"/>
  </si>
  <si>
    <t>Natural White</t>
    <phoneticPr fontId="7" type="noConversion"/>
  </si>
  <si>
    <t>Shadow Black</t>
    <phoneticPr fontId="7" type="noConversion"/>
  </si>
  <si>
    <t>레노바</t>
    <phoneticPr fontId="7" type="noConversion"/>
  </si>
  <si>
    <t>115x95</t>
    <phoneticPr fontId="7" type="noConversion"/>
  </si>
  <si>
    <t>B3xx (튜브) / 브라운</t>
    <phoneticPr fontId="7" type="noConversion"/>
  </si>
  <si>
    <t>레더라이크</t>
    <phoneticPr fontId="7" type="noConversion"/>
  </si>
  <si>
    <t>720x1020</t>
    <phoneticPr fontId="7" type="noConversion"/>
  </si>
  <si>
    <t>122.123</t>
    <phoneticPr fontId="7" type="noConversion"/>
  </si>
  <si>
    <t>231</t>
    <phoneticPr fontId="7" type="noConversion"/>
  </si>
  <si>
    <t>232.233</t>
    <phoneticPr fontId="7" type="noConversion"/>
  </si>
  <si>
    <t>361</t>
    <phoneticPr fontId="7" type="noConversion"/>
  </si>
  <si>
    <t>362.363</t>
    <phoneticPr fontId="7" type="noConversion"/>
  </si>
  <si>
    <t>레이나R</t>
    <phoneticPr fontId="4" type="noConversion"/>
  </si>
  <si>
    <t>레이스페이퍼</t>
    <phoneticPr fontId="7" type="noConversion"/>
  </si>
  <si>
    <t>01Lily White.02Sand Shell.06Lotus Blue.07Cool Gray</t>
    <phoneticPr fontId="7" type="noConversion"/>
  </si>
  <si>
    <t>08Ink Black</t>
    <phoneticPr fontId="7" type="noConversion"/>
  </si>
  <si>
    <t>레인가드</t>
    <phoneticPr fontId="4" type="noConversion"/>
  </si>
  <si>
    <t>레자크66</t>
    <phoneticPr fontId="4" type="noConversion"/>
  </si>
  <si>
    <t>나머지</t>
    <phoneticPr fontId="4" type="noConversion"/>
  </si>
  <si>
    <t>14.17.19.21.34.39.45.46.48.49.65~73.93~95</t>
    <phoneticPr fontId="4" type="noConversion"/>
  </si>
  <si>
    <t>로우</t>
    <phoneticPr fontId="7" type="noConversion"/>
  </si>
  <si>
    <t>루나</t>
    <phoneticPr fontId="7" type="noConversion"/>
  </si>
  <si>
    <t>720x1020
양면펄
단면엠보</t>
    <phoneticPr fontId="4" type="noConversion"/>
  </si>
  <si>
    <t>미니.넥서스 121</t>
    <phoneticPr fontId="7" type="noConversion"/>
  </si>
  <si>
    <t>미니.넥서스 122~124</t>
    <phoneticPr fontId="7" type="noConversion"/>
  </si>
  <si>
    <t>미니.넥서스 125~127</t>
    <phoneticPr fontId="7" type="noConversion"/>
  </si>
  <si>
    <t>710x1010
양면펄
양면엠보</t>
    <phoneticPr fontId="7" type="noConversion"/>
  </si>
  <si>
    <t>미니.넥서스 241</t>
    <phoneticPr fontId="7" type="noConversion"/>
  </si>
  <si>
    <t>미니.넥서스 242~244</t>
    <phoneticPr fontId="7" type="noConversion"/>
  </si>
  <si>
    <t>미니.넥서스 245~247</t>
    <phoneticPr fontId="7" type="noConversion"/>
  </si>
  <si>
    <t>미니.넥서스 341</t>
    <phoneticPr fontId="7" type="noConversion"/>
  </si>
  <si>
    <t>미니.넥서스 342~344</t>
    <phoneticPr fontId="7" type="noConversion"/>
  </si>
  <si>
    <t>미니.넥서스 345~347</t>
    <phoneticPr fontId="7" type="noConversion"/>
  </si>
  <si>
    <t>루미네센스</t>
    <phoneticPr fontId="4" type="noConversion"/>
  </si>
  <si>
    <t xml:space="preserve">Maximum White </t>
  </si>
  <si>
    <t>루프_엠보스</t>
    <phoneticPr fontId="4" type="noConversion"/>
  </si>
  <si>
    <t>White. Ivory (펠트)</t>
  </si>
  <si>
    <t>White. Ivory (레이드.린넨)</t>
    <phoneticPr fontId="4" type="noConversion"/>
  </si>
  <si>
    <t>루프_잉스웰</t>
    <phoneticPr fontId="4" type="noConversion"/>
  </si>
  <si>
    <t>Eco White</t>
    <phoneticPr fontId="7" type="noConversion"/>
  </si>
  <si>
    <t>Eco Cream</t>
    <phoneticPr fontId="7" type="noConversion"/>
  </si>
  <si>
    <t>루프_파티클</t>
    <phoneticPr fontId="4" type="noConversion"/>
  </si>
  <si>
    <t>120~123</t>
    <phoneticPr fontId="4" type="noConversion"/>
  </si>
  <si>
    <t>125</t>
    <phoneticPr fontId="7" type="noConversion"/>
  </si>
  <si>
    <t>220~222</t>
    <phoneticPr fontId="4" type="noConversion"/>
  </si>
  <si>
    <t>225</t>
    <phoneticPr fontId="7" type="noConversion"/>
  </si>
  <si>
    <t>리시코</t>
    <phoneticPr fontId="7" type="noConversion"/>
  </si>
  <si>
    <t>리액션</t>
    <phoneticPr fontId="4" type="noConversion"/>
  </si>
  <si>
    <t>700x1000</t>
  </si>
  <si>
    <t>304.307.310.312</t>
    <phoneticPr fontId="4" type="noConversion"/>
  </si>
  <si>
    <t>305.306.308.311</t>
    <phoneticPr fontId="4" type="noConversion"/>
  </si>
  <si>
    <t>리프</t>
    <phoneticPr fontId="7" type="noConversion"/>
  </si>
  <si>
    <t>122~124</t>
    <phoneticPr fontId="7" type="noConversion"/>
  </si>
  <si>
    <t>331</t>
    <phoneticPr fontId="7" type="noConversion"/>
  </si>
  <si>
    <t>332~334</t>
    <phoneticPr fontId="7" type="noConversion"/>
  </si>
  <si>
    <t>리핏</t>
    <phoneticPr fontId="7" type="noConversion"/>
  </si>
  <si>
    <t>(Cotton) 120White.121Pearl.122Grey</t>
    <phoneticPr fontId="7" type="noConversion"/>
  </si>
  <si>
    <t>(Denim) Dusk Blue</t>
    <phoneticPr fontId="7" type="noConversion"/>
  </si>
  <si>
    <t>(Wool) 123Blue.124Black</t>
    <phoneticPr fontId="7" type="noConversion"/>
  </si>
  <si>
    <t>(Cotton) 250White.251Pearl.252Grey</t>
    <phoneticPr fontId="7" type="noConversion"/>
  </si>
  <si>
    <t>(Denim) Dusk Blue FM</t>
    <phoneticPr fontId="7" type="noConversion"/>
  </si>
  <si>
    <t>(Wool) 253Blue.254Black</t>
    <phoneticPr fontId="7" type="noConversion"/>
  </si>
  <si>
    <t>(Cotton) 360White.361Pearl.362Grey</t>
    <phoneticPr fontId="7" type="noConversion"/>
  </si>
  <si>
    <t>(Wool) 363Blue.364Black</t>
    <phoneticPr fontId="7" type="noConversion"/>
  </si>
  <si>
    <t>마냐니(마그나니)</t>
    <phoneticPr fontId="7" type="noConversion"/>
  </si>
  <si>
    <t>760x560</t>
    <phoneticPr fontId="7" type="noConversion"/>
  </si>
  <si>
    <t>페슈아(스무스).리라이브(텍스쳐)</t>
    <phoneticPr fontId="7" type="noConversion"/>
  </si>
  <si>
    <t>마더어스</t>
    <phoneticPr fontId="7" type="noConversion"/>
  </si>
  <si>
    <t>351그레인.352헤이.354모스</t>
    <phoneticPr fontId="7" type="noConversion"/>
  </si>
  <si>
    <t>353펀.355커큐머.357머드</t>
    <phoneticPr fontId="7" type="noConversion"/>
  </si>
  <si>
    <t>356애프리콧.358소일.359무어</t>
    <phoneticPr fontId="7" type="noConversion"/>
  </si>
  <si>
    <t>마로니에</t>
    <phoneticPr fontId="4" type="noConversion"/>
  </si>
  <si>
    <t>01~03.07.31</t>
    <phoneticPr fontId="4" type="noConversion"/>
  </si>
  <si>
    <t>06.09.13.21.32~34</t>
    <phoneticPr fontId="4" type="noConversion"/>
  </si>
  <si>
    <t>14.18.20.22.25~27</t>
    <phoneticPr fontId="4" type="noConversion"/>
  </si>
  <si>
    <t>30</t>
    <phoneticPr fontId="4" type="noConversion"/>
  </si>
  <si>
    <t>13.21.32.33</t>
    <phoneticPr fontId="4" type="noConversion"/>
  </si>
  <si>
    <t>18</t>
    <phoneticPr fontId="4" type="noConversion"/>
  </si>
  <si>
    <t>30</t>
    <phoneticPr fontId="7" type="noConversion"/>
  </si>
  <si>
    <t>29</t>
    <phoneticPr fontId="7" type="noConversion"/>
  </si>
  <si>
    <t>마분지</t>
    <phoneticPr fontId="4" type="noConversion"/>
  </si>
  <si>
    <t>100~105</t>
    <phoneticPr fontId="4" type="noConversion"/>
  </si>
  <si>
    <t>106~108.113</t>
    <phoneticPr fontId="4" type="noConversion"/>
  </si>
  <si>
    <t>109.110.112</t>
    <phoneticPr fontId="4" type="noConversion"/>
  </si>
  <si>
    <t>140~145</t>
    <phoneticPr fontId="4" type="noConversion"/>
  </si>
  <si>
    <t>146.147.153</t>
    <phoneticPr fontId="4" type="noConversion"/>
  </si>
  <si>
    <t>200~205</t>
    <phoneticPr fontId="4" type="noConversion"/>
  </si>
  <si>
    <t>206.207.213</t>
    <phoneticPr fontId="4" type="noConversion"/>
  </si>
  <si>
    <t>310.311.312</t>
    <phoneticPr fontId="4" type="noConversion"/>
  </si>
  <si>
    <t>마이캔버스</t>
    <phoneticPr fontId="7" type="noConversion"/>
  </si>
  <si>
    <t>마이크로우드</t>
    <phoneticPr fontId="4" type="noConversion"/>
  </si>
  <si>
    <t xml:space="preserve">Maple </t>
    <phoneticPr fontId="4" type="noConversion"/>
  </si>
  <si>
    <t>Walnut</t>
    <phoneticPr fontId="4" type="noConversion"/>
  </si>
  <si>
    <t>매그</t>
    <phoneticPr fontId="4" type="noConversion"/>
  </si>
  <si>
    <t>매그 - 매그칼라</t>
    <phoneticPr fontId="4" type="noConversion"/>
  </si>
  <si>
    <t>1.2.4.5.9~14</t>
    <phoneticPr fontId="4" type="noConversion"/>
  </si>
  <si>
    <t>3.6-8.15.16.18</t>
    <phoneticPr fontId="4" type="noConversion"/>
  </si>
  <si>
    <t>17</t>
    <phoneticPr fontId="4" type="noConversion"/>
  </si>
  <si>
    <t>매쉬멜로우</t>
    <phoneticPr fontId="7" type="noConversion"/>
  </si>
  <si>
    <t>N</t>
    <phoneticPr fontId="7" type="noConversion"/>
  </si>
  <si>
    <t>W</t>
  </si>
  <si>
    <t>매직칼라</t>
    <phoneticPr fontId="4" type="noConversion"/>
  </si>
  <si>
    <t>굴색.금발색.노란색.연보라색.우유색</t>
    <phoneticPr fontId="4" type="noConversion"/>
  </si>
  <si>
    <t>갈색.노른자색.녹두색.보라색.연두색D.참외색.회색S</t>
    <phoneticPr fontId="4" type="noConversion"/>
  </si>
  <si>
    <t>가지색D.에메랄드D.주홍색.황단색</t>
    <phoneticPr fontId="4" type="noConversion"/>
  </si>
  <si>
    <t>클래식블랙</t>
    <phoneticPr fontId="4" type="noConversion"/>
  </si>
  <si>
    <t>녹청색.빨간색.오렌지.와인.진갈색S.진곤색S.진녹색.청록색D.초코릿.코발트 블루D.파란색.피색</t>
    <phoneticPr fontId="4" type="noConversion"/>
  </si>
  <si>
    <t>계란색.회색</t>
    <phoneticPr fontId="4" type="noConversion"/>
  </si>
  <si>
    <t>황단색</t>
    <phoneticPr fontId="7" type="noConversion"/>
  </si>
  <si>
    <t>노른자색.연두색D(종.횡목)</t>
    <phoneticPr fontId="4" type="noConversion"/>
  </si>
  <si>
    <t>주홍색.황단색(종.횡목)</t>
    <phoneticPr fontId="4" type="noConversion"/>
  </si>
  <si>
    <t>와인색.진녹색.청록색D.코발트 블루D.파란색.피색(종.횡목)</t>
    <phoneticPr fontId="4" type="noConversion"/>
  </si>
  <si>
    <t>매직터치</t>
    <phoneticPr fontId="4" type="noConversion"/>
  </si>
  <si>
    <t>101~109.113.115.123.136.137.141</t>
    <phoneticPr fontId="4" type="noConversion"/>
  </si>
  <si>
    <t>114.116.118.121.122.124.125.128.133.138.139</t>
    <phoneticPr fontId="4" type="noConversion"/>
  </si>
  <si>
    <t>111.117.120.126.129.134.135.142.144</t>
    <phoneticPr fontId="4" type="noConversion"/>
  </si>
  <si>
    <t>110.112.119.127.130~132.140.143</t>
    <phoneticPr fontId="4" type="noConversion"/>
  </si>
  <si>
    <t>201~204</t>
    <phoneticPr fontId="4" type="noConversion"/>
  </si>
  <si>
    <t>111.114.116~118.120~122.124~126.128.129.133~135.138.139.142.144</t>
    <phoneticPr fontId="4" type="noConversion"/>
  </si>
  <si>
    <r>
      <t xml:space="preserve">메가벌키
</t>
    </r>
    <r>
      <rPr>
        <sz val="8"/>
        <rFont val="맑은 고딕"/>
        <family val="3"/>
        <charset val="129"/>
        <scheme val="minor"/>
      </rPr>
      <t>*식품 인증</t>
    </r>
    <phoneticPr fontId="7" type="noConversion"/>
  </si>
  <si>
    <r>
      <t xml:space="preserve">메탈팩보드
</t>
    </r>
    <r>
      <rPr>
        <sz val="8"/>
        <rFont val="맑은 고딕"/>
        <family val="3"/>
        <charset val="129"/>
        <scheme val="minor"/>
      </rPr>
      <t>*방향: 1091평행</t>
    </r>
    <phoneticPr fontId="4" type="noConversion"/>
  </si>
  <si>
    <t>780x1091</t>
  </si>
  <si>
    <t>알루미늄(AS.AG).필름(FG10.FS10).투톤펄(TO01).펄(PE08).페트(PT01.03)</t>
    <phoneticPr fontId="4" type="noConversion"/>
  </si>
  <si>
    <t>780x545</t>
    <phoneticPr fontId="4" type="noConversion"/>
  </si>
  <si>
    <t>필름(FG10.FS10)</t>
    <phoneticPr fontId="4" type="noConversion"/>
  </si>
  <si>
    <t>홀로그램(HO01.02)</t>
    <phoneticPr fontId="4" type="noConversion"/>
  </si>
  <si>
    <t>모네타</t>
    <phoneticPr fontId="7" type="noConversion"/>
  </si>
  <si>
    <t>문드림</t>
    <phoneticPr fontId="4" type="noConversion"/>
  </si>
  <si>
    <t>720x1020</t>
    <phoneticPr fontId="4" type="noConversion"/>
  </si>
  <si>
    <r>
      <t xml:space="preserve">문켄디자인
</t>
    </r>
    <r>
      <rPr>
        <sz val="8"/>
        <rFont val="맑은 고딕"/>
        <family val="3"/>
        <charset val="129"/>
        <scheme val="minor"/>
      </rPr>
      <t>*식품 인증(퓨어)</t>
    </r>
    <phoneticPr fontId="4" type="noConversion"/>
  </si>
  <si>
    <t>퓨어</t>
    <phoneticPr fontId="4" type="noConversion"/>
  </si>
  <si>
    <t>폴라.퓨어.크리스털</t>
    <phoneticPr fontId="7" type="noConversion"/>
  </si>
  <si>
    <t>폴라.크리스털</t>
    <phoneticPr fontId="7" type="noConversion"/>
  </si>
  <si>
    <t>(러프) 폴라.퓨어.크리스털</t>
    <phoneticPr fontId="7" type="noConversion"/>
  </si>
  <si>
    <t>링스</t>
    <phoneticPr fontId="7" type="noConversion"/>
  </si>
  <si>
    <t>크리스털</t>
  </si>
  <si>
    <t>문켄프린트 크림18</t>
    <phoneticPr fontId="7" type="noConversion"/>
  </si>
  <si>
    <t>문켄프린트 화이트15</t>
    <phoneticPr fontId="7" type="noConversion"/>
  </si>
  <si>
    <t>636x939</t>
    <phoneticPr fontId="7" type="noConversion"/>
  </si>
  <si>
    <t>미네랄페이퍼</t>
    <phoneticPr fontId="7" type="noConversion"/>
  </si>
  <si>
    <t>RPD 120</t>
    <phoneticPr fontId="7" type="noConversion"/>
  </si>
  <si>
    <t>RPD 140</t>
    <phoneticPr fontId="7" type="noConversion"/>
  </si>
  <si>
    <t>RPD 200</t>
    <phoneticPr fontId="7" type="noConversion"/>
  </si>
  <si>
    <t>RBD 300</t>
    <phoneticPr fontId="7" type="noConversion"/>
  </si>
  <si>
    <t>RBD 400</t>
    <phoneticPr fontId="7" type="noConversion"/>
  </si>
  <si>
    <t>미라클</t>
    <phoneticPr fontId="4" type="noConversion"/>
  </si>
  <si>
    <t>SW.W</t>
    <phoneticPr fontId="4" type="noConversion"/>
  </si>
  <si>
    <t>SW</t>
    <phoneticPr fontId="4" type="noConversion"/>
  </si>
  <si>
    <r>
      <t xml:space="preserve">미미크라프트
</t>
    </r>
    <r>
      <rPr>
        <sz val="8"/>
        <rFont val="맑은 고딕"/>
        <family val="3"/>
        <charset val="129"/>
        <scheme val="minor"/>
      </rPr>
      <t xml:space="preserve">*식품 인증 </t>
    </r>
    <phoneticPr fontId="7" type="noConversion"/>
  </si>
  <si>
    <t>130</t>
    <phoneticPr fontId="7" type="noConversion"/>
  </si>
  <si>
    <t>150</t>
    <phoneticPr fontId="7" type="noConversion"/>
  </si>
  <si>
    <t>미세스비</t>
    <phoneticPr fontId="4" type="noConversion"/>
  </si>
  <si>
    <t>W</t>
    <phoneticPr fontId="4" type="noConversion"/>
  </si>
  <si>
    <t>CW</t>
    <phoneticPr fontId="7" type="noConversion"/>
  </si>
  <si>
    <t>SW(종).W</t>
    <phoneticPr fontId="4" type="noConversion"/>
  </si>
  <si>
    <t>미스터비</t>
    <phoneticPr fontId="4" type="noConversion"/>
  </si>
  <si>
    <t>바이오사이클</t>
    <phoneticPr fontId="7" type="noConversion"/>
  </si>
  <si>
    <t>Cycle재생지</t>
    <phoneticPr fontId="7" type="noConversion"/>
  </si>
  <si>
    <t>Rag코튼.Wheat밀</t>
    <phoneticPr fontId="7" type="noConversion"/>
  </si>
  <si>
    <t>Cannabis대마</t>
    <phoneticPr fontId="7" type="noConversion"/>
  </si>
  <si>
    <t>680x1000</t>
    <phoneticPr fontId="7" type="noConversion"/>
  </si>
  <si>
    <t>Chlorophyll엽록소.Cannabis대마</t>
    <phoneticPr fontId="7" type="noConversion"/>
  </si>
  <si>
    <t>반누보</t>
    <phoneticPr fontId="4" type="noConversion"/>
  </si>
  <si>
    <t>SW.W.N</t>
    <phoneticPr fontId="4" type="noConversion"/>
  </si>
  <si>
    <t>UW.SW.W.N</t>
    <phoneticPr fontId="4" type="noConversion"/>
  </si>
  <si>
    <t>SW.W</t>
  </si>
  <si>
    <t>SW.W</t>
    <phoneticPr fontId="7" type="noConversion"/>
  </si>
  <si>
    <t>W</t>
    <phoneticPr fontId="7" type="noConversion"/>
  </si>
  <si>
    <t>반누보LT</t>
    <phoneticPr fontId="7" type="noConversion"/>
  </si>
  <si>
    <t>942x642</t>
    <phoneticPr fontId="7" type="noConversion"/>
  </si>
  <si>
    <t>발렌티노이즈</t>
    <phoneticPr fontId="4" type="noConversion"/>
  </si>
  <si>
    <t>T111.T112</t>
    <phoneticPr fontId="7" type="noConversion"/>
  </si>
  <si>
    <t>T308</t>
    <phoneticPr fontId="7" type="noConversion"/>
  </si>
  <si>
    <t>G303~G308</t>
    <phoneticPr fontId="7" type="noConversion"/>
  </si>
  <si>
    <t>G301~G302</t>
    <phoneticPr fontId="7" type="noConversion"/>
  </si>
  <si>
    <t>T113~T116</t>
    <phoneticPr fontId="4" type="noConversion"/>
  </si>
  <si>
    <t>T307</t>
    <phoneticPr fontId="4" type="noConversion"/>
  </si>
  <si>
    <t>밴티지실크</t>
    <phoneticPr fontId="7" type="noConversion"/>
  </si>
  <si>
    <t>오스트리아</t>
    <phoneticPr fontId="7" type="noConversion"/>
  </si>
  <si>
    <t>독일</t>
    <phoneticPr fontId="7" type="noConversion"/>
  </si>
  <si>
    <t>네덜란드</t>
    <phoneticPr fontId="7" type="noConversion"/>
  </si>
  <si>
    <r>
      <t xml:space="preserve">뱅가드
</t>
    </r>
    <r>
      <rPr>
        <sz val="8"/>
        <rFont val="맑은 고딕"/>
        <family val="3"/>
        <charset val="129"/>
        <scheme val="minor"/>
      </rPr>
      <t>*항균기능</t>
    </r>
    <phoneticPr fontId="7" type="noConversion"/>
  </si>
  <si>
    <t>125.126</t>
    <phoneticPr fontId="7" type="noConversion"/>
  </si>
  <si>
    <t>121.122</t>
    <phoneticPr fontId="7" type="noConversion"/>
  </si>
  <si>
    <t>123.124</t>
    <phoneticPr fontId="7" type="noConversion"/>
  </si>
  <si>
    <t>305.306</t>
    <phoneticPr fontId="7" type="noConversion"/>
  </si>
  <si>
    <t>301.302</t>
    <phoneticPr fontId="7" type="noConversion"/>
  </si>
  <si>
    <t>303.304</t>
    <phoneticPr fontId="7" type="noConversion"/>
  </si>
  <si>
    <t>버펄로</t>
    <phoneticPr fontId="7" type="noConversion"/>
  </si>
  <si>
    <t>101.114.116</t>
    <phoneticPr fontId="7" type="noConversion"/>
  </si>
  <si>
    <t>102~113.115</t>
    <phoneticPr fontId="7" type="noConversion"/>
  </si>
  <si>
    <t>베스트매트</t>
    <phoneticPr fontId="4" type="noConversion"/>
  </si>
  <si>
    <r>
      <t xml:space="preserve">베이크라프트
</t>
    </r>
    <r>
      <rPr>
        <sz val="8"/>
        <rFont val="맑은 고딕"/>
        <family val="3"/>
        <charset val="129"/>
        <scheme val="minor"/>
      </rPr>
      <t>*식품 인증
(K 전체 평량, 
250g/m² 품목은 
크라프트 면만 해당)</t>
    </r>
    <phoneticPr fontId="4" type="noConversion"/>
  </si>
  <si>
    <t>F</t>
    <phoneticPr fontId="7" type="noConversion"/>
  </si>
  <si>
    <t>부띠끄</t>
    <phoneticPr fontId="4" type="noConversion"/>
  </si>
  <si>
    <t>1092x787</t>
    <phoneticPr fontId="4" type="noConversion"/>
  </si>
  <si>
    <t>북바인딩클로스</t>
    <phoneticPr fontId="4" type="noConversion"/>
  </si>
  <si>
    <t>1400x50M</t>
    <phoneticPr fontId="7" type="noConversion"/>
  </si>
  <si>
    <t>CIALUX</t>
    <phoneticPr fontId="7" type="noConversion"/>
  </si>
  <si>
    <t>PARADISE</t>
    <phoneticPr fontId="7" type="noConversion"/>
  </si>
  <si>
    <t>1000x50M</t>
    <phoneticPr fontId="7" type="noConversion"/>
  </si>
  <si>
    <t>AFRICA</t>
    <phoneticPr fontId="7" type="noConversion"/>
  </si>
  <si>
    <t>BUKRAM P EXTRA FANTASIA</t>
    <phoneticPr fontId="7" type="noConversion"/>
  </si>
  <si>
    <t>CIALINEN</t>
    <phoneticPr fontId="7" type="noConversion"/>
  </si>
  <si>
    <t>780x25M</t>
    <phoneticPr fontId="7" type="noConversion"/>
  </si>
  <si>
    <t>BUKRAM POWER</t>
    <phoneticPr fontId="7" type="noConversion"/>
  </si>
  <si>
    <t>ASSUAN (5061)</t>
    <phoneticPr fontId="7" type="noConversion"/>
  </si>
  <si>
    <t>1350x50M</t>
    <phoneticPr fontId="7" type="noConversion"/>
  </si>
  <si>
    <t>ASSUAN (5028.5071)</t>
    <phoneticPr fontId="7" type="noConversion"/>
  </si>
  <si>
    <t>1400x50M</t>
  </si>
  <si>
    <t>SETALUX (1720.1721.1722.1754.1760.1780)</t>
    <phoneticPr fontId="4" type="noConversion"/>
  </si>
  <si>
    <t>780x1000</t>
    <phoneticPr fontId="7" type="noConversion"/>
  </si>
  <si>
    <t>670x500</t>
    <phoneticPr fontId="7" type="noConversion"/>
  </si>
  <si>
    <t>ASSUAN (5028.5061.5071)</t>
    <phoneticPr fontId="7" type="noConversion"/>
  </si>
  <si>
    <t>690x500</t>
    <phoneticPr fontId="4" type="noConversion"/>
  </si>
  <si>
    <t>SETALUX (일부 670x500)</t>
    <phoneticPr fontId="4" type="noConversion"/>
  </si>
  <si>
    <t>분펠</t>
    <phoneticPr fontId="4" type="noConversion"/>
  </si>
  <si>
    <t>블랙골드</t>
    <phoneticPr fontId="7" type="noConversion"/>
  </si>
  <si>
    <t>블랙앤블랙</t>
    <phoneticPr fontId="4" type="noConversion"/>
  </si>
  <si>
    <t>K</t>
    <phoneticPr fontId="4" type="noConversion"/>
  </si>
  <si>
    <t>블로커</t>
    <phoneticPr fontId="4" type="noConversion"/>
  </si>
  <si>
    <t>비비칼라
(VC)</t>
    <phoneticPr fontId="4" type="noConversion"/>
  </si>
  <si>
    <t>07.10.12.13.22.31.38~40</t>
    <phoneticPr fontId="7" type="noConversion"/>
  </si>
  <si>
    <t>07.10~13.22.31.34</t>
    <phoneticPr fontId="4" type="noConversion"/>
  </si>
  <si>
    <t>비세븐</t>
    <phoneticPr fontId="4" type="noConversion"/>
  </si>
  <si>
    <t>S.N</t>
    <phoneticPr fontId="4" type="noConversion"/>
  </si>
  <si>
    <t>S</t>
    <phoneticPr fontId="4" type="noConversion"/>
  </si>
  <si>
    <t>비안코플래시</t>
    <phoneticPr fontId="4" type="noConversion"/>
  </si>
  <si>
    <t>P프리미엄</t>
    <phoneticPr fontId="7" type="noConversion"/>
  </si>
  <si>
    <t>M마스터</t>
    <phoneticPr fontId="7" type="noConversion"/>
  </si>
  <si>
    <t>M마스터*계약</t>
    <phoneticPr fontId="7" type="noConversion"/>
  </si>
  <si>
    <t>I아이보리</t>
    <phoneticPr fontId="7" type="noConversion"/>
  </si>
  <si>
    <t>비어</t>
    <phoneticPr fontId="4" type="noConversion"/>
  </si>
  <si>
    <t>251</t>
    <phoneticPr fontId="4" type="noConversion"/>
  </si>
  <si>
    <t>254.255</t>
    <phoneticPr fontId="4" type="noConversion"/>
  </si>
  <si>
    <t>172</t>
    <phoneticPr fontId="4" type="noConversion"/>
  </si>
  <si>
    <t>비오톱</t>
    <phoneticPr fontId="4" type="noConversion"/>
  </si>
  <si>
    <t>53~55</t>
    <phoneticPr fontId="4" type="noConversion"/>
  </si>
  <si>
    <t>56.57</t>
    <phoneticPr fontId="4" type="noConversion"/>
  </si>
  <si>
    <t>58~61</t>
    <phoneticPr fontId="4" type="noConversion"/>
  </si>
  <si>
    <t>62</t>
    <phoneticPr fontId="4" type="noConversion"/>
  </si>
  <si>
    <t>사바나</t>
    <phoneticPr fontId="7" type="noConversion"/>
  </si>
  <si>
    <t>1020x700</t>
    <phoneticPr fontId="7" type="noConversion"/>
  </si>
  <si>
    <t>120</t>
    <phoneticPr fontId="7" type="noConversion"/>
  </si>
  <si>
    <t>124</t>
    <phoneticPr fontId="7" type="noConversion"/>
  </si>
  <si>
    <t>ST201~204</t>
    <phoneticPr fontId="7" type="noConversion"/>
  </si>
  <si>
    <t>311</t>
    <phoneticPr fontId="7" type="noConversion"/>
  </si>
  <si>
    <t>사블</t>
    <phoneticPr fontId="4" type="noConversion"/>
  </si>
  <si>
    <t>SW</t>
  </si>
  <si>
    <t>섭틀</t>
    <phoneticPr fontId="7" type="noConversion"/>
  </si>
  <si>
    <t>312.314.316.318</t>
    <phoneticPr fontId="4" type="noConversion"/>
  </si>
  <si>
    <t>313.317</t>
    <phoneticPr fontId="4" type="noConversion"/>
  </si>
  <si>
    <t>315.319</t>
    <phoneticPr fontId="4" type="noConversion"/>
  </si>
  <si>
    <r>
      <t xml:space="preserve">색골판지
</t>
    </r>
    <r>
      <rPr>
        <sz val="8"/>
        <rFont val="맑은 고딕"/>
        <family val="3"/>
        <charset val="129"/>
        <scheme val="minor"/>
      </rPr>
      <t>*방향:788평행</t>
    </r>
    <phoneticPr fontId="4" type="noConversion"/>
  </si>
  <si>
    <t>2절</t>
    <phoneticPr fontId="4" type="noConversion"/>
  </si>
  <si>
    <t>01.02.04.05.07.08.24.29.36.41.43~47.54</t>
    <phoneticPr fontId="4" type="noConversion"/>
  </si>
  <si>
    <t>K02</t>
    <phoneticPr fontId="4" type="noConversion"/>
  </si>
  <si>
    <t>G2.M1(팬시메탈골판지)</t>
    <phoneticPr fontId="4" type="noConversion"/>
  </si>
  <si>
    <t>샤이너</t>
    <phoneticPr fontId="4" type="noConversion"/>
  </si>
  <si>
    <t>샤인스페셜</t>
    <phoneticPr fontId="4" type="noConversion"/>
  </si>
  <si>
    <t>GOLD PEARL</t>
    <phoneticPr fontId="7" type="noConversion"/>
  </si>
  <si>
    <t>GOLD PEARL</t>
  </si>
  <si>
    <t>샤인트래싱지</t>
    <phoneticPr fontId="4" type="noConversion"/>
  </si>
  <si>
    <t>CC.CS</t>
    <phoneticPr fontId="4" type="noConversion"/>
  </si>
  <si>
    <t>CP</t>
    <phoneticPr fontId="4" type="noConversion"/>
  </si>
  <si>
    <t>세레나</t>
    <phoneticPr fontId="4" type="noConversion"/>
  </si>
  <si>
    <t>Neige</t>
    <phoneticPr fontId="7" type="noConversion"/>
  </si>
  <si>
    <t>소프티</t>
    <phoneticPr fontId="7" type="noConversion"/>
  </si>
  <si>
    <t>710x1010</t>
    <phoneticPr fontId="7" type="noConversion"/>
  </si>
  <si>
    <t>솔루션린넨</t>
    <phoneticPr fontId="4" type="noConversion"/>
  </si>
  <si>
    <t>120Carrara White</t>
    <phoneticPr fontId="4" type="noConversion"/>
  </si>
  <si>
    <t>220Carrara White</t>
    <phoneticPr fontId="4" type="noConversion"/>
  </si>
  <si>
    <t>222Spirit Red</t>
    <phoneticPr fontId="4" type="noConversion"/>
  </si>
  <si>
    <t>223True Blue</t>
    <phoneticPr fontId="4" type="noConversion"/>
  </si>
  <si>
    <t>224Black</t>
    <phoneticPr fontId="4" type="noConversion"/>
  </si>
  <si>
    <t>220Carrara White</t>
    <phoneticPr fontId="7" type="noConversion"/>
  </si>
  <si>
    <t>수용지</t>
    <phoneticPr fontId="4" type="noConversion"/>
  </si>
  <si>
    <t>546x788</t>
    <phoneticPr fontId="4" type="noConversion"/>
  </si>
  <si>
    <t>MDP</t>
    <phoneticPr fontId="4" type="noConversion"/>
  </si>
  <si>
    <t>CD2</t>
    <phoneticPr fontId="4" type="noConversion"/>
  </si>
  <si>
    <t>수용판지</t>
    <phoneticPr fontId="7" type="noConversion"/>
  </si>
  <si>
    <t>수플레</t>
    <phoneticPr fontId="7" type="noConversion"/>
  </si>
  <si>
    <t>1070x788</t>
    <phoneticPr fontId="7" type="noConversion"/>
  </si>
  <si>
    <t>01Snow White</t>
    <phoneticPr fontId="7" type="noConversion"/>
  </si>
  <si>
    <t>05Black</t>
    <phoneticPr fontId="7" type="noConversion"/>
  </si>
  <si>
    <t>03Beige</t>
    <phoneticPr fontId="7" type="noConversion"/>
  </si>
  <si>
    <t>06Red Orange</t>
    <phoneticPr fontId="7" type="noConversion"/>
  </si>
  <si>
    <t>07Brown</t>
    <phoneticPr fontId="7" type="noConversion"/>
  </si>
  <si>
    <t>쉐도우플랙스</t>
    <phoneticPr fontId="4" type="noConversion"/>
  </si>
  <si>
    <t>101~105.107.108.110.111</t>
    <phoneticPr fontId="7" type="noConversion"/>
  </si>
  <si>
    <t>106.109.112</t>
    <phoneticPr fontId="7" type="noConversion"/>
  </si>
  <si>
    <t>쉽스킨</t>
    <phoneticPr fontId="4" type="noConversion"/>
  </si>
  <si>
    <t>White</t>
    <phoneticPr fontId="7" type="noConversion"/>
  </si>
  <si>
    <t>Buff</t>
    <phoneticPr fontId="7" type="noConversion"/>
  </si>
  <si>
    <t>슈퍼콘트라스트</t>
    <phoneticPr fontId="4" type="noConversion"/>
  </si>
  <si>
    <t>스노블</t>
    <phoneticPr fontId="7" type="noConversion"/>
  </si>
  <si>
    <t>스노우트래싱지</t>
    <phoneticPr fontId="7" type="noConversion"/>
  </si>
  <si>
    <r>
      <t xml:space="preserve">스모
</t>
    </r>
    <r>
      <rPr>
        <sz val="8"/>
        <rFont val="맑은 고딕"/>
        <family val="3"/>
        <charset val="129"/>
        <scheme val="minor"/>
      </rPr>
      <t>*식품 인증
(화이트 제외)</t>
    </r>
    <phoneticPr fontId="7" type="noConversion"/>
  </si>
  <si>
    <t>01White</t>
    <phoneticPr fontId="7" type="noConversion"/>
  </si>
  <si>
    <t>06Light grey</t>
    <phoneticPr fontId="7" type="noConversion"/>
  </si>
  <si>
    <t>03Kraft brown</t>
    <phoneticPr fontId="7" type="noConversion"/>
  </si>
  <si>
    <t>07Black</t>
    <phoneticPr fontId="7" type="noConversion"/>
  </si>
  <si>
    <t>02Dark Blue.04Red.05Dark Grey</t>
    <phoneticPr fontId="7" type="noConversion"/>
  </si>
  <si>
    <t>스코트랜드
(SCOT)</t>
    <phoneticPr fontId="4" type="noConversion"/>
  </si>
  <si>
    <t>130.131</t>
    <phoneticPr fontId="4" type="noConversion"/>
  </si>
  <si>
    <t>170~176</t>
    <phoneticPr fontId="4" type="noConversion"/>
  </si>
  <si>
    <t>220~226</t>
    <phoneticPr fontId="4" type="noConversion"/>
  </si>
  <si>
    <t>스타더스트</t>
    <phoneticPr fontId="4" type="noConversion"/>
  </si>
  <si>
    <t>04.08</t>
    <phoneticPr fontId="7" type="noConversion"/>
  </si>
  <si>
    <t>01~10</t>
    <phoneticPr fontId="4" type="noConversion"/>
  </si>
  <si>
    <t>11~15</t>
    <phoneticPr fontId="4" type="noConversion"/>
  </si>
  <si>
    <t>16~20</t>
    <phoneticPr fontId="4" type="noConversion"/>
  </si>
  <si>
    <t>02.04</t>
    <phoneticPr fontId="4" type="noConversion"/>
  </si>
  <si>
    <t>01.03~06</t>
    <phoneticPr fontId="4" type="noConversion"/>
  </si>
  <si>
    <t>01.03.04.05</t>
    <phoneticPr fontId="4" type="noConversion"/>
  </si>
  <si>
    <t>스타드림</t>
    <phoneticPr fontId="4" type="noConversion"/>
  </si>
  <si>
    <t>T00.T01.T12</t>
    <phoneticPr fontId="4" type="noConversion"/>
  </si>
  <si>
    <t>T03.T05</t>
    <phoneticPr fontId="4" type="noConversion"/>
  </si>
  <si>
    <t>T19</t>
    <phoneticPr fontId="4" type="noConversion"/>
  </si>
  <si>
    <t>T30</t>
    <phoneticPr fontId="4" type="noConversion"/>
  </si>
  <si>
    <t>T11</t>
    <phoneticPr fontId="4" type="noConversion"/>
  </si>
  <si>
    <t>T14</t>
    <phoneticPr fontId="4" type="noConversion"/>
  </si>
  <si>
    <t>T02</t>
    <phoneticPr fontId="7" type="noConversion"/>
  </si>
  <si>
    <t>T07~T09.T25</t>
    <phoneticPr fontId="7" type="noConversion"/>
  </si>
  <si>
    <t>T29</t>
    <phoneticPr fontId="4" type="noConversion"/>
  </si>
  <si>
    <t>T20</t>
    <phoneticPr fontId="4" type="noConversion"/>
  </si>
  <si>
    <t>120.121.122.132</t>
    <phoneticPr fontId="4" type="noConversion"/>
  </si>
  <si>
    <t>128</t>
    <phoneticPr fontId="7" type="noConversion"/>
  </si>
  <si>
    <t>123.125.127.129.144.145</t>
    <phoneticPr fontId="7" type="noConversion"/>
  </si>
  <si>
    <t>124</t>
    <phoneticPr fontId="4" type="noConversion"/>
  </si>
  <si>
    <t>139</t>
    <phoneticPr fontId="4" type="noConversion"/>
  </si>
  <si>
    <t>140</t>
    <phoneticPr fontId="7" type="noConversion"/>
  </si>
  <si>
    <t>133.137</t>
    <phoneticPr fontId="4" type="noConversion"/>
  </si>
  <si>
    <t>136</t>
    <phoneticPr fontId="4" type="noConversion"/>
  </si>
  <si>
    <t>241.252</t>
    <phoneticPr fontId="4" type="noConversion"/>
  </si>
  <si>
    <t>240.242.243.245</t>
    <phoneticPr fontId="4" type="noConversion"/>
  </si>
  <si>
    <t>248.264</t>
    <phoneticPr fontId="4" type="noConversion"/>
  </si>
  <si>
    <t>247.249.265</t>
    <phoneticPr fontId="4" type="noConversion"/>
  </si>
  <si>
    <t>244</t>
    <phoneticPr fontId="4" type="noConversion"/>
  </si>
  <si>
    <t>259</t>
    <phoneticPr fontId="4" type="noConversion"/>
  </si>
  <si>
    <t>270</t>
    <phoneticPr fontId="4" type="noConversion"/>
  </si>
  <si>
    <t>250.256.260</t>
    <phoneticPr fontId="4" type="noConversion"/>
  </si>
  <si>
    <t>253.257</t>
    <phoneticPr fontId="4" type="noConversion"/>
  </si>
  <si>
    <t>269</t>
    <phoneticPr fontId="4" type="noConversion"/>
  </si>
  <si>
    <t>340.341.352</t>
    <phoneticPr fontId="7" type="noConversion"/>
  </si>
  <si>
    <t>343.345</t>
    <phoneticPr fontId="7" type="noConversion"/>
  </si>
  <si>
    <t>349</t>
    <phoneticPr fontId="7" type="noConversion"/>
  </si>
  <si>
    <t>344.359</t>
    <phoneticPr fontId="4" type="noConversion"/>
  </si>
  <si>
    <t>342</t>
    <phoneticPr fontId="7" type="noConversion"/>
  </si>
  <si>
    <t>348</t>
    <phoneticPr fontId="7" type="noConversion"/>
  </si>
  <si>
    <t>347</t>
    <phoneticPr fontId="7" type="noConversion"/>
  </si>
  <si>
    <t>353.357</t>
    <phoneticPr fontId="4" type="noConversion"/>
  </si>
  <si>
    <t>356</t>
  </si>
  <si>
    <t>420.421.422.432</t>
    <phoneticPr fontId="7" type="noConversion"/>
  </si>
  <si>
    <t>423.425</t>
    <phoneticPr fontId="7" type="noConversion"/>
  </si>
  <si>
    <t>424</t>
    <phoneticPr fontId="7" type="noConversion"/>
  </si>
  <si>
    <t>428</t>
    <phoneticPr fontId="7" type="noConversion"/>
  </si>
  <si>
    <t>431</t>
    <phoneticPr fontId="7" type="noConversion"/>
  </si>
  <si>
    <t>636x939</t>
  </si>
  <si>
    <t>242.243</t>
    <phoneticPr fontId="4" type="noConversion"/>
  </si>
  <si>
    <t>240</t>
    <phoneticPr fontId="4" type="noConversion"/>
  </si>
  <si>
    <t>249(횡목)</t>
    <phoneticPr fontId="4" type="noConversion"/>
  </si>
  <si>
    <t>스타드림 엠보스</t>
    <phoneticPr fontId="4" type="noConversion"/>
  </si>
  <si>
    <t>세타 패턴(111Quartz.122Diamond)</t>
    <phoneticPr fontId="4" type="noConversion"/>
  </si>
  <si>
    <t>로마.부치아토.터프.파인트월 패턴(111.122)</t>
    <phoneticPr fontId="4" type="noConversion"/>
  </si>
  <si>
    <t>세타 패턴(241Quartz.252Diamond)</t>
    <phoneticPr fontId="4" type="noConversion"/>
  </si>
  <si>
    <t>로마.부치아토.터프.파인트월 패턴(241.252)</t>
    <phoneticPr fontId="4" type="noConversion"/>
  </si>
  <si>
    <t>스타드림 핀포인트</t>
    <phoneticPr fontId="4" type="noConversion"/>
  </si>
  <si>
    <t>C111.C122</t>
    <phoneticPr fontId="4" type="noConversion"/>
  </si>
  <si>
    <t>C112</t>
    <phoneticPr fontId="4" type="noConversion"/>
  </si>
  <si>
    <t>C121</t>
    <phoneticPr fontId="4" type="noConversion"/>
  </si>
  <si>
    <t>C241.C252</t>
    <phoneticPr fontId="4" type="noConversion"/>
  </si>
  <si>
    <t>C240</t>
    <phoneticPr fontId="7" type="noConversion"/>
  </si>
  <si>
    <t>C341.C352</t>
    <phoneticPr fontId="7" type="noConversion"/>
  </si>
  <si>
    <t>C421.C432</t>
    <phoneticPr fontId="7" type="noConversion"/>
  </si>
  <si>
    <t>C431</t>
    <phoneticPr fontId="7" type="noConversion"/>
  </si>
  <si>
    <t>스타드림2.0</t>
    <phoneticPr fontId="7" type="noConversion"/>
  </si>
  <si>
    <t>111.112</t>
    <phoneticPr fontId="7" type="noConversion"/>
  </si>
  <si>
    <t>113~115</t>
    <phoneticPr fontId="7" type="noConversion"/>
  </si>
  <si>
    <t>201.202</t>
    <phoneticPr fontId="7" type="noConversion"/>
  </si>
  <si>
    <t>203~205</t>
    <phoneticPr fontId="7" type="noConversion"/>
  </si>
  <si>
    <t>341.342</t>
    <phoneticPr fontId="7" type="noConversion"/>
  </si>
  <si>
    <t>343~345</t>
    <phoneticPr fontId="7" type="noConversion"/>
  </si>
  <si>
    <t>스타블랑</t>
    <phoneticPr fontId="7" type="noConversion"/>
  </si>
  <si>
    <t>C1S아이보리</t>
    <phoneticPr fontId="7" type="noConversion"/>
  </si>
  <si>
    <t>스톤</t>
    <phoneticPr fontId="4" type="noConversion"/>
  </si>
  <si>
    <t>301~303</t>
    <phoneticPr fontId="4" type="noConversion"/>
  </si>
  <si>
    <t>305.307</t>
    <phoneticPr fontId="4" type="noConversion"/>
  </si>
  <si>
    <t>311.313.316</t>
    <phoneticPr fontId="4" type="noConversion"/>
  </si>
  <si>
    <t>312.314.315.317</t>
    <phoneticPr fontId="4" type="noConversion"/>
  </si>
  <si>
    <t>스페셜레블
(SPECIAL REBUL)</t>
    <phoneticPr fontId="4" type="noConversion"/>
  </si>
  <si>
    <t>Silver</t>
    <phoneticPr fontId="4" type="noConversion"/>
  </si>
  <si>
    <t>Gold.Aqua blue</t>
    <phoneticPr fontId="4" type="noConversion"/>
  </si>
  <si>
    <t>스페셜리티즈</t>
    <phoneticPr fontId="4" type="noConversion"/>
  </si>
  <si>
    <t>790x1090</t>
    <phoneticPr fontId="7" type="noConversion"/>
  </si>
  <si>
    <t>719</t>
    <phoneticPr fontId="4" type="noConversion"/>
  </si>
  <si>
    <t>379</t>
    <phoneticPr fontId="4" type="noConversion"/>
  </si>
  <si>
    <t>GT-14</t>
    <phoneticPr fontId="4" type="noConversion"/>
  </si>
  <si>
    <t>118</t>
    <phoneticPr fontId="4" type="noConversion"/>
  </si>
  <si>
    <t>215</t>
    <phoneticPr fontId="4" type="noConversion"/>
  </si>
  <si>
    <t>216</t>
    <phoneticPr fontId="4" type="noConversion"/>
  </si>
  <si>
    <t>305.359</t>
    <phoneticPr fontId="4" type="noConversion"/>
  </si>
  <si>
    <t>358N</t>
    <phoneticPr fontId="4" type="noConversion"/>
  </si>
  <si>
    <t>318.375</t>
    <phoneticPr fontId="4" type="noConversion"/>
  </si>
  <si>
    <t>610N</t>
    <phoneticPr fontId="4" type="noConversion"/>
  </si>
  <si>
    <t>800x545</t>
    <phoneticPr fontId="4" type="noConversion"/>
  </si>
  <si>
    <t>714</t>
    <phoneticPr fontId="4" type="noConversion"/>
  </si>
  <si>
    <t>790x545</t>
    <phoneticPr fontId="4" type="noConversion"/>
  </si>
  <si>
    <t>716N</t>
    <phoneticPr fontId="4" type="noConversion"/>
  </si>
  <si>
    <t>GT-4</t>
    <phoneticPr fontId="7" type="noConversion"/>
  </si>
  <si>
    <t>376</t>
    <phoneticPr fontId="4" type="noConversion"/>
  </si>
  <si>
    <t>357N</t>
    <phoneticPr fontId="4" type="noConversion"/>
  </si>
  <si>
    <t>131</t>
    <phoneticPr fontId="4" type="noConversion"/>
  </si>
  <si>
    <t>790x605</t>
    <phoneticPr fontId="4" type="noConversion"/>
  </si>
  <si>
    <t>768</t>
    <phoneticPr fontId="4" type="noConversion"/>
  </si>
  <si>
    <t>스펙트라</t>
    <phoneticPr fontId="4" type="noConversion"/>
  </si>
  <si>
    <t>01.03.14.40.43.47.48.52.53.55.56.67 종.횡목</t>
    <phoneticPr fontId="4" type="noConversion"/>
  </si>
  <si>
    <t>08.49~51.54.60 종.횡목</t>
    <phoneticPr fontId="4" type="noConversion"/>
  </si>
  <si>
    <t>48.53.55.Q03</t>
    <phoneticPr fontId="4" type="noConversion"/>
  </si>
  <si>
    <t>49.50.54.60</t>
    <phoneticPr fontId="4" type="noConversion"/>
  </si>
  <si>
    <t>902x635</t>
    <phoneticPr fontId="4" type="noConversion"/>
  </si>
  <si>
    <t>Q계열</t>
    <phoneticPr fontId="4" type="noConversion"/>
  </si>
  <si>
    <t>01.03.14.40.43.47.48.52.53.55.56.67</t>
    <phoneticPr fontId="4" type="noConversion"/>
  </si>
  <si>
    <t>08.49~51.54.60</t>
    <phoneticPr fontId="4" type="noConversion"/>
  </si>
  <si>
    <t>시나크라프트</t>
    <phoneticPr fontId="7" type="noConversion"/>
  </si>
  <si>
    <t>시로</t>
    <phoneticPr fontId="4" type="noConversion"/>
  </si>
  <si>
    <t>풀종이 T092</t>
    <phoneticPr fontId="4" type="noConversion"/>
  </si>
  <si>
    <t>풀종이 T122</t>
    <phoneticPr fontId="4" type="noConversion"/>
  </si>
  <si>
    <t>풀종이 T251.T253.T254</t>
    <phoneticPr fontId="4" type="noConversion"/>
  </si>
  <si>
    <t>에코종이 E251 (FSC)</t>
    <phoneticPr fontId="4" type="noConversion"/>
  </si>
  <si>
    <t>해초종이 A094 (FSC)</t>
    <phoneticPr fontId="4" type="noConversion"/>
  </si>
  <si>
    <t>해초종이 A300 (FSC)</t>
    <phoneticPr fontId="4" type="noConversion"/>
  </si>
  <si>
    <t>시로에코</t>
    <phoneticPr fontId="7" type="noConversion"/>
  </si>
  <si>
    <t>Grey.Sand</t>
    <phoneticPr fontId="7" type="noConversion"/>
  </si>
  <si>
    <t>쏘실크</t>
    <phoneticPr fontId="4" type="noConversion"/>
  </si>
  <si>
    <t>132.133.135.136</t>
    <phoneticPr fontId="4" type="noConversion"/>
  </si>
  <si>
    <t>250.251</t>
    <phoneticPr fontId="4" type="noConversion"/>
  </si>
  <si>
    <t>252~257</t>
    <phoneticPr fontId="4" type="noConversion"/>
  </si>
  <si>
    <t>350.351</t>
    <phoneticPr fontId="4" type="noConversion"/>
  </si>
  <si>
    <t>352~357</t>
    <phoneticPr fontId="4" type="noConversion"/>
  </si>
  <si>
    <r>
      <t xml:space="preserve">씨에라
</t>
    </r>
    <r>
      <rPr>
        <sz val="8"/>
        <rFont val="맑은 고딕"/>
        <family val="3"/>
        <charset val="129"/>
        <scheme val="minor"/>
      </rPr>
      <t>*식품 인증</t>
    </r>
    <phoneticPr fontId="7" type="noConversion"/>
  </si>
  <si>
    <t>씨엘칼라
(CLC)</t>
    <phoneticPr fontId="4" type="noConversion"/>
  </si>
  <si>
    <t>아도니스러프</t>
    <phoneticPr fontId="7" type="noConversion"/>
  </si>
  <si>
    <t>W.N</t>
    <phoneticPr fontId="4" type="noConversion"/>
  </si>
  <si>
    <t>아라라기</t>
    <phoneticPr fontId="4" type="noConversion"/>
  </si>
  <si>
    <t>90~97.99</t>
    <phoneticPr fontId="4" type="noConversion"/>
  </si>
  <si>
    <t>아라벨</t>
    <phoneticPr fontId="4" type="noConversion"/>
  </si>
  <si>
    <t>AG.AL.PR.SB.SG</t>
    <phoneticPr fontId="4" type="noConversion"/>
  </si>
  <si>
    <t>SW.W.UW</t>
    <phoneticPr fontId="4" type="noConversion"/>
  </si>
  <si>
    <t>UW.SW.W</t>
    <phoneticPr fontId="4" type="noConversion"/>
  </si>
  <si>
    <t>아스트로팩</t>
    <phoneticPr fontId="7" type="noConversion"/>
  </si>
  <si>
    <t>아스트로프리미엄</t>
    <phoneticPr fontId="7" type="noConversion"/>
  </si>
  <si>
    <t>아인스</t>
    <phoneticPr fontId="4" type="noConversion"/>
  </si>
  <si>
    <t>린넨</t>
    <phoneticPr fontId="4" type="noConversion"/>
  </si>
  <si>
    <t>아인스블랙</t>
    <phoneticPr fontId="4" type="noConversion"/>
  </si>
  <si>
    <t>종.횡목</t>
    <phoneticPr fontId="4" type="noConversion"/>
  </si>
  <si>
    <t>종</t>
    <phoneticPr fontId="4" type="noConversion"/>
  </si>
  <si>
    <t>아쿠아사틴</t>
    <phoneticPr fontId="4" type="noConversion"/>
  </si>
  <si>
    <t>아트프린스
(신/리뉴얼)</t>
    <phoneticPr fontId="7" type="noConversion"/>
  </si>
  <si>
    <t>260x360</t>
  </si>
  <si>
    <t>크로키 C01</t>
  </si>
  <si>
    <t>297x420</t>
  </si>
  <si>
    <t>크로키 C02</t>
  </si>
  <si>
    <t>210x297</t>
  </si>
  <si>
    <t>크로키 C03</t>
  </si>
  <si>
    <t>180x260</t>
  </si>
  <si>
    <t>크로키 C04</t>
  </si>
  <si>
    <t>크로키 C05</t>
  </si>
  <si>
    <t>크로키 C06</t>
  </si>
  <si>
    <t>스케치 S01</t>
  </si>
  <si>
    <t>스케치 S02</t>
  </si>
  <si>
    <t>스케치 S03</t>
  </si>
  <si>
    <t>스케치 S04</t>
  </si>
  <si>
    <t>148x210</t>
  </si>
  <si>
    <t>스케치 S05</t>
  </si>
  <si>
    <t>스케치 S06</t>
  </si>
  <si>
    <t>스케치 S07</t>
  </si>
  <si>
    <t>스케치 S08</t>
  </si>
  <si>
    <t>380x530</t>
  </si>
  <si>
    <t>드로잉 D01</t>
  </si>
  <si>
    <t>4절</t>
  </si>
  <si>
    <t>320x440</t>
  </si>
  <si>
    <t>드로잉 D02</t>
  </si>
  <si>
    <t>드로잉 D03</t>
  </si>
  <si>
    <t>드로잉 D04</t>
  </si>
  <si>
    <t>드로잉 D05</t>
  </si>
  <si>
    <t>드로잉 D06</t>
  </si>
  <si>
    <t>105x148</t>
  </si>
  <si>
    <t>드로잉 D07</t>
  </si>
  <si>
    <t>드로잉 D08</t>
  </si>
  <si>
    <t>드로잉 D09</t>
  </si>
  <si>
    <t>드로잉 D10</t>
  </si>
  <si>
    <t>드로잉 D11</t>
  </si>
  <si>
    <t>워터컬러 W01</t>
  </si>
  <si>
    <t>워터컬러 W02</t>
  </si>
  <si>
    <t>워터컬러 W03</t>
  </si>
  <si>
    <t>워터컬러 W04</t>
  </si>
  <si>
    <t>워터컬러 W05</t>
  </si>
  <si>
    <t>워터컬러 W06</t>
  </si>
  <si>
    <t>워터컬러 W07</t>
  </si>
  <si>
    <t>워터컬러 W08</t>
  </si>
  <si>
    <t>워터컬러 W09</t>
  </si>
  <si>
    <t>워터컬러 W10</t>
  </si>
  <si>
    <t>워터컬러 W11</t>
  </si>
  <si>
    <t>알루그라스
(ALUGLAS)</t>
    <phoneticPr fontId="4" type="noConversion"/>
  </si>
  <si>
    <t>FCF(G1)</t>
    <phoneticPr fontId="4" type="noConversion"/>
  </si>
  <si>
    <t>HCF(Light Pillows.Mega Monn Laga)</t>
    <phoneticPr fontId="4" type="noConversion"/>
  </si>
  <si>
    <t>MCF</t>
    <phoneticPr fontId="4" type="noConversion"/>
  </si>
  <si>
    <t>액션</t>
    <phoneticPr fontId="4" type="noConversion"/>
  </si>
  <si>
    <t>302.303.309</t>
    <phoneticPr fontId="4" type="noConversion"/>
  </si>
  <si>
    <t>301.313</t>
    <phoneticPr fontId="4" type="noConversion"/>
  </si>
  <si>
    <t>314.315</t>
    <phoneticPr fontId="4" type="noConversion"/>
  </si>
  <si>
    <t>430.431</t>
    <phoneticPr fontId="4" type="noConversion"/>
  </si>
  <si>
    <t>앤틱블랙</t>
    <phoneticPr fontId="4" type="noConversion"/>
  </si>
  <si>
    <r>
      <t xml:space="preserve">양면골판지
</t>
    </r>
    <r>
      <rPr>
        <sz val="8"/>
        <rFont val="맑은 고딕"/>
        <family val="3"/>
        <charset val="129"/>
        <scheme val="minor"/>
      </rPr>
      <t>*식품 인증 : W330</t>
    </r>
    <phoneticPr fontId="4" type="noConversion"/>
  </si>
  <si>
    <t>1091x780</t>
  </si>
  <si>
    <t>(E골)K516</t>
    <phoneticPr fontId="4" type="noConversion"/>
  </si>
  <si>
    <t>(E골)K606</t>
    <phoneticPr fontId="4" type="noConversion"/>
  </si>
  <si>
    <t>(E골)B396</t>
    <phoneticPr fontId="4" type="noConversion"/>
  </si>
  <si>
    <t>(E골)W330 스노우</t>
    <phoneticPr fontId="4" type="noConversion"/>
  </si>
  <si>
    <t>(E골)W330 화이트 (FSC)</t>
    <phoneticPr fontId="4" type="noConversion"/>
  </si>
  <si>
    <t>1091x790</t>
    <phoneticPr fontId="7" type="noConversion"/>
  </si>
  <si>
    <t>(E골)NA495 네이처팩 화이트</t>
    <phoneticPr fontId="7" type="noConversion"/>
  </si>
  <si>
    <t>(E골)NA627 네이처팩 베이지</t>
    <phoneticPr fontId="7" type="noConversion"/>
  </si>
  <si>
    <t>(E골)G600 연그레이</t>
    <phoneticPr fontId="7" type="noConversion"/>
  </si>
  <si>
    <t>(E골)G580 연그레이</t>
    <phoneticPr fontId="7" type="noConversion"/>
  </si>
  <si>
    <t>(E골)MC396 초콜릿</t>
    <phoneticPr fontId="7" type="noConversion"/>
  </si>
  <si>
    <t>1091x770</t>
    <phoneticPr fontId="7" type="noConversion"/>
  </si>
  <si>
    <t>(E골)MC396 연미색</t>
    <phoneticPr fontId="7" type="noConversion"/>
  </si>
  <si>
    <t>(E골)OK550 크라프트</t>
    <phoneticPr fontId="7" type="noConversion"/>
  </si>
  <si>
    <t>1100x800</t>
    <phoneticPr fontId="7" type="noConversion"/>
  </si>
  <si>
    <t>(E골)KD606 크라프트</t>
    <phoneticPr fontId="7" type="noConversion"/>
  </si>
  <si>
    <t>(E골)W620 스노우</t>
    <phoneticPr fontId="7" type="noConversion"/>
  </si>
  <si>
    <t>545x770</t>
    <phoneticPr fontId="7" type="noConversion"/>
  </si>
  <si>
    <t>(F골)MB390 검은색</t>
    <phoneticPr fontId="7" type="noConversion"/>
  </si>
  <si>
    <t>545x780</t>
    <phoneticPr fontId="7" type="noConversion"/>
  </si>
  <si>
    <t>(F골)WK325 백색</t>
    <phoneticPr fontId="7" type="noConversion"/>
  </si>
  <si>
    <t>600x780</t>
    <phoneticPr fontId="7" type="noConversion"/>
  </si>
  <si>
    <t>(F골)KL510 크라프트</t>
    <phoneticPr fontId="7" type="noConversion"/>
  </si>
  <si>
    <t>(B골)KL642 크라프트</t>
    <phoneticPr fontId="7" type="noConversion"/>
  </si>
  <si>
    <t>1091x800</t>
    <phoneticPr fontId="7" type="noConversion"/>
  </si>
  <si>
    <t>(B골)KQ550 크라프트</t>
    <phoneticPr fontId="7" type="noConversion"/>
  </si>
  <si>
    <t>(B골)KQ535 크라프트</t>
    <phoneticPr fontId="7" type="noConversion"/>
  </si>
  <si>
    <t>788x545</t>
    <phoneticPr fontId="7" type="noConversion"/>
  </si>
  <si>
    <t>(G골*2중)KK1200 크라프트</t>
    <phoneticPr fontId="7" type="noConversion"/>
  </si>
  <si>
    <t>(편면 W골)WK230 백색</t>
    <phoneticPr fontId="7" type="noConversion"/>
  </si>
  <si>
    <t>545x800</t>
    <phoneticPr fontId="7" type="noConversion"/>
  </si>
  <si>
    <t>(편면 W골)KL403 크라프트</t>
    <phoneticPr fontId="7" type="noConversion"/>
  </si>
  <si>
    <t>540x780</t>
    <phoneticPr fontId="7" type="noConversion"/>
  </si>
  <si>
    <t xml:space="preserve">(편면 E골)NA350 네이처팩 화이트 </t>
    <phoneticPr fontId="7" type="noConversion"/>
  </si>
  <si>
    <t>에니르</t>
    <phoneticPr fontId="4" type="noConversion"/>
  </si>
  <si>
    <t>112.114.115</t>
    <phoneticPr fontId="4" type="noConversion"/>
  </si>
  <si>
    <t>192.194.195</t>
    <phoneticPr fontId="4" type="noConversion"/>
  </si>
  <si>
    <t>190.196</t>
    <phoneticPr fontId="4" type="noConversion"/>
  </si>
  <si>
    <t>에도</t>
    <phoneticPr fontId="4" type="noConversion"/>
  </si>
  <si>
    <t>500x700</t>
  </si>
  <si>
    <t>122녹차색</t>
    <phoneticPr fontId="7" type="noConversion"/>
  </si>
  <si>
    <t>에버</t>
    <phoneticPr fontId="4" type="noConversion"/>
  </si>
  <si>
    <t>080</t>
    <phoneticPr fontId="4" type="noConversion"/>
  </si>
  <si>
    <t>303.304.305</t>
    <phoneticPr fontId="4" type="noConversion"/>
  </si>
  <si>
    <t>306.307</t>
    <phoneticPr fontId="4" type="noConversion"/>
  </si>
  <si>
    <t>700x1020</t>
    <phoneticPr fontId="4" type="noConversion"/>
  </si>
  <si>
    <t>138</t>
    <phoneticPr fontId="4" type="noConversion"/>
  </si>
  <si>
    <t>121.122</t>
    <phoneticPr fontId="4" type="noConversion"/>
  </si>
  <si>
    <t>301.302</t>
    <phoneticPr fontId="4" type="noConversion"/>
  </si>
  <si>
    <t>에스프리
(ESPRIT GRACE)</t>
    <phoneticPr fontId="7" type="noConversion"/>
  </si>
  <si>
    <t>에어러스</t>
    <phoneticPr fontId="4" type="noConversion"/>
  </si>
  <si>
    <t>에이셔너리
[봉투]</t>
    <phoneticPr fontId="7" type="noConversion"/>
  </si>
  <si>
    <t>175x97</t>
    <phoneticPr fontId="7" type="noConversion"/>
  </si>
  <si>
    <t>AA07~12 T-EOS 사간</t>
    <phoneticPr fontId="7" type="noConversion"/>
  </si>
  <si>
    <t>AB01~06 돌무늬지</t>
    <phoneticPr fontId="7" type="noConversion"/>
  </si>
  <si>
    <t>AC07~12 타래</t>
    <phoneticPr fontId="7" type="noConversion"/>
  </si>
  <si>
    <t>AA01.03~06 프렌치마블.로마스톤</t>
    <phoneticPr fontId="7" type="noConversion"/>
  </si>
  <si>
    <t>AC02~06 타래</t>
    <phoneticPr fontId="7" type="noConversion"/>
  </si>
  <si>
    <t>184x90</t>
    <phoneticPr fontId="7" type="noConversion"/>
  </si>
  <si>
    <t>BA01.02.04.06~08 직녀</t>
    <phoneticPr fontId="7" type="noConversion"/>
  </si>
  <si>
    <t>BB01~06 크리스탈린넨</t>
    <phoneticPr fontId="7" type="noConversion"/>
  </si>
  <si>
    <t>BC01~06 실크925.스무스780</t>
    <phoneticPr fontId="7" type="noConversion"/>
  </si>
  <si>
    <t>BA03.05 직녀</t>
    <phoneticPr fontId="7" type="noConversion"/>
  </si>
  <si>
    <t>215x97</t>
    <phoneticPr fontId="7" type="noConversion"/>
  </si>
  <si>
    <t>CA01~06 에버.비어</t>
    <phoneticPr fontId="7" type="noConversion"/>
  </si>
  <si>
    <t>CB01~06 디프매트</t>
    <phoneticPr fontId="7" type="noConversion"/>
  </si>
  <si>
    <t>DA01~06 다이넬</t>
    <phoneticPr fontId="7" type="noConversion"/>
  </si>
  <si>
    <t>EA01~04.06.07 타래(조각보)</t>
    <phoneticPr fontId="7" type="noConversion"/>
  </si>
  <si>
    <t>EA05 타래(조각보)</t>
    <phoneticPr fontId="7" type="noConversion"/>
  </si>
  <si>
    <t>E01~06 (기존) E11~21(신규 경조)</t>
    <phoneticPr fontId="7" type="noConversion"/>
  </si>
  <si>
    <t>에이프랑</t>
    <phoneticPr fontId="4" type="noConversion"/>
  </si>
  <si>
    <t>150.151</t>
    <phoneticPr fontId="4" type="noConversion"/>
  </si>
  <si>
    <t>154</t>
    <phoneticPr fontId="4" type="noConversion"/>
  </si>
  <si>
    <t>180.186</t>
    <phoneticPr fontId="4" type="noConversion"/>
  </si>
  <si>
    <t>121</t>
    <phoneticPr fontId="4" type="noConversion"/>
  </si>
  <si>
    <t>180</t>
    <phoneticPr fontId="4" type="noConversion"/>
  </si>
  <si>
    <t>에코판넬보드</t>
    <phoneticPr fontId="7" type="noConversion"/>
  </si>
  <si>
    <t>2200x1200</t>
    <phoneticPr fontId="7" type="noConversion"/>
  </si>
  <si>
    <t>8mm</t>
    <phoneticPr fontId="7" type="noConversion"/>
  </si>
  <si>
    <t>BB</t>
    <phoneticPr fontId="7" type="noConversion"/>
  </si>
  <si>
    <t>BP</t>
    <phoneticPr fontId="7" type="noConversion"/>
  </si>
  <si>
    <t>BW</t>
    <phoneticPr fontId="7" type="noConversion"/>
  </si>
  <si>
    <t>에프플루트골판지
(F-Flute)</t>
    <phoneticPr fontId="4" type="noConversion"/>
  </si>
  <si>
    <t>F05.08.09.36(370g/㎡ 1091X780mm)</t>
    <phoneticPr fontId="4" type="noConversion"/>
  </si>
  <si>
    <t>F07.24.43.45.46</t>
    <phoneticPr fontId="4" type="noConversion"/>
  </si>
  <si>
    <t>FK03</t>
  </si>
  <si>
    <t>F36</t>
    <phoneticPr fontId="4" type="noConversion"/>
  </si>
  <si>
    <t>F43</t>
    <phoneticPr fontId="4" type="noConversion"/>
  </si>
  <si>
    <t>엑셀</t>
    <phoneticPr fontId="4" type="noConversion"/>
  </si>
  <si>
    <t>R(리싸이클).화이트CoC</t>
    <phoneticPr fontId="7" type="noConversion"/>
  </si>
  <si>
    <t>R(리싸이클)</t>
    <phoneticPr fontId="7" type="noConversion"/>
  </si>
  <si>
    <t>화이트CoC</t>
    <phoneticPr fontId="7" type="noConversion"/>
  </si>
  <si>
    <t>R(리싸이클)</t>
  </si>
  <si>
    <t>엔젤클로스</t>
    <phoneticPr fontId="4" type="noConversion"/>
  </si>
  <si>
    <t>엔젤하트</t>
    <phoneticPr fontId="7" type="noConversion"/>
  </si>
  <si>
    <t>봉투</t>
    <phoneticPr fontId="7" type="noConversion"/>
  </si>
  <si>
    <t>ED93.ED94.ES80.ES85.ES86</t>
    <phoneticPr fontId="7" type="noConversion"/>
  </si>
  <si>
    <t>엔티랏샤</t>
    <phoneticPr fontId="4" type="noConversion"/>
  </si>
  <si>
    <t>176</t>
    <phoneticPr fontId="7" type="noConversion"/>
  </si>
  <si>
    <t>174.175</t>
    <phoneticPr fontId="4" type="noConversion"/>
  </si>
  <si>
    <t>009.011.013.022.074.110.141</t>
    <phoneticPr fontId="4" type="noConversion"/>
  </si>
  <si>
    <t>014.020.030.150</t>
    <phoneticPr fontId="4" type="noConversion"/>
  </si>
  <si>
    <t>012.021.031.071.093.100</t>
    <phoneticPr fontId="4" type="noConversion"/>
  </si>
  <si>
    <t>015.016.029.078.088</t>
    <phoneticPr fontId="4" type="noConversion"/>
  </si>
  <si>
    <t>095.168</t>
    <phoneticPr fontId="4" type="noConversion"/>
  </si>
  <si>
    <t>174.175</t>
  </si>
  <si>
    <t>001.004.005.023~025.028.032.130.144.149.176</t>
    <phoneticPr fontId="4" type="noConversion"/>
  </si>
  <si>
    <t>009.011.013</t>
    <phoneticPr fontId="4" type="noConversion"/>
  </si>
  <si>
    <t>020.030</t>
    <phoneticPr fontId="4" type="noConversion"/>
  </si>
  <si>
    <t>021.031</t>
    <phoneticPr fontId="4" type="noConversion"/>
  </si>
  <si>
    <t>015</t>
    <phoneticPr fontId="4" type="noConversion"/>
  </si>
  <si>
    <t>엔티파일</t>
    <phoneticPr fontId="4" type="noConversion"/>
  </si>
  <si>
    <t>02~07</t>
    <phoneticPr fontId="4" type="noConversion"/>
  </si>
  <si>
    <t>엘도라도</t>
    <phoneticPr fontId="4" type="noConversion"/>
  </si>
  <si>
    <t>S.G계열(01운룡.02구김.03혼란.04거북)</t>
    <phoneticPr fontId="4" type="noConversion"/>
  </si>
  <si>
    <t>R계열(01운룡.02구김.04거북)</t>
    <phoneticPr fontId="4" type="noConversion"/>
  </si>
  <si>
    <t>B계열(01운룡.02구김.03혼란.04거북)</t>
    <phoneticPr fontId="4" type="noConversion"/>
  </si>
  <si>
    <t>오감지</t>
    <phoneticPr fontId="4" type="noConversion"/>
  </si>
  <si>
    <t>01.04.18.29.33.35.37</t>
    <phoneticPr fontId="4" type="noConversion"/>
  </si>
  <si>
    <t>10.12~14.16.17.20~23.25~27.36</t>
    <phoneticPr fontId="4" type="noConversion"/>
  </si>
  <si>
    <t>오리지널그문드</t>
    <phoneticPr fontId="4" type="noConversion"/>
  </si>
  <si>
    <t>450x640</t>
    <phoneticPr fontId="4" type="noConversion"/>
  </si>
  <si>
    <t>와일드</t>
    <phoneticPr fontId="4" type="noConversion"/>
  </si>
  <si>
    <t>02Green.03Sand.04Clay</t>
    <phoneticPr fontId="7" type="noConversion"/>
  </si>
  <si>
    <t>05Brown.06Black</t>
    <phoneticPr fontId="7" type="noConversion"/>
  </si>
  <si>
    <r>
      <t xml:space="preserve">왁스페이퍼
</t>
    </r>
    <r>
      <rPr>
        <sz val="8"/>
        <rFont val="맑은 고딕"/>
        <family val="3"/>
        <charset val="129"/>
        <scheme val="minor"/>
      </rPr>
      <t>*식품 인증</t>
    </r>
    <phoneticPr fontId="4" type="noConversion"/>
  </si>
  <si>
    <t>788x545</t>
    <phoneticPr fontId="4" type="noConversion"/>
  </si>
  <si>
    <t>화이트</t>
    <phoneticPr fontId="4" type="noConversion"/>
  </si>
  <si>
    <t>크라프트</t>
    <phoneticPr fontId="4" type="noConversion"/>
  </si>
  <si>
    <t>요떼아모</t>
    <phoneticPr fontId="4" type="noConversion"/>
  </si>
  <si>
    <t>봉투</t>
    <phoneticPr fontId="4" type="noConversion"/>
  </si>
  <si>
    <t>폴리백</t>
    <phoneticPr fontId="4" type="noConversion"/>
  </si>
  <si>
    <t>내지</t>
    <phoneticPr fontId="4" type="noConversion"/>
  </si>
  <si>
    <t>프리미엄</t>
    <phoneticPr fontId="4" type="noConversion"/>
  </si>
  <si>
    <t>240x335</t>
    <phoneticPr fontId="7" type="noConversion"/>
  </si>
  <si>
    <t>물그림종이-A01 검정</t>
    <phoneticPr fontId="7" type="noConversion"/>
  </si>
  <si>
    <t>물그림종이-A01 검정(+물붓펜)</t>
    <phoneticPr fontId="7" type="noConversion"/>
  </si>
  <si>
    <t>500x700</t>
    <phoneticPr fontId="7" type="noConversion"/>
  </si>
  <si>
    <t>물그림종이-AKA.BLACK.BLUE.MIDORI.PINK</t>
    <phoneticPr fontId="7" type="noConversion"/>
  </si>
  <si>
    <t>웨이비웨이비
(WAVYWAVY)</t>
    <phoneticPr fontId="7" type="noConversion"/>
  </si>
  <si>
    <t>636x470</t>
    <phoneticPr fontId="7" type="noConversion"/>
  </si>
  <si>
    <t>PWV200</t>
    <phoneticPr fontId="7" type="noConversion"/>
  </si>
  <si>
    <t>PWV275.P-WV</t>
    <phoneticPr fontId="7" type="noConversion"/>
  </si>
  <si>
    <t>유니트</t>
    <phoneticPr fontId="4" type="noConversion"/>
  </si>
  <si>
    <t>W.NW</t>
    <phoneticPr fontId="4" type="noConversion"/>
  </si>
  <si>
    <t>W.NW</t>
  </si>
  <si>
    <t>유니페이스</t>
    <phoneticPr fontId="7" type="noConversion"/>
  </si>
  <si>
    <t>640x940</t>
    <phoneticPr fontId="4" type="noConversion"/>
  </si>
  <si>
    <t>유포</t>
    <phoneticPr fontId="4" type="noConversion"/>
  </si>
  <si>
    <t>BLR.BLRG</t>
    <phoneticPr fontId="4" type="noConversion"/>
  </si>
  <si>
    <t>150μ</t>
  </si>
  <si>
    <t>AUEB</t>
    <phoneticPr fontId="7" type="noConversion"/>
  </si>
  <si>
    <r>
      <t>150</t>
    </r>
    <r>
      <rPr>
        <sz val="9"/>
        <rFont val="Calibri"/>
        <family val="3"/>
        <charset val="161"/>
      </rPr>
      <t>μ</t>
    </r>
    <phoneticPr fontId="7" type="noConversion"/>
  </si>
  <si>
    <t>FGS</t>
  </si>
  <si>
    <t>60μ</t>
    <phoneticPr fontId="4" type="noConversion"/>
  </si>
  <si>
    <t>80μ</t>
    <phoneticPr fontId="4" type="noConversion"/>
  </si>
  <si>
    <t>FEBG.FGS</t>
    <phoneticPr fontId="4" type="noConversion"/>
  </si>
  <si>
    <t>95μ</t>
  </si>
  <si>
    <t>FEB.FEBG.FGS.FRBW</t>
    <phoneticPr fontId="4" type="noConversion"/>
  </si>
  <si>
    <t>110μ</t>
    <phoneticPr fontId="4" type="noConversion"/>
  </si>
  <si>
    <t>130μ</t>
  </si>
  <si>
    <t>FEB.FEBG</t>
    <phoneticPr fontId="4" type="noConversion"/>
  </si>
  <si>
    <t>200μ</t>
  </si>
  <si>
    <t>FGS.FRBW</t>
    <phoneticPr fontId="4" type="noConversion"/>
  </si>
  <si>
    <t>250μ</t>
  </si>
  <si>
    <t>FEBG.FEBA</t>
    <phoneticPr fontId="4" type="noConversion"/>
  </si>
  <si>
    <t>300μ</t>
  </si>
  <si>
    <t>TPRA</t>
    <phoneticPr fontId="4" type="noConversion"/>
  </si>
  <si>
    <t>90μ</t>
    <phoneticPr fontId="4" type="noConversion"/>
  </si>
  <si>
    <t>FRB</t>
    <phoneticPr fontId="7" type="noConversion"/>
  </si>
  <si>
    <t>FEB.FEBG</t>
    <phoneticPr fontId="7" type="noConversion"/>
  </si>
  <si>
    <t>FEB.FEBG.FGS</t>
    <phoneticPr fontId="4" type="noConversion"/>
  </si>
  <si>
    <t>110μ</t>
  </si>
  <si>
    <t>FEBG</t>
    <phoneticPr fontId="7" type="noConversion"/>
  </si>
  <si>
    <t>250μ</t>
    <phoneticPr fontId="7" type="noConversion"/>
  </si>
  <si>
    <t>FEBG.FEBA</t>
    <phoneticPr fontId="7" type="noConversion"/>
  </si>
  <si>
    <t>300μ</t>
    <phoneticPr fontId="4" type="noConversion"/>
  </si>
  <si>
    <t>옥토퍼스 / WKF340</t>
    <phoneticPr fontId="4" type="noConversion"/>
  </si>
  <si>
    <t>320μ</t>
    <phoneticPr fontId="4" type="noConversion"/>
  </si>
  <si>
    <t>클리어 / WESC165</t>
    <phoneticPr fontId="7" type="noConversion"/>
  </si>
  <si>
    <t>165μ</t>
    <phoneticPr fontId="4" type="noConversion"/>
  </si>
  <si>
    <t>이큐칼라(EQ)</t>
    <phoneticPr fontId="4" type="noConversion"/>
  </si>
  <si>
    <t>C03.04</t>
    <phoneticPr fontId="4" type="noConversion"/>
  </si>
  <si>
    <t>인버코트</t>
    <phoneticPr fontId="4" type="noConversion"/>
  </si>
  <si>
    <t>CREATO</t>
    <phoneticPr fontId="4" type="noConversion"/>
  </si>
  <si>
    <t>G</t>
    <phoneticPr fontId="4" type="noConversion"/>
  </si>
  <si>
    <t>ALBATO</t>
    <phoneticPr fontId="4" type="noConversion"/>
  </si>
  <si>
    <t>GP</t>
    <phoneticPr fontId="7" type="noConversion"/>
  </si>
  <si>
    <t>인버코트 DUO</t>
    <phoneticPr fontId="4" type="noConversion"/>
  </si>
  <si>
    <t>인사이즈모딜리아니</t>
    <phoneticPr fontId="4" type="noConversion"/>
  </si>
  <si>
    <t>120CANDIDO</t>
    <phoneticPr fontId="4" type="noConversion"/>
  </si>
  <si>
    <t>140CANDIDO.141NEVE</t>
    <phoneticPr fontId="4" type="noConversion"/>
  </si>
  <si>
    <t>200CANDIDO.201NEVE</t>
    <phoneticPr fontId="4" type="noConversion"/>
  </si>
  <si>
    <t>260CANDIDO.261NEVE</t>
    <phoneticPr fontId="4" type="noConversion"/>
  </si>
  <si>
    <t>360CANDIDO.361NEVE</t>
    <phoneticPr fontId="4" type="noConversion"/>
  </si>
  <si>
    <t>인의예지
(한지)</t>
    <phoneticPr fontId="4" type="noConversion"/>
  </si>
  <si>
    <t>1120x788</t>
    <phoneticPr fontId="4" type="noConversion"/>
  </si>
  <si>
    <t>구름R</t>
    <phoneticPr fontId="4" type="noConversion"/>
  </si>
  <si>
    <t>옛생각</t>
    <phoneticPr fontId="4" type="noConversion"/>
  </si>
  <si>
    <t>바람 (백색.미색)</t>
    <phoneticPr fontId="4" type="noConversion"/>
  </si>
  <si>
    <t>달</t>
    <phoneticPr fontId="4" type="noConversion"/>
  </si>
  <si>
    <t>650x939</t>
    <phoneticPr fontId="4" type="noConversion"/>
  </si>
  <si>
    <t>바람 (나머지 10칼라)</t>
    <phoneticPr fontId="4" type="noConversion"/>
  </si>
  <si>
    <t>지젤</t>
    <phoneticPr fontId="4" type="noConversion"/>
  </si>
  <si>
    <t>28-&gt;33</t>
  </si>
  <si>
    <t>우리색운용지</t>
    <phoneticPr fontId="4" type="noConversion"/>
  </si>
  <si>
    <t>우리색한지</t>
    <phoneticPr fontId="4" type="noConversion"/>
  </si>
  <si>
    <t>우리글씨</t>
    <phoneticPr fontId="4" type="noConversion"/>
  </si>
  <si>
    <t>우리한지D (하트)</t>
    <phoneticPr fontId="4" type="noConversion"/>
  </si>
  <si>
    <t>우리한지D (국화.난꽃.산꽃.상록수)</t>
    <phoneticPr fontId="4" type="noConversion"/>
  </si>
  <si>
    <t>우리한지D (격자무늬.들국화.산꽃)</t>
    <phoneticPr fontId="4" type="noConversion"/>
  </si>
  <si>
    <t>650x950</t>
    <phoneticPr fontId="4" type="noConversion"/>
  </si>
  <si>
    <t>불경지 백색</t>
    <phoneticPr fontId="4" type="noConversion"/>
  </si>
  <si>
    <t>불경지 미색</t>
    <phoneticPr fontId="4" type="noConversion"/>
  </si>
  <si>
    <t>인의예지
(바람지)</t>
    <phoneticPr fontId="4" type="noConversion"/>
  </si>
  <si>
    <t>12색상</t>
    <phoneticPr fontId="4" type="noConversion"/>
  </si>
  <si>
    <t>2색상</t>
    <phoneticPr fontId="4" type="noConversion"/>
  </si>
  <si>
    <t>(점보) 5색상</t>
    <phoneticPr fontId="4" type="noConversion"/>
  </si>
  <si>
    <t>인의예지
(색대례지)</t>
    <phoneticPr fontId="4" type="noConversion"/>
  </si>
  <si>
    <t>5색상</t>
  </si>
  <si>
    <t>4색상</t>
  </si>
  <si>
    <t>5색상</t>
    <phoneticPr fontId="7" type="noConversion"/>
  </si>
  <si>
    <r>
      <t xml:space="preserve">일레이션
</t>
    </r>
    <r>
      <rPr>
        <sz val="8"/>
        <rFont val="맑은 고딕"/>
        <family val="3"/>
        <charset val="129"/>
        <scheme val="minor"/>
      </rPr>
      <t>*엣지: 장축평행</t>
    </r>
    <phoneticPr fontId="4" type="noConversion"/>
  </si>
  <si>
    <t>(엣지) E120.E121.E122</t>
    <phoneticPr fontId="4" type="noConversion"/>
  </si>
  <si>
    <t>122</t>
    <phoneticPr fontId="7" type="noConversion"/>
  </si>
  <si>
    <t>(엣지) E170.E171.E172</t>
    <phoneticPr fontId="4" type="noConversion"/>
  </si>
  <si>
    <t>170</t>
    <phoneticPr fontId="7" type="noConversion"/>
  </si>
  <si>
    <t>240.241</t>
    <phoneticPr fontId="7" type="noConversion"/>
  </si>
  <si>
    <t>244</t>
    <phoneticPr fontId="7" type="noConversion"/>
  </si>
  <si>
    <t>560x788</t>
    <phoneticPr fontId="4" type="noConversion"/>
  </si>
  <si>
    <t>(엣지) E241.E242</t>
    <phoneticPr fontId="4" type="noConversion"/>
  </si>
  <si>
    <t>(엣지) E247.E248.E250.E252.E254</t>
    <phoneticPr fontId="4" type="noConversion"/>
  </si>
  <si>
    <t>250</t>
    <phoneticPr fontId="7" type="noConversion"/>
  </si>
  <si>
    <t>일루미IJ</t>
    <phoneticPr fontId="7" type="noConversion"/>
  </si>
  <si>
    <t>01Pink.02Red</t>
    <phoneticPr fontId="7" type="noConversion"/>
  </si>
  <si>
    <t>03Tomato.04Orange.05Mango</t>
    <phoneticPr fontId="7" type="noConversion"/>
  </si>
  <si>
    <t>06Yellow</t>
    <phoneticPr fontId="7" type="noConversion"/>
  </si>
  <si>
    <t>07Green</t>
    <phoneticPr fontId="7" type="noConversion"/>
  </si>
  <si>
    <t>잔팩</t>
    <phoneticPr fontId="7" type="noConversion"/>
  </si>
  <si>
    <t>터치</t>
    <phoneticPr fontId="7" type="noConversion"/>
  </si>
  <si>
    <t>제우스</t>
    <phoneticPr fontId="4" type="noConversion"/>
  </si>
  <si>
    <t>220.221</t>
    <phoneticPr fontId="4" type="noConversion"/>
  </si>
  <si>
    <t>222</t>
    <phoneticPr fontId="4" type="noConversion"/>
  </si>
  <si>
    <t>226.227</t>
    <phoneticPr fontId="4" type="noConversion"/>
  </si>
  <si>
    <t>229</t>
    <phoneticPr fontId="4" type="noConversion"/>
  </si>
  <si>
    <t>320.321</t>
    <phoneticPr fontId="4" type="noConversion"/>
  </si>
  <si>
    <t>322</t>
    <phoneticPr fontId="4" type="noConversion"/>
  </si>
  <si>
    <t>젠틀박스</t>
    <phoneticPr fontId="4" type="noConversion"/>
  </si>
  <si>
    <t>800x1100</t>
    <phoneticPr fontId="4" type="noConversion"/>
  </si>
  <si>
    <t>CLOTH</t>
    <phoneticPr fontId="4" type="noConversion"/>
  </si>
  <si>
    <t>SW.W(종.횡목)</t>
    <phoneticPr fontId="4" type="noConversion"/>
  </si>
  <si>
    <t>SW(종목)</t>
    <phoneticPr fontId="4" type="noConversion"/>
  </si>
  <si>
    <t>SW.W(종목)</t>
    <phoneticPr fontId="4" type="noConversion"/>
  </si>
  <si>
    <t>주름지</t>
    <phoneticPr fontId="7" type="noConversion"/>
  </si>
  <si>
    <t>50x150cm</t>
    <phoneticPr fontId="7" type="noConversion"/>
  </si>
  <si>
    <t>큰주름지 (소팩 10롤)</t>
    <phoneticPr fontId="7" type="noConversion"/>
  </si>
  <si>
    <t>50x250cm</t>
    <phoneticPr fontId="7" type="noConversion"/>
  </si>
  <si>
    <t>금박큰주름지 (소팩 5롤) 911.915</t>
    <phoneticPr fontId="7" type="noConversion"/>
  </si>
  <si>
    <t>큰주름지 (소팩 5롤)</t>
  </si>
  <si>
    <t>금박큰주름지 (소팩 5롤) 801.802</t>
    <phoneticPr fontId="7" type="noConversion"/>
  </si>
  <si>
    <t>큰주름지뉘앙스 (소팩 5롤)</t>
  </si>
  <si>
    <t>직녀</t>
    <phoneticPr fontId="4" type="noConversion"/>
  </si>
  <si>
    <t>01.03.06</t>
    <phoneticPr fontId="7" type="noConversion"/>
  </si>
  <si>
    <t>05</t>
    <phoneticPr fontId="7" type="noConversion"/>
  </si>
  <si>
    <t>01.03.06.08.11</t>
    <phoneticPr fontId="4" type="noConversion"/>
  </si>
  <si>
    <t>04.14</t>
    <phoneticPr fontId="4" type="noConversion"/>
  </si>
  <si>
    <t>05</t>
    <phoneticPr fontId="4" type="noConversion"/>
  </si>
  <si>
    <t>01~03.06~08</t>
    <phoneticPr fontId="4" type="noConversion"/>
  </si>
  <si>
    <t>04</t>
    <phoneticPr fontId="4" type="noConversion"/>
  </si>
  <si>
    <t>카브라
(CABRA)</t>
    <phoneticPr fontId="4" type="noConversion"/>
  </si>
  <si>
    <t>700x100M</t>
  </si>
  <si>
    <t>0.35mm</t>
    <phoneticPr fontId="7" type="noConversion"/>
  </si>
  <si>
    <t>ANE 05090E.061011.090431</t>
    <phoneticPr fontId="7" type="noConversion"/>
  </si>
  <si>
    <t>ANE 421371.431401.451551.471511</t>
    <phoneticPr fontId="7" type="noConversion"/>
  </si>
  <si>
    <t>나머지</t>
  </si>
  <si>
    <t>720x100M</t>
  </si>
  <si>
    <t>0.4mm</t>
    <phoneticPr fontId="7" type="noConversion"/>
  </si>
  <si>
    <t>코렐(Corell) - 01Natur.02Extra</t>
    <phoneticPr fontId="7" type="noConversion"/>
  </si>
  <si>
    <t>코렐(Corell) - 03Black</t>
    <phoneticPr fontId="7" type="noConversion"/>
  </si>
  <si>
    <t>720x1000</t>
    <phoneticPr fontId="7" type="noConversion"/>
  </si>
  <si>
    <t>칼라머메이드
(CMD)</t>
    <phoneticPr fontId="4" type="noConversion"/>
  </si>
  <si>
    <t>W01~05.W15.W20.W34.W35.W37.W39~50.W53~57</t>
    <phoneticPr fontId="7" type="noConversion"/>
  </si>
  <si>
    <t>W06~14.W16~19.W21~33.W36.W38.W51.W52.W58~60</t>
    <phoneticPr fontId="7" type="noConversion"/>
  </si>
  <si>
    <t>W01~05.W15.W20.W34.W35.W37.W39~50.W53~57</t>
    <phoneticPr fontId="4" type="noConversion"/>
  </si>
  <si>
    <t>W06~14.W16~19.W21~33.W36.W38.W51.W52.W58~60</t>
    <phoneticPr fontId="4" type="noConversion"/>
  </si>
  <si>
    <t>49.60.66.74.75.77.81.84.85.89.91</t>
    <phoneticPr fontId="7" type="noConversion"/>
  </si>
  <si>
    <t>22.47.48.67.87.90.118.120</t>
    <phoneticPr fontId="7" type="noConversion"/>
  </si>
  <si>
    <t>W02.W04</t>
    <phoneticPr fontId="7" type="noConversion"/>
  </si>
  <si>
    <t>W04</t>
    <phoneticPr fontId="7" type="noConversion"/>
  </si>
  <si>
    <t>1167x803</t>
    <phoneticPr fontId="7" type="noConversion"/>
  </si>
  <si>
    <t>WC04</t>
    <phoneticPr fontId="7" type="noConversion"/>
  </si>
  <si>
    <t>4절</t>
    <phoneticPr fontId="13" type="noConversion"/>
  </si>
  <si>
    <t>26색상 (전지 색상 참고)</t>
    <phoneticPr fontId="4" type="noConversion"/>
  </si>
  <si>
    <t>34색상 (전지 색상 참고)</t>
    <phoneticPr fontId="4" type="noConversion"/>
  </si>
  <si>
    <t>M01~04</t>
    <phoneticPr fontId="4" type="noConversion"/>
  </si>
  <si>
    <t>A4</t>
    <phoneticPr fontId="13" type="noConversion"/>
  </si>
  <si>
    <t>W02.W04.W11.W39.W41.W42.W46.W48</t>
    <phoneticPr fontId="7" type="noConversion"/>
  </si>
  <si>
    <t>W07.W10.W12.W13.W16.W23.W33</t>
    <phoneticPr fontId="7" type="noConversion"/>
  </si>
  <si>
    <t>칼라파일</t>
    <phoneticPr fontId="4" type="noConversion"/>
  </si>
  <si>
    <t>555x850</t>
  </si>
  <si>
    <t>Light Green</t>
    <phoneticPr fontId="7" type="noConversion"/>
  </si>
  <si>
    <t>칼라플러스</t>
    <phoneticPr fontId="4" type="noConversion"/>
  </si>
  <si>
    <t>650x900</t>
    <phoneticPr fontId="7" type="noConversion"/>
  </si>
  <si>
    <t>01.02.05~07.13.18.61</t>
    <phoneticPr fontId="7" type="noConversion"/>
  </si>
  <si>
    <t>03.08.17.19</t>
    <phoneticPr fontId="7" type="noConversion"/>
  </si>
  <si>
    <t>04.09~12.15.20.62.63.66</t>
    <phoneticPr fontId="7" type="noConversion"/>
  </si>
  <si>
    <t>03.08.14.17.19</t>
    <phoneticPr fontId="7" type="noConversion"/>
  </si>
  <si>
    <t>04.09~12.15.20.63.66</t>
    <phoneticPr fontId="7" type="noConversion"/>
  </si>
  <si>
    <t>캘리그라피패드</t>
    <phoneticPr fontId="7" type="noConversion"/>
  </si>
  <si>
    <t>A5
148x210</t>
    <phoneticPr fontId="7" type="noConversion"/>
  </si>
  <si>
    <t>플래인 #01.#02 (30入)</t>
    <phoneticPr fontId="7" type="noConversion"/>
  </si>
  <si>
    <t>플래인 #03.#04 (30入)</t>
    <phoneticPr fontId="7" type="noConversion"/>
  </si>
  <si>
    <t>플래인 #05 (26入)</t>
    <phoneticPr fontId="7" type="noConversion"/>
  </si>
  <si>
    <t>엠보스 #06 (24入)</t>
    <phoneticPr fontId="7" type="noConversion"/>
  </si>
  <si>
    <t>엠보스 #07 (30入)</t>
    <phoneticPr fontId="7" type="noConversion"/>
  </si>
  <si>
    <t>엠보스 #08 (22入)</t>
    <phoneticPr fontId="7" type="noConversion"/>
  </si>
  <si>
    <t>엠보스 #09 (28入)</t>
    <phoneticPr fontId="7" type="noConversion"/>
  </si>
  <si>
    <t>엠보스 #10 (28入)</t>
    <phoneticPr fontId="7" type="noConversion"/>
  </si>
  <si>
    <t>컬러 #11 (32入)</t>
    <phoneticPr fontId="7" type="noConversion"/>
  </si>
  <si>
    <t>컬러 #12 (24入)</t>
    <phoneticPr fontId="7" type="noConversion"/>
  </si>
  <si>
    <t>컬러 #13 (28入)</t>
    <phoneticPr fontId="7" type="noConversion"/>
  </si>
  <si>
    <t>컬러 #14 (26入)</t>
    <phoneticPr fontId="7" type="noConversion"/>
  </si>
  <si>
    <t>컬러 #15 (27入)</t>
    <phoneticPr fontId="7" type="noConversion"/>
  </si>
  <si>
    <t>A6
105x148</t>
    <phoneticPr fontId="7" type="noConversion"/>
  </si>
  <si>
    <r>
      <t xml:space="preserve">커피
</t>
    </r>
    <r>
      <rPr>
        <sz val="8"/>
        <rFont val="맑은 고딕"/>
        <family val="3"/>
        <charset val="129"/>
        <scheme val="minor"/>
      </rPr>
      <t>*항균기능</t>
    </r>
    <phoneticPr fontId="4" type="noConversion"/>
  </si>
  <si>
    <t>항균지 121~123</t>
    <phoneticPr fontId="7" type="noConversion"/>
  </si>
  <si>
    <t>항균지 271~273</t>
    <phoneticPr fontId="7" type="noConversion"/>
  </si>
  <si>
    <t>항균지 274</t>
    <phoneticPr fontId="7" type="noConversion"/>
  </si>
  <si>
    <t>항균지 275</t>
    <phoneticPr fontId="7" type="noConversion"/>
  </si>
  <si>
    <t>271~273</t>
  </si>
  <si>
    <t>274</t>
  </si>
  <si>
    <t>275~276</t>
  </si>
  <si>
    <r>
      <t xml:space="preserve">컨셉트래싱지
</t>
    </r>
    <r>
      <rPr>
        <sz val="8"/>
        <rFont val="맑은 고딕"/>
        <family val="3"/>
        <charset val="129"/>
        <scheme val="minor"/>
      </rPr>
      <t>*식품 인증</t>
    </r>
    <phoneticPr fontId="7" type="noConversion"/>
  </si>
  <si>
    <t>종목</t>
  </si>
  <si>
    <t>횡목</t>
  </si>
  <si>
    <t>코니랩</t>
    <phoneticPr fontId="4" type="noConversion"/>
  </si>
  <si>
    <t>900x1200</t>
  </si>
  <si>
    <t>120~140</t>
    <phoneticPr fontId="4" type="noConversion"/>
  </si>
  <si>
    <t>코르도바</t>
    <phoneticPr fontId="4" type="noConversion"/>
  </si>
  <si>
    <t>230~232</t>
    <phoneticPr fontId="7" type="noConversion"/>
  </si>
  <si>
    <t>코멧</t>
    <phoneticPr fontId="7" type="noConversion"/>
  </si>
  <si>
    <t>121~125</t>
    <phoneticPr fontId="7" type="noConversion"/>
  </si>
  <si>
    <t>126</t>
    <phoneticPr fontId="7" type="noConversion"/>
  </si>
  <si>
    <t>127~128</t>
    <phoneticPr fontId="7" type="noConversion"/>
  </si>
  <si>
    <t>301~305</t>
    <phoneticPr fontId="7" type="noConversion"/>
  </si>
  <si>
    <t>306</t>
    <phoneticPr fontId="7" type="noConversion"/>
  </si>
  <si>
    <t>307~308</t>
    <phoneticPr fontId="7" type="noConversion"/>
  </si>
  <si>
    <r>
      <t xml:space="preserve">코코아
</t>
    </r>
    <r>
      <rPr>
        <sz val="8"/>
        <rFont val="맑은 고딕"/>
        <family val="3"/>
        <charset val="129"/>
        <scheme val="minor"/>
      </rPr>
      <t>*항균기능</t>
    </r>
    <phoneticPr fontId="7" type="noConversion"/>
  </si>
  <si>
    <t>항균지 121.122</t>
    <phoneticPr fontId="7" type="noConversion"/>
  </si>
  <si>
    <t>항균지 123</t>
    <phoneticPr fontId="7" type="noConversion"/>
  </si>
  <si>
    <t>항균지 301.302</t>
    <phoneticPr fontId="7" type="noConversion"/>
  </si>
  <si>
    <t>항균지 303</t>
    <phoneticPr fontId="7" type="noConversion"/>
  </si>
  <si>
    <t>항균지 304~306</t>
    <phoneticPr fontId="7" type="noConversion"/>
  </si>
  <si>
    <t>123</t>
  </si>
  <si>
    <t>303</t>
  </si>
  <si>
    <t>304~307</t>
    <phoneticPr fontId="7" type="noConversion"/>
  </si>
  <si>
    <t>코트라스크라프트</t>
    <phoneticPr fontId="7" type="noConversion"/>
  </si>
  <si>
    <t>1000x800</t>
    <phoneticPr fontId="7" type="noConversion"/>
  </si>
  <si>
    <t>쿠션지</t>
    <phoneticPr fontId="7" type="noConversion"/>
  </si>
  <si>
    <r>
      <t>335</t>
    </r>
    <r>
      <rPr>
        <sz val="9"/>
        <rFont val="맑은 고딕"/>
        <family val="3"/>
        <charset val="129"/>
      </rPr>
      <t>→370</t>
    </r>
    <phoneticPr fontId="7" type="noConversion"/>
  </si>
  <si>
    <t>450→490</t>
    <phoneticPr fontId="7" type="noConversion"/>
  </si>
  <si>
    <t xml:space="preserve">SW.W </t>
    <phoneticPr fontId="7" type="noConversion"/>
  </si>
  <si>
    <t>550→600</t>
    <phoneticPr fontId="7" type="noConversion"/>
  </si>
  <si>
    <t>365→370</t>
    <phoneticPr fontId="7" type="noConversion"/>
  </si>
  <si>
    <t xml:space="preserve">BLACK </t>
    <phoneticPr fontId="7" type="noConversion"/>
  </si>
  <si>
    <t>큐브</t>
    <phoneticPr fontId="7" type="noConversion"/>
  </si>
  <si>
    <t>101~105</t>
    <phoneticPr fontId="7" type="noConversion"/>
  </si>
  <si>
    <t>106~108</t>
    <phoneticPr fontId="7" type="noConversion"/>
  </si>
  <si>
    <t>109~111</t>
    <phoneticPr fontId="7" type="noConversion"/>
  </si>
  <si>
    <t>201</t>
    <phoneticPr fontId="7" type="noConversion"/>
  </si>
  <si>
    <t>210~211</t>
    <phoneticPr fontId="7" type="noConversion"/>
  </si>
  <si>
    <t>크라프트M</t>
    <phoneticPr fontId="7" type="noConversion"/>
  </si>
  <si>
    <t>1200x900</t>
    <phoneticPr fontId="7" type="noConversion"/>
  </si>
  <si>
    <t>ML아쿠아</t>
    <phoneticPr fontId="7" type="noConversion"/>
  </si>
  <si>
    <t>810x1091</t>
    <phoneticPr fontId="7" type="noConversion"/>
  </si>
  <si>
    <t>MF아쿠아</t>
    <phoneticPr fontId="7" type="noConversion"/>
  </si>
  <si>
    <t>크라프트V</t>
    <phoneticPr fontId="7" type="noConversion"/>
  </si>
  <si>
    <t>크러쉬</t>
    <phoneticPr fontId="7" type="noConversion"/>
  </si>
  <si>
    <t>121.122.128</t>
    <phoneticPr fontId="7" type="noConversion"/>
  </si>
  <si>
    <t>123~125.129~131</t>
    <phoneticPr fontId="7" type="noConversion"/>
  </si>
  <si>
    <t>126.127</t>
    <phoneticPr fontId="7" type="noConversion"/>
  </si>
  <si>
    <t>132</t>
    <phoneticPr fontId="7" type="noConversion"/>
  </si>
  <si>
    <t>251.252.258</t>
    <phoneticPr fontId="7" type="noConversion"/>
  </si>
  <si>
    <t>253~255.259~261</t>
    <phoneticPr fontId="7" type="noConversion"/>
  </si>
  <si>
    <t>256.257</t>
    <phoneticPr fontId="7" type="noConversion"/>
  </si>
  <si>
    <t>262</t>
    <phoneticPr fontId="7" type="noConversion"/>
  </si>
  <si>
    <t>351.352.358</t>
    <phoneticPr fontId="7" type="noConversion"/>
  </si>
  <si>
    <t>353~355.359~361</t>
    <phoneticPr fontId="7" type="noConversion"/>
  </si>
  <si>
    <t>356.357</t>
    <phoneticPr fontId="7" type="noConversion"/>
  </si>
  <si>
    <t>362</t>
    <phoneticPr fontId="7" type="noConversion"/>
  </si>
  <si>
    <t>720x1020</t>
  </si>
  <si>
    <t>123~125</t>
    <phoneticPr fontId="7" type="noConversion"/>
  </si>
  <si>
    <t>256.262</t>
    <phoneticPr fontId="7" type="noConversion"/>
  </si>
  <si>
    <t>359</t>
  </si>
  <si>
    <t>크로마룩스</t>
    <phoneticPr fontId="4" type="noConversion"/>
  </si>
  <si>
    <t>HW</t>
    <phoneticPr fontId="7" type="noConversion"/>
  </si>
  <si>
    <t>크리에이티브보드</t>
    <phoneticPr fontId="7" type="noConversion"/>
  </si>
  <si>
    <t>27</t>
    <phoneticPr fontId="7" type="noConversion"/>
  </si>
  <si>
    <t>24</t>
    <phoneticPr fontId="7" type="noConversion"/>
  </si>
  <si>
    <t>01.02.11.25</t>
    <phoneticPr fontId="7" type="noConversion"/>
  </si>
  <si>
    <t>05.07.09.26</t>
    <phoneticPr fontId="7" type="noConversion"/>
  </si>
  <si>
    <t>14.23</t>
    <phoneticPr fontId="7" type="noConversion"/>
  </si>
  <si>
    <t>16.17.18.21</t>
    <phoneticPr fontId="7" type="noConversion"/>
  </si>
  <si>
    <t>03.24</t>
    <phoneticPr fontId="7" type="noConversion"/>
  </si>
  <si>
    <t>01.02.06.11.25</t>
    <phoneticPr fontId="7" type="noConversion"/>
  </si>
  <si>
    <t>04.05.07.09.13.15.22.26</t>
    <phoneticPr fontId="7" type="noConversion"/>
  </si>
  <si>
    <t>10.14.23</t>
    <phoneticPr fontId="7" type="noConversion"/>
  </si>
  <si>
    <t>08.12.16.17.18.19.20.21</t>
    <phoneticPr fontId="7" type="noConversion"/>
  </si>
  <si>
    <t>(ECO)33</t>
    <phoneticPr fontId="7" type="noConversion"/>
  </si>
  <si>
    <t>(ECO)28.29.30.31.32</t>
    <phoneticPr fontId="7" type="noConversion"/>
  </si>
  <si>
    <t>크린에코칼라</t>
    <phoneticPr fontId="4" type="noConversion"/>
  </si>
  <si>
    <t>216 검은색</t>
    <phoneticPr fontId="7" type="noConversion"/>
  </si>
  <si>
    <t>316 검은색</t>
    <phoneticPr fontId="13" type="noConversion"/>
  </si>
  <si>
    <t>356 검은색</t>
    <phoneticPr fontId="13" type="noConversion"/>
  </si>
  <si>
    <t>416 검은색</t>
    <phoneticPr fontId="13" type="noConversion"/>
  </si>
  <si>
    <t>476 검은색</t>
    <phoneticPr fontId="13" type="noConversion"/>
  </si>
  <si>
    <t>301</t>
    <phoneticPr fontId="7" type="noConversion"/>
  </si>
  <si>
    <t>310</t>
    <phoneticPr fontId="13" type="noConversion"/>
  </si>
  <si>
    <t>341</t>
    <phoneticPr fontId="13" type="noConversion"/>
  </si>
  <si>
    <t>461.462</t>
    <phoneticPr fontId="13" type="noConversion"/>
  </si>
  <si>
    <t>클라렉스리터래처
(Clarex)</t>
    <phoneticPr fontId="7" type="noConversion"/>
  </si>
  <si>
    <t>아이보리</t>
    <phoneticPr fontId="7" type="noConversion"/>
  </si>
  <si>
    <t>클로버R100</t>
    <phoneticPr fontId="4" type="noConversion"/>
  </si>
  <si>
    <t>클렌징</t>
    <phoneticPr fontId="7" type="noConversion"/>
  </si>
  <si>
    <t>1200x850</t>
    <phoneticPr fontId="7" type="noConversion"/>
  </si>
  <si>
    <t>Blue.Brown</t>
    <phoneticPr fontId="7" type="noConversion"/>
  </si>
  <si>
    <t>타래</t>
    <phoneticPr fontId="4" type="noConversion"/>
  </si>
  <si>
    <t>21.22.25.27.30.36</t>
    <phoneticPr fontId="4" type="noConversion"/>
  </si>
  <si>
    <t>07.18.19.29</t>
    <phoneticPr fontId="4" type="noConversion"/>
  </si>
  <si>
    <t>10.20</t>
    <phoneticPr fontId="4" type="noConversion"/>
  </si>
  <si>
    <t>16</t>
    <phoneticPr fontId="7" type="noConversion"/>
  </si>
  <si>
    <t>타블로</t>
    <phoneticPr fontId="7" type="noConversion"/>
  </si>
  <si>
    <t>탄트셀렉트</t>
    <phoneticPr fontId="7" type="noConversion"/>
  </si>
  <si>
    <t>(1모시)115.118.120.121</t>
    <phoneticPr fontId="7" type="noConversion"/>
  </si>
  <si>
    <t>(7눈꽃.8미닛.9타탄.10로렐)15.18.21.23</t>
    <phoneticPr fontId="7" type="noConversion"/>
  </si>
  <si>
    <t>(1모시)102.103</t>
    <phoneticPr fontId="7" type="noConversion"/>
  </si>
  <si>
    <t>탑코트매트</t>
    <phoneticPr fontId="4" type="noConversion"/>
  </si>
  <si>
    <t>탑코트하이벌크</t>
    <phoneticPr fontId="7" type="noConversion"/>
  </si>
  <si>
    <t>940x640</t>
    <phoneticPr fontId="7" type="noConversion"/>
  </si>
  <si>
    <t>790x1091</t>
    <phoneticPr fontId="7" type="noConversion"/>
  </si>
  <si>
    <t>테라</t>
    <phoneticPr fontId="4" type="noConversion"/>
  </si>
  <si>
    <t>80.81</t>
    <phoneticPr fontId="4" type="noConversion"/>
  </si>
  <si>
    <t>82~87</t>
    <phoneticPr fontId="4" type="noConversion"/>
  </si>
  <si>
    <t>88~94</t>
    <phoneticPr fontId="4" type="noConversion"/>
  </si>
  <si>
    <t>120.121</t>
    <phoneticPr fontId="4" type="noConversion"/>
  </si>
  <si>
    <t>토모에리버</t>
  </si>
  <si>
    <t>S Cream</t>
    <phoneticPr fontId="7" type="noConversion"/>
  </si>
  <si>
    <t>S White</t>
    <phoneticPr fontId="7" type="noConversion"/>
  </si>
  <si>
    <t>톤에프</t>
    <phoneticPr fontId="7" type="noConversion"/>
  </si>
  <si>
    <t>CG.WG 00~04</t>
    <phoneticPr fontId="7" type="noConversion"/>
  </si>
  <si>
    <t>CG.WG 05.06</t>
    <phoneticPr fontId="7" type="noConversion"/>
  </si>
  <si>
    <t>CG.WG 07.08</t>
    <phoneticPr fontId="7" type="noConversion"/>
  </si>
  <si>
    <t>트위스트</t>
    <phoneticPr fontId="4" type="noConversion"/>
  </si>
  <si>
    <t>710x1010</t>
    <phoneticPr fontId="4" type="noConversion"/>
  </si>
  <si>
    <t>291~293</t>
    <phoneticPr fontId="4" type="noConversion"/>
  </si>
  <si>
    <t>295~301</t>
    <phoneticPr fontId="4" type="noConversion"/>
  </si>
  <si>
    <t>티라미수</t>
    <phoneticPr fontId="4" type="noConversion"/>
  </si>
  <si>
    <t>780x900</t>
  </si>
  <si>
    <t>01.02.04.05.07.08</t>
    <phoneticPr fontId="7" type="noConversion"/>
  </si>
  <si>
    <t>15.18~20</t>
  </si>
  <si>
    <t>11.22.24</t>
  </si>
  <si>
    <t>13</t>
  </si>
  <si>
    <t>21</t>
  </si>
  <si>
    <t>23</t>
  </si>
  <si>
    <t>06.09.10</t>
    <phoneticPr fontId="7" type="noConversion"/>
  </si>
  <si>
    <t>14.16.17</t>
  </si>
  <si>
    <t>12</t>
  </si>
  <si>
    <t>25</t>
  </si>
  <si>
    <t>01.02.04~11.13.15.18~20.22~24</t>
    <phoneticPr fontId="7" type="noConversion"/>
  </si>
  <si>
    <t>03.12.14.16.17.21.25</t>
    <phoneticPr fontId="7" type="noConversion"/>
  </si>
  <si>
    <r>
      <t xml:space="preserve">티슈페이퍼
</t>
    </r>
    <r>
      <rPr>
        <sz val="8"/>
        <rFont val="맑은 고딕"/>
        <family val="3"/>
        <charset val="129"/>
        <scheme val="minor"/>
      </rPr>
      <t>*식품 인증(K 계열)</t>
    </r>
    <phoneticPr fontId="4" type="noConversion"/>
  </si>
  <si>
    <t>760x510</t>
    <phoneticPr fontId="7" type="noConversion"/>
  </si>
  <si>
    <t>H열 H01.H02.H06.H08.H15</t>
    <phoneticPr fontId="7" type="noConversion"/>
  </si>
  <si>
    <t>H열 H26</t>
    <phoneticPr fontId="7" type="noConversion"/>
  </si>
  <si>
    <t>K02백색띠형</t>
    <phoneticPr fontId="7" type="noConversion"/>
  </si>
  <si>
    <t>K03검은색</t>
    <phoneticPr fontId="7" type="noConversion"/>
  </si>
  <si>
    <t>510x760</t>
    <phoneticPr fontId="7" type="noConversion"/>
  </si>
  <si>
    <t>구김H열 H01.H02.H22</t>
    <phoneticPr fontId="7" type="noConversion"/>
  </si>
  <si>
    <t>구김H열 H30</t>
    <phoneticPr fontId="7" type="noConversion"/>
  </si>
  <si>
    <t>구김H열 H21</t>
    <phoneticPr fontId="7" type="noConversion"/>
  </si>
  <si>
    <t>T카라페(01.09.14.20.22~24.27)</t>
    <phoneticPr fontId="7" type="noConversion"/>
  </si>
  <si>
    <t>T카라페(05~08.11.13.19)</t>
    <phoneticPr fontId="7" type="noConversion"/>
  </si>
  <si>
    <t>545x788</t>
    <phoneticPr fontId="7" type="noConversion"/>
  </si>
  <si>
    <t>파레트칼라 A01</t>
    <phoneticPr fontId="7" type="noConversion"/>
  </si>
  <si>
    <t>파레트칼라 B08</t>
    <phoneticPr fontId="7" type="noConversion"/>
  </si>
  <si>
    <t>티엠보스
(T-EOS)</t>
    <phoneticPr fontId="7" type="noConversion"/>
  </si>
  <si>
    <t>038(양면 미도공,고백색)</t>
    <phoneticPr fontId="7" type="noConversion"/>
  </si>
  <si>
    <t>001~003.005~007.009.011.014~020.037.055.056</t>
    <phoneticPr fontId="7" type="noConversion"/>
  </si>
  <si>
    <t>008.012.021.022.028.036.039.052.057</t>
    <phoneticPr fontId="7" type="noConversion"/>
  </si>
  <si>
    <t>023~025.047.050.051.053</t>
    <phoneticPr fontId="7" type="noConversion"/>
  </si>
  <si>
    <t>004.026.030~032.045.048</t>
    <phoneticPr fontId="7" type="noConversion"/>
  </si>
  <si>
    <t>044.046.049</t>
    <phoneticPr fontId="7" type="noConversion"/>
  </si>
  <si>
    <t>040~043.054</t>
    <phoneticPr fontId="7" type="noConversion"/>
  </si>
  <si>
    <t>001~003.005~007</t>
    <phoneticPr fontId="7" type="noConversion"/>
  </si>
  <si>
    <t>008.039</t>
    <phoneticPr fontId="7" type="noConversion"/>
  </si>
  <si>
    <t>004</t>
    <phoneticPr fontId="7" type="noConversion"/>
  </si>
  <si>
    <t>040.041.043</t>
    <phoneticPr fontId="7" type="noConversion"/>
  </si>
  <si>
    <t>파인애플지</t>
    <phoneticPr fontId="4" type="noConversion"/>
  </si>
  <si>
    <t>C 03.07.09.13~15.17</t>
    <phoneticPr fontId="7" type="noConversion"/>
  </si>
  <si>
    <t>파치카</t>
    <phoneticPr fontId="4" type="noConversion"/>
  </si>
  <si>
    <t>판타스</t>
    <phoneticPr fontId="4" type="noConversion"/>
  </si>
  <si>
    <t>01.02.06.18</t>
    <phoneticPr fontId="7" type="noConversion"/>
  </si>
  <si>
    <t>04.09.21</t>
    <phoneticPr fontId="7" type="noConversion"/>
  </si>
  <si>
    <t>05.10.11.26.27.29</t>
    <phoneticPr fontId="7" type="noConversion"/>
  </si>
  <si>
    <t>19.22</t>
    <phoneticPr fontId="7" type="noConversion"/>
  </si>
  <si>
    <t>03.15.20.28.30</t>
    <phoneticPr fontId="7" type="noConversion"/>
  </si>
  <si>
    <t>08.16.24</t>
    <phoneticPr fontId="7" type="noConversion"/>
  </si>
  <si>
    <t>26</t>
  </si>
  <si>
    <r>
      <t xml:space="preserve">팝크라프트
</t>
    </r>
    <r>
      <rPr>
        <sz val="8"/>
        <rFont val="맑은 고딕"/>
        <family val="3"/>
        <charset val="129"/>
        <scheme val="minor"/>
      </rPr>
      <t>*식품 인증</t>
    </r>
    <phoneticPr fontId="4" type="noConversion"/>
  </si>
  <si>
    <t>팬시메탈골판지</t>
    <phoneticPr fontId="4" type="noConversion"/>
  </si>
  <si>
    <t>G2.M1 (N)</t>
    <phoneticPr fontId="4" type="noConversion"/>
  </si>
  <si>
    <t>G2.M1</t>
    <phoneticPr fontId="4" type="noConversion"/>
  </si>
  <si>
    <r>
      <t xml:space="preserve">팬시크라프트
</t>
    </r>
    <r>
      <rPr>
        <sz val="8"/>
        <rFont val="맑은 고딕"/>
        <family val="3"/>
        <charset val="129"/>
        <scheme val="minor"/>
      </rPr>
      <t>*식품 인증</t>
    </r>
    <phoneticPr fontId="4" type="noConversion"/>
  </si>
  <si>
    <t>CW(화이트)</t>
    <phoneticPr fontId="7" type="noConversion"/>
  </si>
  <si>
    <t>BZ(화이트)</t>
  </si>
  <si>
    <t>U080</t>
    <phoneticPr fontId="7" type="noConversion"/>
  </si>
  <si>
    <t>U120</t>
    <phoneticPr fontId="7" type="noConversion"/>
  </si>
  <si>
    <t>팬시홀종이</t>
    <phoneticPr fontId="4" type="noConversion"/>
  </si>
  <si>
    <t>788x542</t>
  </si>
  <si>
    <t>(Q패턴)오감지</t>
  </si>
  <si>
    <t>(Q패턴)스타드림</t>
  </si>
  <si>
    <t>(Q패턴)팬시크라프트U120</t>
  </si>
  <si>
    <t>(Q패턴)뉴크라프트보드</t>
  </si>
  <si>
    <t>(Q패턴)뉴크라프트보드</t>
    <phoneticPr fontId="7" type="noConversion"/>
  </si>
  <si>
    <t>퍼스트빈티지</t>
    <phoneticPr fontId="4" type="noConversion"/>
  </si>
  <si>
    <t>120</t>
  </si>
  <si>
    <t>121~127.129~131</t>
    <phoneticPr fontId="7" type="noConversion"/>
  </si>
  <si>
    <t>150</t>
  </si>
  <si>
    <t>151~157.159~161</t>
    <phoneticPr fontId="7" type="noConversion"/>
  </si>
  <si>
    <t>펄라이트</t>
    <phoneticPr fontId="4" type="noConversion"/>
  </si>
  <si>
    <t>120.121.126.132~134</t>
  </si>
  <si>
    <t>122~125.130.131</t>
    <phoneticPr fontId="7" type="noConversion"/>
  </si>
  <si>
    <t>127~129</t>
  </si>
  <si>
    <t>페르라</t>
    <phoneticPr fontId="4" type="noConversion"/>
  </si>
  <si>
    <t>페르라스터</t>
    <phoneticPr fontId="4" type="noConversion"/>
  </si>
  <si>
    <t>프런티어터프</t>
    <phoneticPr fontId="7" type="noConversion"/>
  </si>
  <si>
    <t>765x1085</t>
    <phoneticPr fontId="7" type="noConversion"/>
  </si>
  <si>
    <t>80-&gt;82</t>
    <phoneticPr fontId="7" type="noConversion"/>
  </si>
  <si>
    <t>625x880</t>
    <phoneticPr fontId="7" type="noConversion"/>
  </si>
  <si>
    <t>프리터</t>
    <phoneticPr fontId="4" type="noConversion"/>
  </si>
  <si>
    <t>00</t>
  </si>
  <si>
    <t>01</t>
  </si>
  <si>
    <t>00</t>
    <phoneticPr fontId="7" type="noConversion"/>
  </si>
  <si>
    <t>01~03.06</t>
    <phoneticPr fontId="7" type="noConversion"/>
  </si>
  <si>
    <t>04.07~10</t>
  </si>
  <si>
    <t>05</t>
  </si>
  <si>
    <t>플라이크</t>
    <phoneticPr fontId="4" type="noConversion"/>
  </si>
  <si>
    <t>120(단면)</t>
  </si>
  <si>
    <t>121~123(단면)</t>
  </si>
  <si>
    <t>124(단면)</t>
  </si>
  <si>
    <t>240</t>
    <phoneticPr fontId="7" type="noConversion"/>
  </si>
  <si>
    <t>241~243.245.248~251</t>
    <phoneticPr fontId="7" type="noConversion"/>
  </si>
  <si>
    <t>244</t>
  </si>
  <si>
    <t>330</t>
    <phoneticPr fontId="7" type="noConversion"/>
  </si>
  <si>
    <t>331~333.335.338~341</t>
    <phoneticPr fontId="7" type="noConversion"/>
  </si>
  <si>
    <t>334</t>
  </si>
  <si>
    <t>336</t>
    <phoneticPr fontId="7" type="noConversion"/>
  </si>
  <si>
    <t>344</t>
    <phoneticPr fontId="7" type="noConversion"/>
  </si>
  <si>
    <t>슬라이드 S124(단면)</t>
    <phoneticPr fontId="7" type="noConversion"/>
  </si>
  <si>
    <t>슬라이드 S244</t>
    <phoneticPr fontId="7" type="noConversion"/>
  </si>
  <si>
    <t>슬라이드 S334</t>
    <phoneticPr fontId="7" type="noConversion"/>
  </si>
  <si>
    <t>플랙스위브</t>
  </si>
  <si>
    <t>1092x787</t>
  </si>
  <si>
    <t>101~104.112</t>
  </si>
  <si>
    <t>105.106.108.109.110.111.113</t>
    <phoneticPr fontId="7" type="noConversion"/>
  </si>
  <si>
    <t>107</t>
    <phoneticPr fontId="7" type="noConversion"/>
  </si>
  <si>
    <t>201</t>
  </si>
  <si>
    <t>213</t>
  </si>
  <si>
    <t>플로라</t>
  </si>
  <si>
    <t>02~06</t>
  </si>
  <si>
    <t>08.09</t>
    <phoneticPr fontId="7" type="noConversion"/>
  </si>
  <si>
    <t>플로젯페이퍼</t>
    <phoneticPr fontId="7" type="noConversion"/>
  </si>
  <si>
    <t>914x10M</t>
    <phoneticPr fontId="7" type="noConversion"/>
  </si>
  <si>
    <t>C36</t>
    <phoneticPr fontId="7" type="noConversion"/>
  </si>
  <si>
    <t xml:space="preserve">	하이팩</t>
    <phoneticPr fontId="7" type="noConversion"/>
  </si>
  <si>
    <t>1092x1000M</t>
    <phoneticPr fontId="7" type="noConversion"/>
  </si>
  <si>
    <t>(Hard Type)H1062D</t>
    <phoneticPr fontId="7" type="noConversion"/>
  </si>
  <si>
    <t>(Hard Type)H1070D</t>
    <phoneticPr fontId="7" type="noConversion"/>
  </si>
  <si>
    <t>(Hard Type)H10X0D</t>
    <phoneticPr fontId="7" type="noConversion"/>
  </si>
  <si>
    <t>1550x1000M</t>
    <phoneticPr fontId="7" type="noConversion"/>
  </si>
  <si>
    <t>(Soft Type)H1453A</t>
    <phoneticPr fontId="7" type="noConversion"/>
  </si>
  <si>
    <t>(Soft Type)H1460R</t>
    <phoneticPr fontId="7" type="noConversion"/>
  </si>
  <si>
    <t>1092x788</t>
    <phoneticPr fontId="7" type="noConversion"/>
  </si>
  <si>
    <t>775x1092</t>
    <phoneticPr fontId="7" type="noConversion"/>
  </si>
  <si>
    <r>
      <t xml:space="preserve">화이트크라프트
</t>
    </r>
    <r>
      <rPr>
        <sz val="8"/>
        <rFont val="맑은 고딕"/>
        <family val="3"/>
        <charset val="129"/>
        <scheme val="minor"/>
      </rPr>
      <t>*식품 인증</t>
    </r>
    <phoneticPr fontId="7" type="noConversion"/>
  </si>
  <si>
    <t>800x6000M</t>
  </si>
  <si>
    <t>800x5000M</t>
  </si>
  <si>
    <t>800x4000M</t>
  </si>
  <si>
    <t>800x3200M</t>
  </si>
  <si>
    <t>화재지</t>
    <phoneticPr fontId="4" type="noConversion"/>
  </si>
  <si>
    <t>500x650</t>
    <phoneticPr fontId="4" type="noConversion"/>
  </si>
  <si>
    <t>CA Grain(중) 시트 (C01)</t>
    <phoneticPr fontId="4" type="noConversion"/>
  </si>
  <si>
    <t>CA Grain(중) 시트 (C05)</t>
    <phoneticPr fontId="4" type="noConversion"/>
  </si>
  <si>
    <t>500x700</t>
    <phoneticPr fontId="4" type="noConversion"/>
  </si>
  <si>
    <t>구아로(세) 시트 (G01)</t>
    <phoneticPr fontId="4" type="noConversion"/>
  </si>
  <si>
    <t>560x760</t>
    <phoneticPr fontId="4" type="noConversion"/>
  </si>
  <si>
    <t>폰테네(중.황) 시트 (F01)</t>
    <phoneticPr fontId="4" type="noConversion"/>
  </si>
  <si>
    <t>240x320</t>
    <phoneticPr fontId="4" type="noConversion"/>
  </si>
  <si>
    <t>몽발(중) 패드 (M12P)</t>
    <phoneticPr fontId="4" type="noConversion"/>
  </si>
  <si>
    <t>흑기사</t>
    <phoneticPr fontId="4" type="noConversion"/>
  </si>
  <si>
    <t>E</t>
    <phoneticPr fontId="7" type="noConversion"/>
  </si>
  <si>
    <t>780x1085</t>
    <phoneticPr fontId="4" type="noConversion"/>
  </si>
  <si>
    <t xml:space="preserve">히어로
</t>
    <phoneticPr fontId="7" type="noConversion"/>
  </si>
  <si>
    <t>01 흑기사</t>
  </si>
  <si>
    <t>02 흑기사</t>
  </si>
  <si>
    <t>03 흑기사</t>
  </si>
  <si>
    <t>05 뉴크라프트보드</t>
  </si>
  <si>
    <t>06 뉴크라프트보드</t>
  </si>
  <si>
    <t>07 뉴크라프트보드</t>
  </si>
  <si>
    <t>08 컨셉트래싱지</t>
  </si>
  <si>
    <t>MIX-1set.2set.3set</t>
    <phoneticPr fontId="7" type="noConversion"/>
  </si>
  <si>
    <t>04 팬시크라프트U</t>
  </si>
  <si>
    <t>09 컨셉트래싱지</t>
  </si>
  <si>
    <t>10 트래팔지</t>
  </si>
  <si>
    <t>90μ</t>
    <phoneticPr fontId="7" type="noConversion"/>
  </si>
  <si>
    <t>11 디에스프린스</t>
  </si>
  <si>
    <t>12 디에스프린스</t>
  </si>
  <si>
    <t>13 디에스프린스</t>
  </si>
  <si>
    <t>14 스코트랜드</t>
  </si>
  <si>
    <t>15.16 메탈팩보드 FG10.FS10</t>
    <phoneticPr fontId="7" type="noConversion"/>
  </si>
  <si>
    <t>17 메탈팩보드 HO01</t>
  </si>
  <si>
    <t>18 인버코트 G</t>
  </si>
  <si>
    <t>19 인버코트 G</t>
  </si>
  <si>
    <t>20 인버코트 G</t>
  </si>
  <si>
    <t>21 울트라에이치</t>
  </si>
  <si>
    <t>22 양면골판지 W</t>
  </si>
  <si>
    <t>23 양면골판지 K</t>
  </si>
  <si>
    <t>24 양면골판지 B</t>
  </si>
  <si>
    <t>25 스모 W</t>
  </si>
  <si>
    <t>1mm</t>
    <phoneticPr fontId="7" type="noConversion"/>
  </si>
  <si>
    <t>26 스모 W</t>
  </si>
  <si>
    <t>2mm</t>
    <phoneticPr fontId="7" type="noConversion"/>
  </si>
  <si>
    <t>27 스모 W</t>
  </si>
  <si>
    <t>3mm</t>
    <phoneticPr fontId="7" type="noConversion"/>
  </si>
  <si>
    <t>28 스모 B</t>
  </si>
  <si>
    <t>29 스모 B</t>
  </si>
  <si>
    <t>30 스모 B</t>
  </si>
  <si>
    <t>MIX-01~06</t>
    <phoneticPr fontId="7" type="noConversion"/>
  </si>
  <si>
    <t>8절</t>
    <phoneticPr fontId="7" type="noConversion"/>
  </si>
  <si>
    <t>고시가</t>
    <phoneticPr fontId="13" type="noConversion"/>
  </si>
  <si>
    <t>1091x788(가로)</t>
  </si>
  <si>
    <t>White</t>
  </si>
  <si>
    <t>939x636(가로)</t>
  </si>
  <si>
    <t xml:space="preserve"> </t>
    <phoneticPr fontId="13" type="noConversion"/>
  </si>
  <si>
    <t>700x1000(세로)</t>
  </si>
  <si>
    <t>788x1091(세로)</t>
  </si>
  <si>
    <t>구몬드3
(G3)</t>
  </si>
  <si>
    <t>700X1000(세로)</t>
  </si>
  <si>
    <t>B01</t>
  </si>
  <si>
    <t xml:space="preserve">F01, S01 </t>
    <phoneticPr fontId="13" type="noConversion"/>
  </si>
  <si>
    <t>구몬드 골드
(GG)</t>
  </si>
  <si>
    <t>700X1000(세로)</t>
    <phoneticPr fontId="13" type="noConversion"/>
  </si>
  <si>
    <t>T01</t>
    <phoneticPr fontId="13" type="noConversion"/>
  </si>
  <si>
    <t>T02, 07</t>
    <phoneticPr fontId="13" type="noConversion"/>
  </si>
  <si>
    <t>T05</t>
    <phoneticPr fontId="13" type="noConversion"/>
  </si>
  <si>
    <t xml:space="preserve">CT05 Value </t>
    <phoneticPr fontId="13" type="noConversion"/>
  </si>
  <si>
    <t>C01</t>
    <phoneticPr fontId="13" type="noConversion"/>
  </si>
  <si>
    <t>C05</t>
    <phoneticPr fontId="13" type="noConversion"/>
  </si>
  <si>
    <t>구몬드 스페셜
(GMS)</t>
  </si>
  <si>
    <t>720x1091(세로)</t>
    <phoneticPr fontId="13" type="noConversion"/>
  </si>
  <si>
    <t>G03</t>
    <phoneticPr fontId="13" type="noConversion"/>
  </si>
  <si>
    <t>M02</t>
    <phoneticPr fontId="13" type="noConversion"/>
  </si>
  <si>
    <t>M03</t>
    <phoneticPr fontId="13" type="noConversion"/>
  </si>
  <si>
    <t>M04</t>
    <phoneticPr fontId="13" type="noConversion"/>
  </si>
  <si>
    <t>M05</t>
    <phoneticPr fontId="13" type="noConversion"/>
  </si>
  <si>
    <t>T03</t>
    <phoneticPr fontId="13" type="noConversion"/>
  </si>
  <si>
    <t>그래피카
(PGP)</t>
    <phoneticPr fontId="13" type="noConversion"/>
  </si>
  <si>
    <t>788x1091mm(세로)</t>
    <phoneticPr fontId="13" type="noConversion"/>
  </si>
  <si>
    <t>SH02 Smooth High White</t>
    <phoneticPr fontId="13" type="noConversion"/>
  </si>
  <si>
    <t>SH04 Smooth High White</t>
    <phoneticPr fontId="13" type="noConversion"/>
  </si>
  <si>
    <t>SC02 Smooth Classic</t>
    <phoneticPr fontId="13" type="noConversion"/>
  </si>
  <si>
    <t>SC03 Smooth Classic</t>
    <phoneticPr fontId="13" type="noConversion"/>
  </si>
  <si>
    <t>SC04 Smooth Classic</t>
    <phoneticPr fontId="13" type="noConversion"/>
  </si>
  <si>
    <t>SC05 Smooth Classic</t>
    <phoneticPr fontId="13" type="noConversion"/>
  </si>
  <si>
    <t>SN02 Smooth Natural</t>
    <phoneticPr fontId="13" type="noConversion"/>
  </si>
  <si>
    <t>SN04 Smooth Natural</t>
    <phoneticPr fontId="13" type="noConversion"/>
  </si>
  <si>
    <t>636x939(세로)</t>
    <phoneticPr fontId="13" type="noConversion"/>
  </si>
  <si>
    <t>RC01 Rough Classic</t>
    <phoneticPr fontId="13" type="noConversion"/>
  </si>
  <si>
    <t>RN01 Rough Natural</t>
    <phoneticPr fontId="13" type="noConversion"/>
  </si>
  <si>
    <t>C11</t>
    <phoneticPr fontId="13" type="noConversion"/>
  </si>
  <si>
    <t xml:space="preserve">Black </t>
    <phoneticPr fontId="13" type="noConversion"/>
  </si>
  <si>
    <t>Roll</t>
    <phoneticPr fontId="13" type="noConversion"/>
  </si>
  <si>
    <t>787x1092(세로)</t>
    <phoneticPr fontId="13" type="noConversion"/>
  </si>
  <si>
    <t xml:space="preserve">재단출하시 고시가 +3%  추가 </t>
    <phoneticPr fontId="13" type="noConversion"/>
  </si>
  <si>
    <t>뉴에코블랙
(NEBL)                             
재생펄프 42%</t>
  </si>
  <si>
    <t>뉴에코블랙
(NEBL)                             
재생펄프 43%</t>
  </si>
  <si>
    <t>뉴에코블랙
(NEBL)                             
재생펄프 44%</t>
  </si>
  <si>
    <t>뉴에코블랙
(NEBL)                             
재생펄프 45%</t>
  </si>
  <si>
    <t>뉴에코블랙
(NEBL)                             
재생펄프 46%</t>
  </si>
  <si>
    <t>9-2( 합지 )</t>
    <phoneticPr fontId="13" type="noConversion"/>
  </si>
  <si>
    <t>뉴에코블랙
(NEBL)                             
재생펄프 50%</t>
  </si>
  <si>
    <t>J02</t>
    <phoneticPr fontId="13" type="noConversion"/>
  </si>
  <si>
    <t>P02</t>
    <phoneticPr fontId="13" type="noConversion"/>
  </si>
  <si>
    <t>T01 Milk White( 단면 )</t>
    <phoneticPr fontId="13" type="noConversion"/>
  </si>
  <si>
    <t>T02~T15 Colors( 단면 )</t>
    <phoneticPr fontId="13" type="noConversion"/>
  </si>
  <si>
    <t>C01 Milk White( 단면 )</t>
    <phoneticPr fontId="13" type="noConversion"/>
  </si>
  <si>
    <t>C02~C15 Colors( 단면 )</t>
    <phoneticPr fontId="13" type="noConversion"/>
  </si>
  <si>
    <t>C01-1 Milk White( 양면 )</t>
    <phoneticPr fontId="13" type="noConversion"/>
  </si>
  <si>
    <t>C12-1 Colors( 양면 )</t>
    <phoneticPr fontId="13" type="noConversion"/>
  </si>
  <si>
    <t>900x1200(세로)</t>
  </si>
  <si>
    <t xml:space="preserve"> </t>
  </si>
  <si>
    <t>니나폴딩보드
(NFB)</t>
    <phoneticPr fontId="13" type="noConversion"/>
  </si>
  <si>
    <t>788x1091(세로)</t>
    <phoneticPr fontId="13" type="noConversion"/>
  </si>
  <si>
    <t>CA01</t>
    <phoneticPr fontId="13" type="noConversion"/>
  </si>
  <si>
    <t>CB01, CB02</t>
    <phoneticPr fontId="13" type="noConversion"/>
  </si>
  <si>
    <t>CB03</t>
    <phoneticPr fontId="13" type="noConversion"/>
  </si>
  <si>
    <t>CB04</t>
    <phoneticPr fontId="13" type="noConversion"/>
  </si>
  <si>
    <t>CJ01</t>
    <phoneticPr fontId="13" type="noConversion"/>
  </si>
  <si>
    <t>711x1016</t>
    <phoneticPr fontId="13" type="noConversion"/>
  </si>
  <si>
    <t>CM01, CM02</t>
    <phoneticPr fontId="13" type="noConversion"/>
  </si>
  <si>
    <t>CB05</t>
    <phoneticPr fontId="13" type="noConversion"/>
  </si>
  <si>
    <t>CB06</t>
    <phoneticPr fontId="13" type="noConversion"/>
  </si>
  <si>
    <t>CL04</t>
    <phoneticPr fontId="13" type="noConversion"/>
  </si>
  <si>
    <t>788x545(가로)</t>
    <phoneticPr fontId="13" type="noConversion"/>
  </si>
  <si>
    <t>롤</t>
    <phoneticPr fontId="13" type="noConversion"/>
  </si>
  <si>
    <t>다이아몬드 트레싱지(뉴)
(DT)</t>
    <phoneticPr fontId="13" type="noConversion"/>
  </si>
  <si>
    <t>00 계약 공급 평량</t>
    <phoneticPr fontId="3" type="noConversion"/>
  </si>
  <si>
    <t>01</t>
    <phoneticPr fontId="13" type="noConversion"/>
  </si>
  <si>
    <t>02</t>
    <phoneticPr fontId="13" type="noConversion"/>
  </si>
  <si>
    <t>03</t>
    <phoneticPr fontId="13" type="noConversion"/>
  </si>
  <si>
    <t>04</t>
    <phoneticPr fontId="13" type="noConversion"/>
  </si>
  <si>
    <t>05</t>
    <phoneticPr fontId="13" type="noConversion"/>
  </si>
  <si>
    <t>06</t>
    <phoneticPr fontId="13" type="noConversion"/>
  </si>
  <si>
    <t>07</t>
    <phoneticPr fontId="13" type="noConversion"/>
  </si>
  <si>
    <t>08</t>
    <phoneticPr fontId="13" type="noConversion"/>
  </si>
  <si>
    <t>09</t>
    <phoneticPr fontId="13" type="noConversion"/>
  </si>
  <si>
    <t>10</t>
    <phoneticPr fontId="13" type="noConversion"/>
  </si>
  <si>
    <t>900x1200(세로)</t>
    <phoneticPr fontId="13" type="noConversion"/>
  </si>
  <si>
    <t>H03</t>
    <phoneticPr fontId="3" type="noConversion"/>
  </si>
  <si>
    <t>2절</t>
    <phoneticPr fontId="13" type="noConversion"/>
  </si>
  <si>
    <t>A1</t>
    <phoneticPr fontId="13" type="noConversion"/>
  </si>
  <si>
    <t>S03</t>
    <phoneticPr fontId="3" type="noConversion"/>
  </si>
  <si>
    <t>A2</t>
    <phoneticPr fontId="13" type="noConversion"/>
  </si>
  <si>
    <t>S04</t>
    <phoneticPr fontId="3" type="noConversion"/>
  </si>
  <si>
    <t>A3</t>
    <phoneticPr fontId="13" type="noConversion"/>
  </si>
  <si>
    <t>S05</t>
    <phoneticPr fontId="3" type="noConversion"/>
  </si>
  <si>
    <t>483x330(가로)</t>
    <phoneticPr fontId="13" type="noConversion"/>
  </si>
  <si>
    <t>530x750(세로)</t>
    <phoneticPr fontId="13" type="noConversion"/>
  </si>
  <si>
    <t>483*330(가로)</t>
  </si>
  <si>
    <t>330x483(세로)</t>
    <phoneticPr fontId="13" type="noConversion"/>
  </si>
  <si>
    <t>457x305(가로)</t>
    <phoneticPr fontId="13" type="noConversion"/>
  </si>
  <si>
    <t>750x530(가로)</t>
    <phoneticPr fontId="13" type="noConversion"/>
  </si>
  <si>
    <t>464x320(가로)</t>
  </si>
  <si>
    <t>320x464(세로)</t>
  </si>
  <si>
    <t>320x464(세로)</t>
    <phoneticPr fontId="13" type="noConversion"/>
  </si>
  <si>
    <t>520x720(세로)</t>
    <phoneticPr fontId="13" type="noConversion"/>
  </si>
  <si>
    <t>i184 마테리카-순백</t>
    <phoneticPr fontId="13" type="noConversion"/>
  </si>
  <si>
    <t>i185 마테리카-클레이</t>
    <phoneticPr fontId="13" type="noConversion"/>
  </si>
  <si>
    <t>i186-1 마테리카-크라프트</t>
    <phoneticPr fontId="13" type="noConversion"/>
  </si>
  <si>
    <t>464x320(가로)</t>
    <phoneticPr fontId="13" type="noConversion"/>
  </si>
  <si>
    <t>330width</t>
    <phoneticPr fontId="13" type="noConversion"/>
  </si>
  <si>
    <t>939*636(가로)</t>
    <phoneticPr fontId="13" type="noConversion"/>
  </si>
  <si>
    <t>527x748(세로)</t>
    <phoneticPr fontId="13" type="noConversion"/>
  </si>
  <si>
    <t xml:space="preserve">i248 아레나 스무스-엑스트라 화이트 </t>
    <phoneticPr fontId="13" type="noConversion"/>
  </si>
  <si>
    <t>i249</t>
    <phoneticPr fontId="13" type="noConversion"/>
  </si>
  <si>
    <t>i250</t>
    <phoneticPr fontId="13" type="noConversion"/>
  </si>
  <si>
    <t xml:space="preserve">i251 아레나 스무스-엑스트라 화이트 </t>
    <phoneticPr fontId="13" type="noConversion"/>
  </si>
  <si>
    <t>i252</t>
    <phoneticPr fontId="13" type="noConversion"/>
  </si>
  <si>
    <t>i253</t>
    <phoneticPr fontId="13" type="noConversion"/>
  </si>
  <si>
    <t xml:space="preserve">i254 아레나 스무스-화이트 </t>
    <phoneticPr fontId="13" type="noConversion"/>
  </si>
  <si>
    <t>i255</t>
    <phoneticPr fontId="13" type="noConversion"/>
  </si>
  <si>
    <t xml:space="preserve">i246 아레나 러프-네추럴 </t>
    <phoneticPr fontId="13" type="noConversion"/>
  </si>
  <si>
    <t xml:space="preserve">i247 아레나 러프-네추럴 </t>
    <phoneticPr fontId="13" type="noConversion"/>
  </si>
  <si>
    <t xml:space="preserve">i245 아레나 러프-아이보리 </t>
    <phoneticPr fontId="13" type="noConversion"/>
  </si>
  <si>
    <t>I138 올드밀-프리미엄화이트</t>
    <phoneticPr fontId="13" type="noConversion"/>
  </si>
  <si>
    <t>i182 올드밀-비양코 리사이클</t>
    <phoneticPr fontId="13" type="noConversion"/>
  </si>
  <si>
    <t>I88 ADHOC 심볼그로스( 점착)</t>
    <phoneticPr fontId="13" type="noConversion"/>
  </si>
  <si>
    <t>460x320(세로)</t>
  </si>
  <si>
    <t>460x320(세로)</t>
    <phoneticPr fontId="13" type="noConversion"/>
  </si>
  <si>
    <t>I32-1 뉴유포블루 150µm</t>
    <phoneticPr fontId="13" type="noConversion"/>
  </si>
  <si>
    <t>I33-1 뉴유포블루 200µm</t>
    <phoneticPr fontId="13" type="noConversion"/>
  </si>
  <si>
    <t>I34-1 뉴유포블루 250µm</t>
    <phoneticPr fontId="13" type="noConversion"/>
  </si>
  <si>
    <t>318*470(세로)</t>
    <phoneticPr fontId="13" type="noConversion"/>
  </si>
  <si>
    <t>750*530(횡)</t>
    <phoneticPr fontId="13" type="noConversion"/>
  </si>
  <si>
    <t>330폭롤</t>
    <phoneticPr fontId="13" type="noConversion"/>
  </si>
  <si>
    <t>330*483(세로)</t>
    <phoneticPr fontId="13" type="noConversion"/>
  </si>
  <si>
    <t>I50 트윌-브라잇화이트</t>
    <phoneticPr fontId="13" type="noConversion"/>
  </si>
  <si>
    <t>720x1020(세로)</t>
    <phoneticPr fontId="13" type="noConversion"/>
  </si>
  <si>
    <t>람세스
(RAM)</t>
    <phoneticPr fontId="13" type="noConversion"/>
  </si>
  <si>
    <t>T1, T3, T4</t>
    <phoneticPr fontId="13" type="noConversion"/>
  </si>
  <si>
    <t>CT1,CT3</t>
    <phoneticPr fontId="13" type="noConversion"/>
  </si>
  <si>
    <t>C1</t>
    <phoneticPr fontId="13" type="noConversion"/>
  </si>
  <si>
    <t>SA05</t>
    <phoneticPr fontId="13" type="noConversion"/>
  </si>
  <si>
    <t>939x636(가로)</t>
    <phoneticPr fontId="13" type="noConversion"/>
  </si>
  <si>
    <t xml:space="preserve">로얄선던스
(RYS)                       </t>
    <phoneticPr fontId="13" type="noConversion"/>
  </si>
  <si>
    <t>CT01 Brilliant white</t>
    <phoneticPr fontId="13" type="noConversion"/>
  </si>
  <si>
    <t>C01 Brilliant white, C02 100PC White</t>
    <phoneticPr fontId="13" type="noConversion"/>
  </si>
  <si>
    <t>로얄 크라프트
(RK)</t>
  </si>
  <si>
    <t>305 ~ 390g</t>
    <phoneticPr fontId="13" type="noConversion"/>
  </si>
  <si>
    <t>420g &amp; 이상*</t>
    <phoneticPr fontId="13" type="noConversion"/>
  </si>
  <si>
    <t>788*1091(세로)</t>
    <phoneticPr fontId="13" type="noConversion"/>
  </si>
  <si>
    <t>S45-05, S45-20, S45-80</t>
    <phoneticPr fontId="13" type="noConversion"/>
  </si>
  <si>
    <t>S42-52, S42-55, S42-77</t>
    <phoneticPr fontId="13" type="noConversion"/>
  </si>
  <si>
    <t>710X1010(세로)</t>
    <phoneticPr fontId="13" type="noConversion"/>
  </si>
  <si>
    <t>T03-1</t>
    <phoneticPr fontId="13" type="noConversion"/>
  </si>
  <si>
    <t>CT01-1,CT02-1</t>
    <phoneticPr fontId="13" type="noConversion"/>
  </si>
  <si>
    <t>CT04-1</t>
    <phoneticPr fontId="13" type="noConversion"/>
  </si>
  <si>
    <t>C03-1, C04-1</t>
    <phoneticPr fontId="13" type="noConversion"/>
  </si>
  <si>
    <t>710x1010</t>
    <phoneticPr fontId="13" type="noConversion"/>
  </si>
  <si>
    <t xml:space="preserve">Smoke( 계약공급건 ) </t>
    <phoneticPr fontId="13" type="noConversion"/>
  </si>
  <si>
    <t>CC02</t>
    <phoneticPr fontId="13" type="noConversion"/>
  </si>
  <si>
    <t xml:space="preserve">마쉬맬로우
(MRS)
</t>
    <phoneticPr fontId="13" type="noConversion"/>
  </si>
  <si>
    <t>마제스틱
(MJT)</t>
  </si>
  <si>
    <t xml:space="preserve"> T00, T01, T02</t>
    <phoneticPr fontId="13" type="noConversion"/>
  </si>
  <si>
    <t>T14, T15</t>
    <phoneticPr fontId="13" type="noConversion"/>
  </si>
  <si>
    <t>T20, T21, T22</t>
    <phoneticPr fontId="13" type="noConversion"/>
  </si>
  <si>
    <t>720x1020(세로)</t>
  </si>
  <si>
    <t>T05-1,T06-1</t>
  </si>
  <si>
    <t>T07-1, T08-1,T09-1,T10-1, T11-1</t>
    <phoneticPr fontId="13" type="noConversion"/>
  </si>
  <si>
    <t>T12-1, T13-1</t>
  </si>
  <si>
    <t>636x939(세로)</t>
  </si>
  <si>
    <t>CT14-2, CT15-2</t>
    <phoneticPr fontId="13" type="noConversion"/>
  </si>
  <si>
    <t>C20, C21, C22</t>
    <phoneticPr fontId="13" type="noConversion"/>
  </si>
  <si>
    <t>SA01</t>
    <phoneticPr fontId="13" type="noConversion"/>
  </si>
  <si>
    <t>SA02</t>
    <phoneticPr fontId="13" type="noConversion"/>
  </si>
  <si>
    <t>SA03</t>
    <phoneticPr fontId="13" type="noConversion"/>
  </si>
  <si>
    <t xml:space="preserve">C05, C06 </t>
    <phoneticPr fontId="13" type="noConversion"/>
  </si>
  <si>
    <t>C00 Silica Blue</t>
    <phoneticPr fontId="13" type="noConversion"/>
  </si>
  <si>
    <t>720X1020(세로)</t>
    <phoneticPr fontId="13" type="noConversion"/>
  </si>
  <si>
    <t xml:space="preserve">T05, T06 </t>
    <phoneticPr fontId="13" type="noConversion"/>
  </si>
  <si>
    <t>C00</t>
    <phoneticPr fontId="13" type="noConversion"/>
  </si>
  <si>
    <t>C08</t>
    <phoneticPr fontId="13" type="noConversion"/>
  </si>
  <si>
    <t>788X1091(세로)</t>
    <phoneticPr fontId="13" type="noConversion"/>
  </si>
  <si>
    <t xml:space="preserve">1091x788(가로) </t>
  </si>
  <si>
    <t>T00, T01, T02-1, T06-1</t>
    <phoneticPr fontId="13" type="noConversion"/>
  </si>
  <si>
    <t>CP00</t>
    <phoneticPr fontId="13" type="noConversion"/>
  </si>
  <si>
    <t>CP12, CP13, CP14</t>
    <phoneticPr fontId="13" type="noConversion"/>
  </si>
  <si>
    <t>C09-1, C10-1</t>
    <phoneticPr fontId="13" type="noConversion"/>
  </si>
  <si>
    <t xml:space="preserve"> </t>
    <phoneticPr fontId="15" type="noConversion"/>
  </si>
  <si>
    <t>788W</t>
    <phoneticPr fontId="15" type="noConversion"/>
  </si>
  <si>
    <t>07R</t>
    <phoneticPr fontId="15" type="noConversion"/>
  </si>
  <si>
    <t>01R</t>
    <phoneticPr fontId="15" type="noConversion"/>
  </si>
  <si>
    <t>03R</t>
    <phoneticPr fontId="15" type="noConversion"/>
  </si>
  <si>
    <t>939W</t>
    <phoneticPr fontId="15" type="noConversion"/>
  </si>
  <si>
    <t>08R</t>
    <phoneticPr fontId="15" type="noConversion"/>
  </si>
  <si>
    <t>02R</t>
    <phoneticPr fontId="15" type="noConversion"/>
  </si>
  <si>
    <t>04R</t>
    <phoneticPr fontId="15" type="noConversion"/>
  </si>
  <si>
    <t>07</t>
    <phoneticPr fontId="15" type="noConversion"/>
  </si>
  <si>
    <t>01</t>
    <phoneticPr fontId="15" type="noConversion"/>
  </si>
  <si>
    <t>03</t>
    <phoneticPr fontId="15" type="noConversion"/>
  </si>
  <si>
    <t>788x545(세로)</t>
    <phoneticPr fontId="13" type="noConversion"/>
  </si>
  <si>
    <t>23</t>
    <phoneticPr fontId="15" type="noConversion"/>
  </si>
  <si>
    <t>25</t>
    <phoneticPr fontId="15" type="noConversion"/>
  </si>
  <si>
    <t>03-1</t>
    <phoneticPr fontId="15" type="noConversion"/>
  </si>
  <si>
    <t>939X636(가로)</t>
    <phoneticPr fontId="13" type="noConversion"/>
  </si>
  <si>
    <t>08</t>
    <phoneticPr fontId="15" type="noConversion"/>
  </si>
  <si>
    <t>02</t>
    <phoneticPr fontId="15" type="noConversion"/>
  </si>
  <si>
    <t>12</t>
    <phoneticPr fontId="13" type="noConversion"/>
  </si>
  <si>
    <t>G01</t>
    <phoneticPr fontId="13" type="noConversion"/>
  </si>
  <si>
    <t>C02</t>
    <phoneticPr fontId="13" type="noConversion"/>
  </si>
  <si>
    <t>메탈크로스
(MTC)</t>
  </si>
  <si>
    <t>SBI01</t>
    <phoneticPr fontId="13" type="noConversion"/>
  </si>
  <si>
    <t>SBI05, 09</t>
    <phoneticPr fontId="13" type="noConversion"/>
  </si>
  <si>
    <t>SBI04</t>
    <phoneticPr fontId="13" type="noConversion"/>
  </si>
  <si>
    <t>메탈플러스
(MTP)</t>
  </si>
  <si>
    <t>1, 11</t>
    <phoneticPr fontId="13" type="noConversion"/>
  </si>
  <si>
    <t>3*, 4*</t>
    <phoneticPr fontId="13" type="noConversion"/>
  </si>
  <si>
    <t>9*, 10*, 14*</t>
    <phoneticPr fontId="13" type="noConversion"/>
  </si>
  <si>
    <t>2*, 5*, 7*, 8*, 12*</t>
    <phoneticPr fontId="13" type="noConversion"/>
  </si>
  <si>
    <t>모던시티
(MDC)</t>
    <phoneticPr fontId="13" type="noConversion"/>
  </si>
  <si>
    <t>1091x788(가로)</t>
    <phoneticPr fontId="13" type="noConversion"/>
  </si>
  <si>
    <t>T01, T02, T03</t>
    <phoneticPr fontId="13" type="noConversion"/>
  </si>
  <si>
    <t>T04, T07</t>
    <phoneticPr fontId="13" type="noConversion"/>
  </si>
  <si>
    <t>CC01, CC02, CC03</t>
    <phoneticPr fontId="13" type="noConversion"/>
  </si>
  <si>
    <t>CC04</t>
    <phoneticPr fontId="13" type="noConversion"/>
  </si>
  <si>
    <t>CC05</t>
    <phoneticPr fontId="13" type="noConversion"/>
  </si>
  <si>
    <t>1020x720(가로)</t>
    <phoneticPr fontId="13" type="noConversion"/>
  </si>
  <si>
    <t>문보드
(MOON)</t>
    <phoneticPr fontId="13" type="noConversion"/>
  </si>
  <si>
    <t>800x1100(세로)</t>
    <phoneticPr fontId="13" type="noConversion"/>
  </si>
  <si>
    <t>밤부럭스
(BOO)</t>
    <phoneticPr fontId="13" type="noConversion"/>
  </si>
  <si>
    <t>700x1000(세로)</t>
    <phoneticPr fontId="13" type="noConversion"/>
  </si>
  <si>
    <t>Cream( C01-1 )</t>
    <phoneticPr fontId="13" type="noConversion"/>
  </si>
  <si>
    <t>Natural( N02-1), Cream( C02-1 )</t>
    <phoneticPr fontId="13" type="noConversion"/>
  </si>
  <si>
    <t>Natural( N03 )</t>
    <phoneticPr fontId="13" type="noConversion"/>
  </si>
  <si>
    <t>Natural( N04 ), Cream( C04 )</t>
    <phoneticPr fontId="13" type="noConversion"/>
  </si>
  <si>
    <t>Natural( N05), Cream( C05 )</t>
    <phoneticPr fontId="13" type="noConversion"/>
  </si>
  <si>
    <t>Natural( N07), Cream( C07  ) 계약공급</t>
    <phoneticPr fontId="13" type="noConversion"/>
  </si>
  <si>
    <t>Natural( N06), Cream( C06 )</t>
    <phoneticPr fontId="13" type="noConversion"/>
  </si>
  <si>
    <t xml:space="preserve">밤부팩
(BPK) 
</t>
    <phoneticPr fontId="13" type="noConversion"/>
  </si>
  <si>
    <t>W06</t>
    <phoneticPr fontId="13" type="noConversion"/>
  </si>
  <si>
    <t>N05</t>
    <phoneticPr fontId="16" type="noConversion"/>
  </si>
  <si>
    <t>1500x900M</t>
    <phoneticPr fontId="13" type="noConversion"/>
  </si>
  <si>
    <t>White</t>
    <phoneticPr fontId="13" type="noConversion"/>
  </si>
  <si>
    <t>1500x1M</t>
    <phoneticPr fontId="13" type="noConversion"/>
  </si>
  <si>
    <t xml:space="preserve">베로나
(VER)                                                </t>
    <phoneticPr fontId="13" type="noConversion"/>
  </si>
  <si>
    <t>비 브릴리언트
(BEEB)</t>
    <phoneticPr fontId="13" type="noConversion"/>
  </si>
  <si>
    <t>화이트( 01 )</t>
    <phoneticPr fontId="13" type="noConversion"/>
  </si>
  <si>
    <t>크림(2), 골드(3)</t>
    <phoneticPr fontId="13" type="noConversion"/>
  </si>
  <si>
    <t>브라운(4)</t>
    <phoneticPr fontId="13" type="noConversion"/>
  </si>
  <si>
    <t>레드(5),다크블루(7),블랙(10)</t>
    <phoneticPr fontId="13" type="noConversion"/>
  </si>
  <si>
    <t>핑크(6),라이트그레이(8),다크그레이(9)</t>
    <phoneticPr fontId="13" type="noConversion"/>
  </si>
  <si>
    <t>화이트( 01-1 )</t>
    <phoneticPr fontId="13" type="noConversion"/>
  </si>
  <si>
    <t>레드 11</t>
    <phoneticPr fontId="13" type="noConversion"/>
  </si>
  <si>
    <t>R03, R04</t>
    <phoneticPr fontId="13" type="noConversion"/>
  </si>
  <si>
    <t>비앤비
(BNB)</t>
    <phoneticPr fontId="13" type="noConversion"/>
  </si>
  <si>
    <t>S01 백색</t>
    <phoneticPr fontId="13" type="noConversion"/>
  </si>
  <si>
    <t>C04</t>
    <phoneticPr fontId="13" type="noConversion"/>
  </si>
  <si>
    <t>C06</t>
    <phoneticPr fontId="13" type="noConversion"/>
  </si>
  <si>
    <t>Red, Bark Blue( 계약공급 )</t>
    <phoneticPr fontId="13" type="noConversion"/>
  </si>
  <si>
    <t>B01</t>
    <phoneticPr fontId="13" type="noConversion"/>
  </si>
  <si>
    <t>기타 색상</t>
    <phoneticPr fontId="13" type="noConversion"/>
  </si>
  <si>
    <t>CB01</t>
    <phoneticPr fontId="13" type="noConversion"/>
  </si>
  <si>
    <t>CB02</t>
    <phoneticPr fontId="13" type="noConversion"/>
  </si>
  <si>
    <t xml:space="preserve">G08, 12, 15 </t>
    <phoneticPr fontId="13" type="noConversion"/>
  </si>
  <si>
    <t xml:space="preserve">블랙블랙
(BB) </t>
    <phoneticPr fontId="13" type="noConversion"/>
  </si>
  <si>
    <t>Black</t>
  </si>
  <si>
    <t>수페이퍼
(SUPR)</t>
  </si>
  <si>
    <t>1091X788(가로)</t>
  </si>
  <si>
    <t>T1, T3</t>
    <phoneticPr fontId="13" type="noConversion"/>
  </si>
  <si>
    <t xml:space="preserve"> T7</t>
    <phoneticPr fontId="13" type="noConversion"/>
  </si>
  <si>
    <t>T12~14</t>
    <phoneticPr fontId="13" type="noConversion"/>
  </si>
  <si>
    <t>CT01</t>
    <phoneticPr fontId="13" type="noConversion"/>
  </si>
  <si>
    <t>CT14</t>
    <phoneticPr fontId="13" type="noConversion"/>
  </si>
  <si>
    <t>C013, 14</t>
    <phoneticPr fontId="13" type="noConversion"/>
  </si>
  <si>
    <t>07-2</t>
    <phoneticPr fontId="13" type="noConversion"/>
  </si>
  <si>
    <t>CC01</t>
    <phoneticPr fontId="13" type="noConversion"/>
  </si>
  <si>
    <t>스펜더룩스 버서스
(SPXV)</t>
    <phoneticPr fontId="13" type="noConversion"/>
  </si>
  <si>
    <t>뉴심플렉스
(NSIM)</t>
    <phoneticPr fontId="13" type="noConversion"/>
  </si>
  <si>
    <t>1091x788(세로)</t>
    <phoneticPr fontId="13" type="noConversion"/>
  </si>
  <si>
    <t>E00-01A</t>
    <phoneticPr fontId="13" type="noConversion"/>
  </si>
  <si>
    <t>E00-14A</t>
    <phoneticPr fontId="13" type="noConversion"/>
  </si>
  <si>
    <t>1020x720(세로)</t>
    <phoneticPr fontId="13" type="noConversion"/>
  </si>
  <si>
    <t>E00-06, 08, 09, 10, 11</t>
    <phoneticPr fontId="13" type="noConversion"/>
  </si>
  <si>
    <t>E00-05, 07, 12, 13</t>
    <phoneticPr fontId="13" type="noConversion"/>
  </si>
  <si>
    <t>E00-201</t>
    <phoneticPr fontId="13" type="noConversion"/>
  </si>
  <si>
    <t>E00-214</t>
    <phoneticPr fontId="13" type="noConversion"/>
  </si>
  <si>
    <t>E00-211</t>
    <phoneticPr fontId="13" type="noConversion"/>
  </si>
  <si>
    <t>E00-207, 212</t>
    <phoneticPr fontId="13" type="noConversion"/>
  </si>
  <si>
    <t>E00-301</t>
    <phoneticPr fontId="13" type="noConversion"/>
  </si>
  <si>
    <t>E00-314</t>
    <phoneticPr fontId="13" type="noConversion"/>
  </si>
  <si>
    <t>E00-311</t>
    <phoneticPr fontId="13" type="noConversion"/>
  </si>
  <si>
    <t>E00-307, 312</t>
    <phoneticPr fontId="13" type="noConversion"/>
  </si>
  <si>
    <t>E05-01A</t>
    <phoneticPr fontId="13" type="noConversion"/>
  </si>
  <si>
    <t>E05-06A, 17A, 18A, 24A</t>
    <phoneticPr fontId="13" type="noConversion"/>
  </si>
  <si>
    <t>E05-08, 20, 22, 23, 28, 29</t>
    <phoneticPr fontId="13" type="noConversion"/>
  </si>
  <si>
    <t>E05-10, 11, 27</t>
    <phoneticPr fontId="13" type="noConversion"/>
  </si>
  <si>
    <t>E05-201</t>
    <phoneticPr fontId="13" type="noConversion"/>
  </si>
  <si>
    <t>E05-101</t>
    <phoneticPr fontId="13" type="noConversion"/>
  </si>
  <si>
    <t>E05-106, 118</t>
    <phoneticPr fontId="13" type="noConversion"/>
  </si>
  <si>
    <t>E05-301</t>
    <phoneticPr fontId="13" type="noConversion"/>
  </si>
  <si>
    <t>E05-308</t>
    <phoneticPr fontId="13" type="noConversion"/>
  </si>
  <si>
    <t>E05-306, 317, 318</t>
    <phoneticPr fontId="13" type="noConversion"/>
  </si>
  <si>
    <t>E05-G01</t>
    <phoneticPr fontId="13" type="noConversion"/>
  </si>
  <si>
    <t>E05-G08</t>
    <phoneticPr fontId="13" type="noConversion"/>
  </si>
  <si>
    <t>E05-G06, 17, 18</t>
    <phoneticPr fontId="13" type="noConversion"/>
  </si>
  <si>
    <t>E20-01</t>
    <phoneticPr fontId="13" type="noConversion"/>
  </si>
  <si>
    <t>E55-01A</t>
    <phoneticPr fontId="13" type="noConversion"/>
  </si>
  <si>
    <t>E55-08A</t>
    <phoneticPr fontId="13" type="noConversion"/>
  </si>
  <si>
    <t>E55-20, 22, 28, 29</t>
    <phoneticPr fontId="13" type="noConversion"/>
  </si>
  <si>
    <t>E55-10, 17, 27</t>
    <phoneticPr fontId="13" type="noConversion"/>
  </si>
  <si>
    <t>E65-01A</t>
    <phoneticPr fontId="13" type="noConversion"/>
  </si>
  <si>
    <t>Fiandra</t>
    <phoneticPr fontId="13" type="noConversion"/>
  </si>
  <si>
    <t>E65-18A</t>
    <phoneticPr fontId="13" type="noConversion"/>
  </si>
  <si>
    <t>E65-08</t>
    <phoneticPr fontId="13" type="noConversion"/>
  </si>
  <si>
    <t>E65-06, 17</t>
    <phoneticPr fontId="13" type="noConversion"/>
  </si>
  <si>
    <t>T01, 02, 03</t>
    <phoneticPr fontId="13" type="noConversion"/>
  </si>
  <si>
    <t>CT01, 2, 3</t>
    <phoneticPr fontId="13" type="noConversion"/>
  </si>
  <si>
    <t>CT07</t>
    <phoneticPr fontId="13" type="noConversion"/>
  </si>
  <si>
    <t>C02, 3</t>
    <phoneticPr fontId="13" type="noConversion"/>
  </si>
  <si>
    <t>T1</t>
    <phoneticPr fontId="13" type="noConversion"/>
  </si>
  <si>
    <t xml:space="preserve">T2, 3, 4 </t>
    <phoneticPr fontId="13" type="noConversion"/>
  </si>
  <si>
    <t xml:space="preserve">T5, 6 </t>
    <phoneticPr fontId="13" type="noConversion"/>
  </si>
  <si>
    <t xml:space="preserve">T7, 8, 9, 10, 11 </t>
    <phoneticPr fontId="13" type="noConversion"/>
  </si>
  <si>
    <t xml:space="preserve">C2, 3, 4 </t>
    <phoneticPr fontId="13" type="noConversion"/>
  </si>
  <si>
    <t xml:space="preserve">C5, 6 </t>
    <phoneticPr fontId="13" type="noConversion"/>
  </si>
  <si>
    <t xml:space="preserve">C7, 8, 9, 10, 11 </t>
    <phoneticPr fontId="13" type="noConversion"/>
  </si>
  <si>
    <t>B1</t>
    <phoneticPr fontId="13" type="noConversion"/>
  </si>
  <si>
    <t xml:space="preserve">B2, 3, 4 </t>
    <phoneticPr fontId="13" type="noConversion"/>
  </si>
  <si>
    <t xml:space="preserve">B5, 6 </t>
    <phoneticPr fontId="13" type="noConversion"/>
  </si>
  <si>
    <t xml:space="preserve">B7, 8, 9, 10, 11 </t>
    <phoneticPr fontId="13" type="noConversion"/>
  </si>
  <si>
    <t>T14</t>
    <phoneticPr fontId="13" type="noConversion"/>
  </si>
  <si>
    <t>C14</t>
    <phoneticPr fontId="13" type="noConversion"/>
  </si>
  <si>
    <t>B14</t>
    <phoneticPr fontId="13" type="noConversion"/>
  </si>
  <si>
    <t>R01, R02</t>
    <phoneticPr fontId="13" type="noConversion"/>
  </si>
  <si>
    <t>아르쉐 익스프레션
(ARE)</t>
    <phoneticPr fontId="13" type="noConversion"/>
  </si>
  <si>
    <t>650x920 (세로)</t>
  </si>
  <si>
    <t>아르쉐벨루어
(AREV)</t>
    <phoneticPr fontId="13" type="noConversion"/>
  </si>
  <si>
    <t>C01, C02</t>
    <phoneticPr fontId="13" type="noConversion"/>
  </si>
  <si>
    <t>D01, D02</t>
    <phoneticPr fontId="13" type="noConversion"/>
  </si>
  <si>
    <t>560x760(세로)</t>
    <phoneticPr fontId="13" type="noConversion"/>
  </si>
  <si>
    <t>1200x900(가로)</t>
    <phoneticPr fontId="13" type="noConversion"/>
  </si>
  <si>
    <t>아레나 벌크 (ARA)</t>
    <phoneticPr fontId="13" type="noConversion"/>
  </si>
  <si>
    <t>636x939</t>
    <phoneticPr fontId="13" type="noConversion"/>
  </si>
  <si>
    <t>Warm White</t>
  </si>
  <si>
    <t>545x788(세로)</t>
    <phoneticPr fontId="13" type="noConversion"/>
  </si>
  <si>
    <t>Warm White</t>
    <phoneticPr fontId="13" type="noConversion"/>
  </si>
  <si>
    <t>아코팩 리사이클
100% (APKR)</t>
    <phoneticPr fontId="13" type="noConversion"/>
  </si>
  <si>
    <t>WR02, ER02</t>
    <phoneticPr fontId="13" type="noConversion"/>
  </si>
  <si>
    <t>WR03, ER03</t>
    <phoneticPr fontId="13" type="noConversion"/>
  </si>
  <si>
    <t xml:space="preserve">아큐렐로
(AQ) </t>
    <phoneticPr fontId="13" type="noConversion"/>
  </si>
  <si>
    <t>어반(UBA)</t>
    <phoneticPr fontId="13" type="noConversion"/>
  </si>
  <si>
    <t>B01-1</t>
    <phoneticPr fontId="13" type="noConversion"/>
  </si>
  <si>
    <t>B03-2</t>
    <phoneticPr fontId="13" type="noConversion"/>
  </si>
  <si>
    <t>B04-2</t>
    <phoneticPr fontId="13" type="noConversion"/>
  </si>
  <si>
    <t>C01-1</t>
    <phoneticPr fontId="13" type="noConversion"/>
  </si>
  <si>
    <t>C03-1</t>
    <phoneticPr fontId="13" type="noConversion"/>
  </si>
  <si>
    <t>B01,B02</t>
    <phoneticPr fontId="13" type="noConversion"/>
  </si>
  <si>
    <t>C01,C02</t>
    <phoneticPr fontId="13" type="noConversion"/>
  </si>
  <si>
    <t>B03</t>
    <phoneticPr fontId="13" type="noConversion"/>
  </si>
  <si>
    <t>B04</t>
    <phoneticPr fontId="13" type="noConversion"/>
  </si>
  <si>
    <t>C03</t>
    <phoneticPr fontId="13" type="noConversion"/>
  </si>
  <si>
    <t>25</t>
    <phoneticPr fontId="13" type="noConversion"/>
  </si>
  <si>
    <t>11</t>
    <phoneticPr fontId="13" type="noConversion"/>
  </si>
  <si>
    <t>15</t>
    <phoneticPr fontId="13" type="noConversion"/>
  </si>
  <si>
    <t>19</t>
    <phoneticPr fontId="13" type="noConversion"/>
  </si>
  <si>
    <t>21</t>
    <phoneticPr fontId="13" type="noConversion"/>
  </si>
  <si>
    <t>W03</t>
    <phoneticPr fontId="13" type="noConversion"/>
  </si>
  <si>
    <t>W04</t>
    <phoneticPr fontId="13" type="noConversion"/>
  </si>
  <si>
    <t>SA크라프트
(SAK)</t>
    <phoneticPr fontId="13" type="noConversion"/>
  </si>
  <si>
    <t>788폭&amp;900폭 롤</t>
    <phoneticPr fontId="13" type="noConversion"/>
  </si>
  <si>
    <t>Extra White 01</t>
    <phoneticPr fontId="13" type="noConversion"/>
  </si>
  <si>
    <t>P03</t>
    <phoneticPr fontId="13" type="noConversion"/>
  </si>
  <si>
    <t>P04</t>
    <phoneticPr fontId="13" type="noConversion"/>
  </si>
  <si>
    <t>P05</t>
    <phoneticPr fontId="13" type="noConversion"/>
  </si>
  <si>
    <t>우드스킨
(WOOD)</t>
  </si>
  <si>
    <t>T00</t>
  </si>
  <si>
    <t>T05, T06, T09, T10</t>
    <phoneticPr fontId="13" type="noConversion"/>
  </si>
  <si>
    <t>C00</t>
  </si>
  <si>
    <t>C06, C09</t>
    <phoneticPr fontId="13" type="noConversion"/>
  </si>
  <si>
    <t>700X1000( 세로 )</t>
    <phoneticPr fontId="13" type="noConversion"/>
  </si>
  <si>
    <t>T02</t>
    <phoneticPr fontId="13" type="noConversion"/>
  </si>
  <si>
    <t>기타</t>
    <phoneticPr fontId="13" type="noConversion"/>
  </si>
  <si>
    <t>CT15</t>
    <phoneticPr fontId="13" type="noConversion"/>
  </si>
  <si>
    <t xml:space="preserve">C01 </t>
    <phoneticPr fontId="13" type="noConversion"/>
  </si>
  <si>
    <t>788X1091</t>
    <phoneticPr fontId="13" type="noConversion"/>
  </si>
  <si>
    <t>유포
(YUPO)</t>
  </si>
  <si>
    <t>788x1091(가로)</t>
  </si>
  <si>
    <t>01 FRB110µm</t>
    <phoneticPr fontId="13" type="noConversion"/>
  </si>
  <si>
    <t>02 FRB130µm</t>
    <phoneticPr fontId="13" type="noConversion"/>
  </si>
  <si>
    <t>08G FEB250µm</t>
    <phoneticPr fontId="13" type="noConversion"/>
  </si>
  <si>
    <t>24 TPRA60µm</t>
    <phoneticPr fontId="13" type="noConversion"/>
  </si>
  <si>
    <t>C01-2</t>
  </si>
  <si>
    <t>CC01-2</t>
  </si>
  <si>
    <t>CT02</t>
    <phoneticPr fontId="13" type="noConversion"/>
  </si>
  <si>
    <t>CT03,CT05</t>
  </si>
  <si>
    <t>CT06,CT07</t>
  </si>
  <si>
    <t>CT06A</t>
  </si>
  <si>
    <t>C03,C05</t>
  </si>
  <si>
    <t>C06, C07</t>
    <phoneticPr fontId="13" type="noConversion"/>
  </si>
  <si>
    <t>C11, C13</t>
    <phoneticPr fontId="13" type="noConversion"/>
  </si>
  <si>
    <t>CC05</t>
  </si>
  <si>
    <t>CC06, CC07</t>
    <phoneticPr fontId="13" type="noConversion"/>
  </si>
  <si>
    <t>CC11, CC13</t>
    <phoneticPr fontId="13" type="noConversion"/>
  </si>
  <si>
    <t>CA05</t>
    <phoneticPr fontId="13" type="noConversion"/>
  </si>
  <si>
    <t>CB11, CB13</t>
    <phoneticPr fontId="13" type="noConversion"/>
  </si>
  <si>
    <t>635x965(세로)</t>
    <phoneticPr fontId="13" type="noConversion"/>
  </si>
  <si>
    <t>CT06-1,CT07-1</t>
  </si>
  <si>
    <t>CT06A-1</t>
  </si>
  <si>
    <t>C06-1, C06-2, C07-1</t>
    <phoneticPr fontId="13" type="noConversion"/>
  </si>
  <si>
    <t>760x1091(세로)</t>
  </si>
  <si>
    <t>21-2, 33-2, 36-2, 43-2</t>
    <phoneticPr fontId="13" type="noConversion"/>
  </si>
  <si>
    <t xml:space="preserve">E21, E36, E46 </t>
    <phoneticPr fontId="13" type="noConversion"/>
  </si>
  <si>
    <t>A01 Argyle White</t>
    <phoneticPr fontId="13" type="noConversion"/>
  </si>
  <si>
    <t>S01 Smooth White</t>
    <phoneticPr fontId="13" type="noConversion"/>
  </si>
  <si>
    <t>V01 Volume White</t>
    <phoneticPr fontId="13" type="noConversion"/>
  </si>
  <si>
    <t>A02 Argyle White</t>
    <phoneticPr fontId="13" type="noConversion"/>
  </si>
  <si>
    <t>A03 Argyle White</t>
    <phoneticPr fontId="13" type="noConversion"/>
  </si>
  <si>
    <t>V03 Volume White</t>
    <phoneticPr fontId="13" type="noConversion"/>
  </si>
  <si>
    <t>E03 Eggshell</t>
    <phoneticPr fontId="13" type="noConversion"/>
  </si>
  <si>
    <t>G03 Granite</t>
    <phoneticPr fontId="13" type="noConversion"/>
  </si>
  <si>
    <t>L03 Linen</t>
    <phoneticPr fontId="13" type="noConversion"/>
  </si>
  <si>
    <t>A04 Argyle White</t>
    <phoneticPr fontId="13" type="noConversion"/>
  </si>
  <si>
    <t>S04 Smooth White</t>
    <phoneticPr fontId="13" type="noConversion"/>
  </si>
  <si>
    <t>V04 Volume White</t>
    <phoneticPr fontId="13" type="noConversion"/>
  </si>
  <si>
    <t>E04 Eggshell</t>
    <phoneticPr fontId="13" type="noConversion"/>
  </si>
  <si>
    <t>S05 Smooth White</t>
    <phoneticPr fontId="13" type="noConversion"/>
  </si>
  <si>
    <t>V05 Volume White</t>
    <phoneticPr fontId="13" type="noConversion"/>
  </si>
  <si>
    <t>S06 Smooth White</t>
    <phoneticPr fontId="13" type="noConversion"/>
  </si>
  <si>
    <t>V06 Volume White</t>
    <phoneticPr fontId="13" type="noConversion"/>
  </si>
  <si>
    <t>V07 Volume White</t>
    <phoneticPr fontId="13" type="noConversion"/>
  </si>
  <si>
    <t>585x750(세로)</t>
    <phoneticPr fontId="13" type="noConversion"/>
  </si>
  <si>
    <t>L03-3 Linen</t>
    <phoneticPr fontId="13" type="noConversion"/>
  </si>
  <si>
    <t>L03-1 Linen</t>
    <phoneticPr fontId="13" type="noConversion"/>
  </si>
  <si>
    <t>L03-2 Linen</t>
    <phoneticPr fontId="13" type="noConversion"/>
  </si>
  <si>
    <t>칼라플랜
(CPL)</t>
    <phoneticPr fontId="13" type="noConversion"/>
  </si>
  <si>
    <t>640x970</t>
    <phoneticPr fontId="13" type="noConversion"/>
  </si>
  <si>
    <t>T10,T12,T13,T14,T16,T22,T35,T36</t>
    <phoneticPr fontId="13" type="noConversion"/>
  </si>
  <si>
    <t>T09,T15,T21,T27,T31,T42,T43,T44,T50,T55</t>
    <phoneticPr fontId="13" type="noConversion"/>
  </si>
  <si>
    <t>T53</t>
    <phoneticPr fontId="13" type="noConversion"/>
  </si>
  <si>
    <t>C02,C04,C05,C06,C07</t>
    <phoneticPr fontId="13" type="noConversion"/>
  </si>
  <si>
    <t>C01,C03,C18,C23,C52</t>
    <phoneticPr fontId="13" type="noConversion"/>
  </si>
  <si>
    <t>C08,C17,C19,C20,C24,C25,C26,C28
C38~C41,C45~C49, C54</t>
    <phoneticPr fontId="13" type="noConversion"/>
  </si>
  <si>
    <t>C34,C37</t>
    <phoneticPr fontId="13" type="noConversion"/>
  </si>
  <si>
    <t>C10,C12,C13,C14,C16,C22,C35,C36</t>
    <phoneticPr fontId="13" type="noConversion"/>
  </si>
  <si>
    <t>C09,C15,C21,C27,C31,C42,C43,C44,C50,C55</t>
    <phoneticPr fontId="13" type="noConversion"/>
  </si>
  <si>
    <t>C11,C29,C32,C51</t>
    <phoneticPr fontId="13" type="noConversion"/>
  </si>
  <si>
    <t>C30,C33</t>
    <phoneticPr fontId="13" type="noConversion"/>
  </si>
  <si>
    <t>C53</t>
    <phoneticPr fontId="13" type="noConversion"/>
  </si>
  <si>
    <t>CC02,CC04,CC05,CC06,CC07</t>
  </si>
  <si>
    <t>CC01,CC03,CC18,CC23,CC52</t>
    <phoneticPr fontId="13" type="noConversion"/>
  </si>
  <si>
    <t>CC08,CC17,CC19,CC20,CC24,CC25,
CC26,CC28
CC38~CC41,CC45~CC47, CC48, CC49, C54</t>
    <phoneticPr fontId="13" type="noConversion"/>
  </si>
  <si>
    <t>CC34,CC37</t>
    <phoneticPr fontId="13" type="noConversion"/>
  </si>
  <si>
    <t>CC10,CC12,CC13,CC14,CC16,
CC22,CC35,CC36</t>
    <phoneticPr fontId="13" type="noConversion"/>
  </si>
  <si>
    <t>CC09,CC15,CC21,CC27,CC31,
CC42,CC43,CC44,CC50,CC55</t>
    <phoneticPr fontId="13" type="noConversion"/>
  </si>
  <si>
    <t>CC11,CC29,CC32,CC51</t>
    <phoneticPr fontId="13" type="noConversion"/>
  </si>
  <si>
    <t>CC30,CC33</t>
  </si>
  <si>
    <t>CC53</t>
    <phoneticPr fontId="13" type="noConversion"/>
  </si>
  <si>
    <t>630x960</t>
    <phoneticPr fontId="13" type="noConversion"/>
  </si>
  <si>
    <t>DT02,DT05</t>
    <phoneticPr fontId="13" type="noConversion"/>
  </si>
  <si>
    <t>DT03</t>
    <phoneticPr fontId="13" type="noConversion"/>
  </si>
  <si>
    <t>DT49</t>
    <phoneticPr fontId="13" type="noConversion"/>
  </si>
  <si>
    <t>DT13</t>
    <phoneticPr fontId="13" type="noConversion"/>
  </si>
  <si>
    <t>DT15,DT31,DT50</t>
    <phoneticPr fontId="13" type="noConversion"/>
  </si>
  <si>
    <t>DT32</t>
    <phoneticPr fontId="13" type="noConversion"/>
  </si>
  <si>
    <t>DT30,DT33</t>
    <phoneticPr fontId="13" type="noConversion"/>
  </si>
  <si>
    <t>B02,B05</t>
    <phoneticPr fontId="13" type="noConversion"/>
  </si>
  <si>
    <t>B50</t>
    <phoneticPr fontId="13" type="noConversion"/>
  </si>
  <si>
    <t>컨택팩
(CTT)</t>
    <phoneticPr fontId="13" type="noConversion"/>
  </si>
  <si>
    <t>T01 코코아, T02 콘</t>
    <phoneticPr fontId="13" type="noConversion"/>
  </si>
  <si>
    <t>C01 코코아, C02 콘</t>
    <phoneticPr fontId="13" type="noConversion"/>
  </si>
  <si>
    <t>CC01 코코아, CC02 콘</t>
    <phoneticPr fontId="13" type="noConversion"/>
  </si>
  <si>
    <t>00</t>
    <phoneticPr fontId="13" type="noConversion"/>
  </si>
  <si>
    <t>큐리어스 메탈릭 메탈
(KCM)</t>
  </si>
  <si>
    <t xml:space="preserve">T00N Cryogen White </t>
    <phoneticPr fontId="13" type="noConversion"/>
  </si>
  <si>
    <t>T03N</t>
    <phoneticPr fontId="13" type="noConversion"/>
  </si>
  <si>
    <t xml:space="preserve">T06N, T07N, T16N </t>
    <phoneticPr fontId="13" type="noConversion"/>
  </si>
  <si>
    <t>T04N, T19N</t>
    <phoneticPr fontId="13" type="noConversion"/>
  </si>
  <si>
    <t>T08N</t>
    <phoneticPr fontId="13" type="noConversion"/>
  </si>
  <si>
    <t xml:space="preserve">C00N Cryogen White </t>
    <phoneticPr fontId="13" type="noConversion"/>
  </si>
  <si>
    <t>CC00N</t>
    <phoneticPr fontId="13" type="noConversion"/>
  </si>
  <si>
    <t>C00-1N</t>
    <phoneticPr fontId="13" type="noConversion"/>
  </si>
  <si>
    <t>C06-2N</t>
    <phoneticPr fontId="13" type="noConversion"/>
  </si>
  <si>
    <t>큐리어스 매터
(CMT)</t>
  </si>
  <si>
    <t>T1N</t>
    <phoneticPr fontId="13" type="noConversion"/>
  </si>
  <si>
    <t>T2N, 5N, 6N, 7N</t>
    <phoneticPr fontId="13" type="noConversion"/>
  </si>
  <si>
    <t>CT1N</t>
    <phoneticPr fontId="13" type="noConversion"/>
  </si>
  <si>
    <t xml:space="preserve">CT2N, CT5N,CT6N, CT7N </t>
    <phoneticPr fontId="13" type="noConversion"/>
  </si>
  <si>
    <t>C1N</t>
    <phoneticPr fontId="13" type="noConversion"/>
  </si>
  <si>
    <t>C2N, 7N</t>
    <phoneticPr fontId="13" type="noConversion"/>
  </si>
  <si>
    <t>큐리어스 스킨
(SKIN)</t>
  </si>
  <si>
    <t>T01N</t>
    <phoneticPr fontId="13" type="noConversion"/>
  </si>
  <si>
    <t>CT6N, 11N, 12N, 13N, 15N</t>
    <phoneticPr fontId="13" type="noConversion"/>
  </si>
  <si>
    <t>C11N, 12N</t>
    <phoneticPr fontId="13" type="noConversion"/>
  </si>
  <si>
    <t>788X1091(세로)</t>
  </si>
  <si>
    <t xml:space="preserve">02 </t>
    <phoneticPr fontId="13" type="noConversion"/>
  </si>
  <si>
    <t>크라프트팩 EV
(KPAKE)</t>
    <phoneticPr fontId="13" type="noConversion"/>
  </si>
  <si>
    <t>A06</t>
    <phoneticPr fontId="13" type="noConversion"/>
  </si>
  <si>
    <t>B00</t>
    <phoneticPr fontId="13" type="noConversion"/>
  </si>
  <si>
    <t>A00-1</t>
    <phoneticPr fontId="13" type="noConversion"/>
  </si>
  <si>
    <t>A01-1</t>
    <phoneticPr fontId="13" type="noConversion"/>
  </si>
  <si>
    <t>A02-1</t>
    <phoneticPr fontId="13" type="noConversion"/>
  </si>
  <si>
    <t>A03-1</t>
    <phoneticPr fontId="13" type="noConversion"/>
  </si>
  <si>
    <t>A04-1</t>
    <phoneticPr fontId="13" type="noConversion"/>
  </si>
  <si>
    <t>790x1091(세로)</t>
    <phoneticPr fontId="13" type="noConversion"/>
  </si>
  <si>
    <t>크리스탈 트레싱지
(CRS)</t>
    <phoneticPr fontId="13" type="noConversion"/>
  </si>
  <si>
    <t xml:space="preserve">C05 </t>
    <phoneticPr fontId="13" type="noConversion"/>
  </si>
  <si>
    <t xml:space="preserve">C07, C07-1 </t>
    <phoneticPr fontId="13" type="noConversion"/>
  </si>
  <si>
    <t>C10</t>
    <phoneticPr fontId="13" type="noConversion"/>
  </si>
  <si>
    <t>660x1016(세로)</t>
    <phoneticPr fontId="13" type="noConversion"/>
  </si>
  <si>
    <t>클래식 크래스트
(CCL)</t>
    <phoneticPr fontId="13" type="noConversion"/>
  </si>
  <si>
    <t>CT1</t>
    <phoneticPr fontId="13" type="noConversion"/>
  </si>
  <si>
    <t>CT03</t>
    <phoneticPr fontId="13" type="noConversion"/>
  </si>
  <si>
    <t>CT02, CT9</t>
    <phoneticPr fontId="13" type="noConversion"/>
  </si>
  <si>
    <t>CT11</t>
    <phoneticPr fontId="13" type="noConversion"/>
  </si>
  <si>
    <t>CT1-1, CT2-1</t>
    <phoneticPr fontId="13" type="noConversion"/>
  </si>
  <si>
    <t>CT3-1, CT9-1</t>
    <phoneticPr fontId="13" type="noConversion"/>
  </si>
  <si>
    <t>CC1-1</t>
    <phoneticPr fontId="13" type="noConversion"/>
  </si>
  <si>
    <t>CC2-1, CC13-1</t>
    <phoneticPr fontId="13" type="noConversion"/>
  </si>
  <si>
    <t xml:space="preserve">CT10-2 Cobalt </t>
    <phoneticPr fontId="13" type="noConversion"/>
  </si>
  <si>
    <t>클래식 크래스트
에그쉘
(CCLE)</t>
    <phoneticPr fontId="13" type="noConversion"/>
  </si>
  <si>
    <t>CT2, CT03</t>
    <phoneticPr fontId="13" type="noConversion"/>
  </si>
  <si>
    <t>C02,C03</t>
    <phoneticPr fontId="13" type="noConversion"/>
  </si>
  <si>
    <t>CC03</t>
    <phoneticPr fontId="13" type="noConversion"/>
  </si>
  <si>
    <t>CC05, 06</t>
    <phoneticPr fontId="13" type="noConversion"/>
  </si>
  <si>
    <t>CA02</t>
    <phoneticPr fontId="13" type="noConversion"/>
  </si>
  <si>
    <t>CA06</t>
    <phoneticPr fontId="13" type="noConversion"/>
  </si>
  <si>
    <t>CA11</t>
    <phoneticPr fontId="13" type="noConversion"/>
  </si>
  <si>
    <t>221, 225, 226</t>
    <phoneticPr fontId="13" type="noConversion"/>
  </si>
  <si>
    <t>205B</t>
    <phoneticPr fontId="13" type="noConversion"/>
  </si>
  <si>
    <t>207B</t>
    <phoneticPr fontId="13" type="noConversion"/>
  </si>
  <si>
    <t>207C, 205E</t>
  </si>
  <si>
    <t>207D, 205F</t>
    <phoneticPr fontId="13" type="noConversion"/>
  </si>
  <si>
    <t>205-1</t>
  </si>
  <si>
    <t>640x910(세로)</t>
    <phoneticPr fontId="13" type="noConversion"/>
  </si>
  <si>
    <t>220-1(Patriot Blue)</t>
    <phoneticPr fontId="13" type="noConversion"/>
  </si>
  <si>
    <t>207C, 205E-1</t>
  </si>
  <si>
    <t>207D, 205F-1</t>
  </si>
  <si>
    <t>클래식 린넨 텍스트
(LT)</t>
    <phoneticPr fontId="13" type="noConversion"/>
  </si>
  <si>
    <t xml:space="preserve">클래식 스티플
(CCLS) </t>
    <phoneticPr fontId="13" type="noConversion"/>
  </si>
  <si>
    <t>S01-1</t>
  </si>
  <si>
    <t>S02-1</t>
    <phoneticPr fontId="13" type="noConversion"/>
  </si>
  <si>
    <t>S08-1</t>
    <phoneticPr fontId="13" type="noConversion"/>
  </si>
  <si>
    <t>S03-1</t>
    <phoneticPr fontId="13" type="noConversion"/>
  </si>
  <si>
    <t>S05-1, 09-1, 11-1</t>
    <phoneticPr fontId="13" type="noConversion"/>
  </si>
  <si>
    <t>S10-1</t>
    <phoneticPr fontId="13" type="noConversion"/>
  </si>
  <si>
    <t>S04-1, S06-1</t>
    <phoneticPr fontId="13" type="noConversion"/>
  </si>
  <si>
    <t>S01</t>
  </si>
  <si>
    <t>S02, S08</t>
    <phoneticPr fontId="13" type="noConversion"/>
  </si>
  <si>
    <t>S03</t>
    <phoneticPr fontId="13" type="noConversion"/>
  </si>
  <si>
    <t>S10</t>
    <phoneticPr fontId="13" type="noConversion"/>
  </si>
  <si>
    <t>SA01</t>
  </si>
  <si>
    <t>SA08</t>
    <phoneticPr fontId="13" type="noConversion"/>
  </si>
  <si>
    <t>SB01</t>
    <phoneticPr fontId="13" type="noConversion"/>
  </si>
  <si>
    <t>SB05</t>
    <phoneticPr fontId="13" type="noConversion"/>
  </si>
  <si>
    <t>SA01-2</t>
    <phoneticPr fontId="13" type="noConversion"/>
  </si>
  <si>
    <t xml:space="preserve">클래식 테크위브
(CCLT) </t>
    <phoneticPr fontId="13" type="noConversion"/>
  </si>
  <si>
    <t>C04,C06,C07,C08</t>
    <phoneticPr fontId="13" type="noConversion"/>
  </si>
  <si>
    <t>CA07</t>
    <phoneticPr fontId="13" type="noConversion"/>
  </si>
  <si>
    <t>킹덤
(KDM)</t>
    <phoneticPr fontId="13" type="noConversion"/>
  </si>
  <si>
    <t>C01 Laid Oyster</t>
    <phoneticPr fontId="13" type="noConversion"/>
  </si>
  <si>
    <t>450X640(세로)</t>
    <phoneticPr fontId="13" type="noConversion"/>
  </si>
  <si>
    <t>01. Laid Oyster</t>
    <phoneticPr fontId="13" type="noConversion"/>
  </si>
  <si>
    <t>TE</t>
    <phoneticPr fontId="13" type="noConversion"/>
  </si>
  <si>
    <t>940폭 롤</t>
    <phoneticPr fontId="13" type="noConversion"/>
  </si>
  <si>
    <t>사이즈</t>
    <phoneticPr fontId="3" type="noConversion"/>
  </si>
  <si>
    <t>크린유광지</t>
    <phoneticPr fontId="3" type="noConversion"/>
  </si>
  <si>
    <t>크린유광지(미색)</t>
    <phoneticPr fontId="3" type="noConversion"/>
  </si>
  <si>
    <t>1091x788</t>
    <phoneticPr fontId="3" type="noConversion"/>
  </si>
  <si>
    <t>939*636</t>
    <phoneticPr fontId="3" type="noConversion"/>
  </si>
  <si>
    <t>아르떼(UW)</t>
    <phoneticPr fontId="3" type="noConversion"/>
  </si>
  <si>
    <t>아르떼(NW)</t>
  </si>
  <si>
    <t xml:space="preserve">KAce P N </t>
    <phoneticPr fontId="3" type="noConversion"/>
  </si>
  <si>
    <t>KAce P(무형광)</t>
  </si>
  <si>
    <t>KAce P Duo(무형광양면)</t>
  </si>
  <si>
    <t>KAce D (형광)</t>
    <phoneticPr fontId="3" type="noConversion"/>
  </si>
  <si>
    <t>KAce Duo (형광양면)</t>
    <phoneticPr fontId="3" type="noConversion"/>
  </si>
  <si>
    <t xml:space="preserve">KAce P </t>
    <phoneticPr fontId="3" type="noConversion"/>
  </si>
  <si>
    <t>KAce P FB</t>
  </si>
  <si>
    <t>KAce CCP</t>
  </si>
  <si>
    <t>도화용지 미색</t>
    <phoneticPr fontId="3" type="noConversion"/>
  </si>
  <si>
    <t>도화용지 백색</t>
    <phoneticPr fontId="3" type="noConversion"/>
  </si>
  <si>
    <t>아트지</t>
    <phoneticPr fontId="3" type="noConversion"/>
  </si>
  <si>
    <t>스노우지</t>
    <phoneticPr fontId="3" type="noConversion"/>
  </si>
  <si>
    <t>모조지</t>
    <phoneticPr fontId="3" type="noConversion"/>
  </si>
  <si>
    <t>백색</t>
    <phoneticPr fontId="3" type="noConversion"/>
  </si>
  <si>
    <t>미색</t>
    <phoneticPr fontId="3" type="noConversion"/>
  </si>
  <si>
    <t>내츄럴</t>
    <phoneticPr fontId="3" type="noConversion"/>
  </si>
  <si>
    <t>랑데뷰</t>
    <phoneticPr fontId="3" type="noConversion"/>
  </si>
  <si>
    <t>울트라화이트</t>
    <phoneticPr fontId="3" type="noConversion"/>
  </si>
  <si>
    <t>CCP</t>
    <phoneticPr fontId="3" type="noConversion"/>
  </si>
  <si>
    <t>네오★MGB</t>
  </si>
  <si>
    <t xml:space="preserve">화이트 </t>
    <phoneticPr fontId="3" type="noConversion"/>
  </si>
  <si>
    <t>플러스</t>
    <phoneticPr fontId="3" type="noConversion"/>
  </si>
  <si>
    <t>네오도화용지</t>
    <phoneticPr fontId="3" type="noConversion"/>
  </si>
  <si>
    <t>빅토리 (백색,미색)</t>
    <phoneticPr fontId="3" type="noConversion"/>
  </si>
  <si>
    <t>마카롱(백색)</t>
    <phoneticPr fontId="3" type="noConversion"/>
  </si>
  <si>
    <t>품목</t>
    <phoneticPr fontId="3" type="noConversion"/>
  </si>
  <si>
    <t>-</t>
  </si>
  <si>
    <t>색상 및 패턴</t>
    <phoneticPr fontId="3" type="noConversion"/>
  </si>
  <si>
    <t xml:space="preserve">평량 </t>
    <phoneticPr fontId="3" type="noConversion"/>
  </si>
  <si>
    <t>788*1090</t>
  </si>
  <si>
    <t>788*1090</t>
    <phoneticPr fontId="3" type="noConversion"/>
  </si>
  <si>
    <t>계란 백색 특백색
베이지 아이보리
연갈 연미 연보라
연분홍 연연두 연옥
연황 옥색 은회 쥐색
크림 하늘 호두
황갈 황색 회색</t>
    <phoneticPr fontId="3" type="noConversion"/>
  </si>
  <si>
    <t>레자크
A군</t>
    <phoneticPr fontId="3" type="noConversion"/>
  </si>
  <si>
    <t xml:space="preserve">백색 </t>
    <phoneticPr fontId="3" type="noConversion"/>
  </si>
  <si>
    <t>보라 은행 진갈
진황 진회 시엔트</t>
    <phoneticPr fontId="3" type="noConversion"/>
  </si>
  <si>
    <r>
      <t>레자크</t>
    </r>
    <r>
      <rPr>
        <b/>
        <sz val="11"/>
        <color theme="1"/>
        <rFont val="맑은 고딕"/>
        <family val="3"/>
        <charset val="129"/>
        <scheme val="minor"/>
      </rPr>
      <t xml:space="preserve"> 
B군</t>
    </r>
    <phoneticPr fontId="3" type="noConversion"/>
  </si>
  <si>
    <t>레자크
C군</t>
    <phoneticPr fontId="3" type="noConversion"/>
  </si>
  <si>
    <t>레자크 
D군</t>
    <phoneticPr fontId="3" type="noConversion"/>
  </si>
  <si>
    <t>주홍 진곤
청색 황금</t>
    <phoneticPr fontId="3" type="noConversion"/>
  </si>
  <si>
    <t>남색 오렌지 적색 진연두
진홍 진황토 초코렛 흑색 다크블루</t>
    <phoneticPr fontId="3" type="noConversion"/>
  </si>
  <si>
    <t>마매이드
A군</t>
    <phoneticPr fontId="3" type="noConversion"/>
  </si>
  <si>
    <t>대나무 물색 백합 벚꽃
복숭아 빙산 연보라 연분홍
연연두 연옥 연청 옥색
이끼 크림 코스모스 프렌치블루</t>
    <phoneticPr fontId="3" type="noConversion"/>
  </si>
  <si>
    <t>백색 아이보리</t>
    <phoneticPr fontId="3" type="noConversion"/>
  </si>
  <si>
    <t>마매이드
B군</t>
    <phoneticPr fontId="3" type="noConversion"/>
  </si>
  <si>
    <t>오렌지 청색 황색</t>
    <phoneticPr fontId="3" type="noConversion"/>
  </si>
  <si>
    <t>마매이드
C군</t>
    <phoneticPr fontId="3" type="noConversion"/>
  </si>
  <si>
    <t>밤색 보라 연두 주홍</t>
    <phoneticPr fontId="3" type="noConversion"/>
  </si>
  <si>
    <t>마매이드
D군</t>
    <phoneticPr fontId="3" type="noConversion"/>
  </si>
  <si>
    <t>연진곤 연진홍 흑색</t>
    <phoneticPr fontId="3" type="noConversion"/>
  </si>
  <si>
    <t>진홍 진곤</t>
    <phoneticPr fontId="3" type="noConversion"/>
  </si>
  <si>
    <t>레이드</t>
    <phoneticPr fontId="3" type="noConversion"/>
  </si>
  <si>
    <t>백색 연미 연분홍
연연두 연청 진주</t>
    <phoneticPr fontId="3" type="noConversion"/>
  </si>
  <si>
    <t>팬시카드
A군</t>
    <phoneticPr fontId="3" type="noConversion"/>
  </si>
  <si>
    <t>아이보리</t>
    <phoneticPr fontId="3" type="noConversion"/>
  </si>
  <si>
    <t>진곤</t>
    <phoneticPr fontId="3" type="noConversion"/>
  </si>
  <si>
    <t>팬시카드
D군</t>
    <phoneticPr fontId="3" type="noConversion"/>
  </si>
  <si>
    <t>마크</t>
    <phoneticPr fontId="3" type="noConversion"/>
  </si>
  <si>
    <t>에코하임</t>
    <phoneticPr fontId="3" type="noConversion"/>
  </si>
  <si>
    <t>앨범지</t>
    <phoneticPr fontId="3" type="noConversion"/>
  </si>
  <si>
    <t>미색 백색</t>
    <phoneticPr fontId="3" type="noConversion"/>
  </si>
  <si>
    <t>에코패키토</t>
    <phoneticPr fontId="3" type="noConversion"/>
  </si>
  <si>
    <t>SUGARRUSH
슈가러쉬</t>
    <phoneticPr fontId="3" type="noConversion"/>
  </si>
  <si>
    <t xml:space="preserve"> 딤플 A군</t>
    <phoneticPr fontId="3" type="noConversion"/>
  </si>
  <si>
    <t>스노우회이트 아이보리 내츄럴회이트
연청 연회 뉴트럴그레이</t>
    <phoneticPr fontId="3" type="noConversion"/>
  </si>
  <si>
    <t xml:space="preserve"> 딤플 B군</t>
    <phoneticPr fontId="3" type="noConversion"/>
  </si>
  <si>
    <t xml:space="preserve"> 딤플 C군</t>
    <phoneticPr fontId="3" type="noConversion"/>
  </si>
  <si>
    <t>노랑 카키</t>
    <phoneticPr fontId="3" type="noConversion"/>
  </si>
  <si>
    <t>진곤 흑색 프리미어레드</t>
    <phoneticPr fontId="3" type="noConversion"/>
  </si>
  <si>
    <t>밍크지 A군</t>
    <phoneticPr fontId="3" type="noConversion"/>
  </si>
  <si>
    <t>계란 라벤더 백색 백회
분홍 애쉬그레이 연보라 연분홍
연연두 연옥 연청 옥색
은회 크림 황록 황색
황회 회갈 회황 흰보라
샴페인로즈 몬테베르데 위터링블루
아이보리 시크러스옐로우</t>
    <phoneticPr fontId="3" type="noConversion"/>
  </si>
  <si>
    <t>밍크지 B군</t>
    <phoneticPr fontId="3" type="noConversion"/>
  </si>
  <si>
    <t>노른자 녹두 시멘트 연노랑 오렌지 
청색 파랑 해바라기 황매화</t>
    <phoneticPr fontId="3" type="noConversion"/>
  </si>
  <si>
    <t>밍크지 C군</t>
    <phoneticPr fontId="3" type="noConversion"/>
  </si>
  <si>
    <t>밤색 보라 에머랄드 연두 주홍 주황 청록 
청보라 청회 초록 황갈 황토 샤르트뢰즈 트로피칼코랄 
NEW 울트라바이올렛(주문)</t>
    <phoneticPr fontId="3" type="noConversion"/>
  </si>
  <si>
    <t>밍크지 D군</t>
    <phoneticPr fontId="3" type="noConversion"/>
  </si>
  <si>
    <t>남색 연군청 연지 자주 적색 진곤 
진청회 진홍 청적 차이나레드 커피 
마린 브리티쉬그린 NEW</t>
    <phoneticPr fontId="3" type="noConversion"/>
  </si>
  <si>
    <t>백회 연청 황색 회황
샴페인로즈 몬테베르데 위터링블루
아이보리 시크러스옐로우</t>
    <phoneticPr fontId="3" type="noConversion"/>
  </si>
  <si>
    <t>시멘트</t>
    <phoneticPr fontId="3" type="noConversion"/>
  </si>
  <si>
    <t>주황 샤르트뢰즈 트로피칼코랄 
NEW 울트라바이올렛(주문)</t>
    <phoneticPr fontId="3" type="noConversion"/>
  </si>
  <si>
    <t>연군청 차이나레드 커피 
마린 브리티쉬그린 NEW</t>
    <phoneticPr fontId="3" type="noConversion"/>
  </si>
  <si>
    <t>밍크지 특</t>
    <phoneticPr fontId="3" type="noConversion"/>
  </si>
  <si>
    <t>흑색</t>
    <phoneticPr fontId="3" type="noConversion"/>
  </si>
  <si>
    <t>쏠블랙</t>
    <phoneticPr fontId="3" type="noConversion"/>
  </si>
  <si>
    <t>밍크지 쏠블랙</t>
    <phoneticPr fontId="3" type="noConversion"/>
  </si>
  <si>
    <t>탄트</t>
    <phoneticPr fontId="3" type="noConversion"/>
  </si>
  <si>
    <t>연옥 연회 연분홍 아이보리 백색</t>
    <phoneticPr fontId="3" type="noConversion"/>
  </si>
  <si>
    <t>아이보리 백색</t>
  </si>
  <si>
    <t>노랑</t>
    <phoneticPr fontId="3" type="noConversion"/>
  </si>
  <si>
    <t>녹색</t>
    <phoneticPr fontId="3" type="noConversion"/>
  </si>
  <si>
    <t xml:space="preserve">진홍 </t>
    <phoneticPr fontId="3" type="noConversion"/>
  </si>
  <si>
    <t>색지</t>
    <phoneticPr fontId="3" type="noConversion"/>
  </si>
  <si>
    <t>분홍 연두 옥색 황색</t>
    <phoneticPr fontId="3" type="noConversion"/>
  </si>
  <si>
    <t>비스포크 쇼핑</t>
    <phoneticPr fontId="3" type="noConversion"/>
  </si>
  <si>
    <t>261 360</t>
  </si>
  <si>
    <t>788*1091</t>
    <phoneticPr fontId="3" type="noConversion"/>
  </si>
  <si>
    <t>636*939</t>
    <phoneticPr fontId="3" type="noConversion"/>
  </si>
  <si>
    <t>백색 
비스포크쇼핑 : 자연스러운 면감 
비스포크쇼핑(S)백색 : 부드러운(smooth) 면감</t>
    <phoneticPr fontId="3" type="noConversion"/>
  </si>
  <si>
    <t>165 170</t>
  </si>
  <si>
    <t>900*1200</t>
    <phoneticPr fontId="3" type="noConversion"/>
  </si>
  <si>
    <t>788 x 1091</t>
    <phoneticPr fontId="3" type="noConversion"/>
  </si>
  <si>
    <t>석영 오팔 은색</t>
    <phoneticPr fontId="3" type="noConversion"/>
  </si>
  <si>
    <t>세피아</t>
    <phoneticPr fontId="3" type="noConversion"/>
  </si>
  <si>
    <t>금색</t>
    <phoneticPr fontId="3" type="noConversion"/>
  </si>
  <si>
    <t>스타라이트 펄</t>
    <phoneticPr fontId="3" type="noConversion"/>
  </si>
  <si>
    <t>스타라이트 메탈</t>
    <phoneticPr fontId="3" type="noConversion"/>
  </si>
  <si>
    <t>다이아몬드</t>
    <phoneticPr fontId="3" type="noConversion"/>
  </si>
  <si>
    <t>브론즈 블루다이아몬드</t>
    <phoneticPr fontId="3" type="noConversion"/>
  </si>
  <si>
    <t>paperback30</t>
    <phoneticPr fontId="3" type="noConversion"/>
  </si>
  <si>
    <t>PAPERBACK30 0FELT : 
자연스러운 느낌의 비코팅 제품</t>
    <phoneticPr fontId="3" type="noConversion"/>
  </si>
  <si>
    <t>PAPERBACK30 C1S : 
우수한 인쇄감을 표현하기 위한 단면코팅제품</t>
    <phoneticPr fontId="3" type="noConversion"/>
  </si>
  <si>
    <t>sugarrush</t>
    <phoneticPr fontId="3" type="noConversion"/>
  </si>
  <si>
    <t>사탕수수를 사용한 친환경제품 (식품용 사용가능)</t>
    <phoneticPr fontId="3" type="noConversion"/>
  </si>
  <si>
    <t>그문드 문라이트</t>
    <phoneticPr fontId="3" type="noConversion"/>
  </si>
  <si>
    <t>1000*700</t>
    <phoneticPr fontId="3" type="noConversion"/>
  </si>
  <si>
    <t>화이트 글랜스</t>
    <phoneticPr fontId="3" type="noConversion"/>
  </si>
  <si>
    <t>700*1000</t>
    <phoneticPr fontId="3" type="noConversion"/>
  </si>
  <si>
    <t>블러쉬 글랜스
크림 글랜스</t>
    <phoneticPr fontId="3" type="noConversion"/>
  </si>
  <si>
    <t>덜 글랜스</t>
    <phoneticPr fontId="3" type="noConversion"/>
  </si>
  <si>
    <t>딥 글랜스
나이트 글랜스</t>
    <phoneticPr fontId="3" type="noConversion"/>
  </si>
  <si>
    <t>그문드 바우하우스</t>
    <phoneticPr fontId="3" type="noConversion"/>
  </si>
  <si>
    <t>720*1020</t>
    <phoneticPr fontId="3" type="noConversion"/>
  </si>
  <si>
    <t>블랙</t>
    <phoneticPr fontId="3" type="noConversion"/>
  </si>
  <si>
    <t>그문드 빈티지</t>
  </si>
  <si>
    <t>50 화이트</t>
    <phoneticPr fontId="3" type="noConversion"/>
  </si>
  <si>
    <t>06에토프 57스톤그레이 10블랙</t>
    <phoneticPr fontId="3" type="noConversion"/>
  </si>
  <si>
    <t>기타</t>
    <phoneticPr fontId="3" type="noConversion"/>
  </si>
  <si>
    <t>그문드 제로</t>
  </si>
  <si>
    <t>위트화이트</t>
    <phoneticPr fontId="3" type="noConversion"/>
  </si>
  <si>
    <t>위트 크림</t>
    <phoneticPr fontId="3" type="noConversion"/>
  </si>
  <si>
    <t>위트 베이지</t>
    <phoneticPr fontId="3" type="noConversion"/>
  </si>
  <si>
    <t>헴프 10%</t>
    <phoneticPr fontId="3" type="noConversion"/>
  </si>
  <si>
    <t>헴프 50%</t>
  </si>
  <si>
    <t>헴프 100%</t>
  </si>
  <si>
    <t>그문드 캔버스</t>
  </si>
  <si>
    <t>1020*700</t>
    <phoneticPr fontId="3" type="noConversion"/>
  </si>
  <si>
    <t>401//402</t>
    <phoneticPr fontId="3" type="noConversion"/>
  </si>
  <si>
    <t>그문드 트랜스패런트</t>
  </si>
  <si>
    <t>650*920</t>
    <phoneticPr fontId="3" type="noConversion"/>
  </si>
  <si>
    <t>그문드 펠트</t>
  </si>
  <si>
    <t>50 화이트 49크림</t>
    <phoneticPr fontId="3" type="noConversion"/>
  </si>
  <si>
    <t>23 라이트 그레이
84 베이지
93 멜란지 그레이</t>
    <phoneticPr fontId="3" type="noConversion"/>
  </si>
  <si>
    <t>87 다크 그레이
10 블랙</t>
    <phoneticPr fontId="3" type="noConversion"/>
  </si>
  <si>
    <t>54 레드 · 59 네이비</t>
    <phoneticPr fontId="3" type="noConversion"/>
  </si>
  <si>
    <t>노블리치</t>
    <phoneticPr fontId="3" type="noConversion"/>
  </si>
  <si>
    <t>NC 내추럴 화이트
(무염색)</t>
    <phoneticPr fontId="3" type="noConversion"/>
  </si>
  <si>
    <t>NB 내추럴 브라운
(무표백)</t>
    <phoneticPr fontId="3" type="noConversion"/>
  </si>
  <si>
    <t>680*1000</t>
    <phoneticPr fontId="3" type="noConversion"/>
  </si>
  <si>
    <t>메리노</t>
    <phoneticPr fontId="3" type="noConversion"/>
  </si>
  <si>
    <t>49 레더 화이트
07 레더 크림</t>
    <phoneticPr fontId="3" type="noConversion"/>
  </si>
  <si>
    <t>93 · 38 · 37 · 59 · 150</t>
    <phoneticPr fontId="3" type="noConversion"/>
  </si>
  <si>
    <t>10 태니지 블랙</t>
  </si>
  <si>
    <t>블랑 베이지</t>
  </si>
  <si>
    <t>블랑 크림</t>
    <phoneticPr fontId="3" type="noConversion"/>
  </si>
  <si>
    <t>베이지</t>
    <phoneticPr fontId="3" type="noConversion"/>
  </si>
  <si>
    <t>비</t>
    <phoneticPr fontId="3" type="noConversion"/>
  </si>
  <si>
    <t>화이트</t>
    <phoneticPr fontId="3" type="noConversion"/>
  </si>
  <si>
    <t>크림 사모아</t>
    <phoneticPr fontId="3" type="noConversion"/>
  </si>
  <si>
    <t>아키텍트</t>
    <phoneticPr fontId="3" type="noConversion"/>
  </si>
  <si>
    <t>엑스트라 레이드</t>
    <phoneticPr fontId="3" type="noConversion"/>
  </si>
  <si>
    <t>엑스트라 매트</t>
  </si>
  <si>
    <t>엑스트라 위브</t>
  </si>
  <si>
    <t>엑스트라 코튼</t>
  </si>
  <si>
    <t>코튼 화이트</t>
    <phoneticPr fontId="3" type="noConversion"/>
  </si>
  <si>
    <t>720*1000</t>
    <phoneticPr fontId="3" type="noConversion"/>
  </si>
  <si>
    <t>코튼 크림</t>
    <phoneticPr fontId="3" type="noConversion"/>
  </si>
  <si>
    <t>엑스트라 퓨어</t>
  </si>
  <si>
    <t>엑스트라 필</t>
  </si>
  <si>
    <t>오슬로</t>
    <phoneticPr fontId="3" type="noConversion"/>
  </si>
  <si>
    <t>750*1091</t>
    <phoneticPr fontId="3" type="noConversion"/>
  </si>
  <si>
    <t>A01 포쉐린 화이트</t>
    <phoneticPr fontId="3" type="noConversion"/>
  </si>
  <si>
    <t>크리스탈</t>
  </si>
  <si>
    <t>MW 미카도 화이트</t>
    <phoneticPr fontId="3" type="noConversion"/>
  </si>
  <si>
    <t>317 샌드골드 · 25 로즈골드
EG 유로골드 · RG 로얄골드</t>
    <phoneticPr fontId="3" type="noConversion"/>
  </si>
  <si>
    <t>312 미네랄</t>
  </si>
  <si>
    <t>VQ 바이올렛 쿼츠</t>
  </si>
  <si>
    <t>313 플래틴 · 314 폴라
316 파티나</t>
    <phoneticPr fontId="3" type="noConversion"/>
  </si>
  <si>
    <t>트루컬러</t>
    <phoneticPr fontId="3" type="noConversion"/>
  </si>
  <si>
    <t>401/402/452</t>
    <phoneticPr fontId="3" type="noConversion"/>
  </si>
  <si>
    <t>파스텔릭스</t>
    <phoneticPr fontId="3" type="noConversion"/>
  </si>
  <si>
    <t>소프트 파우더 · 리프레싱 민트
텐더 블루 · 젠틀 로즈</t>
    <phoneticPr fontId="3" type="noConversion"/>
  </si>
  <si>
    <t>페블</t>
  </si>
  <si>
    <t>50 러프 화이트
84 러프 베이지 · 85 웜 그레이</t>
    <phoneticPr fontId="3" type="noConversion"/>
  </si>
  <si>
    <t>50 러프 화이트 듀오 (양면)</t>
    <phoneticPr fontId="3" type="noConversion"/>
  </si>
  <si>
    <t>16 네이처 그린</t>
  </si>
  <si>
    <t>93 스톤 그레이</t>
    <phoneticPr fontId="3" type="noConversion"/>
  </si>
  <si>
    <t>하이디</t>
  </si>
  <si>
    <t>화이트 · 크림 · 크라프트 · 그레이</t>
    <phoneticPr fontId="3" type="noConversion"/>
  </si>
  <si>
    <t>헤리티지</t>
    <phoneticPr fontId="3" type="noConversion"/>
  </si>
  <si>
    <t>49 스노우 화이트</t>
    <phoneticPr fontId="3" type="noConversion"/>
  </si>
  <si>
    <t>71 파우더 핑크
PB 파우더 블루
PC 파우더 크림</t>
    <phoneticPr fontId="3" type="noConversion"/>
  </si>
  <si>
    <t>59 젠틀 네이비</t>
    <phoneticPr fontId="3" type="noConversion"/>
  </si>
  <si>
    <t>마노</t>
    <phoneticPr fontId="3" type="noConversion"/>
  </si>
  <si>
    <t>전색상</t>
    <phoneticPr fontId="3" type="noConversion"/>
  </si>
  <si>
    <t>센조</t>
    <phoneticPr fontId="3" type="noConversion"/>
  </si>
  <si>
    <t>쉬머</t>
    <phoneticPr fontId="3" type="noConversion"/>
  </si>
  <si>
    <t>스키버텍스</t>
    <phoneticPr fontId="3" type="noConversion"/>
  </si>
  <si>
    <t>실크터치</t>
    <phoneticPr fontId="3" type="noConversion"/>
  </si>
  <si>
    <t>카이바</t>
    <phoneticPr fontId="3" type="noConversion"/>
  </si>
  <si>
    <t>블랙//화이트</t>
    <phoneticPr fontId="3" type="noConversion"/>
  </si>
  <si>
    <t>토쉐</t>
  </si>
  <si>
    <t>660*1016</t>
    <phoneticPr fontId="3" type="noConversion"/>
  </si>
  <si>
    <t>화이트 · 라피스 · 블랙</t>
  </si>
  <si>
    <t>브라이트 화이트 · 기타</t>
  </si>
  <si>
    <t>펠락</t>
    <phoneticPr fontId="3" type="noConversion"/>
  </si>
  <si>
    <t>피어리</t>
    <phoneticPr fontId="3" type="noConversion"/>
  </si>
  <si>
    <t>데님</t>
    <phoneticPr fontId="3" type="noConversion"/>
  </si>
  <si>
    <t>0.55mm</t>
    <phoneticPr fontId="3" type="noConversion"/>
  </si>
  <si>
    <t>로베레</t>
    <phoneticPr fontId="3" type="noConversion"/>
  </si>
  <si>
    <t>0.65mm</t>
    <phoneticPr fontId="3" type="noConversion"/>
  </si>
  <si>
    <t>마제스틱</t>
    <phoneticPr fontId="3" type="noConversion"/>
  </si>
  <si>
    <t>0.60mm</t>
    <phoneticPr fontId="3" type="noConversion"/>
  </si>
  <si>
    <t>(A) B041 · B044 · D734 · NERO</t>
    <phoneticPr fontId="3" type="noConversion"/>
  </si>
  <si>
    <t>메모리</t>
    <phoneticPr fontId="3" type="noConversion"/>
  </si>
  <si>
    <t>0.75mm</t>
    <phoneticPr fontId="3" type="noConversion"/>
  </si>
  <si>
    <t>비벨라</t>
    <phoneticPr fontId="3" type="noConversion"/>
  </si>
  <si>
    <t>0.70mm</t>
    <phoneticPr fontId="3" type="noConversion"/>
  </si>
  <si>
    <t>(A) 4654 · 4708 · 4716 · NERO</t>
    <phoneticPr fontId="3" type="noConversion"/>
  </si>
  <si>
    <t>실루엣</t>
  </si>
  <si>
    <t>(A) NERO</t>
    <phoneticPr fontId="3" type="noConversion"/>
  </si>
  <si>
    <t>아세로</t>
    <phoneticPr fontId="3" type="noConversion"/>
  </si>
  <si>
    <t>유타</t>
    <phoneticPr fontId="3" type="noConversion"/>
  </si>
  <si>
    <t>카나파</t>
    <phoneticPr fontId="3" type="noConversion"/>
  </si>
  <si>
    <t>케이투</t>
    <phoneticPr fontId="3" type="noConversion"/>
  </si>
  <si>
    <t>코듀로이</t>
    <phoneticPr fontId="3" type="noConversion"/>
  </si>
  <si>
    <t>코르크</t>
    <phoneticPr fontId="3" type="noConversion"/>
  </si>
  <si>
    <t>트위드</t>
    <phoneticPr fontId="3" type="noConversion"/>
  </si>
  <si>
    <t>트윌</t>
    <phoneticPr fontId="3" type="noConversion"/>
  </si>
  <si>
    <t>파리지나</t>
    <phoneticPr fontId="3" type="noConversion"/>
  </si>
  <si>
    <t>포르첼</t>
    <phoneticPr fontId="3" type="noConversion"/>
  </si>
  <si>
    <t>포플린</t>
    <phoneticPr fontId="3" type="noConversion"/>
  </si>
  <si>
    <t>플라토</t>
    <phoneticPr fontId="3" type="noConversion"/>
  </si>
  <si>
    <t>듀오</t>
    <phoneticPr fontId="3" type="noConversion"/>
  </si>
  <si>
    <t>0.26mm</t>
    <phoneticPr fontId="3" type="noConversion"/>
  </si>
  <si>
    <t>레코드</t>
    <phoneticPr fontId="3" type="noConversion"/>
  </si>
  <si>
    <r>
      <t xml:space="preserve">전색상 </t>
    </r>
    <r>
      <rPr>
        <b/>
        <sz val="11"/>
        <color theme="1"/>
        <rFont val="맑은 고딕"/>
        <family val="3"/>
        <charset val="129"/>
        <scheme val="minor"/>
      </rPr>
      <t>재고소진 후 단종</t>
    </r>
    <phoneticPr fontId="3" type="noConversion"/>
  </si>
  <si>
    <r>
      <t xml:space="preserve">전색상
(116 라군 품절) </t>
    </r>
    <r>
      <rPr>
        <b/>
        <sz val="11"/>
        <color theme="1"/>
        <rFont val="맑은 고딕"/>
        <family val="3"/>
        <charset val="129"/>
        <scheme val="minor"/>
      </rPr>
      <t>재고소진 후 단종</t>
    </r>
    <phoneticPr fontId="3" type="noConversion"/>
  </si>
  <si>
    <t>리노</t>
    <phoneticPr fontId="3" type="noConversion"/>
  </si>
  <si>
    <t>0.25mm</t>
    <phoneticPr fontId="3" type="noConversion"/>
  </si>
  <si>
    <t>0.30mm</t>
    <phoneticPr fontId="3" type="noConversion"/>
  </si>
  <si>
    <t>0.21mm</t>
    <phoneticPr fontId="3" type="noConversion"/>
  </si>
  <si>
    <t>펭귄
(천연 코튼) 재고소진 후 단종</t>
    <phoneticPr fontId="3" type="noConversion"/>
  </si>
  <si>
    <t>아이리스</t>
  </si>
  <si>
    <t>670*1000</t>
    <phoneticPr fontId="3" type="noConversion"/>
  </si>
  <si>
    <t>0.27mm</t>
    <phoneticPr fontId="3" type="noConversion"/>
  </si>
  <si>
    <t>제뉴인 코르크</t>
    <phoneticPr fontId="3" type="noConversion"/>
  </si>
  <si>
    <t>(A) 801 · 806 · 830
 재고소진 후 단종</t>
    <phoneticPr fontId="3" type="noConversion"/>
  </si>
  <si>
    <t>105 스탠다드 · 104 마블</t>
    <phoneticPr fontId="3" type="noConversion"/>
  </si>
  <si>
    <t>0.80mm</t>
    <phoneticPr fontId="3" type="noConversion"/>
  </si>
  <si>
    <t>에스카 보드</t>
    <phoneticPr fontId="3" type="noConversion"/>
  </si>
  <si>
    <t>1091*788</t>
    <phoneticPr fontId="3" type="noConversion"/>
  </si>
  <si>
    <t>675 (1.00 mm)</t>
  </si>
  <si>
    <t>880 (1.40 mm)</t>
  </si>
  <si>
    <t>1,105 (1.75 mm)</t>
  </si>
  <si>
    <t>1,260 (2.00 mm)</t>
  </si>
  <si>
    <t>1,575 (2.50 mm)</t>
  </si>
  <si>
    <t>1,890 (3.00 mm)</t>
  </si>
  <si>
    <t>975 (1.50 mm)</t>
  </si>
  <si>
    <t xml:space="preserve">그레이 </t>
    <phoneticPr fontId="3" type="noConversion"/>
  </si>
  <si>
    <t>듀오 화이트</t>
    <phoneticPr fontId="3" type="noConversion"/>
  </si>
  <si>
    <t>에스카 컬러</t>
  </si>
  <si>
    <t>750*1050</t>
    <phoneticPr fontId="3" type="noConversion"/>
  </si>
  <si>
    <t>715 (1.00 mm)</t>
  </si>
  <si>
    <t>1,015 (1.50 mm)</t>
  </si>
  <si>
    <t>1,370 (2.00 mm)</t>
  </si>
  <si>
    <t>1,370 (2.00 rnm)</t>
  </si>
  <si>
    <t>850 (1.50 mm)</t>
  </si>
  <si>
    <t>에스카 퍼즐</t>
  </si>
  <si>
    <t>1,000 (1.50 mm)</t>
  </si>
  <si>
    <t>1,165 (1.75 mm)</t>
  </si>
  <si>
    <t>1,265 (1.90 mm)</t>
  </si>
  <si>
    <t>블루</t>
    <phoneticPr fontId="3" type="noConversion"/>
  </si>
  <si>
    <t>아틀리에
(핸드메이드)</t>
    <phoneticPr fontId="3" type="noConversion"/>
  </si>
  <si>
    <t>90x 125 mm (4 BAR 규격)</t>
  </si>
  <si>
    <t>105x 143 mm (A6 규격)</t>
  </si>
  <si>
    <t>125x 180 mm (5" x7" 규격)</t>
  </si>
  <si>
    <t>58x85 mm (명함 규격)</t>
    <phoneticPr fontId="3" type="noConversion"/>
  </si>
  <si>
    <t>장당 2800</t>
    <phoneticPr fontId="3" type="noConversion"/>
  </si>
  <si>
    <t>에코플랜</t>
  </si>
  <si>
    <t>코티드 화이트</t>
  </si>
  <si>
    <t>787*1092</t>
    <phoneticPr fontId="3" type="noConversion"/>
  </si>
  <si>
    <t>엑스트라 화이트</t>
    <phoneticPr fontId="3" type="noConversion"/>
  </si>
  <si>
    <t>인스퍼M스무드</t>
    <phoneticPr fontId="3" type="noConversion"/>
  </si>
  <si>
    <t>인스퍼 M에그쉘</t>
    <phoneticPr fontId="3" type="noConversion"/>
  </si>
  <si>
    <t>엑스트라 화이트,백색</t>
    <phoneticPr fontId="3" type="noConversion"/>
  </si>
  <si>
    <t>인스퍼 에코</t>
    <phoneticPr fontId="3" type="noConversion"/>
  </si>
  <si>
    <t>인스퍼 M러프스타</t>
    <phoneticPr fontId="3" type="noConversion"/>
  </si>
  <si>
    <t>인스퍼 M에그쉘팩</t>
    <phoneticPr fontId="3" type="noConversion"/>
  </si>
  <si>
    <t>인스퍼 M에그쉘팩 에코</t>
    <phoneticPr fontId="3" type="noConversion"/>
  </si>
  <si>
    <t>연노랑,연분홍,연연두,연옥</t>
    <phoneticPr fontId="3" type="noConversion"/>
  </si>
  <si>
    <t>분홍색, 연두색, 옥색, 황색</t>
  </si>
  <si>
    <t>엑스트라 화이트, 굴색, 금발색, 노랑색, 뉴계란색,
뉴크림색, 라임옐로우, 로사베이지, 모래색,
민들레색. 밍크색. 백색. 백옥색. 벚꽃색. 분홍색
아주르블루, 연두색, 연미색. 연보라색. 연청색.
옥색, 우유색, 크림색, 플라밍고핑크. 회색</t>
    <phoneticPr fontId="3" type="noConversion"/>
  </si>
  <si>
    <t>인스퍼 매직칼라 A군</t>
    <phoneticPr fontId="3" type="noConversion"/>
  </si>
  <si>
    <t>인스퍼 매직칼라  B군</t>
    <phoneticPr fontId="3" type="noConversion"/>
  </si>
  <si>
    <t>노른자색, 녹두색. 뉴녹두책. 뉴밤책. 뉴황갈책.
라벤더, 라일락, 라임, 시엔트. 참외색</t>
    <phoneticPr fontId="3" type="noConversion"/>
  </si>
  <si>
    <t>인스퍼 매직칼라 C군</t>
    <phoneticPr fontId="3" type="noConversion"/>
  </si>
  <si>
    <t>그레이프, 뉴주홍색. 뉴청록. 다크초콜렛.
리치네이비. 솔잎색. 스모키그린. 슬레이트를루.
썬플라위, 오렌지, 올드커퍼. 주홍색. 주황색.
차콜, 초록색, 코랄오렌지, 폴라리스블루,
풋사과색. 황단색.</t>
    <phoneticPr fontId="3" type="noConversion"/>
  </si>
  <si>
    <t>인스퍼 매직칼라 D군</t>
    <phoneticPr fontId="3" type="noConversion"/>
  </si>
  <si>
    <t>녹청색. 다크그레이프. 다크플럼. 불루그로토.
사이엔블루. 세피아브라운, 스칼렛, 연녹청책,
와인색. 진한녹색. 카멜리아로즈, 파랑색,
파인그로브. 프러시안를루, 피색, 헤이그를루,
헤일네이비</t>
    <phoneticPr fontId="3" type="noConversion"/>
  </si>
  <si>
    <t>인스퍼 매직칼라 E군</t>
    <phoneticPr fontId="3" type="noConversion"/>
  </si>
  <si>
    <t>클래식 블랙</t>
    <phoneticPr fontId="3" type="noConversion"/>
  </si>
  <si>
    <t>인스퍼 매직쇼핑</t>
    <phoneticPr fontId="3" type="noConversion"/>
  </si>
  <si>
    <t>H-백색. 연미. 흰색</t>
    <phoneticPr fontId="3" type="noConversion"/>
  </si>
  <si>
    <t>인스퍼 페스티발 A군</t>
    <phoneticPr fontId="3" type="noConversion"/>
  </si>
  <si>
    <t>H-백색. 건빵색. 계란색. 굴색. 금발색.
노랑색, 모래책, 밍크색, 백색, 백옥색,
벚꽃색. 베이지색, 벼책. 분홍색. 연갈색.
연두색. 연미책. 연보라색, 연분홍색.
연연두색, 연황색, 옥색. 우유색. 청회책.
크림색, 하늘색. 회색</t>
    <phoneticPr fontId="3" type="noConversion"/>
  </si>
  <si>
    <t>인스퍼 페스티발 B군</t>
    <phoneticPr fontId="3" type="noConversion"/>
  </si>
  <si>
    <t>노른자색, 녹두색. 보라색</t>
    <phoneticPr fontId="3" type="noConversion"/>
  </si>
  <si>
    <t>인스퍼 페스티발 C군</t>
    <phoneticPr fontId="3" type="noConversion"/>
  </si>
  <si>
    <t>로스베이지, 솔잎색, 슬레이트불루.
주홍색, 주황색, 초록색,
풋사과색. 황금색, 황단색</t>
    <phoneticPr fontId="3" type="noConversion"/>
  </si>
  <si>
    <t>인스퍼 페스티발 D군</t>
    <phoneticPr fontId="3" type="noConversion"/>
  </si>
  <si>
    <t>검정색. 남색, 녹정색, 싸이엔를루,
오렌지색, 진연두색, 진홍색, 피색,
클래식블랙</t>
    <phoneticPr fontId="3" type="noConversion"/>
  </si>
  <si>
    <t>인스퍼 매직매칭 A군</t>
    <phoneticPr fontId="3" type="noConversion"/>
  </si>
  <si>
    <t>H-백색, 노랑색, 미색, 아이보리, 연갈색,
연미색, 연보라색, 연분홍색, 연연두색,
연옥색 연회색 크림색 회색</t>
    <phoneticPr fontId="3" type="noConversion"/>
  </si>
  <si>
    <t>H-백색. 미색. 연미색</t>
    <phoneticPr fontId="3" type="noConversion"/>
  </si>
  <si>
    <t>미색,백색</t>
    <phoneticPr fontId="3" type="noConversion"/>
  </si>
  <si>
    <t>인스퍼 매직매칭 B군</t>
    <phoneticPr fontId="3" type="noConversion"/>
  </si>
  <si>
    <t>녹청색, 보라색, 연두색, 오렌지색
주홍색, 참외색, 정척색, 코스모스색</t>
    <phoneticPr fontId="3" type="noConversion"/>
  </si>
  <si>
    <t>인스퍼 매직매칭 C군</t>
    <phoneticPr fontId="3" type="noConversion"/>
  </si>
  <si>
    <t>갈색, 남색, 빨강색. 자주색. 초록색</t>
    <phoneticPr fontId="3" type="noConversion"/>
  </si>
  <si>
    <t>인스퍼 매직매칭 D군</t>
    <phoneticPr fontId="3" type="noConversion"/>
  </si>
  <si>
    <t>검정색, 진곤색. 진한남색, 진홍색</t>
  </si>
  <si>
    <t>H-백색, 노랑색, 미색, 백색, 아이보리색,
연갈색, 연미색, 연보라색, 연분홍색,
연연두색, 연옥색. 연청색, 연회색,
옥색, 크림색. 회색</t>
    <phoneticPr fontId="3" type="noConversion"/>
  </si>
  <si>
    <t>인스퍼 매직터치 A군</t>
    <phoneticPr fontId="3" type="noConversion"/>
  </si>
  <si>
    <t>인스퍼 매직터치 B군</t>
    <phoneticPr fontId="3" type="noConversion"/>
  </si>
  <si>
    <t>녹청색, 보라색, 연두색, 오렌지색
주홍색, 참외색, 청적색, 코스모스색</t>
    <phoneticPr fontId="3" type="noConversion"/>
  </si>
  <si>
    <t>인스퍼 매직터치 C군</t>
    <phoneticPr fontId="3" type="noConversion"/>
  </si>
  <si>
    <t>갈색, 남색, 빨강색. 자주색,
청회색, 초록색</t>
    <phoneticPr fontId="3" type="noConversion"/>
  </si>
  <si>
    <t>인스퍼 매직터치 D군</t>
    <phoneticPr fontId="3" type="noConversion"/>
  </si>
  <si>
    <t>검정색, 진곤색, 진한남색,
진홍색, 청록색</t>
    <phoneticPr fontId="3" type="noConversion"/>
  </si>
  <si>
    <t>인스퍼 매직펠트 A군</t>
    <phoneticPr fontId="3" type="noConversion"/>
  </si>
  <si>
    <t>H-백색, 노랑색, 아이보리색,
연회색. 회색</t>
    <phoneticPr fontId="3" type="noConversion"/>
  </si>
  <si>
    <t>인스퍼 매직펠트 B군</t>
    <phoneticPr fontId="3" type="noConversion"/>
  </si>
  <si>
    <t>고동, 녹청, 보라, 오렌지, 참외</t>
    <phoneticPr fontId="3" type="noConversion"/>
  </si>
  <si>
    <t>인스퍼 매직펠트 C군</t>
    <phoneticPr fontId="3" type="noConversion"/>
  </si>
  <si>
    <t>빨강,초록</t>
    <phoneticPr fontId="3" type="noConversion"/>
  </si>
  <si>
    <t>인스퍼 매직펠트 D군</t>
    <phoneticPr fontId="3" type="noConversion"/>
  </si>
  <si>
    <t>파랑색, 진브라운, 진한남색. 검정색</t>
    <phoneticPr fontId="3" type="noConversion"/>
  </si>
  <si>
    <t>인스퍼 매직쉐도우</t>
    <phoneticPr fontId="3" type="noConversion"/>
  </si>
  <si>
    <t>연미색</t>
    <phoneticPr fontId="3" type="noConversion"/>
  </si>
  <si>
    <t>미색,백색,연미색,연청색,진주색</t>
    <phoneticPr fontId="3" type="noConversion"/>
  </si>
  <si>
    <t>인스퍼 오로 A  군</t>
    <phoneticPr fontId="3" type="noConversion"/>
  </si>
  <si>
    <t>석영, 슈가불루, 슈가핑크, 연옥, 연한금색
연황색, 연회색, 오팔색. 은색, 크림색</t>
    <phoneticPr fontId="3" type="noConversion"/>
  </si>
  <si>
    <t>석영, 연회색, 오팔, 은색</t>
    <phoneticPr fontId="3" type="noConversion"/>
  </si>
  <si>
    <t>인스퍼 오로 B군</t>
    <phoneticPr fontId="3" type="noConversion"/>
  </si>
  <si>
    <t>깜깜한방밤색, 루비색, 사파이어색,
소프트파우더, 아이스골드, 화이트골드</t>
    <phoneticPr fontId="3" type="noConversion"/>
  </si>
  <si>
    <t>소프트파우더, 아이스골드, 화이트골드</t>
    <phoneticPr fontId="3" type="noConversion"/>
  </si>
  <si>
    <t>인스퍼 오로 C군</t>
    <phoneticPr fontId="3" type="noConversion"/>
  </si>
  <si>
    <t>공작석색, 구리색, 금색, 청동색</t>
    <phoneticPr fontId="3" type="noConversion"/>
  </si>
  <si>
    <t>골드, 구리색, 밝은군청색, 청동색</t>
    <phoneticPr fontId="3" type="noConversion"/>
  </si>
  <si>
    <t>인스퍼 오로 D군</t>
    <phoneticPr fontId="3" type="noConversion"/>
  </si>
  <si>
    <t>군청색, 루비레드, 새틴블랙, 황금색</t>
    <phoneticPr fontId="3" type="noConversion"/>
  </si>
  <si>
    <t>인스퍼 매직실크(단면) A군</t>
    <phoneticPr fontId="3" type="noConversion"/>
  </si>
  <si>
    <t>H-백, 아이보리</t>
  </si>
  <si>
    <t>검정, 네이비, 레드, 클래식블랙</t>
    <phoneticPr fontId="3" type="noConversion"/>
  </si>
  <si>
    <t>인스퍼 매직실크(단면) D군</t>
    <phoneticPr fontId="3" type="noConversion"/>
  </si>
  <si>
    <t>인스퍼 매직실크(양면) A군</t>
    <phoneticPr fontId="3" type="noConversion"/>
  </si>
  <si>
    <t>인스퍼 매직실크(양면) D군</t>
    <phoneticPr fontId="3" type="noConversion"/>
  </si>
  <si>
    <t>검정, 네이비, 레드</t>
    <phoneticPr fontId="3" type="noConversion"/>
  </si>
  <si>
    <t>인스퍼 시그니처 A군</t>
    <phoneticPr fontId="3" type="noConversion"/>
  </si>
  <si>
    <t>그라스그린, 로즈쿼츠 로즈핑크,
미스트, 크림, 펄, 페일그레이,
허브그린. 화이트,</t>
    <phoneticPr fontId="3" type="noConversion"/>
  </si>
  <si>
    <t>인스퍼 시그니처 B군</t>
    <phoneticPr fontId="3" type="noConversion"/>
  </si>
  <si>
    <t>그레이,올리브</t>
    <phoneticPr fontId="3" type="noConversion"/>
  </si>
  <si>
    <t>인스퍼 시그니처 C군</t>
    <phoneticPr fontId="3" type="noConversion"/>
  </si>
  <si>
    <t>브라이트레드, 세레니티. 썬플라워,
울트라마린, 카키, 코랄</t>
    <phoneticPr fontId="3" type="noConversion"/>
  </si>
  <si>
    <t>인스퍼 시그니처 D군</t>
    <phoneticPr fontId="3" type="noConversion"/>
  </si>
  <si>
    <t>바이올렛,코발트</t>
    <phoneticPr fontId="3" type="noConversion"/>
  </si>
  <si>
    <t>인스퍼 시그니처 E군</t>
    <phoneticPr fontId="3" type="noConversion"/>
  </si>
  <si>
    <t>딥블랙</t>
    <phoneticPr fontId="3" type="noConversion"/>
  </si>
  <si>
    <t>인스퍼 시그니처 에코 A군</t>
    <phoneticPr fontId="3" type="noConversion"/>
  </si>
  <si>
    <t>인스퍼 시그니처 에코30 B군</t>
    <phoneticPr fontId="3" type="noConversion"/>
  </si>
  <si>
    <t>인스퍼 시그니처 에코30 C군</t>
    <phoneticPr fontId="3" type="noConversion"/>
  </si>
  <si>
    <t>인스퍼 시그니처 에코30 A군</t>
    <phoneticPr fontId="3" type="noConversion"/>
  </si>
  <si>
    <t>크림,펄,페일그레이</t>
    <phoneticPr fontId="3" type="noConversion"/>
  </si>
  <si>
    <t>그레이</t>
    <phoneticPr fontId="3" type="noConversion"/>
  </si>
  <si>
    <t>코발트</t>
    <phoneticPr fontId="3" type="noConversion"/>
  </si>
  <si>
    <t>인스퍼 파일지</t>
    <phoneticPr fontId="3" type="noConversion"/>
  </si>
  <si>
    <t>황색</t>
    <phoneticPr fontId="3" type="noConversion"/>
  </si>
  <si>
    <t>인스퍼 앨범용지 A군</t>
    <phoneticPr fontId="3" type="noConversion"/>
  </si>
  <si>
    <t>황단</t>
    <phoneticPr fontId="3" type="noConversion"/>
  </si>
  <si>
    <t>인스퍼 앨범용지 C군</t>
    <phoneticPr fontId="3" type="noConversion"/>
  </si>
  <si>
    <t>인스퍼 매직패브릭 A군</t>
    <phoneticPr fontId="3" type="noConversion"/>
  </si>
  <si>
    <t>H-백색, 금발색, 백색,아이보리색</t>
    <phoneticPr fontId="3" type="noConversion"/>
  </si>
  <si>
    <t>인스퍼 매직패브릭 C군</t>
    <phoneticPr fontId="3" type="noConversion"/>
  </si>
  <si>
    <t>슬레이트블루</t>
    <phoneticPr fontId="3" type="noConversion"/>
  </si>
  <si>
    <t>인스퍼 매직패브릭 D군</t>
    <phoneticPr fontId="3" type="noConversion"/>
  </si>
  <si>
    <t>검정색. 진곤색, 진한밤,
체리, 피색, 클래식블랙</t>
    <phoneticPr fontId="3" type="noConversion"/>
  </si>
  <si>
    <t>인스퍼 매직니트 A군</t>
    <phoneticPr fontId="3" type="noConversion"/>
  </si>
  <si>
    <t>H-백색, 아이보리색,연회색,회색</t>
    <phoneticPr fontId="3" type="noConversion"/>
  </si>
  <si>
    <t>인스퍼 매직니트 C군</t>
    <phoneticPr fontId="3" type="noConversion"/>
  </si>
  <si>
    <t>주홍색</t>
    <phoneticPr fontId="3" type="noConversion"/>
  </si>
  <si>
    <t>인스퍼 매직니트 D군</t>
    <phoneticPr fontId="3" type="noConversion"/>
  </si>
  <si>
    <t>검정색,클래식블랙</t>
    <phoneticPr fontId="3" type="noConversion"/>
  </si>
  <si>
    <t>인스퍼 매직한글</t>
    <phoneticPr fontId="3" type="noConversion"/>
  </si>
  <si>
    <t>인스퍼 매직엠보 A군</t>
    <phoneticPr fontId="3" type="noConversion"/>
  </si>
  <si>
    <t>H-백색, 백색, 베이지,
아이보리, 연미색, 우유색,
회색</t>
    <phoneticPr fontId="3" type="noConversion"/>
  </si>
  <si>
    <t>인스퍼 매직엠보 D군</t>
    <phoneticPr fontId="3" type="noConversion"/>
  </si>
  <si>
    <t>주홍, 진곤색, 진한밤색,피색</t>
    <phoneticPr fontId="3" type="noConversion"/>
  </si>
  <si>
    <t>마카롱(미색)</t>
    <phoneticPr fontId="3" type="noConversion"/>
  </si>
  <si>
    <t>인스퍼 매직엠보 E군</t>
    <phoneticPr fontId="3" type="noConversion"/>
  </si>
  <si>
    <t>인스퍼 아르테바크 A군</t>
    <phoneticPr fontId="3" type="noConversion"/>
  </si>
  <si>
    <t>H-백색, 백색, 아이보리색,연회색</t>
    <phoneticPr fontId="3" type="noConversion"/>
  </si>
  <si>
    <t>진한밤,검정색,클래식블랙</t>
    <phoneticPr fontId="3" type="noConversion"/>
  </si>
  <si>
    <t>인스퍼 아르테바크 D군</t>
    <phoneticPr fontId="3" type="noConversion"/>
  </si>
  <si>
    <t>인스퍼 매직콤마</t>
    <phoneticPr fontId="3" type="noConversion"/>
  </si>
  <si>
    <t>백색,베이지색,아이보리색</t>
    <phoneticPr fontId="3" type="noConversion"/>
  </si>
  <si>
    <t>인스퍼 매직코튼</t>
    <phoneticPr fontId="3" type="noConversion"/>
  </si>
  <si>
    <t>백색,백옥색,베이지색,연미색,연옥색</t>
    <phoneticPr fontId="3" type="noConversion"/>
  </si>
  <si>
    <t>인스퍼 알로에지</t>
    <phoneticPr fontId="3" type="noConversion"/>
  </si>
  <si>
    <t>인스퍼 버드나무지</t>
    <phoneticPr fontId="3" type="noConversion"/>
  </si>
  <si>
    <t>인스퍼 녹차지</t>
    <phoneticPr fontId="3" type="noConversion"/>
  </si>
  <si>
    <t>인스퍼 내추럴</t>
    <phoneticPr fontId="3" type="noConversion"/>
  </si>
  <si>
    <t>샌드베이지</t>
    <phoneticPr fontId="3" type="noConversion"/>
  </si>
  <si>
    <t>인스퍼 매직엠보 코팅(글로스,매트) A군</t>
    <phoneticPr fontId="3" type="noConversion"/>
  </si>
  <si>
    <t>백색, H-백색, , 베이지,
아이보리, 연미색, 우유색,
회색</t>
    <phoneticPr fontId="3" type="noConversion"/>
  </si>
  <si>
    <t>인스퍼 매직엠보 코팅(글로스,매트) C군</t>
    <phoneticPr fontId="3" type="noConversion"/>
  </si>
  <si>
    <t>인스퍼 매직엠보 코팅(글로스,매트) D군</t>
    <phoneticPr fontId="3" type="noConversion"/>
  </si>
  <si>
    <t>진곤색, 주홍, 피색
진한밤색, 초코브라운</t>
    <phoneticPr fontId="3" type="noConversion"/>
  </si>
  <si>
    <t>인스퍼 매직엠보 코팅(글로스,매트) E군</t>
    <phoneticPr fontId="3" type="noConversion"/>
  </si>
  <si>
    <t>검정색, 클래식블랙</t>
    <phoneticPr fontId="3" type="noConversion"/>
  </si>
  <si>
    <t>인스퍼 매직엠보 러프</t>
    <phoneticPr fontId="3" type="noConversion"/>
  </si>
  <si>
    <t>엑스트라화이트</t>
    <phoneticPr fontId="3" type="noConversion"/>
  </si>
  <si>
    <t>로얄아이보리(한솔 AB)</t>
    <phoneticPr fontId="3" type="noConversion"/>
  </si>
  <si>
    <t>재고확인 꼭 해야함</t>
    <phoneticPr fontId="3" type="noConversion"/>
  </si>
  <si>
    <t>아이보리 한솔꺼</t>
    <phoneticPr fontId="3" type="noConversion"/>
  </si>
  <si>
    <t>SC 마닐라 한솔꺼</t>
    <phoneticPr fontId="3" type="noConversion"/>
  </si>
  <si>
    <t>두께</t>
    <phoneticPr fontId="3" type="noConversion"/>
  </si>
  <si>
    <t>인스퍼M러프 (몽블랑)</t>
    <phoneticPr fontId="3" type="noConversion"/>
  </si>
  <si>
    <t>알펜(프리메라)</t>
    <phoneticPr fontId="4" type="noConversion"/>
  </si>
  <si>
    <t>1370*100M</t>
    <phoneticPr fontId="3" type="noConversion"/>
  </si>
  <si>
    <t>롤당 1,850,000</t>
    <phoneticPr fontId="3" type="noConversion"/>
  </si>
  <si>
    <t>1400*60M</t>
    <phoneticPr fontId="3" type="noConversion"/>
  </si>
  <si>
    <t>롤당 870,000</t>
    <phoneticPr fontId="3" type="noConversion"/>
  </si>
  <si>
    <t>1400*50M</t>
    <phoneticPr fontId="3" type="noConversion"/>
  </si>
  <si>
    <t>롤당 850,000</t>
    <phoneticPr fontId="3" type="noConversion"/>
  </si>
  <si>
    <t>롤당 950,000</t>
    <phoneticPr fontId="3" type="noConversion"/>
  </si>
  <si>
    <t>1350*50M</t>
    <phoneticPr fontId="3" type="noConversion"/>
  </si>
  <si>
    <t>1000*50M</t>
    <phoneticPr fontId="3" type="noConversion"/>
  </si>
  <si>
    <t>롤당 650,000</t>
    <phoneticPr fontId="3" type="noConversion"/>
  </si>
  <si>
    <t>롤당 475,000</t>
    <phoneticPr fontId="3" type="noConversion"/>
  </si>
  <si>
    <t>롤당 750,000</t>
    <phoneticPr fontId="3" type="noConversion"/>
  </si>
  <si>
    <t>롤당 550,000</t>
    <phoneticPr fontId="3" type="noConversion"/>
  </si>
  <si>
    <t>재고소진 후 단종</t>
    <phoneticPr fontId="3" type="noConversion"/>
  </si>
  <si>
    <t>920*650</t>
    <phoneticPr fontId="3" type="noConversion"/>
  </si>
  <si>
    <t>샤이닐 블랙</t>
    <phoneticPr fontId="3" type="noConversion"/>
  </si>
  <si>
    <t>친환경교과서</t>
    <phoneticPr fontId="3" type="noConversion"/>
  </si>
  <si>
    <t>드림매트S (미유)</t>
    <phoneticPr fontId="3" type="noConversion"/>
  </si>
  <si>
    <t>뉴드림지S(백유)</t>
    <phoneticPr fontId="3" type="noConversion"/>
  </si>
  <si>
    <t>G-매트S</t>
    <phoneticPr fontId="3" type="noConversion"/>
  </si>
  <si>
    <t>에듀지</t>
    <phoneticPr fontId="3" type="noConversion"/>
  </si>
  <si>
    <t>스마트S</t>
    <phoneticPr fontId="3" type="noConversion"/>
  </si>
  <si>
    <t>친환경백상지(백유)</t>
    <phoneticPr fontId="3" type="noConversion"/>
  </si>
  <si>
    <t>친환경백상지(미유)</t>
    <phoneticPr fontId="3" type="noConversion"/>
  </si>
  <si>
    <t>친환경복사용지</t>
    <phoneticPr fontId="3" type="noConversion"/>
  </si>
  <si>
    <t>E—Light
(Green—Light)이라이트 그린라이트</t>
    <phoneticPr fontId="3" type="noConversion"/>
  </si>
  <si>
    <t>Green—Light 
그린라이트</t>
    <phoneticPr fontId="3" type="noConversion"/>
  </si>
  <si>
    <t>W—Light</t>
    <phoneticPr fontId="3" type="noConversion"/>
  </si>
  <si>
    <t>Manual(S) 매뉴얼</t>
    <phoneticPr fontId="3" type="noConversion"/>
  </si>
  <si>
    <t>에코라이트</t>
    <phoneticPr fontId="3" type="noConversion"/>
  </si>
  <si>
    <t>중질지(중질지S)</t>
    <phoneticPr fontId="3" type="noConversion"/>
  </si>
  <si>
    <t>L—Light</t>
    <phoneticPr fontId="3" type="noConversion"/>
  </si>
  <si>
    <t>만화용지</t>
    <phoneticPr fontId="3" type="noConversion"/>
  </si>
  <si>
    <t>중질만화S</t>
    <phoneticPr fontId="3" type="noConversion"/>
  </si>
  <si>
    <t>경량인쇄(S,R)</t>
    <phoneticPr fontId="3" type="noConversion"/>
  </si>
  <si>
    <t>경량인쇄(M)</t>
    <phoneticPr fontId="3" type="noConversion"/>
  </si>
  <si>
    <t>pan—Brite</t>
    <phoneticPr fontId="3" type="noConversion"/>
  </si>
  <si>
    <t>에코클래스(크라프트)</t>
    <phoneticPr fontId="3" type="noConversion"/>
  </si>
  <si>
    <t>브리에</t>
  </si>
  <si>
    <t>뉴클래식 백색</t>
    <phoneticPr fontId="3" type="noConversion"/>
  </si>
  <si>
    <t>뉴클래식 미색</t>
    <phoneticPr fontId="3" type="noConversion"/>
  </si>
  <si>
    <t>캠퍼스지(S) 미색</t>
    <phoneticPr fontId="3" type="noConversion"/>
  </si>
  <si>
    <t>쇼핑백지</t>
    <phoneticPr fontId="3" type="noConversion"/>
  </si>
  <si>
    <t>뉴플러스 백색</t>
    <phoneticPr fontId="3" type="noConversion"/>
  </si>
  <si>
    <t>뉴플러스 미색</t>
    <phoneticPr fontId="3" type="noConversion"/>
  </si>
  <si>
    <t>고급교과서지</t>
  </si>
  <si>
    <t>앙상블 E클래스</t>
    <phoneticPr fontId="3" type="noConversion"/>
  </si>
  <si>
    <t>백색,EW</t>
    <phoneticPr fontId="3" type="noConversion"/>
  </si>
  <si>
    <t>화인코트지 화인코트W</t>
    <phoneticPr fontId="3" type="noConversion"/>
  </si>
  <si>
    <t>화인코트 블루(W)</t>
    <phoneticPr fontId="3" type="noConversion"/>
  </si>
  <si>
    <t>클라우드</t>
    <phoneticPr fontId="3" type="noConversion"/>
  </si>
  <si>
    <t>백상지 80g 두께</t>
    <phoneticPr fontId="3" type="noConversion"/>
  </si>
  <si>
    <t>백상지 100g 두께</t>
    <phoneticPr fontId="3" type="noConversion"/>
  </si>
  <si>
    <t>화이트2 //1은 단종</t>
    <phoneticPr fontId="3" type="noConversion"/>
  </si>
  <si>
    <t>50 샤이닝 화이트 · B2 샤이닝 크림</t>
    <phoneticPr fontId="3" type="noConversion"/>
  </si>
  <si>
    <t>45 실버 라이닝</t>
    <phoneticPr fontId="3" type="noConversion"/>
  </si>
  <si>
    <t>85 브라이트 베이지 ·
 94 스플렌디즈 선셋</t>
    <phoneticPr fontId="3" type="noConversion"/>
  </si>
  <si>
    <t>44 플래티넘 메탈</t>
    <phoneticPr fontId="3" type="noConversion"/>
  </si>
  <si>
    <t>28 브릴리언트 그린 · 
38 엔틱 브론즈 · 
B8 플래티넘 블랙</t>
    <phoneticPr fontId="3" type="noConversion"/>
  </si>
  <si>
    <t>엑스트라 린넨</t>
  </si>
  <si>
    <t>788*545</t>
    <phoneticPr fontId="3" type="noConversion"/>
  </si>
  <si>
    <t>636*939 ,636*939</t>
    <phoneticPr fontId="3" type="noConversion"/>
  </si>
  <si>
    <t>A04소프트 크림
A07 실버 그레이
A10 미카도 옐로우
A19 누디 베이지</t>
    <phoneticPr fontId="3" type="noConversion"/>
  </si>
  <si>
    <t>A03 소프트 민트 
A05 페일 코랄 · A06 베이비 퍼플</t>
    <phoneticPr fontId="3" type="noConversion"/>
  </si>
  <si>
    <t>A02 스톤 그레이
A14 인디고
A16 로스트 브라운
 A17 스칼렛</t>
    <phoneticPr fontId="3" type="noConversion"/>
  </si>
  <si>
    <t xml:space="preserve">A08 레이크 블루 · A11 테라코타
A15 피코크 그린 </t>
    <phoneticPr fontId="3" type="noConversion"/>
  </si>
  <si>
    <t>롤당 1,400,000</t>
    <phoneticPr fontId="3" type="noConversion"/>
  </si>
  <si>
    <t>롤당 1,600,000</t>
    <phoneticPr fontId="3" type="noConversion"/>
  </si>
  <si>
    <t>롤당 700,000</t>
    <phoneticPr fontId="3" type="noConversion"/>
  </si>
  <si>
    <t>롤당 900,000</t>
    <phoneticPr fontId="3" type="noConversion"/>
  </si>
  <si>
    <t>롤당 2,050,000</t>
    <phoneticPr fontId="3" type="noConversion"/>
  </si>
  <si>
    <t>롤당  1,110,000</t>
    <phoneticPr fontId="3" type="noConversion"/>
  </si>
  <si>
    <t>롤당 1,230,000</t>
    <phoneticPr fontId="3" type="noConversion"/>
  </si>
  <si>
    <t>롤당 960,000</t>
    <phoneticPr fontId="3" type="noConversion"/>
  </si>
  <si>
    <t>롤당 1,025,000</t>
    <phoneticPr fontId="3" type="noConversion"/>
  </si>
  <si>
    <t>롤당 1,111,000</t>
    <phoneticPr fontId="3" type="noConversion"/>
  </si>
  <si>
    <t>오이스터
(천연 코튼) 재고소진 후 단종</t>
    <phoneticPr fontId="3" type="noConversion"/>
  </si>
  <si>
    <t>(A) 800   재고소진 후 단종</t>
    <phoneticPr fontId="3" type="noConversion"/>
  </si>
  <si>
    <t>(S) 817 · 863 
 재고소진 후 단종</t>
    <phoneticPr fontId="3" type="noConversion"/>
  </si>
  <si>
    <t>(S) 817 · 863
 재고소진 후 단종</t>
    <phoneticPr fontId="3" type="noConversion"/>
  </si>
  <si>
    <t>(S) 812 · 818 · 821 · 828 · 838
857 · 859 · 866 · 872 · 891· 897
 재고소진 후 단종</t>
    <phoneticPr fontId="3" type="noConversion"/>
  </si>
  <si>
    <t>롤당 3,850,000</t>
    <phoneticPr fontId="3" type="noConversion"/>
  </si>
  <si>
    <t>롤당 2,750,000</t>
    <phoneticPr fontId="3" type="noConversion"/>
  </si>
  <si>
    <t>788*1093</t>
    <phoneticPr fontId="3" type="noConversion"/>
  </si>
  <si>
    <t>장당 1700</t>
    <phoneticPr fontId="3" type="noConversion"/>
  </si>
  <si>
    <t>장당 2000</t>
    <phoneticPr fontId="3" type="noConversion"/>
  </si>
  <si>
    <t>장당 4400</t>
    <phoneticPr fontId="3" type="noConversion"/>
  </si>
  <si>
    <t>230.231.232</t>
    <phoneticPr fontId="7" type="noConversion"/>
  </si>
  <si>
    <t>233</t>
    <phoneticPr fontId="3" type="noConversion"/>
  </si>
  <si>
    <t>310.311.312</t>
    <phoneticPr fontId="7" type="noConversion"/>
  </si>
  <si>
    <t>313</t>
    <phoneticPr fontId="7" type="noConversion"/>
  </si>
  <si>
    <t>350.351.352</t>
    <phoneticPr fontId="7" type="noConversion"/>
  </si>
  <si>
    <t>353</t>
    <phoneticPr fontId="7" type="noConversion"/>
  </si>
  <si>
    <t>10~13</t>
    <phoneticPr fontId="7" type="noConversion"/>
  </si>
  <si>
    <t>14,18</t>
    <phoneticPr fontId="7" type="noConversion"/>
  </si>
  <si>
    <t>07</t>
    <phoneticPr fontId="4" type="noConversion"/>
  </si>
  <si>
    <t>S패턴 01Tindalo.08Panga</t>
    <phoneticPr fontId="7" type="noConversion"/>
  </si>
  <si>
    <t>S패턴 06Chacate</t>
    <phoneticPr fontId="7" type="noConversion"/>
  </si>
  <si>
    <t>S패턴 04Abura.07Abachi</t>
    <phoneticPr fontId="7" type="noConversion"/>
  </si>
  <si>
    <t>S패턴 05Imbuya</t>
    <phoneticPr fontId="7" type="noConversion"/>
  </si>
  <si>
    <t>V패턴 01Tindalo.08Panga</t>
    <phoneticPr fontId="7" type="noConversion"/>
  </si>
  <si>
    <t>V패턴 06Chacate</t>
    <phoneticPr fontId="7" type="noConversion"/>
  </si>
  <si>
    <t>V패턴 04Abura.07Abachi</t>
    <phoneticPr fontId="7" type="noConversion"/>
  </si>
  <si>
    <t>V패턴 05Imbuya</t>
    <phoneticPr fontId="7" type="noConversion"/>
  </si>
  <si>
    <t>스무스780 S1.G1</t>
    <phoneticPr fontId="7" type="noConversion"/>
  </si>
  <si>
    <t>스무스780 S2(양면).G2(양면)</t>
    <phoneticPr fontId="7" type="noConversion"/>
  </si>
  <si>
    <t>130</t>
    <phoneticPr fontId="3" type="noConversion"/>
  </si>
  <si>
    <t>실크925 L131.L132.L135.L136</t>
    <phoneticPr fontId="7" type="noConversion"/>
  </si>
  <si>
    <t>실크925 L133.L134.L137</t>
    <phoneticPr fontId="7" type="noConversion"/>
  </si>
  <si>
    <t>크리스털리넨 131.132.135.136</t>
    <phoneticPr fontId="4" type="noConversion"/>
  </si>
  <si>
    <t>크리스털리넨 133.134.137</t>
    <phoneticPr fontId="7" type="noConversion"/>
  </si>
  <si>
    <t>001.027.062.084</t>
    <phoneticPr fontId="7" type="noConversion"/>
  </si>
  <si>
    <t>012.062.084.085</t>
    <phoneticPr fontId="7" type="noConversion"/>
  </si>
  <si>
    <t>004.006.014.023.031.036~038.054.057.088.093</t>
    <phoneticPr fontId="7" type="noConversion"/>
  </si>
  <si>
    <t>010.055.059.060.063.087.090.091</t>
    <phoneticPr fontId="7" type="noConversion"/>
  </si>
  <si>
    <t>뉴에이지블랑</t>
    <phoneticPr fontId="3" type="noConversion"/>
  </si>
  <si>
    <t>솔루션펠트SW</t>
    <phoneticPr fontId="7" type="noConversion"/>
  </si>
  <si>
    <t>800x1091</t>
  </si>
  <si>
    <t>232</t>
    <phoneticPr fontId="3" type="noConversion"/>
  </si>
  <si>
    <t>520x330</t>
    <phoneticPr fontId="7" type="noConversion"/>
  </si>
  <si>
    <t>520x700</t>
    <phoneticPr fontId="7" type="noConversion"/>
  </si>
  <si>
    <t>01.03.05.09.10.13.36.40~43.50~53.55~64.74.75.77.90.91.96</t>
    <phoneticPr fontId="4" type="noConversion"/>
  </si>
  <si>
    <t>White. Ivory(린넨). Ivory (레이드)</t>
    <phoneticPr fontId="4" type="noConversion"/>
  </si>
  <si>
    <t>YY-2.3</t>
    <phoneticPr fontId="7" type="noConversion"/>
  </si>
  <si>
    <t>YY-1</t>
    <phoneticPr fontId="7" type="noConversion"/>
  </si>
  <si>
    <t>YY-4.5.7.8</t>
    <phoneticPr fontId="7" type="noConversion"/>
  </si>
  <si>
    <t>YY-6.12.13</t>
    <phoneticPr fontId="7" type="noConversion"/>
  </si>
  <si>
    <t>YY-9~11.14~16</t>
    <phoneticPr fontId="7" type="noConversion"/>
  </si>
  <si>
    <t>YY-1~16</t>
    <phoneticPr fontId="7" type="noConversion"/>
  </si>
  <si>
    <t>720x1010</t>
    <phoneticPr fontId="7" type="noConversion"/>
  </si>
  <si>
    <t>Candido</t>
    <phoneticPr fontId="7" type="noConversion"/>
  </si>
  <si>
    <t>Neve.Bianco</t>
    <phoneticPr fontId="7" type="noConversion"/>
  </si>
  <si>
    <t>(D.M패턴)04~07.10.12.16~19.(S패턴)01~19</t>
    <phoneticPr fontId="4" type="noConversion"/>
  </si>
  <si>
    <t>(D.M패턴)8.9.11.13~15.20.(S패턴)20</t>
    <phoneticPr fontId="4" type="noConversion"/>
  </si>
  <si>
    <r>
      <t>08.16</t>
    </r>
    <r>
      <rPr>
        <b/>
        <sz val="9"/>
        <rFont val="맑은 고딕"/>
        <family val="3"/>
        <charset val="129"/>
        <scheme val="minor"/>
      </rPr>
      <t>.21.24.27.29.3</t>
    </r>
    <r>
      <rPr>
        <sz val="9"/>
        <rFont val="맑은 고딕"/>
        <family val="3"/>
        <charset val="129"/>
        <scheme val="minor"/>
      </rPr>
      <t>0.32.33.35~37</t>
    </r>
    <phoneticPr fontId="7" type="noConversion"/>
  </si>
  <si>
    <t>01~06.08.09.14~21.23~30.32.33</t>
    <phoneticPr fontId="4" type="noConversion"/>
  </si>
  <si>
    <t>490x660</t>
    <phoneticPr fontId="7" type="noConversion"/>
  </si>
  <si>
    <t>KEN(버크럼) 101~117.119~124</t>
    <phoneticPr fontId="4" type="noConversion"/>
  </si>
  <si>
    <t>KEN(버크럼) 118 (FSC 가능)</t>
    <phoneticPr fontId="4" type="noConversion"/>
  </si>
  <si>
    <t>KEN(버크럼) 218</t>
    <phoneticPr fontId="4" type="noConversion"/>
  </si>
  <si>
    <t>KEN(버크럼) 201.202.203.208</t>
    <phoneticPr fontId="7" type="noConversion"/>
  </si>
  <si>
    <t>KENC(버크럼코팅) C118</t>
    <phoneticPr fontId="7" type="noConversion"/>
  </si>
  <si>
    <t>KENC(버크럼코팅) C101.C102.C103.C108</t>
    <phoneticPr fontId="7" type="noConversion"/>
  </si>
  <si>
    <t>KEL(리넨) L05~L13</t>
    <phoneticPr fontId="4" type="noConversion"/>
  </si>
  <si>
    <t>KEV(윌로우트위그) V01.V08.V11.V14.V15.V19.V61~V63</t>
    <phoneticPr fontId="4" type="noConversion"/>
  </si>
  <si>
    <t>KEV(윌로우트위그) V10.V18</t>
    <phoneticPr fontId="4" type="noConversion"/>
  </si>
  <si>
    <t>KEV(윌로우트위그) V02.V07.V09.V13.V16</t>
    <phoneticPr fontId="4" type="noConversion"/>
  </si>
  <si>
    <t>C110블랑</t>
    <phoneticPr fontId="4" type="noConversion"/>
  </si>
  <si>
    <t>C111크림</t>
    <phoneticPr fontId="4" type="noConversion"/>
  </si>
  <si>
    <t>M100블랑.M101크림.M102베이지</t>
    <phoneticPr fontId="4" type="noConversion"/>
  </si>
  <si>
    <t>L100블랑.L101크림.L102베이지</t>
    <phoneticPr fontId="4" type="noConversion"/>
  </si>
  <si>
    <t>M120블랑.M121크림.M122베이지</t>
    <phoneticPr fontId="4" type="noConversion"/>
  </si>
  <si>
    <t>L120블랑.L121크림.L122베이지</t>
    <phoneticPr fontId="4" type="noConversion"/>
  </si>
  <si>
    <t>M250블랑.M251크림.M252베이지</t>
    <phoneticPr fontId="4" type="noConversion"/>
  </si>
  <si>
    <t>L250블랑.L251크림.L252베이지</t>
    <phoneticPr fontId="4" type="noConversion"/>
  </si>
  <si>
    <t>물그림종이</t>
    <phoneticPr fontId="7" type="noConversion"/>
  </si>
  <si>
    <t>물그림종이(WWP)</t>
    <phoneticPr fontId="7" type="noConversion"/>
  </si>
  <si>
    <t>젠틀페이스
(딘종)</t>
    <phoneticPr fontId="4" type="noConversion"/>
  </si>
  <si>
    <t>젠틀페이스
(뉴젠틀)
재고여부 파악</t>
    <phoneticPr fontId="4" type="noConversion"/>
  </si>
  <si>
    <t>주클로스</t>
    <phoneticPr fontId="7" type="noConversion"/>
  </si>
  <si>
    <t>Hippo(히포)01~07.Cow(카우)01~07</t>
    <phoneticPr fontId="7" type="noConversion"/>
  </si>
  <si>
    <t>200</t>
    <phoneticPr fontId="7" type="noConversion"/>
  </si>
  <si>
    <t>TT(화이트.펄.버프).MN(화이트)</t>
    <phoneticPr fontId="7" type="noConversion"/>
  </si>
  <si>
    <t>TT.MN(그레이.레드)</t>
    <phoneticPr fontId="7" type="noConversion"/>
  </si>
  <si>
    <t>TT.MN(코발트.커피.블랙)</t>
    <phoneticPr fontId="7" type="noConversion"/>
  </si>
  <si>
    <t>(1모시)101~105.107~109.111.(3안개)308</t>
    <phoneticPr fontId="7" type="noConversion"/>
  </si>
  <si>
    <t>(1모시)114.119.(3안개)319</t>
    <phoneticPr fontId="7" type="noConversion"/>
  </si>
  <si>
    <t>(3안개.5노을.6운모.7눈꽃.8미닛.9타탄.10로렐)01(N09)</t>
    <phoneticPr fontId="7" type="noConversion"/>
  </si>
  <si>
    <t>(3안개.5노을.6운모.7눈꽃.8미닛.9타탄.10로렐)09(N01)</t>
    <phoneticPr fontId="7" type="noConversion"/>
  </si>
  <si>
    <t>(7눈꽃.8미닛.9타탄.10로렐)02~05.07.08.11</t>
    <phoneticPr fontId="7" type="noConversion"/>
  </si>
  <si>
    <t>(6운모.7눈꽃.8미닛.9타탄.10로렐)14.19</t>
    <phoneticPr fontId="7" type="noConversion"/>
  </si>
  <si>
    <t>950x650</t>
    <phoneticPr fontId="7" type="noConversion"/>
  </si>
  <si>
    <t>C01.02.04~06.08.10~12.16</t>
    <phoneticPr fontId="7" type="noConversion"/>
  </si>
  <si>
    <t>M01.03, P01~08.11.16</t>
    <phoneticPr fontId="7" type="noConversion"/>
  </si>
  <si>
    <t>M 02.04~06, P 09.10.12~15</t>
    <phoneticPr fontId="7" type="noConversion"/>
  </si>
  <si>
    <t>E.W</t>
    <phoneticPr fontId="7" type="noConversion"/>
  </si>
  <si>
    <t xml:space="preserve">갈라파고스
(GALA)                         </t>
    <phoneticPr fontId="13" type="noConversion"/>
  </si>
  <si>
    <t>01 High white glaze</t>
    <phoneticPr fontId="13" type="noConversion"/>
  </si>
  <si>
    <t>02 White glaze</t>
    <phoneticPr fontId="13" type="noConversion"/>
  </si>
  <si>
    <t>03 gGrey glaze</t>
    <phoneticPr fontId="13" type="noConversion"/>
  </si>
  <si>
    <t>04 High white, 05 White</t>
    <phoneticPr fontId="13" type="noConversion"/>
  </si>
  <si>
    <t>07 Grey</t>
    <phoneticPr fontId="13" type="noConversion"/>
  </si>
  <si>
    <t>06 Brown,  08 Black</t>
    <phoneticPr fontId="13" type="noConversion"/>
  </si>
  <si>
    <t>07 White</t>
    <phoneticPr fontId="13" type="noConversion"/>
  </si>
  <si>
    <t>F03, S03</t>
    <phoneticPr fontId="13" type="noConversion"/>
  </si>
  <si>
    <t>B02, B03, F02, S02</t>
    <phoneticPr fontId="13" type="noConversion"/>
  </si>
  <si>
    <t>T03, 04, 06, 08</t>
    <phoneticPr fontId="13" type="noConversion"/>
  </si>
  <si>
    <t>C02, C07</t>
    <phoneticPr fontId="13" type="noConversion"/>
  </si>
  <si>
    <t>C03, 04, 06, 08</t>
    <phoneticPr fontId="13" type="noConversion"/>
  </si>
  <si>
    <t>G01, G02</t>
    <phoneticPr fontId="13" type="noConversion"/>
  </si>
  <si>
    <t>G04, W01</t>
    <phoneticPr fontId="13" type="noConversion"/>
  </si>
  <si>
    <t>G05, G06, W02</t>
    <phoneticPr fontId="13" type="noConversion"/>
  </si>
  <si>
    <t>G07, W03</t>
    <phoneticPr fontId="13" type="noConversion"/>
  </si>
  <si>
    <t>M01, T01, T02</t>
    <phoneticPr fontId="13" type="noConversion"/>
  </si>
  <si>
    <t>787mm 롤</t>
    <phoneticPr fontId="13" type="noConversion"/>
  </si>
  <si>
    <t>09-1*</t>
    <phoneticPr fontId="13" type="noConversion"/>
  </si>
  <si>
    <t>04-2</t>
    <phoneticPr fontId="13" type="noConversion"/>
  </si>
  <si>
    <t>05-2</t>
    <phoneticPr fontId="13" type="noConversion"/>
  </si>
  <si>
    <t>06-2</t>
    <phoneticPr fontId="13" type="noConversion"/>
  </si>
  <si>
    <t>08-2</t>
    <phoneticPr fontId="13" type="noConversion"/>
  </si>
  <si>
    <t>뉴에코블랙
(NEBL)                             
재생펄프 47%</t>
  </si>
  <si>
    <t>9-3( 1 ply )</t>
    <phoneticPr fontId="13" type="noConversion"/>
  </si>
  <si>
    <t>11-2 계약공급</t>
    <phoneticPr fontId="13" type="noConversion"/>
  </si>
  <si>
    <t>07-3</t>
    <phoneticPr fontId="13" type="noConversion"/>
  </si>
  <si>
    <t>08-3</t>
    <phoneticPr fontId="13" type="noConversion"/>
  </si>
  <si>
    <t>590X780(세로)</t>
    <phoneticPr fontId="13" type="noConversion"/>
  </si>
  <si>
    <t>08-1</t>
    <phoneticPr fontId="3" type="noConversion"/>
  </si>
  <si>
    <t>H04</t>
    <phoneticPr fontId="3" type="noConversion"/>
  </si>
  <si>
    <t>S01( 투명포장 + 박스 )</t>
    <phoneticPr fontId="3" type="noConversion"/>
  </si>
  <si>
    <t xml:space="preserve">4절 </t>
    <phoneticPr fontId="13" type="noConversion"/>
  </si>
  <si>
    <t>S02</t>
    <phoneticPr fontId="3" type="noConversion"/>
  </si>
  <si>
    <t>S06</t>
    <phoneticPr fontId="3" type="noConversion"/>
  </si>
  <si>
    <t>i45 니나 인바이런먼트-PC100화이트</t>
    <phoneticPr fontId="13" type="noConversion"/>
  </si>
  <si>
    <t>i99 클레식 크레스트 솔라화이트</t>
    <phoneticPr fontId="13" type="noConversion"/>
  </si>
  <si>
    <t xml:space="preserve">i234 </t>
    <phoneticPr fontId="13" type="noConversion"/>
  </si>
  <si>
    <t xml:space="preserve">i244 </t>
    <phoneticPr fontId="13" type="noConversion"/>
  </si>
  <si>
    <t>i47 비앙코플래쉬-화이트</t>
    <phoneticPr fontId="13" type="noConversion"/>
  </si>
  <si>
    <t>i48 비앙코플래쉬-화이트</t>
    <phoneticPr fontId="13" type="noConversion"/>
  </si>
  <si>
    <t>i49 프리즈마-화이트</t>
    <phoneticPr fontId="13" type="noConversion"/>
  </si>
  <si>
    <t>i50 트윌-브라잇화이트</t>
    <phoneticPr fontId="13" type="noConversion"/>
  </si>
  <si>
    <t>i51 시로에코-브라잇화이트</t>
    <phoneticPr fontId="13" type="noConversion"/>
  </si>
  <si>
    <t>i52 마제스틱-마블화이트</t>
    <phoneticPr fontId="13" type="noConversion"/>
  </si>
  <si>
    <t>i54 마제스틱-캔들라이트크림</t>
    <phoneticPr fontId="13" type="noConversion"/>
  </si>
  <si>
    <t>i53 마제스틱-마블화이트</t>
    <phoneticPr fontId="13" type="noConversion"/>
  </si>
  <si>
    <t>i55 마제스틱-캔들라이트크림</t>
    <phoneticPr fontId="13" type="noConversion"/>
  </si>
  <si>
    <t>i238 마제스틱-마블화이트</t>
    <phoneticPr fontId="13" type="noConversion"/>
  </si>
  <si>
    <t>i191  330x5200m</t>
    <phoneticPr fontId="13" type="noConversion"/>
  </si>
  <si>
    <t xml:space="preserve">i38 </t>
    <phoneticPr fontId="13" type="noConversion"/>
  </si>
  <si>
    <t>i221</t>
    <phoneticPr fontId="13" type="noConversion"/>
  </si>
  <si>
    <t xml:space="preserve">i165 </t>
    <phoneticPr fontId="13" type="noConversion"/>
  </si>
  <si>
    <t>i39</t>
    <phoneticPr fontId="13" type="noConversion"/>
  </si>
  <si>
    <t xml:space="preserve">i156 </t>
    <phoneticPr fontId="13" type="noConversion"/>
  </si>
  <si>
    <t xml:space="preserve">i156-1 </t>
    <phoneticPr fontId="13" type="noConversion"/>
  </si>
  <si>
    <t xml:space="preserve">i59 </t>
    <phoneticPr fontId="13" type="noConversion"/>
  </si>
  <si>
    <t>i102</t>
    <phoneticPr fontId="13" type="noConversion"/>
  </si>
  <si>
    <t xml:space="preserve">i139 </t>
    <phoneticPr fontId="13" type="noConversion"/>
  </si>
  <si>
    <t xml:space="preserve">i126-1 </t>
    <phoneticPr fontId="13" type="noConversion"/>
  </si>
  <si>
    <t>i42-2 러스터-화이트</t>
    <phoneticPr fontId="13" type="noConversion"/>
  </si>
  <si>
    <t>i217-2 러스터-화이트</t>
    <phoneticPr fontId="13" type="noConversion"/>
  </si>
  <si>
    <t>i122-1  330폭X3500m 러스터-화이트</t>
    <phoneticPr fontId="13" type="noConversion"/>
  </si>
  <si>
    <t xml:space="preserve">i43-3 러스터-화이트 </t>
    <phoneticPr fontId="13" type="noConversion"/>
  </si>
  <si>
    <t>더블랙 
(TBK)</t>
    <phoneticPr fontId="13" type="noConversion"/>
  </si>
  <si>
    <t xml:space="preserve">J01 블랙잭( Black Jack ) </t>
    <phoneticPr fontId="13" type="noConversion"/>
  </si>
  <si>
    <t>J03</t>
    <phoneticPr fontId="13" type="noConversion"/>
  </si>
  <si>
    <t>J04</t>
    <phoneticPr fontId="13" type="noConversion"/>
  </si>
  <si>
    <t>J05</t>
    <phoneticPr fontId="13" type="noConversion"/>
  </si>
  <si>
    <t>J06</t>
    <phoneticPr fontId="13" type="noConversion"/>
  </si>
  <si>
    <t>P01 플러스( Plus ) 100% 재생지</t>
    <phoneticPr fontId="13" type="noConversion"/>
  </si>
  <si>
    <t>302 크리스탈 솔트</t>
    <phoneticPr fontId="13" type="noConversion"/>
  </si>
  <si>
    <t>303 블루 네이비</t>
    <phoneticPr fontId="13" type="noConversion"/>
  </si>
  <si>
    <t>304 블랙 페퍼</t>
    <phoneticPr fontId="13" type="noConversion"/>
  </si>
  <si>
    <t>CC01 Brilliant white, CC02100PC White</t>
    <phoneticPr fontId="13" type="noConversion"/>
  </si>
  <si>
    <t>CA01 Brilliant white, CA02 100PC White</t>
    <phoneticPr fontId="13" type="noConversion"/>
  </si>
  <si>
    <t>01 14PT</t>
    <phoneticPr fontId="13" type="noConversion"/>
  </si>
  <si>
    <t>02 16PT</t>
    <phoneticPr fontId="13" type="noConversion"/>
  </si>
  <si>
    <t>03 18PT</t>
    <phoneticPr fontId="13" type="noConversion"/>
  </si>
  <si>
    <t>05 22PT</t>
    <phoneticPr fontId="13" type="noConversion"/>
  </si>
  <si>
    <t>08  14PT</t>
    <phoneticPr fontId="13" type="noConversion"/>
  </si>
  <si>
    <t>09 16PT</t>
    <phoneticPr fontId="13" type="noConversion"/>
  </si>
  <si>
    <t>10 18PT</t>
    <phoneticPr fontId="13" type="noConversion"/>
  </si>
  <si>
    <t>01-2 14PT</t>
    <phoneticPr fontId="13" type="noConversion"/>
  </si>
  <si>
    <t>T01-1 ,T02-1</t>
    <phoneticPr fontId="13" type="noConversion"/>
  </si>
  <si>
    <t>T05-01</t>
    <phoneticPr fontId="13" type="noConversion"/>
  </si>
  <si>
    <t>CT03-1</t>
    <phoneticPr fontId="13" type="noConversion"/>
  </si>
  <si>
    <t>White 28</t>
    <phoneticPr fontId="13" type="noConversion"/>
  </si>
  <si>
    <t>White 28-1</t>
    <phoneticPr fontId="13" type="noConversion"/>
  </si>
  <si>
    <t xml:space="preserve">05-1 </t>
    <phoneticPr fontId="13" type="noConversion"/>
  </si>
  <si>
    <t>06-1</t>
    <phoneticPr fontId="13" type="noConversion"/>
  </si>
  <si>
    <t>07-1</t>
    <phoneticPr fontId="13" type="noConversion"/>
  </si>
  <si>
    <t>08-1</t>
    <phoneticPr fontId="13" type="noConversion"/>
  </si>
  <si>
    <t>09-1</t>
    <phoneticPr fontId="13" type="noConversion"/>
  </si>
  <si>
    <t>12-1</t>
    <phoneticPr fontId="13" type="noConversion"/>
  </si>
  <si>
    <t>13-1</t>
    <phoneticPr fontId="13" type="noConversion"/>
  </si>
  <si>
    <t>14</t>
    <phoneticPr fontId="13" type="noConversion"/>
  </si>
  <si>
    <t>16</t>
    <phoneticPr fontId="13" type="noConversion"/>
  </si>
  <si>
    <t>17</t>
    <phoneticPr fontId="13" type="noConversion"/>
  </si>
  <si>
    <t>18</t>
    <phoneticPr fontId="13" type="noConversion"/>
  </si>
  <si>
    <t>20</t>
    <phoneticPr fontId="13" type="noConversion"/>
  </si>
  <si>
    <t>22</t>
    <phoneticPr fontId="13" type="noConversion"/>
  </si>
  <si>
    <t>23</t>
    <phoneticPr fontId="13" type="noConversion"/>
  </si>
  <si>
    <t>26</t>
    <phoneticPr fontId="13" type="noConversion"/>
  </si>
  <si>
    <t>27</t>
    <phoneticPr fontId="13" type="noConversion"/>
  </si>
  <si>
    <t>T01-1, T03-1, T04-1, T16, T17</t>
    <phoneticPr fontId="13" type="noConversion"/>
  </si>
  <si>
    <t>CT01, CT02</t>
    <phoneticPr fontId="13" type="noConversion"/>
  </si>
  <si>
    <t>CT14, CT15*</t>
    <phoneticPr fontId="13" type="noConversion"/>
  </si>
  <si>
    <t>CT14-1, CT15-1</t>
    <phoneticPr fontId="13" type="noConversion"/>
  </si>
  <si>
    <t>C00, C01, C02</t>
    <phoneticPr fontId="13" type="noConversion"/>
  </si>
  <si>
    <t>C14, C15</t>
    <phoneticPr fontId="13" type="noConversion"/>
  </si>
  <si>
    <t>C03-1, C04-1, C16, C17</t>
    <phoneticPr fontId="13" type="noConversion"/>
  </si>
  <si>
    <t>C05-1, C06-1</t>
    <phoneticPr fontId="13" type="noConversion"/>
  </si>
  <si>
    <t>C07-1, C08-1 ,C09-1, C10-1, C11-1</t>
    <phoneticPr fontId="13" type="noConversion"/>
  </si>
  <si>
    <t>C12-1, C13-1</t>
    <phoneticPr fontId="13" type="noConversion"/>
  </si>
  <si>
    <t>C00-2 Silica Blue</t>
    <phoneticPr fontId="13" type="noConversion"/>
  </si>
  <si>
    <t>T03, T04, T08-1, T09, T10-1</t>
    <phoneticPr fontId="13" type="noConversion"/>
  </si>
  <si>
    <t>T05, T06*</t>
    <phoneticPr fontId="13" type="noConversion"/>
  </si>
  <si>
    <t>T11</t>
    <phoneticPr fontId="13" type="noConversion"/>
  </si>
  <si>
    <t xml:space="preserve">T12, T13, T14 </t>
    <phoneticPr fontId="13" type="noConversion"/>
  </si>
  <si>
    <t xml:space="preserve">CT00, CT01, CT02-1, CT06-1 </t>
    <phoneticPr fontId="13" type="noConversion"/>
  </si>
  <si>
    <t>CT05</t>
    <phoneticPr fontId="13" type="noConversion"/>
  </si>
  <si>
    <t xml:space="preserve">CT12-1, CT13, CT14 </t>
    <phoneticPr fontId="13" type="noConversion"/>
  </si>
  <si>
    <t>CP01, CP02-1, CP06-1</t>
    <phoneticPr fontId="13" type="noConversion"/>
  </si>
  <si>
    <t>CP11</t>
    <phoneticPr fontId="13" type="noConversion"/>
  </si>
  <si>
    <t>C02, C05, C06</t>
    <phoneticPr fontId="13" type="noConversion"/>
  </si>
  <si>
    <t>C04, C08-1</t>
    <phoneticPr fontId="13" type="noConversion"/>
  </si>
  <si>
    <t xml:space="preserve">2( 계약 공급 ) </t>
    <phoneticPr fontId="13" type="noConversion"/>
  </si>
  <si>
    <t xml:space="preserve">Unbleached </t>
    <phoneticPr fontId="13" type="noConversion"/>
  </si>
  <si>
    <t xml:space="preserve">3( 계약 공급 ) </t>
    <phoneticPr fontId="13" type="noConversion"/>
  </si>
  <si>
    <t xml:space="preserve">4( 계약 공급 ) </t>
    <phoneticPr fontId="13" type="noConversion"/>
  </si>
  <si>
    <t xml:space="preserve">5( 계약 공급 ) </t>
    <phoneticPr fontId="13" type="noConversion"/>
  </si>
  <si>
    <t xml:space="preserve">CC03-2 Light Grey </t>
    <phoneticPr fontId="13" type="noConversion"/>
  </si>
  <si>
    <t>White W01</t>
    <phoneticPr fontId="16" type="noConversion"/>
  </si>
  <si>
    <t>Natural N02</t>
    <phoneticPr fontId="16" type="noConversion"/>
  </si>
  <si>
    <t>N03</t>
    <phoneticPr fontId="16" type="noConversion"/>
  </si>
  <si>
    <t>N07</t>
    <phoneticPr fontId="16" type="noConversion"/>
  </si>
  <si>
    <t>940x636(가로)</t>
    <phoneticPr fontId="13" type="noConversion"/>
  </si>
  <si>
    <t>White W04-3</t>
    <phoneticPr fontId="13" type="noConversion"/>
  </si>
  <si>
    <t>W06-3</t>
    <phoneticPr fontId="16" type="noConversion"/>
  </si>
  <si>
    <t>Natural N05-3</t>
    <phoneticPr fontId="16" type="noConversion"/>
  </si>
  <si>
    <t>N07-3</t>
    <phoneticPr fontId="16" type="noConversion"/>
  </si>
  <si>
    <t>788&amp;940폭</t>
    <phoneticPr fontId="13" type="noConversion"/>
  </si>
  <si>
    <t>All</t>
    <phoneticPr fontId="13" type="noConversion"/>
  </si>
  <si>
    <t xml:space="preserve">White </t>
    <phoneticPr fontId="15" type="noConversion"/>
  </si>
  <si>
    <t xml:space="preserve">Natural </t>
    <phoneticPr fontId="15" type="noConversion"/>
  </si>
  <si>
    <t>벅스킨( BSK ) 
재고 소진후 계약공급/별도 견적 필요</t>
    <phoneticPr fontId="13" type="noConversion"/>
  </si>
  <si>
    <t>02 Tan</t>
    <phoneticPr fontId="13" type="noConversion"/>
  </si>
  <si>
    <t>01 White</t>
    <phoneticPr fontId="13" type="noConversion"/>
  </si>
  <si>
    <t>05 Tan</t>
    <phoneticPr fontId="13" type="noConversion"/>
  </si>
  <si>
    <t xml:space="preserve">04 White </t>
    <phoneticPr fontId="13" type="noConversion"/>
  </si>
  <si>
    <t>1384x900M</t>
    <phoneticPr fontId="13" type="noConversion"/>
  </si>
  <si>
    <t>33 Beige( 7716P, 9mil )</t>
    <phoneticPr fontId="13" type="noConversion"/>
  </si>
  <si>
    <t>S08, 12</t>
    <phoneticPr fontId="13" type="noConversion"/>
  </si>
  <si>
    <t>B01( 버크램 )</t>
    <phoneticPr fontId="13" type="noConversion"/>
  </si>
  <si>
    <t xml:space="preserve">슈퍼터치 
(SST) </t>
    <phoneticPr fontId="13" type="noConversion"/>
  </si>
  <si>
    <t xml:space="preserve">T01, T02 </t>
    <phoneticPr fontId="13" type="noConversion"/>
  </si>
  <si>
    <t>T03~20</t>
    <phoneticPr fontId="13" type="noConversion"/>
  </si>
  <si>
    <t xml:space="preserve">CT01, CT02 </t>
    <phoneticPr fontId="13" type="noConversion"/>
  </si>
  <si>
    <t xml:space="preserve">CT03~20 </t>
    <phoneticPr fontId="13" type="noConversion"/>
  </si>
  <si>
    <t>C20</t>
    <phoneticPr fontId="13" type="noConversion"/>
  </si>
  <si>
    <t xml:space="preserve">슈퍼와일드 
(SWD) </t>
    <phoneticPr fontId="13" type="noConversion"/>
  </si>
  <si>
    <t>T03~12</t>
    <phoneticPr fontId="13" type="noConversion"/>
  </si>
  <si>
    <t>CT03~12</t>
    <phoneticPr fontId="13" type="noConversion"/>
  </si>
  <si>
    <t>C01( 양면 )</t>
    <phoneticPr fontId="13" type="noConversion"/>
  </si>
  <si>
    <t>C02( 양면 )</t>
    <phoneticPr fontId="13" type="noConversion"/>
  </si>
  <si>
    <t>C03( 양면 )~12</t>
    <phoneticPr fontId="13" type="noConversion"/>
  </si>
  <si>
    <t>T03, T06</t>
    <phoneticPr fontId="13" type="noConversion"/>
  </si>
  <si>
    <t xml:space="preserve">C03, C06 </t>
    <phoneticPr fontId="13" type="noConversion"/>
  </si>
  <si>
    <t>CC03, CC06</t>
    <phoneticPr fontId="13" type="noConversion"/>
  </si>
  <si>
    <t xml:space="preserve">E00-02, 03, 04 </t>
    <phoneticPr fontId="13" type="noConversion"/>
  </si>
  <si>
    <t>E05-08A, 16A</t>
    <phoneticPr fontId="13" type="noConversion"/>
  </si>
  <si>
    <t>E05-02 ,13, 25, 26</t>
    <phoneticPr fontId="13" type="noConversion"/>
  </si>
  <si>
    <t xml:space="preserve">E05-208 </t>
    <phoneticPr fontId="13" type="noConversion"/>
  </si>
  <si>
    <t xml:space="preserve">E05-206, 217, 218 </t>
    <phoneticPr fontId="13" type="noConversion"/>
  </si>
  <si>
    <t xml:space="preserve">E20-06, 08, 18A, 24, 25 </t>
    <phoneticPr fontId="13" type="noConversion"/>
  </si>
  <si>
    <t xml:space="preserve">E55-06A, 18A </t>
    <phoneticPr fontId="13" type="noConversion"/>
  </si>
  <si>
    <t xml:space="preserve">E55-02, 13, 25, 26 </t>
    <phoneticPr fontId="13" type="noConversion"/>
  </si>
  <si>
    <t>씨리오펄
(SIP2)</t>
    <phoneticPr fontId="13" type="noConversion"/>
  </si>
  <si>
    <t>T10</t>
    <phoneticPr fontId="13" type="noConversion"/>
  </si>
  <si>
    <t>T08, 09</t>
    <phoneticPr fontId="13" type="noConversion"/>
  </si>
  <si>
    <t>CT08</t>
    <phoneticPr fontId="13" type="noConversion"/>
  </si>
  <si>
    <t>씨리오 러프
(SIR)</t>
    <phoneticPr fontId="13" type="noConversion"/>
  </si>
  <si>
    <t>T12, T13</t>
    <phoneticPr fontId="13" type="noConversion"/>
  </si>
  <si>
    <t>C12, C13</t>
    <phoneticPr fontId="13" type="noConversion"/>
  </si>
  <si>
    <t>B12, B13</t>
    <phoneticPr fontId="13" type="noConversion"/>
  </si>
  <si>
    <t xml:space="preserve">T1, 2, 4* </t>
    <phoneticPr fontId="13" type="noConversion"/>
  </si>
  <si>
    <t>A1, 2</t>
    <phoneticPr fontId="13" type="noConversion"/>
  </si>
  <si>
    <t>C1, 2, 4, 5, 6*</t>
    <phoneticPr fontId="13" type="noConversion"/>
  </si>
  <si>
    <t>D1, 2, 4</t>
    <phoneticPr fontId="13" type="noConversion"/>
  </si>
  <si>
    <t>C01, 02</t>
    <phoneticPr fontId="13" type="noConversion"/>
  </si>
  <si>
    <t>P01( 2 엣지 )</t>
    <phoneticPr fontId="13" type="noConversion"/>
  </si>
  <si>
    <t>P02( 2 엣지 )</t>
    <phoneticPr fontId="13" type="noConversion"/>
  </si>
  <si>
    <t>06 Pure White( 4 엣지 )</t>
    <phoneticPr fontId="13" type="noConversion"/>
  </si>
  <si>
    <t>1050x750(가로)</t>
    <phoneticPr fontId="13" type="noConversion"/>
  </si>
  <si>
    <t>07 Pure White( 4 엣지 )</t>
    <phoneticPr fontId="13" type="noConversion"/>
  </si>
  <si>
    <t>아레나 러프 
(ARA)</t>
    <phoneticPr fontId="13" type="noConversion"/>
  </si>
  <si>
    <t>White(RW01-1), Natural(RN01-1)</t>
    <phoneticPr fontId="13" type="noConversion"/>
  </si>
  <si>
    <t xml:space="preserve">White(RW02-1), Natural(RN02-1) </t>
    <phoneticPr fontId="13" type="noConversion"/>
  </si>
  <si>
    <t>White(RW04)</t>
    <phoneticPr fontId="13" type="noConversion"/>
  </si>
  <si>
    <t>Natural(RN05)</t>
    <phoneticPr fontId="13" type="noConversion"/>
  </si>
  <si>
    <t>White(RW06), Natural(RN06)</t>
    <phoneticPr fontId="13" type="noConversion"/>
  </si>
  <si>
    <t>Natural(RN07)</t>
    <phoneticPr fontId="13" type="noConversion"/>
  </si>
  <si>
    <t xml:space="preserve">White(RW08), Natural(RN08) </t>
    <phoneticPr fontId="13" type="noConversion"/>
  </si>
  <si>
    <t xml:space="preserve">White(RW09), Natural(RN09) </t>
    <phoneticPr fontId="13" type="noConversion"/>
  </si>
  <si>
    <t>Natural(RN09-5)</t>
    <phoneticPr fontId="13" type="noConversion"/>
  </si>
  <si>
    <t xml:space="preserve">White(RW01-2), Natural(RN01-2) </t>
    <phoneticPr fontId="13" type="noConversion"/>
  </si>
  <si>
    <t xml:space="preserve">White(RW02-2), Natural(RN02-2) </t>
    <phoneticPr fontId="13" type="noConversion"/>
  </si>
  <si>
    <t xml:space="preserve">White(RW03-2), Natural(RN03-2) </t>
    <phoneticPr fontId="13" type="noConversion"/>
  </si>
  <si>
    <t>White(RW04-2)</t>
    <phoneticPr fontId="13" type="noConversion"/>
  </si>
  <si>
    <t xml:space="preserve">Natural(RN05-2) </t>
    <phoneticPr fontId="13" type="noConversion"/>
  </si>
  <si>
    <t xml:space="preserve">White(RW08-2), Natural(RN08-2) </t>
    <phoneticPr fontId="13" type="noConversion"/>
  </si>
  <si>
    <t xml:space="preserve">White(RW09-2), Natural(RN09-2) </t>
    <phoneticPr fontId="13" type="noConversion"/>
  </si>
  <si>
    <t>White(RW10-2) 계약생산</t>
    <phoneticPr fontId="13" type="noConversion"/>
  </si>
  <si>
    <t xml:space="preserve">White(RW01-3), Natural(RN01-3) </t>
    <phoneticPr fontId="13" type="noConversion"/>
  </si>
  <si>
    <t xml:space="preserve">White(RW02-3), Natural(RN02-3) </t>
    <phoneticPr fontId="13" type="noConversion"/>
  </si>
  <si>
    <t>Natural( BN01) - Bluk ( 계약 )</t>
    <phoneticPr fontId="13" type="noConversion"/>
  </si>
  <si>
    <t>Natural( BN00-1)</t>
    <phoneticPr fontId="13" type="noConversion"/>
  </si>
  <si>
    <t>Natural( BN01-1)</t>
    <phoneticPr fontId="13" type="noConversion"/>
  </si>
  <si>
    <t>636X939</t>
    <phoneticPr fontId="13" type="noConversion"/>
  </si>
  <si>
    <t>Natural( BN00-3)</t>
    <phoneticPr fontId="13" type="noConversion"/>
  </si>
  <si>
    <t>Natural( BN01-3)</t>
    <phoneticPr fontId="13" type="noConversion"/>
  </si>
  <si>
    <t>아레나 스무스 
(ARA)</t>
    <phoneticPr fontId="13" type="noConversion"/>
  </si>
  <si>
    <t xml:space="preserve">White(SW01-1), Natural(SN01-1) </t>
    <phoneticPr fontId="13" type="noConversion"/>
  </si>
  <si>
    <t xml:space="preserve">White(SW02-1), Natural(SN02-1) </t>
    <phoneticPr fontId="13" type="noConversion"/>
  </si>
  <si>
    <t xml:space="preserve">White(SW01-3), Natural(SN01-3) </t>
    <phoneticPr fontId="13" type="noConversion"/>
  </si>
  <si>
    <t xml:space="preserve">White(SW02-3), Natural(SN02-3) </t>
    <phoneticPr fontId="13" type="noConversion"/>
  </si>
  <si>
    <t>Warm White/Natual</t>
    <phoneticPr fontId="13" type="noConversion"/>
  </si>
  <si>
    <t>WW</t>
    <phoneticPr fontId="13" type="noConversion"/>
  </si>
  <si>
    <t>WW/EW</t>
    <phoneticPr fontId="13" type="noConversion"/>
  </si>
  <si>
    <t>E08</t>
    <phoneticPr fontId="13" type="noConversion"/>
  </si>
  <si>
    <t>E01</t>
    <phoneticPr fontId="13" type="noConversion"/>
  </si>
  <si>
    <t>E02</t>
    <phoneticPr fontId="13" type="noConversion"/>
  </si>
  <si>
    <t>E03</t>
    <phoneticPr fontId="13" type="noConversion"/>
  </si>
  <si>
    <t>E04-1</t>
    <phoneticPr fontId="13" type="noConversion"/>
  </si>
  <si>
    <t xml:space="preserve">Warm White( WR01 ), Extra White( ER01 ) </t>
    <phoneticPr fontId="13" type="noConversion"/>
  </si>
  <si>
    <t xml:space="preserve">WR04, ER04 </t>
    <phoneticPr fontId="13" type="noConversion"/>
  </si>
  <si>
    <t xml:space="preserve">WR03-1, ER03-1 </t>
    <phoneticPr fontId="13" type="noConversion"/>
  </si>
  <si>
    <t xml:space="preserve">WR05, ER05 </t>
    <phoneticPr fontId="24" type="noConversion"/>
  </si>
  <si>
    <t xml:space="preserve">WR06, ER06 </t>
    <phoneticPr fontId="24" type="noConversion"/>
  </si>
  <si>
    <t xml:space="preserve">WR07, ER07 </t>
    <phoneticPr fontId="24" type="noConversion"/>
  </si>
  <si>
    <t>121 백색, 122 미색</t>
    <phoneticPr fontId="13" type="noConversion"/>
  </si>
  <si>
    <t>201, 202</t>
    <phoneticPr fontId="13" type="noConversion"/>
  </si>
  <si>
    <t>241, 242</t>
    <phoneticPr fontId="13" type="noConversion"/>
  </si>
  <si>
    <t>301, 302</t>
    <phoneticPr fontId="13" type="noConversion"/>
  </si>
  <si>
    <t>391, 392</t>
    <phoneticPr fontId="13" type="noConversion"/>
  </si>
  <si>
    <t>얼스팩( 얼스팩S )
( EAP )</t>
    <phoneticPr fontId="13" type="noConversion"/>
  </si>
  <si>
    <t>788x1091(가로)</t>
    <phoneticPr fontId="13" type="noConversion"/>
  </si>
  <si>
    <t xml:space="preserve">08 Natural </t>
    <phoneticPr fontId="13" type="noConversion"/>
  </si>
  <si>
    <t>09 Natural</t>
    <phoneticPr fontId="13" type="noConversion"/>
  </si>
  <si>
    <t>940x636(세로)</t>
    <phoneticPr fontId="13" type="noConversion"/>
  </si>
  <si>
    <t>08-3 Natural</t>
    <phoneticPr fontId="13" type="noConversion"/>
  </si>
  <si>
    <t>09-3 Natural</t>
    <phoneticPr fontId="13" type="noConversion"/>
  </si>
  <si>
    <t>788폭 롤</t>
    <phoneticPr fontId="13" type="noConversion"/>
  </si>
  <si>
    <t>R08</t>
    <phoneticPr fontId="13" type="noConversion"/>
  </si>
  <si>
    <t xml:space="preserve">R09 </t>
    <phoneticPr fontId="13" type="noConversion"/>
  </si>
  <si>
    <t>01D</t>
    <phoneticPr fontId="13" type="noConversion"/>
  </si>
  <si>
    <t>02D</t>
    <phoneticPr fontId="13" type="noConversion"/>
  </si>
  <si>
    <t>03D</t>
    <phoneticPr fontId="13" type="noConversion"/>
  </si>
  <si>
    <t>04D</t>
    <phoneticPr fontId="13" type="noConversion"/>
  </si>
  <si>
    <t xml:space="preserve">오이코스
( OIKS ) </t>
    <phoneticPr fontId="13" type="noConversion"/>
  </si>
  <si>
    <t xml:space="preserve">기타 </t>
    <phoneticPr fontId="13" type="noConversion"/>
  </si>
  <si>
    <t>C02, 3, 4, 6, 7, 8, 11, 12, 14</t>
    <phoneticPr fontId="13" type="noConversion"/>
  </si>
  <si>
    <t>C05, 13, 15</t>
    <phoneticPr fontId="13" type="noConversion"/>
  </si>
  <si>
    <t xml:space="preserve"> TT04, TT06, TT07</t>
    <phoneticPr fontId="13" type="noConversion"/>
  </si>
  <si>
    <t>TT01-2</t>
    <phoneticPr fontId="13" type="noConversion"/>
  </si>
  <si>
    <t>TT02-2, TT04-2*, TT05-2, TT08-2</t>
    <phoneticPr fontId="13" type="noConversion"/>
  </si>
  <si>
    <t>C02-2, C04-2, C05-2, C08-2</t>
    <phoneticPr fontId="13" type="noConversion"/>
  </si>
  <si>
    <t>CC02-2, CC04-2, CC05-2, CC08-2</t>
    <phoneticPr fontId="13" type="noConversion"/>
  </si>
  <si>
    <t xml:space="preserve">저스트 파인 
( JF ) 
</t>
    <phoneticPr fontId="13" type="noConversion"/>
  </si>
  <si>
    <t xml:space="preserve">RW01 Rough White </t>
    <phoneticPr fontId="13" type="noConversion"/>
  </si>
  <si>
    <t xml:space="preserve">RW02 Rough White </t>
    <phoneticPr fontId="13" type="noConversion"/>
  </si>
  <si>
    <t xml:space="preserve">RW03 Rough White </t>
    <phoneticPr fontId="13" type="noConversion"/>
  </si>
  <si>
    <t xml:space="preserve">RW04 Rough White </t>
    <phoneticPr fontId="13" type="noConversion"/>
  </si>
  <si>
    <t xml:space="preserve">RW05 Rough White </t>
    <phoneticPr fontId="13" type="noConversion"/>
  </si>
  <si>
    <t>RI04 Rough Ivory</t>
    <phoneticPr fontId="13" type="noConversion"/>
  </si>
  <si>
    <t xml:space="preserve">RI05 Rough Ivory </t>
    <phoneticPr fontId="13" type="noConversion"/>
  </si>
  <si>
    <t>SW04 Smooth White</t>
    <phoneticPr fontId="13" type="noConversion"/>
  </si>
  <si>
    <t>SW05 Smooth White</t>
    <phoneticPr fontId="13" type="noConversion"/>
  </si>
  <si>
    <t xml:space="preserve">젠틀
(GTL) 
스타일엠보 통합
</t>
    <phoneticPr fontId="13" type="noConversion"/>
  </si>
  <si>
    <t>S03 Smooth White</t>
    <phoneticPr fontId="13" type="noConversion"/>
  </si>
  <si>
    <t>G04 Granite</t>
    <phoneticPr fontId="13" type="noConversion"/>
  </si>
  <si>
    <t>T02, T04, T05, T06, T07</t>
    <phoneticPr fontId="13" type="noConversion"/>
  </si>
  <si>
    <t>T01, T03, T18, T23, T52</t>
    <phoneticPr fontId="13" type="noConversion"/>
  </si>
  <si>
    <t>T08,T17,T19,T20,T24,T25,T26,T28,T38,T39
T40, T41, T45, T48, T46, T47, T49, T54</t>
    <phoneticPr fontId="13" type="noConversion"/>
  </si>
  <si>
    <t>T34, T37</t>
    <phoneticPr fontId="13" type="noConversion"/>
  </si>
  <si>
    <t>T11, T29, T32, T51</t>
    <phoneticPr fontId="13" type="noConversion"/>
  </si>
  <si>
    <t>T30, T33</t>
    <phoneticPr fontId="13" type="noConversion"/>
  </si>
  <si>
    <t>칼라플 터치
(CFT)</t>
    <phoneticPr fontId="13" type="noConversion"/>
  </si>
  <si>
    <t xml:space="preserve">D01 Milk White( 양면 ) </t>
    <phoneticPr fontId="24" type="noConversion"/>
  </si>
  <si>
    <t>D06 Blood Red( 양면 )</t>
    <phoneticPr fontId="24" type="noConversion"/>
  </si>
  <si>
    <t xml:space="preserve">D12 Dark Navy Blue( 양면 ) </t>
    <phoneticPr fontId="24" type="noConversion"/>
  </si>
  <si>
    <t xml:space="preserve">B01 Black( 단면 ) </t>
    <phoneticPr fontId="24" type="noConversion"/>
  </si>
  <si>
    <t xml:space="preserve">B02 Black( 단면 ) </t>
    <phoneticPr fontId="24" type="noConversion"/>
  </si>
  <si>
    <t xml:space="preserve">B03 Black( 양면 ) </t>
    <phoneticPr fontId="24" type="noConversion"/>
  </si>
  <si>
    <t>B04 Black( 양면 )</t>
    <phoneticPr fontId="24" type="noConversion"/>
  </si>
  <si>
    <t>B05 Black( 양면 )</t>
    <phoneticPr fontId="24" type="noConversion"/>
  </si>
  <si>
    <t>T20N, T23N</t>
    <phoneticPr fontId="13" type="noConversion"/>
  </si>
  <si>
    <t>C06N, C07N, C16N</t>
    <phoneticPr fontId="13" type="noConversion"/>
  </si>
  <si>
    <t>CC06N</t>
    <phoneticPr fontId="13" type="noConversion"/>
  </si>
  <si>
    <t>CC16N</t>
    <phoneticPr fontId="13" type="noConversion"/>
  </si>
  <si>
    <t>C06-1N</t>
    <phoneticPr fontId="13" type="noConversion"/>
  </si>
  <si>
    <t>C00-2N</t>
    <phoneticPr fontId="13" type="noConversion"/>
  </si>
  <si>
    <t>T06N, 11N, 12N, 13N, 15N</t>
    <phoneticPr fontId="13" type="noConversion"/>
  </si>
  <si>
    <t>A00</t>
    <phoneticPr fontId="13" type="noConversion"/>
  </si>
  <si>
    <t>A01</t>
    <phoneticPr fontId="13" type="noConversion"/>
  </si>
  <si>
    <t>A02</t>
    <phoneticPr fontId="13" type="noConversion"/>
  </si>
  <si>
    <t>A03</t>
    <phoneticPr fontId="13" type="noConversion"/>
  </si>
  <si>
    <t>A04</t>
    <phoneticPr fontId="13" type="noConversion"/>
  </si>
  <si>
    <t>A05</t>
    <phoneticPr fontId="13" type="noConversion"/>
  </si>
  <si>
    <t>B02</t>
    <phoneticPr fontId="13" type="noConversion"/>
  </si>
  <si>
    <t>B05</t>
    <phoneticPr fontId="13" type="noConversion"/>
  </si>
  <si>
    <t>B06</t>
    <phoneticPr fontId="13" type="noConversion"/>
  </si>
  <si>
    <t>RA00, RB00</t>
    <phoneticPr fontId="13" type="noConversion"/>
  </si>
  <si>
    <t>288~</t>
    <phoneticPr fontId="13" type="noConversion"/>
  </si>
  <si>
    <t>RA01~, RB01~</t>
    <phoneticPr fontId="13" type="noConversion"/>
  </si>
  <si>
    <t>Clear C12</t>
    <phoneticPr fontId="13" type="noConversion"/>
  </si>
  <si>
    <t xml:space="preserve"> C03</t>
    <phoneticPr fontId="13" type="noConversion"/>
  </si>
  <si>
    <t xml:space="preserve">C02-2 </t>
    <phoneticPr fontId="13" type="noConversion"/>
  </si>
  <si>
    <t>C09</t>
    <phoneticPr fontId="13" type="noConversion"/>
  </si>
  <si>
    <t>T2, T3, T4</t>
    <phoneticPr fontId="13" type="noConversion"/>
  </si>
  <si>
    <t>CT10, 13</t>
    <phoneticPr fontId="13" type="noConversion"/>
  </si>
  <si>
    <t>CT12, CT14, CT15</t>
    <phoneticPr fontId="13" type="noConversion"/>
  </si>
  <si>
    <t>CC1, CC02, CC3</t>
    <phoneticPr fontId="13" type="noConversion"/>
  </si>
  <si>
    <t>CC08</t>
    <phoneticPr fontId="13" type="noConversion"/>
  </si>
  <si>
    <t>CC13</t>
    <phoneticPr fontId="13" type="noConversion"/>
  </si>
  <si>
    <t xml:space="preserve">C1, C3, C8 </t>
    <phoneticPr fontId="13" type="noConversion"/>
  </si>
  <si>
    <t>C2, C5</t>
    <phoneticPr fontId="13" type="noConversion"/>
  </si>
  <si>
    <t>C13</t>
    <phoneticPr fontId="13" type="noConversion"/>
  </si>
  <si>
    <t>C10, C14</t>
    <phoneticPr fontId="13" type="noConversion"/>
  </si>
  <si>
    <t>C9, C11,C12</t>
    <phoneticPr fontId="13" type="noConversion"/>
  </si>
  <si>
    <t>C1-3, C2-1</t>
    <phoneticPr fontId="13" type="noConversion"/>
  </si>
  <si>
    <t>C13-1</t>
    <phoneticPr fontId="13" type="noConversion"/>
  </si>
  <si>
    <t>C07, C10, C11</t>
    <phoneticPr fontId="13" type="noConversion"/>
  </si>
  <si>
    <t>C08, C09, C12</t>
    <phoneticPr fontId="13" type="noConversion"/>
  </si>
  <si>
    <t>CC10, CC11</t>
    <phoneticPr fontId="13" type="noConversion"/>
  </si>
  <si>
    <t>CC08 ,CC09,  CC12</t>
    <phoneticPr fontId="13" type="noConversion"/>
  </si>
  <si>
    <t>CA08, CA09</t>
    <phoneticPr fontId="13" type="noConversion"/>
  </si>
  <si>
    <t xml:space="preserve">클래식 린넨 커버
(LC)
 </t>
    <phoneticPr fontId="13" type="noConversion"/>
  </si>
  <si>
    <t>205A, 207A</t>
    <phoneticPr fontId="13" type="noConversion"/>
  </si>
  <si>
    <t>212, 213</t>
    <phoneticPr fontId="13" type="noConversion"/>
  </si>
  <si>
    <t>205, 207</t>
    <phoneticPr fontId="13" type="noConversion"/>
  </si>
  <si>
    <t>221-1(Epic Black )</t>
    <phoneticPr fontId="13" type="noConversion"/>
  </si>
  <si>
    <t>220-1( P. Blue )</t>
    <phoneticPr fontId="13" type="noConversion"/>
  </si>
  <si>
    <t>S05, 07, 09</t>
    <phoneticPr fontId="13" type="noConversion"/>
  </si>
  <si>
    <t>S04, S06</t>
    <phoneticPr fontId="13" type="noConversion"/>
  </si>
  <si>
    <t>SA04, SA06</t>
    <phoneticPr fontId="13" type="noConversion"/>
  </si>
  <si>
    <t xml:space="preserve">High White( 옛 CQX T2 ) </t>
    <phoneticPr fontId="13" type="noConversion"/>
  </si>
  <si>
    <t>가르다
(GAR)*</t>
    <phoneticPr fontId="13" type="noConversion"/>
  </si>
  <si>
    <t>13</t>
    <phoneticPr fontId="13" type="noConversion"/>
  </si>
  <si>
    <t>White 12</t>
    <phoneticPr fontId="13" type="noConversion"/>
  </si>
  <si>
    <t>4*6 4절*</t>
    <phoneticPr fontId="13" type="noConversion"/>
  </si>
  <si>
    <t xml:space="preserve">White </t>
    <phoneticPr fontId="13" type="noConversion"/>
  </si>
  <si>
    <t>국전 4절*</t>
    <phoneticPr fontId="13" type="noConversion"/>
  </si>
  <si>
    <t>469x318</t>
    <phoneticPr fontId="13" type="noConversion"/>
  </si>
  <si>
    <t>그라시아
(GRA)</t>
  </si>
  <si>
    <t>01 White*</t>
    <phoneticPr fontId="13" type="noConversion"/>
  </si>
  <si>
    <t>02*</t>
    <phoneticPr fontId="13" type="noConversion"/>
  </si>
  <si>
    <t>03*</t>
    <phoneticPr fontId="13" type="noConversion"/>
  </si>
  <si>
    <t>04*</t>
    <phoneticPr fontId="13" type="noConversion"/>
  </si>
  <si>
    <t>06*</t>
    <phoneticPr fontId="13" type="noConversion"/>
  </si>
  <si>
    <t>02-1 White*</t>
    <phoneticPr fontId="13" type="noConversion"/>
  </si>
  <si>
    <t>10*</t>
    <phoneticPr fontId="13" type="noConversion"/>
  </si>
  <si>
    <t>네뚜노
(NE)PM용</t>
    <phoneticPr fontId="13" type="noConversion"/>
  </si>
  <si>
    <t>720X1010</t>
    <phoneticPr fontId="13" type="noConversion"/>
  </si>
  <si>
    <t>Grigio *</t>
    <phoneticPr fontId="13" type="noConversion"/>
  </si>
  <si>
    <t xml:space="preserve">CT01~5 </t>
    <phoneticPr fontId="13" type="noConversion"/>
  </si>
  <si>
    <t xml:space="preserve">CT7, 8, 11, 12 </t>
    <phoneticPr fontId="13" type="noConversion"/>
  </si>
  <si>
    <t xml:space="preserve">CT6, 9, 10 </t>
    <phoneticPr fontId="13" type="noConversion"/>
  </si>
  <si>
    <t>C06, 10</t>
    <phoneticPr fontId="13" type="noConversion"/>
  </si>
  <si>
    <t>뉴에코블랙
(NEBL)
재생펄프 40% 
재고한정</t>
    <phoneticPr fontId="13" type="noConversion"/>
  </si>
  <si>
    <t>Black 01-1</t>
    <phoneticPr fontId="13" type="noConversion"/>
  </si>
  <si>
    <t>05*</t>
    <phoneticPr fontId="13" type="noConversion"/>
  </si>
  <si>
    <t>06-1*</t>
    <phoneticPr fontId="13" type="noConversion"/>
  </si>
  <si>
    <t>07*</t>
    <phoneticPr fontId="13" type="noConversion"/>
  </si>
  <si>
    <t>08"</t>
    <phoneticPr fontId="13" type="noConversion"/>
  </si>
  <si>
    <t>710*</t>
    <phoneticPr fontId="13" type="noConversion"/>
  </si>
  <si>
    <t>11-1 재고소진 후 계약공급</t>
    <phoneticPr fontId="13" type="noConversion"/>
  </si>
  <si>
    <t>all</t>
    <phoneticPr fontId="13" type="noConversion"/>
  </si>
  <si>
    <t>뉴에코블랙 FSC
(NEBL)                             재생펄프 40%</t>
    <phoneticPr fontId="13" type="noConversion"/>
  </si>
  <si>
    <t>01-2</t>
    <phoneticPr fontId="13" type="noConversion"/>
  </si>
  <si>
    <t>뉴에코블랙
(NEBL)                             
재생펄프 41%</t>
  </si>
  <si>
    <t>02-2</t>
    <phoneticPr fontId="13" type="noConversion"/>
  </si>
  <si>
    <t>뉴에코블랙
(NEBL)                             
재생펄프 48%</t>
  </si>
  <si>
    <t>뉴에코블랙
(NEBL)                             
재생펄프 49%</t>
  </si>
  <si>
    <t>뉴에코크라프트
(NEK)</t>
    <phoneticPr fontId="13" type="noConversion"/>
  </si>
  <si>
    <t>Brown 246</t>
    <phoneticPr fontId="13" type="noConversion"/>
  </si>
  <si>
    <t>199</t>
    <phoneticPr fontId="13" type="noConversion"/>
  </si>
  <si>
    <t xml:space="preserve">01F </t>
    <phoneticPr fontId="13" type="noConversion"/>
  </si>
  <si>
    <t>02-1F</t>
    <phoneticPr fontId="13" type="noConversion"/>
  </si>
  <si>
    <t>02F</t>
    <phoneticPr fontId="13" type="noConversion"/>
  </si>
  <si>
    <t>03F</t>
    <phoneticPr fontId="13" type="noConversion"/>
  </si>
  <si>
    <t>205*</t>
    <phoneticPr fontId="13" type="noConversion"/>
  </si>
  <si>
    <t>*</t>
    <phoneticPr fontId="13" type="noConversion"/>
  </si>
  <si>
    <t>264F</t>
    <phoneticPr fontId="13" type="noConversion"/>
  </si>
  <si>
    <t>11F</t>
    <phoneticPr fontId="13" type="noConversion"/>
  </si>
  <si>
    <t>275*</t>
    <phoneticPr fontId="13" type="noConversion"/>
  </si>
  <si>
    <t>265F</t>
    <phoneticPr fontId="13" type="noConversion"/>
  </si>
  <si>
    <t>12F</t>
    <phoneticPr fontId="13" type="noConversion"/>
  </si>
  <si>
    <t>13F</t>
    <phoneticPr fontId="13" type="noConversion"/>
  </si>
  <si>
    <t>14F</t>
    <phoneticPr fontId="13" type="noConversion"/>
  </si>
  <si>
    <t>939X636(가로)</t>
  </si>
  <si>
    <t>Brown 03-1F</t>
    <phoneticPr fontId="13" type="noConversion"/>
  </si>
  <si>
    <t>11-1F</t>
    <phoneticPr fontId="13" type="noConversion"/>
  </si>
  <si>
    <t>12-1F</t>
    <phoneticPr fontId="13" type="noConversion"/>
  </si>
  <si>
    <t>13-1F</t>
    <phoneticPr fontId="13" type="noConversion"/>
  </si>
  <si>
    <t xml:space="preserve">Brown 247 </t>
    <phoneticPr fontId="13" type="noConversion"/>
  </si>
  <si>
    <t>200</t>
    <phoneticPr fontId="13" type="noConversion"/>
  </si>
  <si>
    <t>04F</t>
    <phoneticPr fontId="13" type="noConversion"/>
  </si>
  <si>
    <t>05F</t>
    <phoneticPr fontId="13" type="noConversion"/>
  </si>
  <si>
    <t>06F</t>
    <phoneticPr fontId="13" type="noConversion"/>
  </si>
  <si>
    <t>900x600(가로)</t>
  </si>
  <si>
    <t>Brown</t>
  </si>
  <si>
    <t>788x545(가로)</t>
  </si>
  <si>
    <t>Brown 16F</t>
    <phoneticPr fontId="13" type="noConversion"/>
  </si>
  <si>
    <t>151F</t>
    <phoneticPr fontId="13" type="noConversion"/>
  </si>
  <si>
    <t>26F</t>
    <phoneticPr fontId="13" type="noConversion"/>
  </si>
  <si>
    <t>45F</t>
    <phoneticPr fontId="13" type="noConversion"/>
  </si>
  <si>
    <t>788, 900, 939mm</t>
  </si>
  <si>
    <t xml:space="preserve">Mother roll </t>
  </si>
  <si>
    <t>~337</t>
    <phoneticPr fontId="13" type="noConversion"/>
  </si>
  <si>
    <t xml:space="preserve">별규격  재단 </t>
  </si>
  <si>
    <t>all</t>
  </si>
  <si>
    <t xml:space="preserve">MOQ 2롤 이상 </t>
    <phoneticPr fontId="13" type="noConversion"/>
  </si>
  <si>
    <t>CA02*</t>
    <phoneticPr fontId="13" type="noConversion"/>
  </si>
  <si>
    <t>CA03*</t>
    <phoneticPr fontId="13" type="noConversion"/>
  </si>
  <si>
    <t>CA04*</t>
    <phoneticPr fontId="13" type="noConversion"/>
  </si>
  <si>
    <t>CB02A( 과다 임시 조정 가격 )</t>
    <phoneticPr fontId="13" type="noConversion"/>
  </si>
  <si>
    <t>CD01</t>
    <phoneticPr fontId="13" type="noConversion"/>
  </si>
  <si>
    <t>CD04*</t>
    <phoneticPr fontId="13" type="noConversion"/>
  </si>
  <si>
    <t>CE01*</t>
    <phoneticPr fontId="13" type="noConversion"/>
  </si>
  <si>
    <t>CC02*</t>
    <phoneticPr fontId="13" type="noConversion"/>
  </si>
  <si>
    <t>788X545</t>
    <phoneticPr fontId="13" type="noConversion"/>
  </si>
  <si>
    <t>CB02-1*</t>
    <phoneticPr fontId="13" type="noConversion"/>
  </si>
  <si>
    <t>CL02*</t>
    <phoneticPr fontId="13" type="noConversion"/>
  </si>
  <si>
    <t>CG04*</t>
    <phoneticPr fontId="13" type="noConversion"/>
  </si>
  <si>
    <t>CI01*</t>
    <phoneticPr fontId="13" type="noConversion"/>
  </si>
  <si>
    <t>CF01*, CF02*, CF03*, CF04*</t>
    <phoneticPr fontId="13" type="noConversion"/>
  </si>
  <si>
    <t>CG01*, CG02*</t>
    <phoneticPr fontId="13" type="noConversion"/>
  </si>
  <si>
    <t>CG03*</t>
    <phoneticPr fontId="13" type="noConversion"/>
  </si>
  <si>
    <t>CH01*, CH02*</t>
    <phoneticPr fontId="13" type="noConversion"/>
  </si>
  <si>
    <t>CK01*</t>
    <phoneticPr fontId="13" type="noConversion"/>
  </si>
  <si>
    <t xml:space="preserve">           D2C 크라프트                 ( DCK ) </t>
    <phoneticPr fontId="13" type="noConversion"/>
  </si>
  <si>
    <t>White 01</t>
    <phoneticPr fontId="13" type="noConversion"/>
  </si>
  <si>
    <t>White 01-3</t>
    <phoneticPr fontId="13" type="noConversion"/>
  </si>
  <si>
    <t>02-3</t>
    <phoneticPr fontId="13" type="noConversion"/>
  </si>
  <si>
    <t>03-3</t>
    <phoneticPr fontId="13" type="noConversion"/>
  </si>
  <si>
    <t>디쎈
(DIS)
FSC: 일부제품</t>
    <phoneticPr fontId="13" type="noConversion"/>
  </si>
  <si>
    <t>467x315(가로)</t>
    <phoneticPr fontId="13" type="noConversion"/>
  </si>
  <si>
    <t>i209 가르다-화이트*</t>
    <phoneticPr fontId="13" type="noConversion"/>
  </si>
  <si>
    <t xml:space="preserve"> *</t>
    <phoneticPr fontId="13" type="noConversion"/>
  </si>
  <si>
    <t>i212 그라시아-화이트*</t>
    <phoneticPr fontId="13" type="noConversion"/>
  </si>
  <si>
    <t>i211 그라시아-화이트*</t>
    <phoneticPr fontId="13" type="noConversion"/>
  </si>
  <si>
    <t>i235 니나 로얄선더스(Brilliant white)*</t>
    <phoneticPr fontId="13" type="noConversion"/>
  </si>
  <si>
    <t>i225</t>
    <phoneticPr fontId="13" type="noConversion"/>
  </si>
  <si>
    <t>i242</t>
    <phoneticPr fontId="13" type="noConversion"/>
  </si>
  <si>
    <t>i230 니나칼라카피 수퍼스무스 S.White*</t>
    <phoneticPr fontId="13" type="noConversion"/>
  </si>
  <si>
    <t>I231*</t>
    <phoneticPr fontId="13" type="noConversion"/>
  </si>
  <si>
    <t>I232 *</t>
    <phoneticPr fontId="13" type="noConversion"/>
  </si>
  <si>
    <t>i175 니나 클래식 그래스트 스무스-솔라화이트*</t>
    <phoneticPr fontId="13" type="noConversion"/>
  </si>
  <si>
    <t>i174 니나 클래식 그래스트 스무스-솔라화이트*</t>
    <phoneticPr fontId="13" type="noConversion"/>
  </si>
  <si>
    <t>i233 클래식 린넨(SolarWhite )*</t>
    <phoneticPr fontId="13" type="noConversion"/>
  </si>
  <si>
    <t>i241*</t>
    <phoneticPr fontId="13" type="noConversion"/>
  </si>
  <si>
    <t>527x749(가로)</t>
    <phoneticPr fontId="13" type="noConversion"/>
  </si>
  <si>
    <t xml:space="preserve">i224 </t>
    <phoneticPr fontId="13" type="noConversion"/>
  </si>
  <si>
    <t>483x330(가로)</t>
  </si>
  <si>
    <t xml:space="preserve">i44 코로나도스티플-인피니티화이트* </t>
    <phoneticPr fontId="13" type="noConversion"/>
  </si>
  <si>
    <t>I15 네뚜노</t>
    <phoneticPr fontId="13" type="noConversion"/>
  </si>
  <si>
    <t>i227 띤또레또 순백색( 점착) *</t>
    <phoneticPr fontId="13" type="noConversion"/>
  </si>
  <si>
    <t>띤또레또 순백색 *</t>
    <phoneticPr fontId="13" type="noConversion"/>
  </si>
  <si>
    <t xml:space="preserve">i36 띤또레또 순백색 </t>
    <phoneticPr fontId="13" type="noConversion"/>
  </si>
  <si>
    <t>i17</t>
    <phoneticPr fontId="13" type="noConversion"/>
  </si>
  <si>
    <t>530x750(가로)</t>
    <phoneticPr fontId="13" type="noConversion"/>
  </si>
  <si>
    <t>i260</t>
    <phoneticPr fontId="13" type="noConversion"/>
  </si>
  <si>
    <t>482x330(가로)</t>
    <phoneticPr fontId="13" type="noConversion"/>
  </si>
  <si>
    <t>i258 띤또레또 순백색</t>
    <phoneticPr fontId="13" type="noConversion"/>
  </si>
  <si>
    <t>320x460(세로)</t>
  </si>
  <si>
    <t>DNS 인디고(I65)*</t>
    <phoneticPr fontId="13" type="noConversion"/>
  </si>
  <si>
    <t>DNS 인디고(I66)*</t>
    <phoneticPr fontId="13" type="noConversion"/>
  </si>
  <si>
    <t>DNS 인디고(I67)*</t>
    <phoneticPr fontId="13" type="noConversion"/>
  </si>
  <si>
    <t>460x320(가로)</t>
  </si>
  <si>
    <t>DNS 인디고(I68)*</t>
    <phoneticPr fontId="13" type="noConversion"/>
  </si>
  <si>
    <t>DNS 인디고(I69)*</t>
    <phoneticPr fontId="13" type="noConversion"/>
  </si>
  <si>
    <t>450x320(가로)</t>
  </si>
  <si>
    <t>DNS 프리미엄(I70)*</t>
    <phoneticPr fontId="13" type="noConversion"/>
  </si>
  <si>
    <t>DNS 프리미엄(I71)*</t>
    <phoneticPr fontId="13" type="noConversion"/>
  </si>
  <si>
    <t>DNS 프리미엄(I72)*</t>
    <phoneticPr fontId="13" type="noConversion"/>
  </si>
  <si>
    <t>DNS 프리미엄(I73)*</t>
    <phoneticPr fontId="13" type="noConversion"/>
  </si>
  <si>
    <t>DNS 프리미엄(I74)*</t>
    <phoneticPr fontId="13" type="noConversion"/>
  </si>
  <si>
    <t xml:space="preserve">I128 루프(vellum)-에코화이트* </t>
    <phoneticPr fontId="13" type="noConversion"/>
  </si>
  <si>
    <t>I81 리브스트래디션-브라잇화이트*</t>
    <phoneticPr fontId="13" type="noConversion"/>
  </si>
  <si>
    <t>464x315(가로)</t>
    <phoneticPr fontId="13" type="noConversion"/>
  </si>
  <si>
    <t>빌리지-백색(I204)*</t>
    <phoneticPr fontId="13" type="noConversion"/>
  </si>
  <si>
    <t>315X464(세로)</t>
    <phoneticPr fontId="13" type="noConversion"/>
  </si>
  <si>
    <t>백색(일반지)*</t>
    <phoneticPr fontId="13" type="noConversion"/>
  </si>
  <si>
    <t>순백색(일반지 I203)*</t>
    <phoneticPr fontId="13" type="noConversion"/>
  </si>
  <si>
    <t>백색(일반지) *</t>
    <phoneticPr fontId="13" type="noConversion"/>
  </si>
  <si>
    <t>순백색(일반지 )*</t>
    <phoneticPr fontId="13" type="noConversion"/>
  </si>
  <si>
    <t>I213 백색*</t>
    <phoneticPr fontId="13" type="noConversion"/>
  </si>
  <si>
    <t>I117 모학칼라카피 브라이트 화이트 *</t>
    <phoneticPr fontId="13" type="noConversion"/>
  </si>
  <si>
    <t>I118*</t>
    <phoneticPr fontId="13" type="noConversion"/>
  </si>
  <si>
    <t>I119*</t>
    <phoneticPr fontId="13" type="noConversion"/>
  </si>
  <si>
    <t>310x420(세로)</t>
    <phoneticPr fontId="13" type="noConversion"/>
  </si>
  <si>
    <t>I118-1*</t>
    <phoneticPr fontId="13" type="noConversion"/>
  </si>
  <si>
    <t>I125  모학칼라카피 네온 화이트 *</t>
    <phoneticPr fontId="13" type="noConversion"/>
  </si>
  <si>
    <t>I124*</t>
    <phoneticPr fontId="13" type="noConversion"/>
  </si>
  <si>
    <t>I124-1 *</t>
    <phoneticPr fontId="13" type="noConversion"/>
  </si>
  <si>
    <t>I216-1 모학옵션 100%PC 화이트*</t>
    <phoneticPr fontId="13" type="noConversion"/>
  </si>
  <si>
    <t>I218</t>
    <phoneticPr fontId="13" type="noConversion"/>
  </si>
  <si>
    <t>I219*</t>
    <phoneticPr fontId="13" type="noConversion"/>
  </si>
  <si>
    <t>i56 마제스틱-째쯔라이트 골드*</t>
    <phoneticPr fontId="13" type="noConversion"/>
  </si>
  <si>
    <t>i57 마제스틱-째쯔화이트 골드*</t>
    <phoneticPr fontId="13" type="noConversion"/>
  </si>
  <si>
    <t>i259 밤부럭스</t>
    <phoneticPr fontId="13" type="noConversion"/>
  </si>
  <si>
    <t>i186 마테리카-크라프트*</t>
    <phoneticPr fontId="13" type="noConversion"/>
  </si>
  <si>
    <t>i213 빌지리 백색 *</t>
    <phoneticPr fontId="13" type="noConversion"/>
  </si>
  <si>
    <t>빌리지-백색( 일반지 )*</t>
    <phoneticPr fontId="13" type="noConversion"/>
  </si>
  <si>
    <t xml:space="preserve">i183 센토-엑스크라 화이트 </t>
    <phoneticPr fontId="13" type="noConversion"/>
  </si>
  <si>
    <t>i35 시리오펄-진주</t>
    <phoneticPr fontId="13" type="noConversion"/>
  </si>
  <si>
    <t>i18  시리오펄-스노우</t>
    <phoneticPr fontId="13" type="noConversion"/>
  </si>
  <si>
    <t>i46 시리오펄-실버</t>
    <phoneticPr fontId="13" type="noConversion"/>
  </si>
  <si>
    <t>i19 시리오펄-골드</t>
    <phoneticPr fontId="13" type="noConversion"/>
  </si>
  <si>
    <t>i239 시리오펄 아이스 화이트*</t>
    <phoneticPr fontId="13" type="noConversion"/>
  </si>
  <si>
    <t>i239-1 시리오펄 아이스 화이트</t>
    <phoneticPr fontId="13" type="noConversion"/>
  </si>
  <si>
    <t>i240 시리오펄 스노우</t>
    <phoneticPr fontId="13" type="noConversion"/>
  </si>
  <si>
    <t>i178 시리오칼라 람폰</t>
    <phoneticPr fontId="13" type="noConversion"/>
  </si>
  <si>
    <t>i179 시리오칼라 다크블루</t>
    <phoneticPr fontId="13" type="noConversion"/>
  </si>
  <si>
    <t xml:space="preserve">i177 시리오칼라 블랙 </t>
    <phoneticPr fontId="13" type="noConversion"/>
  </si>
  <si>
    <t>i177-1 시리오칼라 블랙(재고한정)*</t>
    <phoneticPr fontId="13" type="noConversion"/>
  </si>
  <si>
    <t>스펜더룩스*</t>
  </si>
  <si>
    <t>i256 스펜더룩스-프리미엄 화이트</t>
    <phoneticPr fontId="13" type="noConversion"/>
  </si>
  <si>
    <t>I01 심볼*</t>
    <phoneticPr fontId="13" type="noConversion"/>
  </si>
  <si>
    <t>I02*</t>
    <phoneticPr fontId="13" type="noConversion"/>
  </si>
  <si>
    <t>i03 심볼 그로스*</t>
    <phoneticPr fontId="13" type="noConversion"/>
  </si>
  <si>
    <t>i04*</t>
    <phoneticPr fontId="13" type="noConversion"/>
  </si>
  <si>
    <t>i89</t>
    <phoneticPr fontId="13" type="noConversion"/>
  </si>
  <si>
    <t>670x940(세로)</t>
    <phoneticPr fontId="13" type="noConversion"/>
  </si>
  <si>
    <t>i130</t>
    <phoneticPr fontId="13" type="noConversion"/>
  </si>
  <si>
    <t>i261</t>
    <phoneticPr fontId="13" type="noConversion"/>
  </si>
  <si>
    <t>i06 심볼 사틴*</t>
    <phoneticPr fontId="13" type="noConversion"/>
  </si>
  <si>
    <t>i07*</t>
    <phoneticPr fontId="13" type="noConversion"/>
  </si>
  <si>
    <t>i08*</t>
    <phoneticPr fontId="13" type="noConversion"/>
  </si>
  <si>
    <t>464*320(가로)</t>
    <phoneticPr fontId="13" type="noConversion"/>
  </si>
  <si>
    <t>심볼 퓨젼 화이트 I97</t>
    <phoneticPr fontId="13" type="noConversion"/>
  </si>
  <si>
    <t>i98</t>
    <phoneticPr fontId="13" type="noConversion"/>
  </si>
  <si>
    <t>I98-1 *</t>
    <phoneticPr fontId="13" type="noConversion"/>
  </si>
  <si>
    <t>500x700(세로)</t>
    <phoneticPr fontId="13" type="noConversion"/>
  </si>
  <si>
    <t>460x320(가로)</t>
    <phoneticPr fontId="13" type="noConversion"/>
  </si>
  <si>
    <t>I153*</t>
    <phoneticPr fontId="13" type="noConversion"/>
  </si>
  <si>
    <t>I158*</t>
    <phoneticPr fontId="13" type="noConversion"/>
  </si>
  <si>
    <t>i09 썬샤인*</t>
    <phoneticPr fontId="13" type="noConversion"/>
  </si>
  <si>
    <t>I10*</t>
    <phoneticPr fontId="13" type="noConversion"/>
  </si>
  <si>
    <t xml:space="preserve">330폭 </t>
    <phoneticPr fontId="13" type="noConversion"/>
  </si>
  <si>
    <t>i207*</t>
    <phoneticPr fontId="13" type="noConversion"/>
  </si>
  <si>
    <t>i168</t>
    <phoneticPr fontId="13" type="noConversion"/>
  </si>
  <si>
    <t>i10-1*</t>
    <phoneticPr fontId="13" type="noConversion"/>
  </si>
  <si>
    <t>i11</t>
    <phoneticPr fontId="13" type="noConversion"/>
  </si>
  <si>
    <t>i12</t>
    <phoneticPr fontId="13" type="noConversion"/>
  </si>
  <si>
    <t>i236</t>
    <phoneticPr fontId="13" type="noConversion"/>
  </si>
  <si>
    <t>i170</t>
    <phoneticPr fontId="13" type="noConversion"/>
  </si>
  <si>
    <t>i169</t>
    <phoneticPr fontId="13" type="noConversion"/>
  </si>
  <si>
    <t>i171</t>
    <phoneticPr fontId="13" type="noConversion"/>
  </si>
  <si>
    <t>i37 슈퍼파인-울트라화이트*</t>
    <phoneticPr fontId="13" type="noConversion"/>
  </si>
  <si>
    <t>315x467(세로)</t>
    <phoneticPr fontId="13" type="noConversion"/>
  </si>
  <si>
    <t>i205*</t>
    <phoneticPr fontId="13" type="noConversion"/>
  </si>
  <si>
    <t>i90*</t>
    <phoneticPr fontId="13" type="noConversion"/>
  </si>
  <si>
    <t>i237*</t>
    <phoneticPr fontId="13" type="noConversion"/>
  </si>
  <si>
    <t>i145 슈퍼파인에그쉘-화이트*</t>
    <phoneticPr fontId="13" type="noConversion"/>
  </si>
  <si>
    <t>i146*</t>
    <phoneticPr fontId="13" type="noConversion"/>
  </si>
  <si>
    <t>467*315(가로)</t>
    <phoneticPr fontId="13" type="noConversion"/>
  </si>
  <si>
    <t>i100 슈퍼파인에그쉘-울트라화이트*</t>
    <phoneticPr fontId="13" type="noConversion"/>
  </si>
  <si>
    <t>i101*</t>
    <phoneticPr fontId="13" type="noConversion"/>
  </si>
  <si>
    <t>i129*</t>
    <phoneticPr fontId="13" type="noConversion"/>
  </si>
  <si>
    <t>i126</t>
    <phoneticPr fontId="13" type="noConversion"/>
  </si>
  <si>
    <t>I109 스튜디오컬렉션-뉴블랙, I110 레드*</t>
    <phoneticPr fontId="13" type="noConversion"/>
  </si>
  <si>
    <t>I111 스튜디오컬렉션-포레스트그린*</t>
    <phoneticPr fontId="13" type="noConversion"/>
  </si>
  <si>
    <t>I112 스튜디오컬렉션-딥블루*</t>
    <phoneticPr fontId="13" type="noConversion"/>
  </si>
  <si>
    <t>I113 스튜디오컬렉션-스모크그레이*</t>
    <phoneticPr fontId="13" type="noConversion"/>
  </si>
  <si>
    <t>I114 스튜디오컬렉션-스트로우*</t>
    <phoneticPr fontId="13" type="noConversion"/>
  </si>
  <si>
    <t>I115 스튜디오컬렉션-어반그레이*</t>
    <phoneticPr fontId="13" type="noConversion"/>
  </si>
  <si>
    <t>I116 스튜디오컬렉션-코코*</t>
    <phoneticPr fontId="13" type="noConversion"/>
  </si>
  <si>
    <t>i257 컨스털레이션 스노우 E06-화이트</t>
    <phoneticPr fontId="13" type="noConversion"/>
  </si>
  <si>
    <t>Ii162 아코팩-웜 화이트*( 특별 생산건)</t>
    <phoneticPr fontId="13" type="noConversion"/>
  </si>
  <si>
    <t>i181 아코팩-웜 화이트 리사이클</t>
    <phoneticPr fontId="13" type="noConversion"/>
  </si>
  <si>
    <t>i180, i180A* 아코팩-웜 화이트 리사이클</t>
    <phoneticPr fontId="13" type="noConversion"/>
  </si>
  <si>
    <t>I137 올드밀-프리미엄화이트*</t>
    <phoneticPr fontId="13" type="noConversion"/>
  </si>
  <si>
    <t>i258 Bianco</t>
    <phoneticPr fontId="13" type="noConversion"/>
  </si>
  <si>
    <t>i187 우드스탁-미색(Betulla)</t>
    <phoneticPr fontId="13" type="noConversion"/>
  </si>
  <si>
    <t>I103 에브리데이( 스무스)*</t>
    <phoneticPr fontId="13" type="noConversion"/>
  </si>
  <si>
    <t>I104*</t>
    <phoneticPr fontId="13" type="noConversion"/>
  </si>
  <si>
    <t>I105*</t>
    <phoneticPr fontId="13" type="noConversion"/>
  </si>
  <si>
    <t>I106*</t>
    <phoneticPr fontId="13" type="noConversion"/>
  </si>
  <si>
    <t>I107*</t>
    <phoneticPr fontId="13" type="noConversion"/>
  </si>
  <si>
    <t>I108에브리데이벨럼*</t>
    <phoneticPr fontId="13" type="noConversion"/>
  </si>
  <si>
    <t>320*464(세로)</t>
    <phoneticPr fontId="13" type="noConversion"/>
  </si>
  <si>
    <t>I93 X-PER*</t>
    <phoneticPr fontId="13" type="noConversion"/>
  </si>
  <si>
    <t>I94*</t>
    <phoneticPr fontId="13" type="noConversion"/>
  </si>
  <si>
    <t>I95*</t>
    <phoneticPr fontId="13" type="noConversion"/>
  </si>
  <si>
    <t>I96*</t>
    <phoneticPr fontId="13" type="noConversion"/>
  </si>
  <si>
    <t>I32 유포블루 150µm*</t>
    <phoneticPr fontId="13" type="noConversion"/>
  </si>
  <si>
    <t>I33 유포블루 200µm*</t>
    <phoneticPr fontId="13" type="noConversion"/>
  </si>
  <si>
    <t>유포블루 250µm*</t>
    <phoneticPr fontId="13" type="noConversion"/>
  </si>
  <si>
    <t>I159 뉴유포블루 200µm*</t>
    <phoneticPr fontId="13" type="noConversion"/>
  </si>
  <si>
    <t>I160 뉴유포블루 250µm*</t>
    <phoneticPr fontId="13" type="noConversion"/>
  </si>
  <si>
    <t>I33-2 뉴유포블루 200µm*</t>
    <phoneticPr fontId="13" type="noConversion"/>
  </si>
  <si>
    <t>I34-2 뉴유포블루 250µm*</t>
    <phoneticPr fontId="13" type="noConversion"/>
  </si>
  <si>
    <t>I120 유포 옥토퍼스 XAD*</t>
    <phoneticPr fontId="13" type="noConversion"/>
  </si>
  <si>
    <t>I13 코롤라*</t>
    <phoneticPr fontId="13" type="noConversion"/>
  </si>
  <si>
    <t xml:space="preserve">I226 코롤라 레이드 화이트( 점착) * </t>
    <phoneticPr fontId="13" type="noConversion"/>
  </si>
  <si>
    <t>I14 코롤라*</t>
    <phoneticPr fontId="13" type="noConversion"/>
  </si>
  <si>
    <t>칼라카피 인디고(I60)*</t>
    <phoneticPr fontId="13" type="noConversion"/>
  </si>
  <si>
    <t>칼라카피 인디고(I61)*</t>
    <phoneticPr fontId="13" type="noConversion"/>
  </si>
  <si>
    <t>칼라카피 인디고(I62)*</t>
    <phoneticPr fontId="13" type="noConversion"/>
  </si>
  <si>
    <t>칼라카피 인디고(I63)*</t>
    <phoneticPr fontId="13" type="noConversion"/>
  </si>
  <si>
    <t>칼라카피 인디고(I64)*</t>
    <phoneticPr fontId="13" type="noConversion"/>
  </si>
  <si>
    <t>460x315(가로)</t>
    <phoneticPr fontId="13" type="noConversion"/>
  </si>
  <si>
    <t>칼라카피 (I75)*</t>
    <phoneticPr fontId="13" type="noConversion"/>
  </si>
  <si>
    <t>칼라카피 (I76)*</t>
    <phoneticPr fontId="13" type="noConversion"/>
  </si>
  <si>
    <t>칼라카피 (I77)*</t>
    <phoneticPr fontId="13" type="noConversion"/>
  </si>
  <si>
    <t>칼라카피 (I78)*</t>
    <phoneticPr fontId="13" type="noConversion"/>
  </si>
  <si>
    <t>칼라카피 (I79)*</t>
    <phoneticPr fontId="13" type="noConversion"/>
  </si>
  <si>
    <t>I82 콩코르뱀부-내츄럴화이트*</t>
    <phoneticPr fontId="13" type="noConversion"/>
  </si>
  <si>
    <t>I83 큐리어스스킨-엑스트라화이트*</t>
    <phoneticPr fontId="13" type="noConversion"/>
  </si>
  <si>
    <t>I84 큐리어스 메탈릭메탈-러스터*</t>
    <phoneticPr fontId="13" type="noConversion"/>
  </si>
  <si>
    <t>I85 메탈릭메탈-아이스골드*</t>
    <phoneticPr fontId="13" type="noConversion"/>
  </si>
  <si>
    <t>I86 메탈릭메탈-골드리프*</t>
    <phoneticPr fontId="13" type="noConversion"/>
  </si>
  <si>
    <t>I87 메탈릭메탈-아이스실버*</t>
    <phoneticPr fontId="13" type="noConversion"/>
  </si>
  <si>
    <t>i85-1 메탈릭메탈-아이스골드</t>
    <phoneticPr fontId="13" type="noConversion"/>
  </si>
  <si>
    <t>i87-1 메탈릭메탈-아이스실버</t>
    <phoneticPr fontId="13" type="noConversion"/>
  </si>
  <si>
    <t>i40 크롬코트-화이트C1S*</t>
    <phoneticPr fontId="13" type="noConversion"/>
  </si>
  <si>
    <t>i41 크롬코트-화이트C2S*</t>
    <phoneticPr fontId="13" type="noConversion"/>
  </si>
  <si>
    <t>470*318(가로)</t>
  </si>
  <si>
    <t>i42 프로포토-화이트*</t>
    <phoneticPr fontId="13" type="noConversion"/>
  </si>
  <si>
    <t>400*750(세로)</t>
    <phoneticPr fontId="13" type="noConversion"/>
  </si>
  <si>
    <t xml:space="preserve"> 프로포토-화이트*</t>
    <phoneticPr fontId="13" type="noConversion"/>
  </si>
  <si>
    <t>530*750(종)</t>
    <phoneticPr fontId="13" type="noConversion"/>
  </si>
  <si>
    <t>프로포토-화이트*</t>
    <phoneticPr fontId="13" type="noConversion"/>
  </si>
  <si>
    <t>515*728(세로)</t>
    <phoneticPr fontId="13" type="noConversion"/>
  </si>
  <si>
    <t>i43 프로포토-화이트*</t>
    <phoneticPr fontId="13" type="noConversion"/>
  </si>
  <si>
    <t>I21 타이벡 1056D*</t>
    <phoneticPr fontId="13" type="noConversion"/>
  </si>
  <si>
    <t>I22 타이벡 1059D*</t>
    <phoneticPr fontId="13" type="noConversion"/>
  </si>
  <si>
    <t>타이벡 1070D*</t>
    <phoneticPr fontId="13" type="noConversion"/>
  </si>
  <si>
    <t>타이벡 1073D*</t>
    <phoneticPr fontId="13" type="noConversion"/>
  </si>
  <si>
    <t>타이벡 1082D*</t>
    <phoneticPr fontId="13" type="noConversion"/>
  </si>
  <si>
    <t>I26~31  데코타이벡 6색상*</t>
    <phoneticPr fontId="13" type="noConversion"/>
  </si>
  <si>
    <t>I80 큐리어스 트랜스루슨트 클리어*</t>
    <phoneticPr fontId="13" type="noConversion"/>
  </si>
  <si>
    <t>320x460(가로)</t>
    <phoneticPr fontId="13" type="noConversion"/>
  </si>
  <si>
    <t>I140 PO2(폴리아트) 일반*</t>
    <phoneticPr fontId="13" type="noConversion"/>
  </si>
  <si>
    <t>I141*</t>
    <phoneticPr fontId="13" type="noConversion"/>
  </si>
  <si>
    <t>I142*</t>
    <phoneticPr fontId="13" type="noConversion"/>
  </si>
  <si>
    <t>I143*</t>
    <phoneticPr fontId="13" type="noConversion"/>
  </si>
  <si>
    <t>I131 PO2 이리데슨트 Blue I134 Gold *</t>
    <phoneticPr fontId="13" type="noConversion"/>
  </si>
  <si>
    <t>I135 Gold, I132  Blue*</t>
    <phoneticPr fontId="13" type="noConversion"/>
  </si>
  <si>
    <t>I136 Gold, i133 Blue*</t>
    <phoneticPr fontId="13" type="noConversion"/>
  </si>
  <si>
    <t>I148 PO2(폴리아트) 점착(백색)</t>
    <phoneticPr fontId="13" type="noConversion"/>
  </si>
  <si>
    <t>디센미디어
(DISM)</t>
    <phoneticPr fontId="13" type="noConversion"/>
  </si>
  <si>
    <t>315x467mm</t>
  </si>
  <si>
    <t>IBF215 Indigo Backlit 215</t>
    <phoneticPr fontId="13" type="noConversion"/>
  </si>
  <si>
    <t>ICS175 Indigo C. Stone Cote 175*</t>
    <phoneticPr fontId="13" type="noConversion"/>
  </si>
  <si>
    <t>ICS250 Indigo C. Stone Cote 250</t>
    <phoneticPr fontId="13" type="noConversion"/>
  </si>
  <si>
    <t>320X467mm</t>
  </si>
  <si>
    <t>ICS250-1 Indigo C. Stone Cote 250-1</t>
    <phoneticPr fontId="13" type="noConversion"/>
  </si>
  <si>
    <t>1310X1500M</t>
  </si>
  <si>
    <t>ICS250R Indigo C. Stone Cote 250R</t>
    <phoneticPr fontId="13" type="noConversion"/>
  </si>
  <si>
    <t>320X500M</t>
  </si>
  <si>
    <t>ICS250S Indigo C. Stone Cote 250S</t>
    <phoneticPr fontId="13" type="noConversion"/>
  </si>
  <si>
    <t>IFT330 Indigo F. Hi-Cavas 330</t>
    <phoneticPr fontId="13" type="noConversion"/>
  </si>
  <si>
    <t>530x750mm</t>
    <phoneticPr fontId="13" type="noConversion"/>
  </si>
  <si>
    <t>IFT330-1 Indigo F. Hi-Cavas 330</t>
    <phoneticPr fontId="13" type="noConversion"/>
  </si>
  <si>
    <t xml:space="preserve">IGCR75 Indigo Glastic Clear R75 </t>
    <phoneticPr fontId="13" type="noConversion"/>
  </si>
  <si>
    <t>315x467mm</t>
    <phoneticPr fontId="13" type="noConversion"/>
  </si>
  <si>
    <t>IGWR125 Indigo Glastic White R 125</t>
    <phoneticPr fontId="13" type="noConversion"/>
  </si>
  <si>
    <t>320X480mm</t>
  </si>
  <si>
    <t>ILP125-1 Indigo Lastic P125*</t>
    <phoneticPr fontId="13" type="noConversion"/>
  </si>
  <si>
    <t>IO125 Indigo Opaz 150</t>
    <phoneticPr fontId="13" type="noConversion"/>
  </si>
  <si>
    <t>IO190 Indigo Opaz 190</t>
    <phoneticPr fontId="13" type="noConversion"/>
  </si>
  <si>
    <t>IO250 Indigo Opaz 250</t>
    <phoneticPr fontId="13" type="noConversion"/>
  </si>
  <si>
    <t>LC150 Leto Crystal 150</t>
    <phoneticPr fontId="13" type="noConversion"/>
  </si>
  <si>
    <t>LC260 Leto Crystal 260</t>
    <phoneticPr fontId="13" type="noConversion"/>
  </si>
  <si>
    <t>LC370 Leto Crystal 370</t>
    <phoneticPr fontId="13" type="noConversion"/>
  </si>
  <si>
    <t>LO150 Leto Opaz 150</t>
    <phoneticPr fontId="13" type="noConversion"/>
  </si>
  <si>
    <t>LO210 Leto Opaz 210</t>
    <phoneticPr fontId="13" type="noConversion"/>
  </si>
  <si>
    <t>LO270 Leto Opaz 270</t>
    <phoneticPr fontId="13" type="noConversion"/>
  </si>
  <si>
    <t>320x488mm</t>
    <phoneticPr fontId="13" type="noConversion"/>
  </si>
  <si>
    <t>LT150-1 Leto Trace 150</t>
    <phoneticPr fontId="13" type="noConversion"/>
  </si>
  <si>
    <t>LT150 Leto Trace 150</t>
    <phoneticPr fontId="13" type="noConversion"/>
  </si>
  <si>
    <t>LT260 Leto Trace 260</t>
    <phoneticPr fontId="13" type="noConversion"/>
  </si>
  <si>
    <t>LGH270 Leto Glastic H270</t>
    <phoneticPr fontId="13" type="noConversion"/>
  </si>
  <si>
    <t>LGR270 Leto Glastic R270</t>
    <phoneticPr fontId="13" type="noConversion"/>
  </si>
  <si>
    <t>LLP270 Leto Glastic P270</t>
    <phoneticPr fontId="13" type="noConversion"/>
  </si>
  <si>
    <t>LT370 Leto Trace 370</t>
    <phoneticPr fontId="13" type="noConversion"/>
  </si>
  <si>
    <t>330x483mm</t>
    <phoneticPr fontId="13" type="noConversion"/>
  </si>
  <si>
    <t>LT370-1 Leto Trace 370</t>
    <phoneticPr fontId="13" type="noConversion"/>
  </si>
  <si>
    <t>LW175 Leto White 175</t>
    <phoneticPr fontId="13" type="noConversion"/>
  </si>
  <si>
    <t>LW275 Leto White 275</t>
    <phoneticPr fontId="13" type="noConversion"/>
  </si>
  <si>
    <t>LW380 Leto White 380</t>
    <phoneticPr fontId="13" type="noConversion"/>
  </si>
  <si>
    <t>H01 럭셔리 헤비( Heavy ) 40% 재생지*</t>
    <phoneticPr fontId="13" type="noConversion"/>
  </si>
  <si>
    <t>H02*</t>
    <phoneticPr fontId="13" type="noConversion"/>
  </si>
  <si>
    <t>H03*</t>
    <phoneticPr fontId="13" type="noConversion"/>
  </si>
  <si>
    <t>H04*</t>
    <phoneticPr fontId="13" type="noConversion"/>
  </si>
  <si>
    <t>H05*</t>
    <phoneticPr fontId="13" type="noConversion"/>
  </si>
  <si>
    <t>H06*</t>
    <phoneticPr fontId="13" type="noConversion"/>
  </si>
  <si>
    <t>더튜브
(TTB)</t>
    <phoneticPr fontId="13" type="noConversion"/>
  </si>
  <si>
    <t>Chalk, Mud, Dust</t>
    <phoneticPr fontId="13" type="noConversion"/>
  </si>
  <si>
    <t>Toffee, Graphite, Petrol, Marrone, Black Max</t>
    <phoneticPr fontId="13" type="noConversion"/>
  </si>
  <si>
    <t>Hide Chalk, Hide Dust</t>
    <phoneticPr fontId="13" type="noConversion"/>
  </si>
  <si>
    <t>Hide Toffee, Hide Marrone, Hide Black Max</t>
    <phoneticPr fontId="13" type="noConversion"/>
  </si>
  <si>
    <t>Hide Chalk, Hide Dust</t>
  </si>
  <si>
    <t>Hide Toffee, Hide Marrone, Hide Black Max</t>
  </si>
  <si>
    <t xml:space="preserve">디자인 라벨
(LAB)  
 </t>
    <phoneticPr fontId="13" type="noConversion"/>
  </si>
  <si>
    <t>디쎈 I226*</t>
    <phoneticPr fontId="13" type="noConversion"/>
  </si>
  <si>
    <t>디쎈 I227*</t>
    <phoneticPr fontId="13" type="noConversion"/>
  </si>
  <si>
    <t>디쎈 I228*</t>
    <phoneticPr fontId="13" type="noConversion"/>
  </si>
  <si>
    <t>1. Jade Raster</t>
    <phoneticPr fontId="13" type="noConversion"/>
  </si>
  <si>
    <t>2. Corolla Laid Beige</t>
    <phoneticPr fontId="13" type="noConversion"/>
  </si>
  <si>
    <t>3-1 Savile Row Tweed White</t>
    <phoneticPr fontId="13" type="noConversion"/>
  </si>
  <si>
    <t>4. Clear Acetate Bright</t>
    <phoneticPr fontId="13" type="noConversion"/>
  </si>
  <si>
    <t xml:space="preserve">CP01~( CPL 라벨 15색) </t>
    <phoneticPr fontId="13" type="noConversion"/>
  </si>
  <si>
    <t>700x500(가로)</t>
    <phoneticPr fontId="13" type="noConversion"/>
  </si>
  <si>
    <t>A01 Ispira Purezza Ultra WS</t>
    <phoneticPr fontId="13" type="noConversion"/>
  </si>
  <si>
    <t>A02 Ispira Saggezza Ultra WS</t>
    <phoneticPr fontId="13" type="noConversion"/>
  </si>
  <si>
    <t>A03 Ispira Mistero Ultra WS</t>
    <phoneticPr fontId="13" type="noConversion"/>
  </si>
  <si>
    <t>A04 Jade Arpa Ultra WS</t>
    <phoneticPr fontId="13" type="noConversion"/>
  </si>
  <si>
    <t>A05 Sirio Pearl Ice White</t>
    <phoneticPr fontId="13" type="noConversion"/>
  </si>
  <si>
    <t>띤또레또
(TIN)</t>
  </si>
  <si>
    <t>백색( 코튼 60% )*</t>
    <phoneticPr fontId="13" type="noConversion"/>
  </si>
  <si>
    <t>560x760</t>
    <phoneticPr fontId="13" type="noConversion"/>
  </si>
  <si>
    <t>백색( 코튼 Mixed )</t>
    <phoneticPr fontId="13" type="noConversion"/>
  </si>
  <si>
    <t>140 백색</t>
    <phoneticPr fontId="13" type="noConversion"/>
  </si>
  <si>
    <t>180G 순백</t>
    <phoneticPr fontId="13" type="noConversion"/>
  </si>
  <si>
    <t>200G 순백, 200 백</t>
    <phoneticPr fontId="13" type="noConversion"/>
  </si>
  <si>
    <t>250G 순백, 200 백</t>
    <phoneticPr fontId="13" type="noConversion"/>
  </si>
  <si>
    <t>300G 순백, 300 백</t>
    <phoneticPr fontId="13" type="noConversion"/>
  </si>
  <si>
    <t>350G-1  순백, 350 백</t>
    <phoneticPr fontId="13" type="noConversion"/>
  </si>
  <si>
    <t>백색</t>
    <phoneticPr fontId="13" type="noConversion"/>
  </si>
  <si>
    <t>T2*</t>
    <phoneticPr fontId="13" type="noConversion"/>
  </si>
  <si>
    <t>T5*, T6*, T7*</t>
    <phoneticPr fontId="13" type="noConversion"/>
  </si>
  <si>
    <t>T8*, T9*</t>
    <phoneticPr fontId="13" type="noConversion"/>
  </si>
  <si>
    <t>CT4*</t>
    <phoneticPr fontId="13" type="noConversion"/>
  </si>
  <si>
    <t>CT9*</t>
    <phoneticPr fontId="13" type="noConversion"/>
  </si>
  <si>
    <t>C3*, C4*</t>
    <phoneticPr fontId="13" type="noConversion"/>
  </si>
  <si>
    <t>C9*</t>
    <phoneticPr fontId="13" type="noConversion"/>
  </si>
  <si>
    <t>레더텍스
(LTX)</t>
  </si>
  <si>
    <t>770x1091(세로)</t>
  </si>
  <si>
    <t>B01, C01, C02, D01, L01</t>
    <phoneticPr fontId="13" type="noConversion"/>
  </si>
  <si>
    <t>C01-1*</t>
    <phoneticPr fontId="13" type="noConversion"/>
  </si>
  <si>
    <t>Y22-1~19</t>
    <phoneticPr fontId="13" type="noConversion"/>
  </si>
  <si>
    <t>B02~06, C03~08, D02~06</t>
    <phoneticPr fontId="13" type="noConversion"/>
  </si>
  <si>
    <t>C08-1*</t>
    <phoneticPr fontId="13" type="noConversion"/>
  </si>
  <si>
    <t>L02</t>
    <phoneticPr fontId="13" type="noConversion"/>
  </si>
  <si>
    <t>L08</t>
    <phoneticPr fontId="13" type="noConversion"/>
  </si>
  <si>
    <t>L03~07</t>
    <phoneticPr fontId="13" type="noConversion"/>
  </si>
  <si>
    <t>L20-1 *</t>
    <phoneticPr fontId="13" type="noConversion"/>
  </si>
  <si>
    <t xml:space="preserve">LU01, LU02, LU03  </t>
    <phoneticPr fontId="13" type="noConversion"/>
  </si>
  <si>
    <t xml:space="preserve">LU04~06 </t>
    <phoneticPr fontId="13" type="noConversion"/>
  </si>
  <si>
    <t>SA01,02,03,04, 06,07</t>
    <phoneticPr fontId="13" type="noConversion"/>
  </si>
  <si>
    <t xml:space="preserve">SA08,09,10 </t>
    <phoneticPr fontId="13" type="noConversion"/>
  </si>
  <si>
    <t>SA10-1*</t>
    <phoneticPr fontId="13" type="noConversion"/>
  </si>
  <si>
    <t>SW01,2,7,8,10,11,12,14,15,16</t>
    <phoneticPr fontId="13" type="noConversion"/>
  </si>
  <si>
    <t>SW03, 4, 5, 6, 9, 9-6, 13*</t>
    <phoneticPr fontId="13" type="noConversion"/>
  </si>
  <si>
    <t>770X545(세로)</t>
    <phoneticPr fontId="13" type="noConversion"/>
  </si>
  <si>
    <t>LU01-1*(2절 재단사이즈 처분)</t>
    <phoneticPr fontId="13" type="noConversion"/>
  </si>
  <si>
    <t>760X1091(세로)</t>
    <phoneticPr fontId="13" type="noConversion"/>
  </si>
  <si>
    <t>T01~T08</t>
    <phoneticPr fontId="13" type="noConversion"/>
  </si>
  <si>
    <t>788X1m</t>
    <phoneticPr fontId="13" type="noConversion"/>
  </si>
  <si>
    <t xml:space="preserve">SI02 </t>
    <phoneticPr fontId="13" type="noConversion"/>
  </si>
  <si>
    <t>SI06</t>
    <phoneticPr fontId="13" type="noConversion"/>
  </si>
  <si>
    <t>Y22-1~27</t>
    <phoneticPr fontId="13" type="noConversion"/>
  </si>
  <si>
    <t>Y22-28, 29, 30, 31, 32, 33</t>
    <phoneticPr fontId="13" type="noConversion"/>
  </si>
  <si>
    <t>레세보 디자인
(LBD)</t>
    <phoneticPr fontId="13" type="noConversion"/>
  </si>
  <si>
    <t>2, N02</t>
    <phoneticPr fontId="13" type="noConversion"/>
  </si>
  <si>
    <t>3, N03</t>
    <phoneticPr fontId="13" type="noConversion"/>
  </si>
  <si>
    <t>4, N04</t>
    <phoneticPr fontId="13" type="noConversion"/>
  </si>
  <si>
    <t>5, N05</t>
    <phoneticPr fontId="13" type="noConversion"/>
  </si>
  <si>
    <t>6, N06</t>
    <phoneticPr fontId="13" type="noConversion"/>
  </si>
  <si>
    <t>01-1</t>
    <phoneticPr fontId="13" type="noConversion"/>
  </si>
  <si>
    <t>02-1, N02-1</t>
    <phoneticPr fontId="13" type="noConversion"/>
  </si>
  <si>
    <t>03-1, N03-1</t>
    <phoneticPr fontId="13" type="noConversion"/>
  </si>
  <si>
    <t>04-1, N04-1</t>
    <phoneticPr fontId="13" type="noConversion"/>
  </si>
  <si>
    <t>05-1, N05-1</t>
    <phoneticPr fontId="13" type="noConversion"/>
  </si>
  <si>
    <t>06-1, N06-1</t>
    <phoneticPr fontId="13" type="noConversion"/>
  </si>
  <si>
    <t>939x636(가로&amp;세로)</t>
    <phoneticPr fontId="13" type="noConversion"/>
  </si>
  <si>
    <t>N08-1</t>
    <phoneticPr fontId="13" type="noConversion"/>
  </si>
  <si>
    <t>CT02 100PC White*</t>
    <phoneticPr fontId="13" type="noConversion"/>
  </si>
  <si>
    <t>C03 Eclipse Black*</t>
    <phoneticPr fontId="13" type="noConversion"/>
  </si>
  <si>
    <t>CC03 Eclipse Black*</t>
    <phoneticPr fontId="13" type="noConversion"/>
  </si>
  <si>
    <t>CA03 Eclipse Black*</t>
    <phoneticPr fontId="13" type="noConversion"/>
  </si>
  <si>
    <t>04 20PT*( 신규 판매시 새고시가 적용 )</t>
    <phoneticPr fontId="13" type="noConversion"/>
  </si>
  <si>
    <t>06 26PT*</t>
    <phoneticPr fontId="13" type="noConversion"/>
  </si>
  <si>
    <t>07 30PT*</t>
    <phoneticPr fontId="13" type="noConversion"/>
  </si>
  <si>
    <t>20Pt*( 신규 판매시 새고시가 적용 )</t>
    <phoneticPr fontId="13" type="noConversion"/>
  </si>
  <si>
    <t>11 20PT*</t>
    <phoneticPr fontId="13" type="noConversion"/>
  </si>
  <si>
    <t>룩스 패브릭
(LF)</t>
    <phoneticPr fontId="13" type="noConversion"/>
  </si>
  <si>
    <t>S35-01, S40-01, S40-02, S40-05, S40-06</t>
    <phoneticPr fontId="13" type="noConversion"/>
  </si>
  <si>
    <t>S40-07, S40-11, S40-23</t>
    <phoneticPr fontId="13" type="noConversion"/>
  </si>
  <si>
    <t>S42-02, S42-03, S42-05, S42-06, S42-08</t>
    <phoneticPr fontId="13" type="noConversion"/>
  </si>
  <si>
    <t>S42-09*</t>
    <phoneticPr fontId="13" type="noConversion"/>
  </si>
  <si>
    <t>S42-10*, S42-11, S42-12, S42-14, S42-16, 24</t>
    <phoneticPr fontId="13" type="noConversion"/>
  </si>
  <si>
    <t>S42-20*, S42-80*</t>
    <phoneticPr fontId="13" type="noConversion"/>
  </si>
  <si>
    <t>S39-01*, S39-03*</t>
    <phoneticPr fontId="13" type="noConversion"/>
  </si>
  <si>
    <t>리메이크
(RMK)</t>
    <phoneticPr fontId="13" type="noConversion"/>
  </si>
  <si>
    <t>T02*</t>
    <phoneticPr fontId="13" type="noConversion"/>
  </si>
  <si>
    <t>T04*</t>
    <phoneticPr fontId="13" type="noConversion"/>
  </si>
  <si>
    <t>C02*</t>
    <phoneticPr fontId="13" type="noConversion"/>
  </si>
  <si>
    <t>C04*</t>
    <phoneticPr fontId="13" type="noConversion"/>
  </si>
  <si>
    <t>C05*</t>
    <phoneticPr fontId="13" type="noConversion"/>
  </si>
  <si>
    <t>CC06*</t>
    <phoneticPr fontId="13" type="noConversion"/>
  </si>
  <si>
    <t>T04-1*</t>
    <phoneticPr fontId="13" type="noConversion"/>
  </si>
  <si>
    <t>T06-1 *</t>
    <phoneticPr fontId="13" type="noConversion"/>
  </si>
  <si>
    <t>CT05-1*</t>
    <phoneticPr fontId="13" type="noConversion"/>
  </si>
  <si>
    <t>C02-1*</t>
    <phoneticPr fontId="13" type="noConversion"/>
  </si>
  <si>
    <t>C05-1*, C06-1*</t>
    <phoneticPr fontId="13" type="noConversion"/>
  </si>
  <si>
    <t>리브스디자인
(RD)</t>
    <phoneticPr fontId="13" type="noConversion"/>
  </si>
  <si>
    <t xml:space="preserve"> T01, T02, T03, T04*</t>
    <phoneticPr fontId="13" type="noConversion"/>
  </si>
  <si>
    <t>TB03 Bianco</t>
    <phoneticPr fontId="13" type="noConversion"/>
  </si>
  <si>
    <t>D01,D02,D03</t>
    <phoneticPr fontId="13" type="noConversion"/>
  </si>
  <si>
    <t>DB01 Candido, DB03 Bianco</t>
    <phoneticPr fontId="13" type="noConversion"/>
  </si>
  <si>
    <t>C01,C02,C03</t>
    <phoneticPr fontId="13" type="noConversion"/>
  </si>
  <si>
    <t>CC01*</t>
    <phoneticPr fontId="13" type="noConversion"/>
  </si>
  <si>
    <t>리브스트래디션
(RT2)</t>
    <phoneticPr fontId="13" type="noConversion"/>
  </si>
  <si>
    <t>T1,T2,T03</t>
    <phoneticPr fontId="13" type="noConversion"/>
  </si>
  <si>
    <t>T5*</t>
    <phoneticPr fontId="13" type="noConversion"/>
  </si>
  <si>
    <t>C1,C2,C3</t>
    <phoneticPr fontId="13" type="noConversion"/>
  </si>
  <si>
    <t>C5*</t>
    <phoneticPr fontId="13" type="noConversion"/>
  </si>
  <si>
    <t>R1</t>
    <phoneticPr fontId="13" type="noConversion"/>
  </si>
  <si>
    <t xml:space="preserve">R2, R3 </t>
    <phoneticPr fontId="13" type="noConversion"/>
  </si>
  <si>
    <t>R4*, R7*</t>
    <phoneticPr fontId="13" type="noConversion"/>
  </si>
  <si>
    <t>R12, R13, R14</t>
    <phoneticPr fontId="13" type="noConversion"/>
  </si>
  <si>
    <t>리사이클러스 100%
(REC)*</t>
    <phoneticPr fontId="13" type="noConversion"/>
  </si>
  <si>
    <t>1-2</t>
    <phoneticPr fontId="13" type="noConversion"/>
  </si>
  <si>
    <t>2-2</t>
    <phoneticPr fontId="13" type="noConversion"/>
  </si>
  <si>
    <t>3-2</t>
    <phoneticPr fontId="13" type="noConversion"/>
  </si>
  <si>
    <t>1-1</t>
    <phoneticPr fontId="13" type="noConversion"/>
  </si>
  <si>
    <t>2-1</t>
    <phoneticPr fontId="13" type="noConversion"/>
  </si>
  <si>
    <t>3-1</t>
    <phoneticPr fontId="13" type="noConversion"/>
  </si>
  <si>
    <t>4-1</t>
    <phoneticPr fontId="13" type="noConversion"/>
  </si>
  <si>
    <t>6-1</t>
    <phoneticPr fontId="13" type="noConversion"/>
  </si>
  <si>
    <t xml:space="preserve">28A( 한시적 할인 ) </t>
    <phoneticPr fontId="13" type="noConversion"/>
  </si>
  <si>
    <t xml:space="preserve">13-2( 한시적 할인 ) </t>
    <phoneticPr fontId="13" type="noConversion"/>
  </si>
  <si>
    <t>Ivory*</t>
    <phoneticPr fontId="13" type="noConversion"/>
  </si>
  <si>
    <t>Snow White 29*</t>
    <phoneticPr fontId="13" type="noConversion"/>
  </si>
  <si>
    <t>34*</t>
    <phoneticPr fontId="13" type="noConversion"/>
  </si>
  <si>
    <t>35*</t>
    <phoneticPr fontId="13" type="noConversion"/>
  </si>
  <si>
    <t>Snow White 36*</t>
    <phoneticPr fontId="13" type="noConversion"/>
  </si>
  <si>
    <t>42*</t>
    <phoneticPr fontId="13" type="noConversion"/>
  </si>
  <si>
    <t>315x467 4절</t>
    <phoneticPr fontId="13" type="noConversion"/>
  </si>
  <si>
    <t xml:space="preserve">DIS 재단 시 </t>
    <phoneticPr fontId="13" type="noConversion"/>
  </si>
  <si>
    <t>T03*, T04*</t>
    <phoneticPr fontId="13" type="noConversion"/>
  </si>
  <si>
    <t>T05*, T06*</t>
    <phoneticPr fontId="13" type="noConversion"/>
  </si>
  <si>
    <t>T07*,T08*,T09*,T10*,T11*</t>
  </si>
  <si>
    <t>T12* ,T13*</t>
    <phoneticPr fontId="13" type="noConversion"/>
  </si>
  <si>
    <t>T18*</t>
    <phoneticPr fontId="13" type="noConversion"/>
  </si>
  <si>
    <t>T19*</t>
    <phoneticPr fontId="13" type="noConversion"/>
  </si>
  <si>
    <t>C03*, C04*</t>
    <phoneticPr fontId="13" type="noConversion"/>
  </si>
  <si>
    <t>C05*,C06*</t>
  </si>
  <si>
    <t>C07*~C11*</t>
  </si>
  <si>
    <t>C12*,C13*</t>
  </si>
  <si>
    <t>C18*</t>
    <phoneticPr fontId="13" type="noConversion"/>
  </si>
  <si>
    <t>C19*</t>
    <phoneticPr fontId="13" type="noConversion"/>
  </si>
  <si>
    <t>(T01~T03)*</t>
    <phoneticPr fontId="13" type="noConversion"/>
  </si>
  <si>
    <t>마제스틱
카멜레온 라이트
(MJC)</t>
    <phoneticPr fontId="13" type="noConversion"/>
  </si>
  <si>
    <t>C01~C04*</t>
    <phoneticPr fontId="13" type="noConversion"/>
  </si>
  <si>
    <t>C07</t>
    <phoneticPr fontId="13" type="noConversion"/>
  </si>
  <si>
    <t>B07 Crypton White</t>
    <phoneticPr fontId="13" type="noConversion"/>
  </si>
  <si>
    <t>B07-2 Crypton White</t>
    <phoneticPr fontId="13" type="noConversion"/>
  </si>
  <si>
    <t>A4(210x297)</t>
  </si>
  <si>
    <t>전칼라(MC01~MC04)*</t>
    <phoneticPr fontId="13" type="noConversion"/>
  </si>
  <si>
    <t>T07*</t>
    <phoneticPr fontId="13" type="noConversion"/>
  </si>
  <si>
    <t>T11*</t>
    <phoneticPr fontId="13" type="noConversion"/>
  </si>
  <si>
    <t>T12, 13, 14*</t>
    <phoneticPr fontId="13" type="noConversion"/>
  </si>
  <si>
    <t>T08*, T09* ,T10*</t>
    <phoneticPr fontId="13" type="noConversion"/>
  </si>
  <si>
    <t>CT07*</t>
    <phoneticPr fontId="13" type="noConversion"/>
  </si>
  <si>
    <t>CT08*</t>
    <phoneticPr fontId="13" type="noConversion"/>
  </si>
  <si>
    <t>CT09*, CT10*</t>
    <phoneticPr fontId="13" type="noConversion"/>
  </si>
  <si>
    <t>CT02*</t>
    <phoneticPr fontId="13" type="noConversion"/>
  </si>
  <si>
    <t>CT06*</t>
    <phoneticPr fontId="13" type="noConversion"/>
  </si>
  <si>
    <t>CT03*</t>
    <phoneticPr fontId="13" type="noConversion"/>
  </si>
  <si>
    <t xml:space="preserve">CT04, CT08-1, CT09, CT10-1 </t>
    <phoneticPr fontId="13" type="noConversion"/>
  </si>
  <si>
    <t>CP07*</t>
    <phoneticPr fontId="13" type="noConversion"/>
  </si>
  <si>
    <t>CP08*, CP09*, CP10*</t>
    <phoneticPr fontId="13" type="noConversion"/>
  </si>
  <si>
    <t xml:space="preserve">CP03*  </t>
    <phoneticPr fontId="13" type="noConversion"/>
  </si>
  <si>
    <t>CP04*, CP08-1, CP09-1, CP10-1</t>
    <phoneticPr fontId="13" type="noConversion"/>
  </si>
  <si>
    <t>C07*</t>
    <phoneticPr fontId="13" type="noConversion"/>
  </si>
  <si>
    <t>C08*, C09*, C10*</t>
    <phoneticPr fontId="13" type="noConversion"/>
  </si>
  <si>
    <t>C03*</t>
    <phoneticPr fontId="13" type="noConversion"/>
  </si>
  <si>
    <t>09*</t>
    <phoneticPr fontId="15" type="noConversion"/>
  </si>
  <si>
    <t>28*</t>
    <phoneticPr fontId="15" type="noConversion"/>
  </si>
  <si>
    <t>06*</t>
    <phoneticPr fontId="15" type="noConversion"/>
  </si>
  <si>
    <t xml:space="preserve">메들리벨벳
( MV ) </t>
    <phoneticPr fontId="13" type="noConversion"/>
  </si>
  <si>
    <t>11 White*</t>
    <phoneticPr fontId="13" type="noConversion"/>
  </si>
  <si>
    <t>04-1</t>
    <phoneticPr fontId="13" type="noConversion"/>
  </si>
  <si>
    <t>05-1</t>
    <phoneticPr fontId="13" type="noConversion"/>
  </si>
  <si>
    <t>11-1 White</t>
    <phoneticPr fontId="13" type="noConversion"/>
  </si>
  <si>
    <t>13-1*</t>
    <phoneticPr fontId="13" type="noConversion"/>
  </si>
  <si>
    <t>메타크라프트
(META)</t>
    <phoneticPr fontId="13" type="noConversion"/>
  </si>
  <si>
    <t xml:space="preserve">06 Unbleached </t>
    <phoneticPr fontId="13" type="noConversion"/>
  </si>
  <si>
    <t>메탈보드팩 플러스
(MBP3)</t>
    <phoneticPr fontId="13" type="noConversion"/>
  </si>
  <si>
    <t>780x1091(세로)</t>
  </si>
  <si>
    <t>G02, G03, G04</t>
    <phoneticPr fontId="13" type="noConversion"/>
  </si>
  <si>
    <t>HG01(홀로그램)</t>
    <phoneticPr fontId="13" type="noConversion"/>
  </si>
  <si>
    <t>S01</t>
    <phoneticPr fontId="13" type="noConversion"/>
  </si>
  <si>
    <t>S02~S06</t>
    <phoneticPr fontId="13" type="noConversion"/>
  </si>
  <si>
    <t>펄(P1, 2, 3, 5, 6)</t>
    <phoneticPr fontId="13" type="noConversion"/>
  </si>
  <si>
    <t>K03-1(크라프트 골드유광)</t>
    <phoneticPr fontId="13" type="noConversion"/>
  </si>
  <si>
    <t>K01, K02, K03</t>
    <phoneticPr fontId="13" type="noConversion"/>
  </si>
  <si>
    <t>645X545mm</t>
    <phoneticPr fontId="13" type="noConversion"/>
  </si>
  <si>
    <t>AP01(살구색)</t>
    <phoneticPr fontId="13" type="noConversion"/>
  </si>
  <si>
    <t>645X645mm</t>
    <phoneticPr fontId="13" type="noConversion"/>
  </si>
  <si>
    <t>AP02(살구색)</t>
    <phoneticPr fontId="13" type="noConversion"/>
  </si>
  <si>
    <t>646X939mm</t>
    <phoneticPr fontId="13" type="noConversion"/>
  </si>
  <si>
    <t>CS01( 크리소스 )</t>
    <phoneticPr fontId="13" type="noConversion"/>
  </si>
  <si>
    <t>560X510mm</t>
    <phoneticPr fontId="13" type="noConversion"/>
  </si>
  <si>
    <t>CS03 ( 크리소스 )</t>
    <phoneticPr fontId="13" type="noConversion"/>
  </si>
  <si>
    <t>780x1091(세로)</t>
    <phoneticPr fontId="13" type="noConversion"/>
  </si>
  <si>
    <t>PC01 핑크펄*</t>
    <phoneticPr fontId="13" type="noConversion"/>
  </si>
  <si>
    <t>PC02 핑크펄*</t>
    <phoneticPr fontId="13" type="noConversion"/>
  </si>
  <si>
    <t>780x545mm</t>
    <phoneticPr fontId="13" type="noConversion"/>
  </si>
  <si>
    <t>AS01, AK03</t>
    <phoneticPr fontId="13" type="noConversion"/>
  </si>
  <si>
    <t>AS02, AG02</t>
    <phoneticPr fontId="13" type="noConversion"/>
  </si>
  <si>
    <t>AS02-1*, AG01</t>
    <phoneticPr fontId="13" type="noConversion"/>
  </si>
  <si>
    <t>SBI02*</t>
    <phoneticPr fontId="13" type="noConversion"/>
  </si>
  <si>
    <t>나머지칼라*</t>
  </si>
  <si>
    <t>SET01*</t>
    <phoneticPr fontId="13" type="noConversion"/>
  </si>
  <si>
    <t>SET02*, 05*, 07*, 09*</t>
    <phoneticPr fontId="13" type="noConversion"/>
  </si>
  <si>
    <t>SET06*</t>
    <phoneticPr fontId="13" type="noConversion"/>
  </si>
  <si>
    <t>SET04*</t>
    <phoneticPr fontId="13" type="noConversion"/>
  </si>
  <si>
    <t>SEA01 *</t>
    <phoneticPr fontId="13" type="noConversion"/>
  </si>
  <si>
    <t>SEA02*, 03*</t>
    <phoneticPr fontId="13" type="noConversion"/>
  </si>
  <si>
    <t>SEA04*</t>
    <phoneticPr fontId="13" type="noConversion"/>
  </si>
  <si>
    <t>SEA05*</t>
    <phoneticPr fontId="13" type="noConversion"/>
  </si>
  <si>
    <t>미스트럴 디자인
(MSTD)</t>
    <phoneticPr fontId="13" type="noConversion"/>
  </si>
  <si>
    <t xml:space="preserve">T01 P. White, T02 N. White </t>
    <phoneticPr fontId="13" type="noConversion"/>
  </si>
  <si>
    <t xml:space="preserve">CT01 P. White, CT02 N. White </t>
    <phoneticPr fontId="13" type="noConversion"/>
  </si>
  <si>
    <t xml:space="preserve">C01 P. White, C02 N. White </t>
    <phoneticPr fontId="13" type="noConversion"/>
  </si>
  <si>
    <t xml:space="preserve">CC01 P. White, CC02 N. White </t>
    <phoneticPr fontId="13" type="noConversion"/>
  </si>
  <si>
    <t>미스트럴 트레디션
(MSTT)</t>
    <phoneticPr fontId="13" type="noConversion"/>
  </si>
  <si>
    <t>W02*</t>
    <phoneticPr fontId="13" type="noConversion"/>
  </si>
  <si>
    <t>W05*</t>
    <phoneticPr fontId="13" type="noConversion"/>
  </si>
  <si>
    <t>N04*</t>
    <phoneticPr fontId="16" type="noConversion"/>
  </si>
  <si>
    <t>백상지-가공용지
(BS)</t>
    <phoneticPr fontId="13" type="noConversion"/>
  </si>
  <si>
    <t>미색</t>
    <phoneticPr fontId="13" type="noConversion"/>
  </si>
  <si>
    <t>백색*</t>
    <phoneticPr fontId="13" type="noConversion"/>
  </si>
  <si>
    <t>25-1 Dark Red*</t>
    <phoneticPr fontId="13" type="noConversion"/>
  </si>
  <si>
    <t>03 Black *</t>
    <phoneticPr fontId="13" type="noConversion"/>
  </si>
  <si>
    <t>1470x900M</t>
    <phoneticPr fontId="13" type="noConversion"/>
  </si>
  <si>
    <t>17 Tan(Senegal) *</t>
    <phoneticPr fontId="13" type="noConversion"/>
  </si>
  <si>
    <t>06 Black*</t>
    <phoneticPr fontId="13" type="noConversion"/>
  </si>
  <si>
    <t>26 Dark Blue*</t>
    <phoneticPr fontId="13" type="noConversion"/>
  </si>
  <si>
    <t>28 Red*</t>
    <phoneticPr fontId="13" type="noConversion"/>
  </si>
  <si>
    <t>15 Tan(Samala) *</t>
    <phoneticPr fontId="13" type="noConversion"/>
  </si>
  <si>
    <t>1470x1M</t>
    <phoneticPr fontId="13" type="noConversion"/>
  </si>
  <si>
    <t>18 Tan(Senegal) *</t>
    <phoneticPr fontId="13" type="noConversion"/>
  </si>
  <si>
    <t>750X1M</t>
    <phoneticPr fontId="13" type="noConversion"/>
  </si>
  <si>
    <t>16 Tan(Samala) *</t>
    <phoneticPr fontId="13" type="noConversion"/>
  </si>
  <si>
    <t>27 Dark Blue*</t>
    <phoneticPr fontId="13" type="noConversion"/>
  </si>
  <si>
    <t>735X1M</t>
    <phoneticPr fontId="13" type="noConversion"/>
  </si>
  <si>
    <t>19 Tan(Senegal) *</t>
    <phoneticPr fontId="13" type="noConversion"/>
  </si>
  <si>
    <t>베이화이트*
(BAY)</t>
    <phoneticPr fontId="13" type="noConversion"/>
  </si>
  <si>
    <t>비타팩
(VTP)</t>
    <phoneticPr fontId="13" type="noConversion"/>
  </si>
  <si>
    <t>788W</t>
    <phoneticPr fontId="13" type="noConversion"/>
  </si>
  <si>
    <t>R01</t>
    <phoneticPr fontId="13" type="noConversion"/>
  </si>
  <si>
    <t>R02</t>
    <phoneticPr fontId="13" type="noConversion"/>
  </si>
  <si>
    <t>350, 375</t>
    <phoneticPr fontId="13" type="noConversion"/>
  </si>
  <si>
    <t>R03, R4</t>
    <phoneticPr fontId="13" type="noConversion"/>
  </si>
  <si>
    <t>S15</t>
    <phoneticPr fontId="13" type="noConversion"/>
  </si>
  <si>
    <t xml:space="preserve">S02, 3, 4, 9, 14 </t>
    <phoneticPr fontId="13" type="noConversion"/>
  </si>
  <si>
    <t>S05, 6, 7, 10, 11</t>
    <phoneticPr fontId="13" type="noConversion"/>
  </si>
  <si>
    <t>S14-1 *</t>
    <phoneticPr fontId="13" type="noConversion"/>
  </si>
  <si>
    <t xml:space="preserve">C03* </t>
    <phoneticPr fontId="13" type="noConversion"/>
  </si>
  <si>
    <t>784X1091</t>
    <phoneticPr fontId="13" type="noConversion"/>
  </si>
  <si>
    <t xml:space="preserve">C02-1* </t>
    <phoneticPr fontId="13" type="noConversion"/>
  </si>
  <si>
    <t>B03*</t>
    <phoneticPr fontId="13" type="noConversion"/>
  </si>
  <si>
    <t>B06*, B10*</t>
    <phoneticPr fontId="13" type="noConversion"/>
  </si>
  <si>
    <t>G02, 3, 4, 9</t>
    <phoneticPr fontId="13" type="noConversion"/>
  </si>
  <si>
    <t xml:space="preserve">G05, G06 </t>
    <phoneticPr fontId="13" type="noConversion"/>
  </si>
  <si>
    <t>G12-1*</t>
    <phoneticPr fontId="13" type="noConversion"/>
  </si>
  <si>
    <t>G14</t>
    <phoneticPr fontId="13" type="noConversion"/>
  </si>
  <si>
    <t>G07*, 10*, 11*, 13*</t>
    <phoneticPr fontId="13" type="noConversion"/>
  </si>
  <si>
    <t>01S White(순백)*</t>
    <phoneticPr fontId="13" type="noConversion"/>
  </si>
  <si>
    <t>02 Natural(백색)*</t>
    <phoneticPr fontId="13" type="noConversion"/>
  </si>
  <si>
    <t>06 Ivory(미색)*</t>
    <phoneticPr fontId="13" type="noConversion"/>
  </si>
  <si>
    <t>07S White(순백)*</t>
    <phoneticPr fontId="13" type="noConversion"/>
  </si>
  <si>
    <t>09 Ivory(미색)*</t>
    <phoneticPr fontId="13" type="noConversion"/>
  </si>
  <si>
    <t>09S Ivory(미색)*</t>
    <phoneticPr fontId="13" type="noConversion"/>
  </si>
  <si>
    <t>W25</t>
    <phoneticPr fontId="13" type="noConversion"/>
  </si>
  <si>
    <t>P25</t>
    <phoneticPr fontId="13" type="noConversion"/>
  </si>
  <si>
    <t>S25</t>
    <phoneticPr fontId="13" type="noConversion"/>
  </si>
  <si>
    <t>W35</t>
    <phoneticPr fontId="13" type="noConversion"/>
  </si>
  <si>
    <t>P35</t>
    <phoneticPr fontId="13" type="noConversion"/>
  </si>
  <si>
    <t>S35</t>
    <phoneticPr fontId="13" type="noConversion"/>
  </si>
  <si>
    <t>10-1 White(순백색)*, 11-1 Natural(백색)*</t>
    <phoneticPr fontId="13" type="noConversion"/>
  </si>
  <si>
    <t>1-1 White(순백)*</t>
    <phoneticPr fontId="13" type="noConversion"/>
  </si>
  <si>
    <t>W25-3</t>
    <phoneticPr fontId="13" type="noConversion"/>
  </si>
  <si>
    <t>W35-3</t>
    <phoneticPr fontId="13" type="noConversion"/>
  </si>
  <si>
    <t>블랙벨벳
(VET)</t>
    <phoneticPr fontId="13" type="noConversion"/>
  </si>
  <si>
    <t>788x1092(세로)</t>
    <phoneticPr fontId="13" type="noConversion"/>
  </si>
  <si>
    <t>White( 일반 코팅 )</t>
    <phoneticPr fontId="13" type="noConversion"/>
  </si>
  <si>
    <t>Black( 더블 코팅 )</t>
    <phoneticPr fontId="13" type="noConversion"/>
  </si>
  <si>
    <t>Black( 일반 코팅 )</t>
    <phoneticPr fontId="13" type="noConversion"/>
  </si>
  <si>
    <t>사빌레로우
트위드
(SRTW)</t>
  </si>
  <si>
    <t>700x1000( 세로)</t>
  </si>
  <si>
    <t>Tweed White(TW05)</t>
    <phoneticPr fontId="13" type="noConversion"/>
  </si>
  <si>
    <t>Tweed Extra White(TW01)*</t>
    <phoneticPr fontId="13" type="noConversion"/>
  </si>
  <si>
    <t>Tweed(White TW06, Extra White TW02)</t>
    <phoneticPr fontId="13" type="noConversion"/>
  </si>
  <si>
    <t xml:space="preserve">Tweed Camel TW08, Blue TW10* </t>
    <phoneticPr fontId="13" type="noConversion"/>
  </si>
  <si>
    <t>Tweed Extra White(TW03)</t>
    <phoneticPr fontId="13" type="noConversion"/>
  </si>
  <si>
    <t xml:space="preserve">Tweed White TW07, Extra White TW04* </t>
    <phoneticPr fontId="13" type="noConversion"/>
  </si>
  <si>
    <t>Tweed(Camel TW09, Blue TW10)</t>
    <phoneticPr fontId="13" type="noConversion"/>
  </si>
  <si>
    <t>사빌레로우
플레인
(SRPL)</t>
  </si>
  <si>
    <t xml:space="preserve">Plain White( PL01) </t>
    <phoneticPr fontId="13" type="noConversion"/>
  </si>
  <si>
    <t>Plain(Camel(PL06),Blue(PL09)</t>
    <phoneticPr fontId="13" type="noConversion"/>
  </si>
  <si>
    <t>Plain(Dark Grey(PL24)</t>
    <phoneticPr fontId="13" type="noConversion"/>
  </si>
  <si>
    <t>Plain(Brown(PL25),Aubergine(PL26))</t>
    <phoneticPr fontId="13" type="noConversion"/>
  </si>
  <si>
    <t>Plain White(PL02)*</t>
    <phoneticPr fontId="13" type="noConversion"/>
  </si>
  <si>
    <t>Plain White(PL03)</t>
    <phoneticPr fontId="13" type="noConversion"/>
  </si>
  <si>
    <t>Plain(Camel(PL07),Blue(PL10)</t>
    <phoneticPr fontId="13" type="noConversion"/>
  </si>
  <si>
    <t>Plain(Dark Grey(PL20)</t>
    <phoneticPr fontId="13" type="noConversion"/>
  </si>
  <si>
    <t>Plain(Brown(PL21)*, Aubergine(PL27))</t>
    <phoneticPr fontId="13" type="noConversion"/>
  </si>
  <si>
    <t>Plain White(PL04)</t>
    <phoneticPr fontId="13" type="noConversion"/>
  </si>
  <si>
    <t>Plain White(PL05)</t>
    <phoneticPr fontId="13" type="noConversion"/>
  </si>
  <si>
    <t>Plain(Camel(PL08),Blue(PL11)</t>
    <phoneticPr fontId="13" type="noConversion"/>
  </si>
  <si>
    <t>Plain(Dark Grey(PL22)</t>
    <phoneticPr fontId="13" type="noConversion"/>
  </si>
  <si>
    <t>Plain(Brown(PL23)*, Aubergine(PL28)*</t>
    <phoneticPr fontId="13" type="noConversion"/>
  </si>
  <si>
    <t>Plain(Came*l,Blue*)</t>
  </si>
  <si>
    <t>Plain White*</t>
  </si>
  <si>
    <t>Plain(Camel*,Blue*)</t>
  </si>
  <si>
    <t>센토( CNT )</t>
    <phoneticPr fontId="13" type="noConversion"/>
  </si>
  <si>
    <t>Extra White, Smooth 01*</t>
    <phoneticPr fontId="13" type="noConversion"/>
  </si>
  <si>
    <t>Extra White, Smooth 01-1*</t>
    <phoneticPr fontId="13" type="noConversion"/>
  </si>
  <si>
    <t>02-1</t>
    <phoneticPr fontId="13" type="noConversion"/>
  </si>
  <si>
    <t>03-1</t>
    <phoneticPr fontId="13" type="noConversion"/>
  </si>
  <si>
    <t>P. White Smooth(P01), Rough(RP01)</t>
    <phoneticPr fontId="13" type="noConversion"/>
  </si>
  <si>
    <t>P02, RP02</t>
    <phoneticPr fontId="13" type="noConversion"/>
  </si>
  <si>
    <t>P03, RP03</t>
    <phoneticPr fontId="13" type="noConversion"/>
  </si>
  <si>
    <t>P04, RP04</t>
    <phoneticPr fontId="13" type="noConversion"/>
  </si>
  <si>
    <t>RP05</t>
    <phoneticPr fontId="13" type="noConversion"/>
  </si>
  <si>
    <t xml:space="preserve">P06, RP06 </t>
    <phoneticPr fontId="13" type="noConversion"/>
  </si>
  <si>
    <t>P07, RP07</t>
    <phoneticPr fontId="13" type="noConversion"/>
  </si>
  <si>
    <t>P. White Smooth(P01-1), Rough(RP01-1)</t>
    <phoneticPr fontId="13" type="noConversion"/>
  </si>
  <si>
    <t>P02-1, RP02-1</t>
    <phoneticPr fontId="13" type="noConversion"/>
  </si>
  <si>
    <t>P03-1, RP03-1</t>
    <phoneticPr fontId="13" type="noConversion"/>
  </si>
  <si>
    <t>P04-1, RP04-1</t>
    <phoneticPr fontId="13" type="noConversion"/>
  </si>
  <si>
    <t xml:space="preserve">RP05-1 </t>
    <phoneticPr fontId="13" type="noConversion"/>
  </si>
  <si>
    <t>P06-1, RP06-1</t>
    <phoneticPr fontId="13" type="noConversion"/>
  </si>
  <si>
    <t xml:space="preserve">RP07-1 </t>
    <phoneticPr fontId="13" type="noConversion"/>
  </si>
  <si>
    <t>T4* T6*</t>
    <phoneticPr fontId="13" type="noConversion"/>
  </si>
  <si>
    <t>T5*, 8*, 10*</t>
    <phoneticPr fontId="13" type="noConversion"/>
  </si>
  <si>
    <t>T9*, T11*</t>
    <phoneticPr fontId="13" type="noConversion"/>
  </si>
  <si>
    <t>CT02*, 03*</t>
    <phoneticPr fontId="13" type="noConversion"/>
  </si>
  <si>
    <t>C06* 07*</t>
    <phoneticPr fontId="13" type="noConversion"/>
  </si>
  <si>
    <t>C3*</t>
    <phoneticPr fontId="13" type="noConversion"/>
  </si>
  <si>
    <t xml:space="preserve">C8*, 9*, 10*, 11*, 12* </t>
    <phoneticPr fontId="13" type="noConversion"/>
  </si>
  <si>
    <t xml:space="preserve">C04-1* </t>
    <phoneticPr fontId="13" type="noConversion"/>
  </si>
  <si>
    <t xml:space="preserve">슈퍼파인
(SUF)* </t>
    <phoneticPr fontId="13" type="noConversion"/>
  </si>
  <si>
    <t>Ultra White 03</t>
    <phoneticPr fontId="13" type="noConversion"/>
  </si>
  <si>
    <t>788*1091(가로)</t>
  </si>
  <si>
    <t>Eggshell Ultra White E02</t>
    <phoneticPr fontId="13" type="noConversion"/>
  </si>
  <si>
    <t>E04</t>
    <phoneticPr fontId="13" type="noConversion"/>
  </si>
  <si>
    <t>939*636(가로)</t>
  </si>
  <si>
    <t>Eggshell Ultra White E05</t>
    <phoneticPr fontId="13" type="noConversion"/>
  </si>
  <si>
    <t>E06</t>
    <phoneticPr fontId="13" type="noConversion"/>
  </si>
  <si>
    <t>E07</t>
    <phoneticPr fontId="13" type="noConversion"/>
  </si>
  <si>
    <t>스노우 화이트
(SW)</t>
    <phoneticPr fontId="13" type="noConversion"/>
  </si>
  <si>
    <t>스타화이트
(STA)*</t>
    <phoneticPr fontId="13" type="noConversion"/>
  </si>
  <si>
    <t>백색(Tiara)*</t>
    <phoneticPr fontId="13" type="noConversion"/>
  </si>
  <si>
    <t>미색(Archiva)*</t>
    <phoneticPr fontId="13" type="noConversion"/>
  </si>
  <si>
    <t>스펙트라
(SPA)</t>
  </si>
  <si>
    <t>Q(1,2,3,4,5)</t>
  </si>
  <si>
    <t>S8,S9,S16,S31~34,S36~S39,S42</t>
    <phoneticPr fontId="13" type="noConversion"/>
  </si>
  <si>
    <t>S14,18,19,35,40,41</t>
  </si>
  <si>
    <t>S44, S45</t>
    <phoneticPr fontId="13" type="noConversion"/>
  </si>
  <si>
    <t>S46</t>
    <phoneticPr fontId="13" type="noConversion"/>
  </si>
  <si>
    <t>S(51, 54, 55, 56, 58*, 70, 91, 92)</t>
    <phoneticPr fontId="13" type="noConversion"/>
  </si>
  <si>
    <t>S(52, 53, 59, 60, 62, 63)</t>
    <phoneticPr fontId="13" type="noConversion"/>
  </si>
  <si>
    <t>S(95, 97)</t>
    <phoneticPr fontId="13" type="noConversion"/>
  </si>
  <si>
    <t>S(106, 107)</t>
    <phoneticPr fontId="13" type="noConversion"/>
  </si>
  <si>
    <t>S(108)</t>
    <phoneticPr fontId="13" type="noConversion"/>
  </si>
  <si>
    <t>Q(1,2,3,4,5)*, S100*</t>
    <phoneticPr fontId="13" type="noConversion"/>
  </si>
  <si>
    <t>635x902(세로)</t>
    <phoneticPr fontId="13" type="noConversion"/>
  </si>
  <si>
    <t>Q(1-4, 2-4, 3-4, 4-4, 5-4)</t>
    <phoneticPr fontId="13" type="noConversion"/>
  </si>
  <si>
    <t>650x920(세로)</t>
  </si>
  <si>
    <t>S14-4*</t>
    <phoneticPr fontId="13" type="noConversion"/>
  </si>
  <si>
    <t>S(31*,33*,34*)-4</t>
    <phoneticPr fontId="13" type="noConversion"/>
  </si>
  <si>
    <t>900x637(가로)</t>
  </si>
  <si>
    <t>S(8,9,16,31,32,33,34,36,37,38,39,42) -4</t>
    <phoneticPr fontId="13" type="noConversion"/>
  </si>
  <si>
    <t>S(14,18,19,35,40,41)-4</t>
    <phoneticPr fontId="13" type="noConversion"/>
  </si>
  <si>
    <t>S92-4</t>
    <phoneticPr fontId="13" type="noConversion"/>
  </si>
  <si>
    <t>S43-4</t>
    <phoneticPr fontId="13" type="noConversion"/>
  </si>
  <si>
    <t>S46-4</t>
    <phoneticPr fontId="13" type="noConversion"/>
  </si>
  <si>
    <t>636x902(세로)</t>
    <phoneticPr fontId="13" type="noConversion"/>
  </si>
  <si>
    <t>S(44, 51, 55, 56, 58, 70, 91)-4</t>
    <phoneticPr fontId="13" type="noConversion"/>
  </si>
  <si>
    <t>S(52, 53, 59, 60, 62, 63)-4</t>
    <phoneticPr fontId="13" type="noConversion"/>
  </si>
  <si>
    <t>스펜더룩스
(SPD)</t>
  </si>
  <si>
    <t>01-2*</t>
    <phoneticPr fontId="13" type="noConversion"/>
  </si>
  <si>
    <t>01-1* ,08*</t>
    <phoneticPr fontId="13" type="noConversion"/>
  </si>
  <si>
    <t>04-1*,05-1*</t>
  </si>
  <si>
    <t xml:space="preserve"> 02*, 09*, 10*</t>
    <phoneticPr fontId="13" type="noConversion"/>
  </si>
  <si>
    <t>A01*, L01*</t>
    <phoneticPr fontId="13" type="noConversion"/>
  </si>
  <si>
    <t>A02*, L02*, N01*, N02*</t>
    <phoneticPr fontId="13" type="noConversion"/>
  </si>
  <si>
    <t xml:space="preserve">T02*, T04*, T05* </t>
    <phoneticPr fontId="13" type="noConversion"/>
  </si>
  <si>
    <t>C01(화이트/블랙)*</t>
    <phoneticPr fontId="13" type="noConversion"/>
  </si>
  <si>
    <t>C02*, C04* ,C05*</t>
    <phoneticPr fontId="13" type="noConversion"/>
  </si>
  <si>
    <t>CC01(화이트/블랙)*</t>
    <phoneticPr fontId="13" type="noConversion"/>
  </si>
  <si>
    <t>CC02*, CC04*, CC05*</t>
    <phoneticPr fontId="13" type="noConversion"/>
  </si>
  <si>
    <t>심볼그로스
(SYMG)</t>
    <phoneticPr fontId="13" type="noConversion"/>
  </si>
  <si>
    <t>939X636(가로))</t>
    <phoneticPr fontId="13" type="noConversion"/>
  </si>
  <si>
    <t>심볼카드에코
(SYMC)</t>
    <phoneticPr fontId="13" type="noConversion"/>
  </si>
  <si>
    <t>01 White( 50% Rec )</t>
    <phoneticPr fontId="13" type="noConversion"/>
  </si>
  <si>
    <t xml:space="preserve">02 White( 100% Rec ) </t>
    <phoneticPr fontId="13" type="noConversion"/>
  </si>
  <si>
    <t xml:space="preserve">03 White( 100% Rec ) </t>
    <phoneticPr fontId="13" type="noConversion"/>
  </si>
  <si>
    <t xml:space="preserve">04 White( 100% Rec ) </t>
    <phoneticPr fontId="13" type="noConversion"/>
  </si>
  <si>
    <t>720X1020(가로)</t>
    <phoneticPr fontId="13" type="noConversion"/>
  </si>
  <si>
    <t xml:space="preserve">05 White( 100% Rec )* </t>
    <phoneticPr fontId="13" type="noConversion"/>
  </si>
  <si>
    <t>썬샤인
(SUN)</t>
    <phoneticPr fontId="13" type="noConversion"/>
  </si>
  <si>
    <t>Extra White</t>
  </si>
  <si>
    <t>싸이클러스*
(CYC)</t>
    <phoneticPr fontId="13" type="noConversion"/>
  </si>
  <si>
    <t>Natural White</t>
    <phoneticPr fontId="13" type="noConversion"/>
  </si>
  <si>
    <t>씨리오(SI)</t>
    <phoneticPr fontId="13" type="noConversion"/>
  </si>
  <si>
    <t>Caffe</t>
  </si>
  <si>
    <t>T04</t>
    <phoneticPr fontId="13" type="noConversion"/>
  </si>
  <si>
    <t>T07</t>
    <phoneticPr fontId="13" type="noConversion"/>
  </si>
  <si>
    <t xml:space="preserve">CT04* </t>
    <phoneticPr fontId="13" type="noConversion"/>
  </si>
  <si>
    <t>T06*</t>
    <phoneticPr fontId="13" type="noConversion"/>
  </si>
  <si>
    <t>CT11*</t>
    <phoneticPr fontId="13" type="noConversion"/>
  </si>
  <si>
    <t xml:space="preserve">C04* </t>
    <phoneticPr fontId="13" type="noConversion"/>
  </si>
  <si>
    <t>씨리오 화이트 화이트
(SIW) *</t>
    <phoneticPr fontId="13" type="noConversion"/>
  </si>
  <si>
    <t>PLAIN</t>
    <phoneticPr fontId="13" type="noConversion"/>
  </si>
  <si>
    <t>710x1010mm(세로)</t>
    <phoneticPr fontId="13" type="noConversion"/>
  </si>
  <si>
    <t>씨리오 블랙
(SIB)</t>
    <phoneticPr fontId="13" type="noConversion"/>
  </si>
  <si>
    <t>290*</t>
    <phoneticPr fontId="13" type="noConversion"/>
  </si>
  <si>
    <t>330*</t>
    <phoneticPr fontId="13" type="noConversion"/>
  </si>
  <si>
    <t>380*</t>
    <phoneticPr fontId="13" type="noConversion"/>
  </si>
  <si>
    <t>스파르토
(SPRT)</t>
    <phoneticPr fontId="13" type="noConversion"/>
  </si>
  <si>
    <t>720X1020</t>
    <phoneticPr fontId="13" type="noConversion"/>
  </si>
  <si>
    <t xml:space="preserve">T01 Snow, 02 Desert, 03 Cloud </t>
    <phoneticPr fontId="3" type="noConversion"/>
  </si>
  <si>
    <t xml:space="preserve">04 Storm, 06 Earth </t>
    <phoneticPr fontId="3" type="noConversion"/>
  </si>
  <si>
    <t>07 Monsoon, 05 Sun, 08 Thunder</t>
    <phoneticPr fontId="3" type="noConversion"/>
  </si>
  <si>
    <t xml:space="preserve">C01 Snow, 02 Desert, 03 Cloud </t>
    <phoneticPr fontId="3" type="noConversion"/>
  </si>
  <si>
    <t xml:space="preserve">B01 Snow, 02 Desert, 03 Cloud </t>
    <phoneticPr fontId="3" type="noConversion"/>
  </si>
  <si>
    <t>CE 크라프트
(CEK)</t>
    <phoneticPr fontId="13" type="noConversion"/>
  </si>
  <si>
    <t>(CEK)</t>
    <phoneticPr fontId="13" type="noConversion"/>
  </si>
  <si>
    <t>788W &amp; 900W</t>
    <phoneticPr fontId="13" type="noConversion"/>
  </si>
  <si>
    <t>아르쉐카렌다
(AREC)</t>
    <phoneticPr fontId="13" type="noConversion"/>
  </si>
  <si>
    <t>460x560 (세로)</t>
    <phoneticPr fontId="13" type="noConversion"/>
  </si>
  <si>
    <t>02 White( 4 엣지 )*</t>
    <phoneticPr fontId="13" type="noConversion"/>
  </si>
  <si>
    <t>04 White( 1 엣지 )*</t>
    <phoneticPr fontId="13" type="noConversion"/>
  </si>
  <si>
    <t>05 White( 4 엣지 ) *</t>
    <phoneticPr fontId="13" type="noConversion"/>
  </si>
  <si>
    <t xml:space="preserve">아젠다
(AGD)* </t>
    <phoneticPr fontId="13" type="noConversion"/>
  </si>
  <si>
    <t>700x50M</t>
    <phoneticPr fontId="13" type="noConversion"/>
  </si>
  <si>
    <t xml:space="preserve"> F-NR, 싸리프#NERO</t>
    <phoneticPr fontId="13" type="noConversion"/>
  </si>
  <si>
    <t>Z-317, 제니스#317</t>
    <phoneticPr fontId="13" type="noConversion"/>
  </si>
  <si>
    <t>PS-187, 페르시아#187</t>
    <phoneticPr fontId="13" type="noConversion"/>
  </si>
  <si>
    <t>NT-117, 네이쳐#117</t>
    <phoneticPr fontId="13" type="noConversion"/>
  </si>
  <si>
    <t>1400x50M</t>
    <phoneticPr fontId="13" type="noConversion"/>
  </si>
  <si>
    <t>H-122, 호울스 #122</t>
    <phoneticPr fontId="13" type="noConversion"/>
  </si>
  <si>
    <t>H-019, 호울스#019</t>
    <phoneticPr fontId="13" type="noConversion"/>
  </si>
  <si>
    <t>H-106, 호울스#106</t>
    <phoneticPr fontId="13" type="noConversion"/>
  </si>
  <si>
    <t>H-308 호울스 #308</t>
    <phoneticPr fontId="13" type="noConversion"/>
  </si>
  <si>
    <t>CO-187 코르다#187</t>
    <phoneticPr fontId="13" type="noConversion"/>
  </si>
  <si>
    <t>LU-Q07 루카#Q07</t>
    <phoneticPr fontId="13" type="noConversion"/>
  </si>
  <si>
    <t>H-321 호울스#321</t>
    <phoneticPr fontId="13" type="noConversion"/>
  </si>
  <si>
    <t>FA-130 Fall#130</t>
    <phoneticPr fontId="13" type="noConversion"/>
  </si>
  <si>
    <t xml:space="preserve">FA-L34 Fall#L34 </t>
    <phoneticPr fontId="13" type="noConversion"/>
  </si>
  <si>
    <t>CA-209 카스코#209</t>
    <phoneticPr fontId="13" type="noConversion"/>
  </si>
  <si>
    <t>H-328 호울스 #328</t>
    <phoneticPr fontId="13" type="noConversion"/>
  </si>
  <si>
    <t>W-174 위너#174</t>
    <phoneticPr fontId="13" type="noConversion"/>
  </si>
  <si>
    <t>CA-105 카스코#105</t>
    <phoneticPr fontId="13" type="noConversion"/>
  </si>
  <si>
    <t>T-Q07 테스#Q07</t>
    <phoneticPr fontId="13" type="noConversion"/>
  </si>
  <si>
    <t>CA-187 카스코#187</t>
    <phoneticPr fontId="13" type="noConversion"/>
  </si>
  <si>
    <t>H-315 호울스 #315</t>
    <phoneticPr fontId="13" type="noConversion"/>
  </si>
  <si>
    <t>RN-102 레나#102</t>
    <phoneticPr fontId="13" type="noConversion"/>
  </si>
  <si>
    <t>NT-105 네이쳐#105</t>
    <phoneticPr fontId="13" type="noConversion"/>
  </si>
  <si>
    <t>C-105 쎄르보#105</t>
    <phoneticPr fontId="13" type="noConversion"/>
  </si>
  <si>
    <t>CA-U28 카스코#U28</t>
    <phoneticPr fontId="13" type="noConversion"/>
  </si>
  <si>
    <t>PT-308 피톤#308</t>
    <phoneticPr fontId="13" type="noConversion"/>
  </si>
  <si>
    <t>TC-NR  테크노#NERO</t>
    <phoneticPr fontId="13" type="noConversion"/>
  </si>
  <si>
    <t xml:space="preserve">HM-0G7  호울스 메탈#0G7 </t>
    <phoneticPr fontId="13" type="noConversion"/>
  </si>
  <si>
    <t>H-U28  호울스#U28</t>
    <phoneticPr fontId="13" type="noConversion"/>
  </si>
  <si>
    <t>MK-S11 메탈키드#S11</t>
    <phoneticPr fontId="13" type="noConversion"/>
  </si>
  <si>
    <t>MK-102 메탈키드#102</t>
    <phoneticPr fontId="13" type="noConversion"/>
  </si>
  <si>
    <t>NA-864  나파#864</t>
    <phoneticPr fontId="13" type="noConversion"/>
  </si>
  <si>
    <t>PR-Q21  프리즈마#Q21</t>
    <phoneticPr fontId="13" type="noConversion"/>
  </si>
  <si>
    <t>C-102  쎄르보#102</t>
    <phoneticPr fontId="13" type="noConversion"/>
  </si>
  <si>
    <t xml:space="preserve"> NT-117  네이쳐#117</t>
    <phoneticPr fontId="13" type="noConversion"/>
  </si>
  <si>
    <t>050-MAN | 050 UV Mantova</t>
    <phoneticPr fontId="13" type="noConversion"/>
  </si>
  <si>
    <t>H-NR  호울스#NERO</t>
    <phoneticPr fontId="13" type="noConversion"/>
  </si>
  <si>
    <t>H-Q07  호울스 #Q07</t>
    <phoneticPr fontId="13" type="noConversion"/>
  </si>
  <si>
    <t>PS-187  페르시아#187</t>
    <phoneticPr fontId="13" type="noConversion"/>
  </si>
  <si>
    <t>TC-ML99  테크노#M.L99</t>
    <phoneticPr fontId="13" type="noConversion"/>
  </si>
  <si>
    <t>BF-402  버팔리노#402</t>
    <phoneticPr fontId="13" type="noConversion"/>
  </si>
  <si>
    <t xml:space="preserve"> F-325  *싸리프#325</t>
    <phoneticPr fontId="13" type="noConversion"/>
  </si>
  <si>
    <t>PR-L33 *프리즈마#L33</t>
    <phoneticPr fontId="13" type="noConversion"/>
  </si>
  <si>
    <t>PR-Q22 프리즈마#Q22</t>
    <phoneticPr fontId="13" type="noConversion"/>
  </si>
  <si>
    <t>RP-R48 러버플러스#R48</t>
    <phoneticPr fontId="13" type="noConversion"/>
  </si>
  <si>
    <t>C-189  쎄르보#189</t>
    <phoneticPr fontId="13" type="noConversion"/>
  </si>
  <si>
    <t>C-NR  쎄르보#NERO</t>
    <phoneticPr fontId="13" type="noConversion"/>
  </si>
  <si>
    <t>C-107  쎄르보#107</t>
    <phoneticPr fontId="13" type="noConversion"/>
  </si>
  <si>
    <t>C-325  쎄르보#325</t>
    <phoneticPr fontId="13" type="noConversion"/>
  </si>
  <si>
    <t>RP-R45 러버플러스#R45</t>
    <phoneticPr fontId="13" type="noConversion"/>
  </si>
  <si>
    <t>C-187  쎄르보#187</t>
    <phoneticPr fontId="13" type="noConversion"/>
  </si>
  <si>
    <t xml:space="preserve">아코팩
 (APK)                </t>
    <phoneticPr fontId="13" type="noConversion"/>
  </si>
  <si>
    <t>Warm White*/Natual*</t>
    <phoneticPr fontId="13" type="noConversion"/>
  </si>
  <si>
    <t>Warm White *</t>
    <phoneticPr fontId="13" type="noConversion"/>
  </si>
  <si>
    <t>WW( 12번 )*</t>
    <phoneticPr fontId="13" type="noConversion"/>
  </si>
  <si>
    <t>WW*</t>
    <phoneticPr fontId="13" type="noConversion"/>
  </si>
  <si>
    <t>Extra White*</t>
    <phoneticPr fontId="13" type="noConversion"/>
  </si>
  <si>
    <t>아코프린트 1.5
(APT2)</t>
    <phoneticPr fontId="13" type="noConversion"/>
  </si>
  <si>
    <t>Milk</t>
    <phoneticPr fontId="13" type="noConversion"/>
  </si>
  <si>
    <t>960x788(가로)</t>
  </si>
  <si>
    <t>백색*</t>
  </si>
  <si>
    <t xml:space="preserve">얼스팩
(EAP)
 </t>
    <phoneticPr fontId="13" type="noConversion"/>
  </si>
  <si>
    <t>1040폭 롤</t>
    <phoneticPr fontId="13" type="noConversion"/>
  </si>
  <si>
    <t>컵지(Natural Base Stock)*</t>
    <phoneticPr fontId="13" type="noConversion"/>
  </si>
  <si>
    <t>1600폭 롤</t>
    <phoneticPr fontId="13" type="noConversion"/>
  </si>
  <si>
    <t>780x1091</t>
    <phoneticPr fontId="13" type="noConversion"/>
  </si>
  <si>
    <t>쉬트재단</t>
    <phoneticPr fontId="13" type="noConversion"/>
  </si>
  <si>
    <t>A4(210x297)</t>
    <phoneticPr fontId="13" type="noConversion"/>
  </si>
  <si>
    <t>C01 Natural 복사지( calendared grade) 500매x5</t>
    <phoneticPr fontId="13" type="noConversion"/>
  </si>
  <si>
    <t xml:space="preserve">C02 White 복사지( calendared grade) 500매x5 </t>
    <phoneticPr fontId="13" type="noConversion"/>
  </si>
  <si>
    <t>790x1091</t>
    <phoneticPr fontId="13" type="noConversion"/>
  </si>
  <si>
    <t>Natural Text - Laser*</t>
    <phoneticPr fontId="13" type="noConversion"/>
  </si>
  <si>
    <t>940x636</t>
    <phoneticPr fontId="13" type="noConversion"/>
  </si>
  <si>
    <t>1091x790</t>
    <phoneticPr fontId="13" type="noConversion"/>
  </si>
  <si>
    <t>Natural Offset 143</t>
    <phoneticPr fontId="13" type="noConversion"/>
  </si>
  <si>
    <t>164</t>
    <phoneticPr fontId="13" type="noConversion"/>
  </si>
  <si>
    <t>790x545</t>
    <phoneticPr fontId="13" type="noConversion"/>
  </si>
  <si>
    <t>636x940</t>
    <phoneticPr fontId="13" type="noConversion"/>
  </si>
  <si>
    <t>640x940</t>
    <phoneticPr fontId="13" type="noConversion"/>
  </si>
  <si>
    <t>24</t>
    <phoneticPr fontId="13" type="noConversion"/>
  </si>
  <si>
    <t>217</t>
    <phoneticPr fontId="13" type="noConversion"/>
  </si>
  <si>
    <t>900x1200(가로)</t>
    <phoneticPr fontId="13" type="noConversion"/>
  </si>
  <si>
    <t>B10</t>
    <phoneticPr fontId="13" type="noConversion"/>
  </si>
  <si>
    <t xml:space="preserve">쉬트 </t>
    <phoneticPr fontId="13" type="noConversion"/>
  </si>
  <si>
    <t>150g 미만</t>
    <phoneticPr fontId="13" type="noConversion"/>
  </si>
  <si>
    <t>톤 가격에서 변규격은 3% 추가</t>
    <phoneticPr fontId="13" type="noConversion"/>
  </si>
  <si>
    <t>150g 이상</t>
    <phoneticPr fontId="13" type="noConversion"/>
  </si>
  <si>
    <t xml:space="preserve"> </t>
    <phoneticPr fontId="3" type="noConversion"/>
  </si>
  <si>
    <t xml:space="preserve"> 롤</t>
    <phoneticPr fontId="13" type="noConversion"/>
  </si>
  <si>
    <t>Natural PVP C1S*</t>
    <phoneticPr fontId="13" type="noConversion"/>
  </si>
  <si>
    <t>1091x788</t>
    <phoneticPr fontId="13" type="noConversion"/>
  </si>
  <si>
    <t>80</t>
    <phoneticPr fontId="13" type="noConversion"/>
  </si>
  <si>
    <t>76</t>
    <phoneticPr fontId="13" type="noConversion"/>
  </si>
  <si>
    <t xml:space="preserve">롤 </t>
    <phoneticPr fontId="13" type="noConversion"/>
  </si>
  <si>
    <t>Natural Coated C1S *</t>
    <phoneticPr fontId="13" type="noConversion"/>
  </si>
  <si>
    <t>Natural KIT 7( Grease Proof )  *</t>
    <phoneticPr fontId="13" type="noConversion"/>
  </si>
  <si>
    <t>545x790</t>
    <phoneticPr fontId="13" type="noConversion"/>
  </si>
  <si>
    <t>221</t>
    <phoneticPr fontId="13" type="noConversion"/>
  </si>
  <si>
    <t xml:space="preserve">* </t>
    <phoneticPr fontId="13" type="noConversion"/>
  </si>
  <si>
    <t>960폭/808폭 롤</t>
    <phoneticPr fontId="13" type="noConversion"/>
  </si>
  <si>
    <t>Natural C1S KIT 12</t>
    <phoneticPr fontId="13" type="noConversion"/>
  </si>
  <si>
    <t>940X636</t>
    <phoneticPr fontId="13" type="noConversion"/>
  </si>
  <si>
    <t>MG Natural 일반</t>
    <phoneticPr fontId="13" type="noConversion"/>
  </si>
  <si>
    <t>(계약공급)</t>
    <phoneticPr fontId="13" type="noConversion"/>
  </si>
  <si>
    <t>MG Natural WS*</t>
    <phoneticPr fontId="13" type="noConversion"/>
  </si>
  <si>
    <t>( Wet Strength )</t>
    <phoneticPr fontId="13" type="noConversion"/>
  </si>
  <si>
    <t xml:space="preserve">  엑스퍼 (XPER)        </t>
    <phoneticPr fontId="13" type="noConversion"/>
  </si>
  <si>
    <t xml:space="preserve">W01( White )  </t>
    <phoneticPr fontId="13" type="noConversion"/>
  </si>
  <si>
    <t>W02</t>
    <phoneticPr fontId="13" type="noConversion"/>
  </si>
  <si>
    <t>W05</t>
    <phoneticPr fontId="13" type="noConversion"/>
  </si>
  <si>
    <t>T01( P. White )*</t>
    <phoneticPr fontId="13" type="noConversion"/>
  </si>
  <si>
    <t>W01-1( White )</t>
    <phoneticPr fontId="13" type="noConversion"/>
  </si>
  <si>
    <t>W02-1</t>
    <phoneticPr fontId="13" type="noConversion"/>
  </si>
  <si>
    <t>W03-1</t>
    <phoneticPr fontId="13" type="noConversion"/>
  </si>
  <si>
    <t>W04-1</t>
    <phoneticPr fontId="13" type="noConversion"/>
  </si>
  <si>
    <t>W05-1</t>
    <phoneticPr fontId="13" type="noConversion"/>
  </si>
  <si>
    <t>T02( P. White )*</t>
    <phoneticPr fontId="13" type="noConversion"/>
  </si>
  <si>
    <t>CT02( P. White )*</t>
    <phoneticPr fontId="13" type="noConversion"/>
  </si>
  <si>
    <t>엔듀로아이스
(ENI)</t>
  </si>
  <si>
    <t>1000x700(가로)</t>
  </si>
  <si>
    <t>60M*</t>
    <phoneticPr fontId="13" type="noConversion"/>
  </si>
  <si>
    <t>80M</t>
  </si>
  <si>
    <t>130M*</t>
    <phoneticPr fontId="13" type="noConversion"/>
  </si>
  <si>
    <t>170M*</t>
    <phoneticPr fontId="13" type="noConversion"/>
  </si>
  <si>
    <t>175M*</t>
    <phoneticPr fontId="13" type="noConversion"/>
  </si>
  <si>
    <t>220M*</t>
    <phoneticPr fontId="13" type="noConversion"/>
  </si>
  <si>
    <t>270M*</t>
    <phoneticPr fontId="13" type="noConversion"/>
  </si>
  <si>
    <t>MF크라프트
(MF)</t>
    <phoneticPr fontId="13" type="noConversion"/>
  </si>
  <si>
    <t>07D</t>
    <phoneticPr fontId="13" type="noConversion"/>
  </si>
  <si>
    <t>02A*</t>
    <phoneticPr fontId="13" type="noConversion"/>
  </si>
  <si>
    <t>04A*</t>
    <phoneticPr fontId="13" type="noConversion"/>
  </si>
  <si>
    <t>1200x900(가로)</t>
  </si>
  <si>
    <t>04-1*</t>
    <phoneticPr fontId="13" type="noConversion"/>
  </si>
  <si>
    <t>04A-1*</t>
    <phoneticPr fontId="13" type="noConversion"/>
  </si>
  <si>
    <t>MG크라프트
(MG)</t>
    <phoneticPr fontId="13" type="noConversion"/>
  </si>
  <si>
    <t>Cream 민짜*</t>
    <phoneticPr fontId="13" type="noConversion"/>
  </si>
  <si>
    <t xml:space="preserve"> White 민짜*</t>
    <phoneticPr fontId="13" type="noConversion"/>
  </si>
  <si>
    <t>Starpack White 민짜</t>
    <phoneticPr fontId="13" type="noConversion"/>
  </si>
  <si>
    <t>White 민짜*</t>
    <phoneticPr fontId="13" type="noConversion"/>
  </si>
  <si>
    <t>쉬트</t>
    <phoneticPr fontId="13" type="noConversion"/>
  </si>
  <si>
    <t>올드밀 
(OLD)</t>
    <phoneticPr fontId="15" type="noConversion"/>
  </si>
  <si>
    <t>1091폭</t>
    <phoneticPr fontId="13" type="noConversion"/>
  </si>
  <si>
    <t>BIANCO</t>
    <phoneticPr fontId="13" type="noConversion"/>
  </si>
  <si>
    <t>BIANCO 01</t>
    <phoneticPr fontId="13" type="noConversion"/>
  </si>
  <si>
    <t>BIANCO  07</t>
    <phoneticPr fontId="13" type="noConversion"/>
  </si>
  <si>
    <t>545X788(세로)</t>
    <phoneticPr fontId="13" type="noConversion"/>
  </si>
  <si>
    <t>BIANCO 3-1</t>
    <phoneticPr fontId="13" type="noConversion"/>
  </si>
  <si>
    <t>EXTRA WHITE  E03</t>
    <phoneticPr fontId="13" type="noConversion"/>
  </si>
  <si>
    <t>E05</t>
    <phoneticPr fontId="13" type="noConversion"/>
  </si>
  <si>
    <t>EXTRA  WHITE  E16</t>
    <phoneticPr fontId="13" type="noConversion"/>
  </si>
  <si>
    <t>PREMIUM WHITE P02</t>
    <phoneticPr fontId="13" type="noConversion"/>
  </si>
  <si>
    <t>P06</t>
    <phoneticPr fontId="13" type="noConversion"/>
  </si>
  <si>
    <t>PREMIUM WHITE P07</t>
    <phoneticPr fontId="13" type="noConversion"/>
  </si>
  <si>
    <t>P08</t>
    <phoneticPr fontId="13" type="noConversion"/>
  </si>
  <si>
    <t>P09</t>
    <phoneticPr fontId="13" type="noConversion"/>
  </si>
  <si>
    <t>P10</t>
    <phoneticPr fontId="13" type="noConversion"/>
  </si>
  <si>
    <t>P16</t>
    <phoneticPr fontId="13" type="noConversion"/>
  </si>
  <si>
    <t>올드밀 리사이클 
(OLDR)</t>
    <phoneticPr fontId="13" type="noConversion"/>
  </si>
  <si>
    <t>01 Bianco, E01 ExtraWhite</t>
    <phoneticPr fontId="13" type="noConversion"/>
  </si>
  <si>
    <t>02 Bianco, E02 ExtraWhite</t>
    <phoneticPr fontId="13" type="noConversion"/>
  </si>
  <si>
    <t>03 Bianco, E03 ExtraWhite</t>
    <phoneticPr fontId="13" type="noConversion"/>
  </si>
  <si>
    <t>03-1 Bianco</t>
    <phoneticPr fontId="13" type="noConversion"/>
  </si>
  <si>
    <t>E03-1 ExtraWhite</t>
    <phoneticPr fontId="13" type="noConversion"/>
  </si>
  <si>
    <t>04 Bianco, E04 ExtraWhite</t>
    <phoneticPr fontId="13" type="noConversion"/>
  </si>
  <si>
    <t>05 Bianco, E05 ExtraWhite</t>
    <phoneticPr fontId="13" type="noConversion"/>
  </si>
  <si>
    <t>06 Bianco, E06 ExtraWhite</t>
    <phoneticPr fontId="13" type="noConversion"/>
  </si>
  <si>
    <t>T01*</t>
    <phoneticPr fontId="13" type="noConversion"/>
  </si>
  <si>
    <t>T02*, T04*</t>
    <phoneticPr fontId="13" type="noConversion"/>
  </si>
  <si>
    <t>T03*, T07*, T08*</t>
    <phoneticPr fontId="13" type="noConversion"/>
  </si>
  <si>
    <t>C05*, C07*, C08*</t>
    <phoneticPr fontId="13" type="noConversion"/>
  </si>
  <si>
    <t>C10*</t>
    <phoneticPr fontId="13" type="noConversion"/>
  </si>
  <si>
    <t>우드스탁
(WDS)</t>
    <phoneticPr fontId="13" type="noConversion"/>
  </si>
  <si>
    <t xml:space="preserve">T01* </t>
    <phoneticPr fontId="13" type="noConversion"/>
  </si>
  <si>
    <t>C09*, 10*</t>
    <phoneticPr fontId="13" type="noConversion"/>
  </si>
  <si>
    <t>위너스
(WIN)</t>
  </si>
  <si>
    <t>1091X788(가로) 788X1091(세로)*</t>
    <phoneticPr fontId="13" type="noConversion"/>
  </si>
  <si>
    <t>Super White</t>
    <phoneticPr fontId="13" type="noConversion"/>
  </si>
  <si>
    <t>White*</t>
    <phoneticPr fontId="13" type="noConversion"/>
  </si>
  <si>
    <t>788X545*</t>
    <phoneticPr fontId="13" type="noConversion"/>
  </si>
  <si>
    <t>939x636(가로)
636x939(세로)*</t>
  </si>
  <si>
    <t>유니 크라프트
(UK) *</t>
    <phoneticPr fontId="13" type="noConversion"/>
  </si>
  <si>
    <t xml:space="preserve">NATURAL </t>
    <phoneticPr fontId="13" type="noConversion"/>
  </si>
  <si>
    <t>240~</t>
    <phoneticPr fontId="13" type="noConversion"/>
  </si>
  <si>
    <t>265~</t>
    <phoneticPr fontId="13" type="noConversion"/>
  </si>
  <si>
    <t>유브이 울트라
(UV)*</t>
    <phoneticPr fontId="13" type="noConversion"/>
  </si>
  <si>
    <t>635x965(세로)</t>
  </si>
  <si>
    <t xml:space="preserve"> Radiant*</t>
  </si>
  <si>
    <t>Columns*</t>
    <phoneticPr fontId="13" type="noConversion"/>
  </si>
  <si>
    <t xml:space="preserve"> Radiant*</t>
    <phoneticPr fontId="13" type="noConversion"/>
  </si>
  <si>
    <t xml:space="preserve"> 03G FEB95µm</t>
    <phoneticPr fontId="13" type="noConversion"/>
  </si>
  <si>
    <t>04G FEB110µm</t>
    <phoneticPr fontId="13" type="noConversion"/>
  </si>
  <si>
    <t>05G FEB130µm</t>
    <phoneticPr fontId="13" type="noConversion"/>
  </si>
  <si>
    <t>06G FEB150µm</t>
    <phoneticPr fontId="13" type="noConversion"/>
  </si>
  <si>
    <t>07G FEB200µm</t>
    <phoneticPr fontId="13" type="noConversion"/>
  </si>
  <si>
    <t>09G FEB300µm</t>
    <phoneticPr fontId="13" type="noConversion"/>
  </si>
  <si>
    <t>FHG200*µm</t>
  </si>
  <si>
    <t>12 TPRA90µm</t>
    <phoneticPr fontId="13" type="noConversion"/>
  </si>
  <si>
    <t>636x939(가로)</t>
  </si>
  <si>
    <t>04G-1 FEB 110µm</t>
    <phoneticPr fontId="13" type="noConversion"/>
  </si>
  <si>
    <t>05G-1 FEB 130µm</t>
    <phoneticPr fontId="13" type="noConversion"/>
  </si>
  <si>
    <t>07G-1 FEB 200µm</t>
    <phoneticPr fontId="13" type="noConversion"/>
  </si>
  <si>
    <t>08G-1 FEB 250µm</t>
    <phoneticPr fontId="13" type="noConversion"/>
  </si>
  <si>
    <t>20 WCFA125</t>
    <phoneticPr fontId="13" type="noConversion"/>
  </si>
  <si>
    <t>21 WCFA195*</t>
    <phoneticPr fontId="13" type="noConversion"/>
  </si>
  <si>
    <t>19 WMF120</t>
    <phoneticPr fontId="13" type="noConversion"/>
  </si>
  <si>
    <t>636x939(가로)</t>
    <phoneticPr fontId="13" type="noConversion"/>
  </si>
  <si>
    <t>22 BLR150</t>
    <phoneticPr fontId="13" type="noConversion"/>
  </si>
  <si>
    <t>910x910(가로)</t>
    <phoneticPr fontId="13" type="noConversion"/>
  </si>
  <si>
    <t>03-1 FEB95µm*</t>
    <phoneticPr fontId="13" type="noConversion"/>
  </si>
  <si>
    <t>965x965(가로)</t>
    <phoneticPr fontId="13" type="noConversion"/>
  </si>
  <si>
    <t>23G FEB250µm*</t>
    <phoneticPr fontId="13" type="noConversion"/>
  </si>
  <si>
    <t xml:space="preserve">이스피라
(ISP) </t>
  </si>
  <si>
    <t>TT01*</t>
    <phoneticPr fontId="13" type="noConversion"/>
  </si>
  <si>
    <t>T03*, TT02*, TT03*, TT05*</t>
    <phoneticPr fontId="13" type="noConversion"/>
  </si>
  <si>
    <t>C01*</t>
    <phoneticPr fontId="13" type="noConversion"/>
  </si>
  <si>
    <t>C02*, C03*, C04*, C05*, CT03*</t>
    <phoneticPr fontId="13" type="noConversion"/>
  </si>
  <si>
    <t>CC02*, CC03*, CC04*, CC05*</t>
    <phoneticPr fontId="13" type="noConversion"/>
  </si>
  <si>
    <t>TT08-2A*</t>
    <phoneticPr fontId="13" type="noConversion"/>
  </si>
  <si>
    <t>C03-2*</t>
    <phoneticPr fontId="13" type="noConversion"/>
  </si>
  <si>
    <t>인바이런먼트
(ENV)</t>
  </si>
  <si>
    <t>T10*, T11*, T12*, T13*</t>
    <phoneticPr fontId="13" type="noConversion"/>
  </si>
  <si>
    <t>CT01*, CT08*, CT09*</t>
    <phoneticPr fontId="13" type="noConversion"/>
  </si>
  <si>
    <t>C01*, C10*, C12*</t>
    <phoneticPr fontId="13" type="noConversion"/>
  </si>
  <si>
    <t>C08*</t>
    <phoneticPr fontId="13" type="noConversion"/>
  </si>
  <si>
    <t>CC10*, CC12*, C12-1*</t>
    <phoneticPr fontId="13" type="noConversion"/>
  </si>
  <si>
    <t xml:space="preserve"> CA10*, CA12*</t>
    <phoneticPr fontId="13" type="noConversion"/>
  </si>
  <si>
    <t>CA13*</t>
    <phoneticPr fontId="13" type="noConversion"/>
  </si>
  <si>
    <t>CB10*, CB12*</t>
    <phoneticPr fontId="13" type="noConversion"/>
  </si>
  <si>
    <t xml:space="preserve">쟈데
(JD) </t>
    <phoneticPr fontId="13" type="noConversion"/>
  </si>
  <si>
    <t>02-3 Satin*</t>
    <phoneticPr fontId="13" type="noConversion"/>
  </si>
  <si>
    <t>( 53-2, 54-2, 55-2, 43-1, 46-2, 52-2, 57-2 )*</t>
    <phoneticPr fontId="13" type="noConversion"/>
  </si>
  <si>
    <t xml:space="preserve"> ( 21-1, 23-1, 33-1, 36-1 )*</t>
    <phoneticPr fontId="13" type="noConversion"/>
  </si>
  <si>
    <t xml:space="preserve">( E27, 43, 44, 49, 52-2 )* </t>
    <phoneticPr fontId="13" type="noConversion"/>
  </si>
  <si>
    <t>E27*, 36*, 49*, 52*</t>
    <phoneticPr fontId="13" type="noConversion"/>
  </si>
  <si>
    <t>36-2*,  43-2*</t>
    <phoneticPr fontId="13" type="noConversion"/>
  </si>
  <si>
    <t>E36, E43*, E52-1*</t>
    <phoneticPr fontId="13" type="noConversion"/>
  </si>
  <si>
    <t>E48*, E52-3*, E57*</t>
    <phoneticPr fontId="13" type="noConversion"/>
  </si>
  <si>
    <t>( E21-2, 27-1, 33-2, 36-1, 43-1, 54-4, 55 ,59 )*</t>
    <phoneticPr fontId="13" type="noConversion"/>
  </si>
  <si>
    <t xml:space="preserve">E46-1*, 48-1* </t>
    <phoneticPr fontId="13" type="noConversion"/>
  </si>
  <si>
    <t>예외</t>
    <phoneticPr fontId="13" type="noConversion"/>
  </si>
  <si>
    <t>T15A(한시적 할인가 적용)</t>
    <phoneticPr fontId="13" type="noConversion"/>
  </si>
  <si>
    <t>T22A(한시적 할인가 적용)</t>
    <phoneticPr fontId="13" type="noConversion"/>
  </si>
  <si>
    <t>CC03A(한시적 할인가 적용)</t>
    <phoneticPr fontId="13" type="noConversion"/>
  </si>
  <si>
    <t>CC32A(한시적 할인가 적용)</t>
    <phoneticPr fontId="13" type="noConversion"/>
  </si>
  <si>
    <t>CC37A(한시적 할인가 적용)</t>
    <phoneticPr fontId="13" type="noConversion"/>
  </si>
  <si>
    <t>CC48A(한시적 할인가 적용)</t>
    <phoneticPr fontId="13" type="noConversion"/>
  </si>
  <si>
    <t>788x1091</t>
    <phoneticPr fontId="13" type="noConversion"/>
  </si>
  <si>
    <t>CT50(계약제품 할인가)*</t>
    <phoneticPr fontId="13" type="noConversion"/>
  </si>
  <si>
    <t xml:space="preserve">C02-1 Ice White, C05-1 Natural </t>
    <phoneticPr fontId="13" type="noConversion"/>
  </si>
  <si>
    <t xml:space="preserve">C03-1 Pristine White </t>
    <phoneticPr fontId="13" type="noConversion"/>
  </si>
  <si>
    <t>T00 Natural  White( 단면 )*</t>
    <phoneticPr fontId="13" type="noConversion"/>
  </si>
  <si>
    <t>C00-1 Natural White( 양면 )*</t>
    <phoneticPr fontId="13" type="noConversion"/>
  </si>
  <si>
    <t>D00 Natural White( 양면 )*</t>
    <phoneticPr fontId="24" type="noConversion"/>
  </si>
  <si>
    <t>커피페이퍼 
(COF)</t>
    <phoneticPr fontId="13" type="noConversion"/>
  </si>
  <si>
    <t>1092x787(가로)</t>
    <phoneticPr fontId="13" type="noConversion"/>
  </si>
  <si>
    <t>1K02, 1K03</t>
    <phoneticPr fontId="13" type="noConversion"/>
  </si>
  <si>
    <t>1K04</t>
    <phoneticPr fontId="13" type="noConversion"/>
  </si>
  <si>
    <t xml:space="preserve">1K05, 06, 07 </t>
    <phoneticPr fontId="13" type="noConversion"/>
  </si>
  <si>
    <t>3K02</t>
    <phoneticPr fontId="13" type="noConversion"/>
  </si>
  <si>
    <t>3K04</t>
    <phoneticPr fontId="13" type="noConversion"/>
  </si>
  <si>
    <t>3K06, 07</t>
    <phoneticPr fontId="13" type="noConversion"/>
  </si>
  <si>
    <t>켄도
(KD)</t>
  </si>
  <si>
    <t>카카오
(CACA)</t>
    <phoneticPr fontId="13" type="noConversion"/>
  </si>
  <si>
    <t>W03 그레이프 ( 계약 공급 ) *</t>
    <phoneticPr fontId="13" type="noConversion"/>
  </si>
  <si>
    <t>콩코르 
레이드(CQL/CQ)*</t>
    <phoneticPr fontId="13" type="noConversion"/>
  </si>
  <si>
    <t>430x610(세로)</t>
  </si>
  <si>
    <t>L00 ,01, 02, 03</t>
    <phoneticPr fontId="13" type="noConversion"/>
  </si>
  <si>
    <t>나머지*</t>
    <phoneticPr fontId="13" type="noConversion"/>
  </si>
  <si>
    <t>450x640(세로)</t>
  </si>
  <si>
    <t>리싸이클(00R,01R)*</t>
    <phoneticPr fontId="13" type="noConversion"/>
  </si>
  <si>
    <t xml:space="preserve"> A4(210x297)</t>
  </si>
  <si>
    <t>전칼라(舊제품)*</t>
    <phoneticPr fontId="13" type="noConversion"/>
  </si>
  <si>
    <t>T00, T03</t>
    <phoneticPr fontId="13" type="noConversion"/>
  </si>
  <si>
    <t>01, 02, 03</t>
    <phoneticPr fontId="13" type="noConversion"/>
  </si>
  <si>
    <t>나머지 *</t>
    <phoneticPr fontId="13" type="noConversion"/>
  </si>
  <si>
    <t xml:space="preserve">18* ( Vellum 계약 ) </t>
    <phoneticPr fontId="13" type="noConversion"/>
  </si>
  <si>
    <t xml:space="preserve">25( Cream )* </t>
    <phoneticPr fontId="13" type="noConversion"/>
  </si>
  <si>
    <t>20A* ( Light Grey )</t>
    <phoneticPr fontId="13" type="noConversion"/>
  </si>
  <si>
    <t xml:space="preserve"> CC01*, CC02*, CC03*</t>
    <phoneticPr fontId="13" type="noConversion"/>
  </si>
  <si>
    <t>CC04*, CC05*</t>
    <phoneticPr fontId="13" type="noConversion"/>
  </si>
  <si>
    <t>CC06*, CC07*</t>
    <phoneticPr fontId="13" type="noConversion"/>
  </si>
  <si>
    <t>콩코르 
우브(CW)</t>
  </si>
  <si>
    <t>01, 02, 04</t>
    <phoneticPr fontId="13" type="noConversion"/>
  </si>
  <si>
    <t>00, 나머지</t>
    <phoneticPr fontId="13" type="noConversion"/>
  </si>
  <si>
    <t>리싸이클(00R,01R)</t>
  </si>
  <si>
    <t>전칼라(舊제품)</t>
  </si>
  <si>
    <t>T00</t>
    <phoneticPr fontId="13" type="noConversion"/>
  </si>
  <si>
    <t>T02*,T03*</t>
    <phoneticPr fontId="13" type="noConversion"/>
  </si>
  <si>
    <t>C01*, C02*,C03*</t>
    <phoneticPr fontId="13" type="noConversion"/>
  </si>
  <si>
    <t>C03-1*</t>
    <phoneticPr fontId="13" type="noConversion"/>
  </si>
  <si>
    <t>콩코르
CX22(CQX)</t>
  </si>
  <si>
    <t>01*</t>
    <phoneticPr fontId="13" type="noConversion"/>
  </si>
  <si>
    <t xml:space="preserve">02( H.White 장기재고 )* </t>
    <phoneticPr fontId="13" type="noConversion"/>
  </si>
  <si>
    <t>05*, 21*</t>
    <phoneticPr fontId="13" type="noConversion"/>
  </si>
  <si>
    <t>리싸이클(00R)</t>
  </si>
  <si>
    <t>T01*,T03*</t>
  </si>
  <si>
    <t>C01*, C03*</t>
    <phoneticPr fontId="13" type="noConversion"/>
  </si>
  <si>
    <t>C00-2*, C03-2*</t>
    <phoneticPr fontId="13" type="noConversion"/>
  </si>
  <si>
    <t>콩코르
컨셉 이리데슨트
(CON)</t>
  </si>
  <si>
    <t>450X640(세로)</t>
  </si>
  <si>
    <t>1*</t>
    <phoneticPr fontId="13" type="noConversion"/>
  </si>
  <si>
    <t>6*</t>
    <phoneticPr fontId="13" type="noConversion"/>
  </si>
  <si>
    <t>A4(210X297)</t>
  </si>
  <si>
    <t>CC01*, CC05*</t>
    <phoneticPr fontId="13" type="noConversion"/>
  </si>
  <si>
    <t>C01, C05</t>
    <phoneticPr fontId="13" type="noConversion"/>
  </si>
  <si>
    <t>C06*, C07*</t>
    <phoneticPr fontId="13" type="noConversion"/>
  </si>
  <si>
    <t>큐리어스 터치 
소프트(CTS)*</t>
    <phoneticPr fontId="13" type="noConversion"/>
  </si>
  <si>
    <t>T01*, T02*, T03*</t>
    <phoneticPr fontId="13" type="noConversion"/>
  </si>
  <si>
    <t>큐리어스
 파티클스*(CPT)</t>
    <phoneticPr fontId="13" type="noConversion"/>
  </si>
  <si>
    <t>T01A*, T02A*</t>
    <phoneticPr fontId="13" type="noConversion"/>
  </si>
  <si>
    <t>C02A*</t>
    <phoneticPr fontId="13" type="noConversion"/>
  </si>
  <si>
    <t>콩코르 밤부(CQB)*</t>
    <phoneticPr fontId="13" type="noConversion"/>
  </si>
  <si>
    <t>T16*</t>
    <phoneticPr fontId="13" type="noConversion"/>
  </si>
  <si>
    <t>T10*</t>
    <phoneticPr fontId="13" type="noConversion"/>
  </si>
  <si>
    <t>T22*</t>
    <phoneticPr fontId="13" type="noConversion"/>
  </si>
  <si>
    <t>T23*</t>
    <phoneticPr fontId="13" type="noConversion"/>
  </si>
  <si>
    <t>CT01*, CT02*, CT03*, CT16*</t>
    <phoneticPr fontId="13" type="noConversion"/>
  </si>
  <si>
    <t>CT07-2(A)*</t>
    <phoneticPr fontId="13" type="noConversion"/>
  </si>
  <si>
    <t>CT06*, CT08*, CT14*, CT19*</t>
    <phoneticPr fontId="13" type="noConversion"/>
  </si>
  <si>
    <t>C06*</t>
    <phoneticPr fontId="13" type="noConversion"/>
  </si>
  <si>
    <t>C05*, C10*, C11*</t>
    <phoneticPr fontId="13" type="noConversion"/>
  </si>
  <si>
    <t>C10-1*, C11-1*</t>
    <phoneticPr fontId="13" type="noConversion"/>
  </si>
  <si>
    <t>C07-2(A)*</t>
    <phoneticPr fontId="13" type="noConversion"/>
  </si>
  <si>
    <t>C12*</t>
    <phoneticPr fontId="13" type="noConversion"/>
  </si>
  <si>
    <t>C13*</t>
    <phoneticPr fontId="13" type="noConversion"/>
  </si>
  <si>
    <t>C16*</t>
    <phoneticPr fontId="13" type="noConversion"/>
  </si>
  <si>
    <t>C06-6*</t>
    <phoneticPr fontId="13" type="noConversion"/>
  </si>
  <si>
    <t>C17*</t>
    <phoneticPr fontId="13" type="noConversion"/>
  </si>
  <si>
    <t>C20*</t>
    <phoneticPr fontId="13" type="noConversion"/>
  </si>
  <si>
    <t>C19*, C23*</t>
    <phoneticPr fontId="13" type="noConversion"/>
  </si>
  <si>
    <t>CC03*</t>
    <phoneticPr fontId="13" type="noConversion"/>
  </si>
  <si>
    <t>CC07*</t>
    <phoneticPr fontId="13" type="noConversion"/>
  </si>
  <si>
    <t>CC07-2(A)*</t>
    <phoneticPr fontId="13" type="noConversion"/>
  </si>
  <si>
    <t>CC16*</t>
    <phoneticPr fontId="13" type="noConversion"/>
  </si>
  <si>
    <t xml:space="preserve"> CC16-1 *</t>
    <phoneticPr fontId="13" type="noConversion"/>
  </si>
  <si>
    <t>T05-1 *</t>
    <phoneticPr fontId="13" type="noConversion"/>
  </si>
  <si>
    <t>T07-1*</t>
    <phoneticPr fontId="13" type="noConversion"/>
  </si>
  <si>
    <t>T16-1 *</t>
    <phoneticPr fontId="13" type="noConversion"/>
  </si>
  <si>
    <t>CT06-3*</t>
    <phoneticPr fontId="13" type="noConversion"/>
  </si>
  <si>
    <t>CT07-1*</t>
    <phoneticPr fontId="13" type="noConversion"/>
  </si>
  <si>
    <t>CT07-3(A)*</t>
    <phoneticPr fontId="13" type="noConversion"/>
  </si>
  <si>
    <t>CT16-1*</t>
    <phoneticPr fontId="13" type="noConversion"/>
  </si>
  <si>
    <t>C06-1*</t>
    <phoneticPr fontId="13" type="noConversion"/>
  </si>
  <si>
    <t>C06-3*</t>
    <phoneticPr fontId="13" type="noConversion"/>
  </si>
  <si>
    <t>C05-1*, C10-1*</t>
    <phoneticPr fontId="13" type="noConversion"/>
  </si>
  <si>
    <t>C07-1*</t>
    <phoneticPr fontId="13" type="noConversion"/>
  </si>
  <si>
    <t>C16-1*</t>
    <phoneticPr fontId="13" type="noConversion"/>
  </si>
  <si>
    <t>720x1020</t>
    <phoneticPr fontId="13" type="noConversion"/>
  </si>
  <si>
    <t>T08-2N*</t>
    <phoneticPr fontId="13" type="noConversion"/>
  </si>
  <si>
    <t>700x1000</t>
    <phoneticPr fontId="13" type="noConversion"/>
  </si>
  <si>
    <t>T08-1( 계약 ), T08-1N( 계약 )</t>
    <phoneticPr fontId="13" type="noConversion"/>
  </si>
  <si>
    <t>490x1000M</t>
    <phoneticPr fontId="13" type="noConversion"/>
  </si>
  <si>
    <t>Clear*</t>
    <phoneticPr fontId="13" type="noConversion"/>
  </si>
  <si>
    <t>300 Width</t>
    <phoneticPr fontId="13" type="noConversion"/>
  </si>
  <si>
    <t>크리스탈 트레싱지 2
(CRS2)</t>
    <phoneticPr fontId="13" type="noConversion"/>
  </si>
  <si>
    <t>크레인(CRA)</t>
  </si>
  <si>
    <t>Crest(W01,W02*</t>
    <phoneticPr fontId="13" type="noConversion"/>
  </si>
  <si>
    <t>Crest(CT01,CT02)</t>
  </si>
  <si>
    <t>Lettra(T01,T02)</t>
  </si>
  <si>
    <t>560x760(세로)</t>
  </si>
  <si>
    <t>Lettra(C01,C02)</t>
  </si>
  <si>
    <t>Lettra C02-1*</t>
    <phoneticPr fontId="13" type="noConversion"/>
  </si>
  <si>
    <t>660x508(세로)</t>
    <phoneticPr fontId="13" type="noConversion"/>
  </si>
  <si>
    <t>LETTRA (F01, F02 )</t>
    <phoneticPr fontId="13" type="noConversion"/>
  </si>
  <si>
    <t>LETTRA( F03)*</t>
    <phoneticPr fontId="13" type="noConversion"/>
  </si>
  <si>
    <t>KID (D01, D02)</t>
    <phoneticPr fontId="13" type="noConversion"/>
  </si>
  <si>
    <t>KID (E01, E02)</t>
    <phoneticPr fontId="13" type="noConversion"/>
  </si>
  <si>
    <t>T1*</t>
    <phoneticPr fontId="13" type="noConversion"/>
  </si>
  <si>
    <t>CT1A( 한시적 할인 )</t>
    <phoneticPr fontId="13" type="noConversion"/>
  </si>
  <si>
    <t>CT2A( 한시적 할인 )</t>
    <phoneticPr fontId="13" type="noConversion"/>
  </si>
  <si>
    <t>CT3A, CT9A( 한시적 할인 )</t>
    <phoneticPr fontId="13" type="noConversion"/>
  </si>
  <si>
    <t>CT10A ( 한시적 할인 )</t>
    <phoneticPr fontId="13" type="noConversion"/>
  </si>
  <si>
    <t>CT1A-1( 한시적 )</t>
    <phoneticPr fontId="13" type="noConversion"/>
  </si>
  <si>
    <t>CT2A-1( 한시적 )</t>
    <phoneticPr fontId="13" type="noConversion"/>
  </si>
  <si>
    <t>CT9A-1( 한시적 )</t>
    <phoneticPr fontId="13" type="noConversion"/>
  </si>
  <si>
    <t>CT3A( 한시적 )</t>
    <phoneticPr fontId="13" type="noConversion"/>
  </si>
  <si>
    <t>208A* ( 장기 재고 한시적 )</t>
    <phoneticPr fontId="13" type="noConversion"/>
  </si>
  <si>
    <t>202* 203* 204*, 214*</t>
    <phoneticPr fontId="13" type="noConversion"/>
  </si>
  <si>
    <t>209*, 210*,  228*</t>
    <phoneticPr fontId="13" type="noConversion"/>
  </si>
  <si>
    <t>222 화이트펄*, 223 내추럴화이트펄*</t>
    <phoneticPr fontId="13" type="noConversion"/>
  </si>
  <si>
    <t>5/31 기준 기존재고</t>
    <phoneticPr fontId="13" type="noConversion"/>
  </si>
  <si>
    <t>224 골드펄*</t>
    <phoneticPr fontId="13" type="noConversion"/>
  </si>
  <si>
    <t>222N 화이트펄*, 223N 내추럴화이트펄*</t>
    <phoneticPr fontId="13" type="noConversion"/>
  </si>
  <si>
    <t xml:space="preserve">6/1 이후 입고분 </t>
    <phoneticPr fontId="13" type="noConversion"/>
  </si>
  <si>
    <t>224N 골드펄*</t>
    <phoneticPr fontId="13" type="noConversion"/>
  </si>
  <si>
    <t>939x640(가로)</t>
    <phoneticPr fontId="13" type="noConversion"/>
  </si>
  <si>
    <t>207-1*</t>
    <phoneticPr fontId="13" type="noConversion"/>
  </si>
  <si>
    <t>222-1화이트펄*</t>
    <phoneticPr fontId="13" type="noConversion"/>
  </si>
  <si>
    <t>224-1 골드펄*</t>
    <phoneticPr fontId="13" type="noConversion"/>
  </si>
  <si>
    <t>224-1N골드펄*</t>
    <phoneticPr fontId="13" type="noConversion"/>
  </si>
  <si>
    <t>11,* 12*,14*,21</t>
    <phoneticPr fontId="13" type="noConversion"/>
  </si>
  <si>
    <t xml:space="preserve"> 17,18*,19*</t>
  </si>
  <si>
    <t>572*889(세로)</t>
  </si>
  <si>
    <t>14*(B.Ivory)</t>
  </si>
  <si>
    <t xml:space="preserve">S01A-1( 한시적 가격인하 ) </t>
    <phoneticPr fontId="13" type="noConversion"/>
  </si>
  <si>
    <t xml:space="preserve">S06A-1( 한시적 가격인하 ) </t>
    <phoneticPr fontId="13" type="noConversion"/>
  </si>
  <si>
    <t xml:space="preserve">S08A-1( 한시적 가격인하 ) </t>
    <phoneticPr fontId="13" type="noConversion"/>
  </si>
  <si>
    <t>S10A-1( 한시적 가격인하 )</t>
    <phoneticPr fontId="13" type="noConversion"/>
  </si>
  <si>
    <t>S11A-1( 한시적 가격인하 )</t>
    <phoneticPr fontId="13" type="noConversion"/>
  </si>
  <si>
    <t>S07-1*</t>
    <phoneticPr fontId="13" type="noConversion"/>
  </si>
  <si>
    <t>S11*</t>
    <phoneticPr fontId="13" type="noConversion"/>
  </si>
  <si>
    <t>S05A( 한시적 가격인하 )</t>
    <phoneticPr fontId="13" type="noConversion"/>
  </si>
  <si>
    <t>S07A( 한시적 가격인하 )</t>
    <phoneticPr fontId="13" type="noConversion"/>
  </si>
  <si>
    <t>S08A( 한시적 가격인하 )</t>
    <phoneticPr fontId="13" type="noConversion"/>
  </si>
  <si>
    <t>S10A( 한시적 가격인하 )</t>
    <phoneticPr fontId="13" type="noConversion"/>
  </si>
  <si>
    <t>SAA01( 한시적 가격인하 )</t>
    <phoneticPr fontId="13" type="noConversion"/>
  </si>
  <si>
    <t>SA07*</t>
    <phoneticPr fontId="13" type="noConversion"/>
  </si>
  <si>
    <t>SA09*</t>
    <phoneticPr fontId="13" type="noConversion"/>
  </si>
  <si>
    <t>SA10*</t>
    <phoneticPr fontId="13" type="noConversion"/>
  </si>
  <si>
    <t>270*</t>
    <phoneticPr fontId="13" type="noConversion"/>
  </si>
  <si>
    <t>660*1016(세로)</t>
    <phoneticPr fontId="13" type="noConversion"/>
  </si>
  <si>
    <t>S02-3*, S3-3*</t>
    <phoneticPr fontId="13" type="noConversion"/>
  </si>
  <si>
    <t>S7-3*</t>
    <phoneticPr fontId="13" type="noConversion"/>
  </si>
  <si>
    <t>키칼라
(KEY)</t>
    <phoneticPr fontId="13" type="noConversion"/>
  </si>
  <si>
    <t>T08, 12, 13 , 18, 19, 20, 22, 28, 31, 32, 40</t>
    <phoneticPr fontId="13" type="noConversion"/>
  </si>
  <si>
    <t>T02, 07, 09, 11, 41</t>
    <phoneticPr fontId="13" type="noConversion"/>
  </si>
  <si>
    <t>T17, 21, 29, 36, 39</t>
    <phoneticPr fontId="13" type="noConversion"/>
  </si>
  <si>
    <t>CC01, 04, 18</t>
    <phoneticPr fontId="13" type="noConversion"/>
  </si>
  <si>
    <t>CC22, 40</t>
    <phoneticPr fontId="13" type="noConversion"/>
  </si>
  <si>
    <t>CC02, 07, 08, 15, 20, 38, 39, 41</t>
    <phoneticPr fontId="13" type="noConversion"/>
  </si>
  <si>
    <t>CC06, 10, 14, 16, 37</t>
    <phoneticPr fontId="13" type="noConversion"/>
  </si>
  <si>
    <t xml:space="preserve">CC42 </t>
    <phoneticPr fontId="13" type="noConversion"/>
  </si>
  <si>
    <t xml:space="preserve">CC35 </t>
    <phoneticPr fontId="13" type="noConversion"/>
  </si>
  <si>
    <t xml:space="preserve">타이벡
(TY)  </t>
  </si>
  <si>
    <t>130MY</t>
  </si>
  <si>
    <t>1025D</t>
  </si>
  <si>
    <t xml:space="preserve">쉬트 재단 </t>
    <phoneticPr fontId="13" type="noConversion"/>
  </si>
  <si>
    <t xml:space="preserve">별사이즈 </t>
    <phoneticPr fontId="13" type="noConversion"/>
  </si>
  <si>
    <t>소롤 가공</t>
    <phoneticPr fontId="13" type="noConversion"/>
  </si>
  <si>
    <t>160MY</t>
    <phoneticPr fontId="13" type="noConversion"/>
  </si>
  <si>
    <t>1056D</t>
    <phoneticPr fontId="13" type="noConversion"/>
  </si>
  <si>
    <t>100M 롤</t>
    <phoneticPr fontId="13" type="noConversion"/>
  </si>
  <si>
    <t>939x636</t>
    <phoneticPr fontId="13" type="noConversion"/>
  </si>
  <si>
    <t>170MY</t>
  </si>
  <si>
    <t>1059D*</t>
    <phoneticPr fontId="13" type="noConversion"/>
  </si>
  <si>
    <t>190MY</t>
  </si>
  <si>
    <t>1070D</t>
  </si>
  <si>
    <t>1092x788</t>
    <phoneticPr fontId="13" type="noConversion"/>
  </si>
  <si>
    <t>1073D</t>
  </si>
  <si>
    <t>260MY</t>
  </si>
  <si>
    <t>1082D</t>
    <phoneticPr fontId="13" type="noConversion"/>
  </si>
  <si>
    <t>1085D*</t>
    <phoneticPr fontId="13" type="noConversion"/>
  </si>
  <si>
    <t>4173D</t>
    <phoneticPr fontId="13" type="noConversion"/>
  </si>
  <si>
    <t>394x545</t>
    <phoneticPr fontId="13" type="noConversion"/>
  </si>
  <si>
    <t>1092x200M</t>
    <phoneticPr fontId="13" type="noConversion"/>
  </si>
  <si>
    <t>140MY</t>
    <phoneticPr fontId="13" type="noConversion"/>
  </si>
  <si>
    <t xml:space="preserve">1443R </t>
    <phoneticPr fontId="13" type="noConversion"/>
  </si>
  <si>
    <t>1524x1M</t>
    <phoneticPr fontId="13" type="noConversion"/>
  </si>
  <si>
    <t>1442R</t>
    <phoneticPr fontId="13" type="noConversion"/>
  </si>
  <si>
    <t>1524폭 롤</t>
    <phoneticPr fontId="13" type="noConversion"/>
  </si>
  <si>
    <t>1452A</t>
    <phoneticPr fontId="13" type="noConversion"/>
  </si>
  <si>
    <t>3048폭 롤</t>
    <phoneticPr fontId="13" type="noConversion"/>
  </si>
  <si>
    <t>1500폭 롤</t>
    <phoneticPr fontId="13" type="noConversion"/>
  </si>
  <si>
    <t>1460R</t>
    <phoneticPr fontId="13" type="noConversion"/>
  </si>
  <si>
    <t>1000x1M</t>
    <phoneticPr fontId="13" type="noConversion"/>
  </si>
  <si>
    <t>1455R*</t>
    <phoneticPr fontId="13" type="noConversion"/>
  </si>
  <si>
    <t>1473R</t>
    <phoneticPr fontId="13" type="noConversion"/>
  </si>
  <si>
    <t>4020D</t>
    <phoneticPr fontId="13" type="noConversion"/>
  </si>
  <si>
    <t>245x1150M</t>
    <phoneticPr fontId="13" type="noConversion"/>
  </si>
  <si>
    <t>롤(1500Wx1600M)</t>
    <phoneticPr fontId="13" type="noConversion"/>
  </si>
  <si>
    <t>60g</t>
    <phoneticPr fontId="13" type="noConversion"/>
  </si>
  <si>
    <t>3563M</t>
    <phoneticPr fontId="13" type="noConversion"/>
  </si>
  <si>
    <t>소롤(1500x100M)</t>
    <phoneticPr fontId="13" type="noConversion"/>
  </si>
  <si>
    <t>파인린넨
(FNL)</t>
    <phoneticPr fontId="13" type="noConversion"/>
  </si>
  <si>
    <t>1070x910</t>
    <phoneticPr fontId="13" type="noConversion"/>
  </si>
  <si>
    <t>2,3</t>
    <phoneticPr fontId="13" type="noConversion"/>
  </si>
  <si>
    <t>910x860</t>
    <phoneticPr fontId="13" type="noConversion"/>
  </si>
  <si>
    <t>T05-1</t>
    <phoneticPr fontId="13" type="noConversion"/>
  </si>
  <si>
    <t>860x910</t>
    <phoneticPr fontId="13" type="noConversion"/>
  </si>
  <si>
    <t>04A</t>
    <phoneticPr fontId="13" type="noConversion"/>
  </si>
  <si>
    <t>02A, 03A</t>
    <phoneticPr fontId="13" type="noConversion"/>
  </si>
  <si>
    <t>01A</t>
    <phoneticPr fontId="13" type="noConversion"/>
  </si>
  <si>
    <t xml:space="preserve">C05( Navy Blue ) </t>
    <phoneticPr fontId="13" type="noConversion"/>
  </si>
  <si>
    <t>910x1070</t>
    <phoneticPr fontId="13" type="noConversion"/>
  </si>
  <si>
    <t>01-1*</t>
    <phoneticPr fontId="13" type="noConversion"/>
  </si>
  <si>
    <t>페스티발
(FST)</t>
    <phoneticPr fontId="13" type="noConversion"/>
  </si>
  <si>
    <t>T05*( 연미), T06*( 백색)</t>
    <phoneticPr fontId="13" type="noConversion"/>
  </si>
  <si>
    <t>L03( 슬레이트 블루 )</t>
    <phoneticPr fontId="13" type="noConversion"/>
  </si>
  <si>
    <t>L03-5*( 슬레이트 블루)</t>
    <phoneticPr fontId="13" type="noConversion"/>
  </si>
  <si>
    <t>640X900</t>
    <phoneticPr fontId="13" type="noConversion"/>
  </si>
  <si>
    <t>L01-1, L01-2( 아이보리)</t>
    <phoneticPr fontId="13" type="noConversion"/>
  </si>
  <si>
    <t>L02-1, L02-2( 연미색)</t>
    <phoneticPr fontId="13" type="noConversion"/>
  </si>
  <si>
    <t>L04-1, LO4-2(피색)</t>
    <phoneticPr fontId="13" type="noConversion"/>
  </si>
  <si>
    <t>L03-5( 슬레이트 블루)</t>
    <phoneticPr fontId="13" type="noConversion"/>
  </si>
  <si>
    <t>900X640</t>
    <phoneticPr fontId="13" type="noConversion"/>
  </si>
  <si>
    <t>L03-6( 슬레이트 블루)</t>
    <phoneticPr fontId="13" type="noConversion"/>
  </si>
  <si>
    <t>페르가메나타
(PER)</t>
  </si>
  <si>
    <t>01 백색, 02 미색*</t>
    <phoneticPr fontId="13" type="noConversion"/>
  </si>
  <si>
    <t>03 백색</t>
    <phoneticPr fontId="13" type="noConversion"/>
  </si>
  <si>
    <t>04 미색*</t>
    <phoneticPr fontId="13" type="noConversion"/>
  </si>
  <si>
    <t>05 백색</t>
    <phoneticPr fontId="13" type="noConversion"/>
  </si>
  <si>
    <t>06 미색*</t>
    <phoneticPr fontId="13" type="noConversion"/>
  </si>
  <si>
    <t>1091x788(가로)*</t>
  </si>
  <si>
    <t>미색*</t>
  </si>
  <si>
    <t>페르가메나타 펄
(PERP)</t>
    <phoneticPr fontId="13" type="noConversion"/>
  </si>
  <si>
    <t>T2, T3</t>
    <phoneticPr fontId="13" type="noConversion"/>
  </si>
  <si>
    <t>CT1*, CT2*, CT3*</t>
    <phoneticPr fontId="13" type="noConversion"/>
  </si>
  <si>
    <t>C1, C2, C3</t>
    <phoneticPr fontId="13" type="noConversion"/>
  </si>
  <si>
    <t xml:space="preserve">폴리아트
(PO2)  
</t>
    <phoneticPr fontId="13" type="noConversion"/>
  </si>
  <si>
    <t>635x940(세로)</t>
  </si>
  <si>
    <t xml:space="preserve"> 백색</t>
  </si>
  <si>
    <t>PE01*</t>
    <phoneticPr fontId="13" type="noConversion"/>
  </si>
  <si>
    <t>PE02*</t>
    <phoneticPr fontId="13" type="noConversion"/>
  </si>
  <si>
    <t>하모니
(HAR)
계약공급</t>
    <phoneticPr fontId="13" type="noConversion"/>
  </si>
  <si>
    <t>High white</t>
    <phoneticPr fontId="13" type="noConversion"/>
  </si>
  <si>
    <t xml:space="preserve">Natural white* </t>
    <phoneticPr fontId="13" type="noConversion"/>
  </si>
  <si>
    <t>Ultra White *</t>
    <phoneticPr fontId="13" type="noConversion"/>
  </si>
  <si>
    <t xml:space="preserve"> Natural white* </t>
    <phoneticPr fontId="13" type="noConversion"/>
  </si>
  <si>
    <t>Ultra White*</t>
    <phoneticPr fontId="13" type="noConversion"/>
  </si>
  <si>
    <t>하이보드
(HB)</t>
    <phoneticPr fontId="13" type="noConversion"/>
  </si>
  <si>
    <t>1100x770</t>
  </si>
  <si>
    <t>46, 48</t>
    <phoneticPr fontId="13" type="noConversion"/>
  </si>
  <si>
    <t>*47,*49,*50,*52,*55,*56</t>
    <phoneticPr fontId="13" type="noConversion"/>
  </si>
  <si>
    <t>44(크라프트)</t>
    <phoneticPr fontId="13" type="noConversion"/>
  </si>
  <si>
    <t>45*</t>
    <phoneticPr fontId="13" type="noConversion"/>
  </si>
  <si>
    <t>45B(뉴검정색)</t>
    <phoneticPr fontId="13" type="noConversion"/>
  </si>
  <si>
    <t>#53,* 58*~62*</t>
    <phoneticPr fontId="13" type="noConversion"/>
  </si>
  <si>
    <t>88, 89</t>
    <phoneticPr fontId="13" type="noConversion"/>
  </si>
  <si>
    <t>44A(SK,S,K)</t>
    <phoneticPr fontId="13" type="noConversion"/>
  </si>
  <si>
    <t>44C 화이트탑크라프트(W,S,K)</t>
    <phoneticPr fontId="13" type="noConversion"/>
  </si>
  <si>
    <t>43A(순백)</t>
    <phoneticPr fontId="13" type="noConversion"/>
  </si>
  <si>
    <t>43B 순백(식품안전품질)</t>
    <phoneticPr fontId="13" type="noConversion"/>
  </si>
  <si>
    <t>44D MG크라프트*</t>
    <phoneticPr fontId="13" type="noConversion"/>
  </si>
  <si>
    <t>86(얼스팩-사탕수수)</t>
    <phoneticPr fontId="13" type="noConversion"/>
  </si>
  <si>
    <t>45A(하이블랙)</t>
  </si>
  <si>
    <t>45C( 검정색 )</t>
    <phoneticPr fontId="13" type="noConversion"/>
  </si>
  <si>
    <t>86A(얼스팩)</t>
    <phoneticPr fontId="13" type="noConversion"/>
  </si>
  <si>
    <t>90(밤부팩)</t>
    <phoneticPr fontId="13" type="noConversion"/>
  </si>
  <si>
    <t>86B(얼스팩) - 미입고</t>
    <phoneticPr fontId="13" type="noConversion"/>
  </si>
  <si>
    <t>900x770</t>
    <phoneticPr fontId="13" type="noConversion"/>
  </si>
  <si>
    <t>45A-3</t>
    <phoneticPr fontId="13" type="noConversion"/>
  </si>
  <si>
    <t>1100x385</t>
    <phoneticPr fontId="13" type="noConversion"/>
  </si>
  <si>
    <t>*75, *78, *83</t>
    <phoneticPr fontId="13" type="noConversion"/>
  </si>
  <si>
    <t>550x770</t>
    <phoneticPr fontId="13" type="noConversion"/>
  </si>
  <si>
    <t>43A-8</t>
    <phoneticPr fontId="13" type="noConversion"/>
  </si>
  <si>
    <t>43A-4</t>
    <phoneticPr fontId="13" type="noConversion"/>
  </si>
  <si>
    <t>45A-1</t>
    <phoneticPr fontId="13" type="noConversion"/>
  </si>
  <si>
    <t>*피색, *보라색,</t>
    <phoneticPr fontId="13" type="noConversion"/>
  </si>
  <si>
    <t>24*</t>
    <phoneticPr fontId="13" type="noConversion"/>
  </si>
  <si>
    <t>85 (호두색), 87(연미색)</t>
    <phoneticPr fontId="13" type="noConversion"/>
  </si>
  <si>
    <t>27*, 30*, 31*, 32*, 34, 35* ,40*</t>
    <phoneticPr fontId="13" type="noConversion"/>
  </si>
  <si>
    <t>하프 에어
(HALF)*</t>
    <phoneticPr fontId="13" type="noConversion"/>
  </si>
  <si>
    <t>면,대마,코르크</t>
  </si>
  <si>
    <t>하이-탄  
(HIT)</t>
    <phoneticPr fontId="13" type="noConversion"/>
  </si>
  <si>
    <t>790X1091(가로)</t>
    <phoneticPr fontId="13" type="noConversion"/>
  </si>
  <si>
    <t>05, C5</t>
    <phoneticPr fontId="13" type="noConversion"/>
  </si>
  <si>
    <t>03, C3</t>
    <phoneticPr fontId="13" type="noConversion"/>
  </si>
  <si>
    <t>02, C2</t>
    <phoneticPr fontId="13" type="noConversion"/>
  </si>
  <si>
    <t>01, C1</t>
    <phoneticPr fontId="13" type="noConversion"/>
  </si>
  <si>
    <t>00, C0</t>
    <phoneticPr fontId="13" type="noConversion"/>
  </si>
  <si>
    <t>545X788(가로)</t>
    <phoneticPr fontId="13" type="noConversion"/>
  </si>
  <si>
    <t>1-1, C1-1</t>
    <phoneticPr fontId="13" type="noConversion"/>
  </si>
  <si>
    <t>940X640(세로)</t>
    <phoneticPr fontId="13" type="noConversion"/>
  </si>
  <si>
    <t>1-2M C1-2</t>
    <phoneticPr fontId="13" type="noConversion"/>
  </si>
  <si>
    <t>640X940(가로)</t>
    <phoneticPr fontId="13" type="noConversion"/>
  </si>
  <si>
    <t>3-3, C3-3</t>
    <phoneticPr fontId="13" type="noConversion"/>
  </si>
  <si>
    <t>1-3, C1-3</t>
    <phoneticPr fontId="13" type="noConversion"/>
  </si>
  <si>
    <t>모딜리아니
(삼원 띤또레또 대용)</t>
    <phoneticPr fontId="7" type="noConversion"/>
  </si>
  <si>
    <t>클래시커버
(엔젤클로스 대용)</t>
    <phoneticPr fontId="7" type="noConversion"/>
  </si>
  <si>
    <t>White 11-1</t>
    <phoneticPr fontId="13" type="noConversion"/>
  </si>
  <si>
    <t>C09*</t>
    <phoneticPr fontId="13" type="noConversion"/>
  </si>
  <si>
    <t>C10*</t>
    <phoneticPr fontId="3" type="noConversion"/>
  </si>
  <si>
    <t>C11*</t>
    <phoneticPr fontId="13" type="noConversion"/>
  </si>
  <si>
    <t>구몬드 만테코
(MTCO)</t>
    <phoneticPr fontId="3" type="noConversion"/>
  </si>
  <si>
    <t>700x1000(세로)</t>
    <phoneticPr fontId="3" type="noConversion"/>
  </si>
  <si>
    <t>C01</t>
    <phoneticPr fontId="3" type="noConversion"/>
  </si>
  <si>
    <t>C02, 04</t>
    <phoneticPr fontId="3" type="noConversion"/>
  </si>
  <si>
    <t>C05, 06, 07</t>
    <phoneticPr fontId="3" type="noConversion"/>
  </si>
  <si>
    <t>실버 디지털 그로스I151*</t>
    <phoneticPr fontId="13" type="noConversion"/>
  </si>
  <si>
    <t>디엠보스
(TEBS)</t>
    <phoneticPr fontId="3" type="noConversion"/>
  </si>
  <si>
    <t>788x1091(세로)</t>
    <phoneticPr fontId="3" type="noConversion"/>
  </si>
  <si>
    <t>Sandstone Embo(E102)</t>
    <phoneticPr fontId="3" type="noConversion"/>
  </si>
  <si>
    <t>01, 02</t>
    <phoneticPr fontId="3" type="noConversion"/>
  </si>
  <si>
    <t>15, 18, 33</t>
    <phoneticPr fontId="3" type="noConversion"/>
  </si>
  <si>
    <t>21, 26, 27, 29, 30</t>
    <phoneticPr fontId="3" type="noConversion"/>
  </si>
  <si>
    <t>37(Jet Black)</t>
    <phoneticPr fontId="3" type="noConversion"/>
  </si>
  <si>
    <t xml:space="preserve">마테리카
(MTRC) </t>
    <phoneticPr fontId="3" type="noConversion"/>
  </si>
  <si>
    <t>CP06*</t>
    <phoneticPr fontId="13" type="noConversion"/>
  </si>
  <si>
    <t>CP02, CP05</t>
    <phoneticPr fontId="13" type="noConversion"/>
  </si>
  <si>
    <t>멀티크라프트
(MK)</t>
    <phoneticPr fontId="3" type="noConversion"/>
  </si>
  <si>
    <t>B02, B04, B05, B11, B15, B27, B28</t>
    <phoneticPr fontId="13" type="noConversion"/>
  </si>
  <si>
    <t>빌리지
(VIL)
(FSC 01S~09S 한정)</t>
    <phoneticPr fontId="13" type="noConversion"/>
  </si>
  <si>
    <r>
      <t xml:space="preserve">E65 </t>
    </r>
    <r>
      <rPr>
        <sz val="9"/>
        <rFont val="맑은 고딕"/>
        <family val="3"/>
        <charset val="129"/>
      </rPr>
      <t>린렌</t>
    </r>
    <phoneticPr fontId="13" type="noConversion"/>
  </si>
  <si>
    <t>770x535</t>
    <phoneticPr fontId="3" type="noConversion"/>
  </si>
  <si>
    <t>05</t>
    <phoneticPr fontId="3" type="noConversion"/>
  </si>
  <si>
    <t>할인불가</t>
    <phoneticPr fontId="13" type="noConversion"/>
  </si>
  <si>
    <t>박스단위판매</t>
    <phoneticPr fontId="13" type="noConversion"/>
  </si>
  <si>
    <t>업사이클 433
(U433)</t>
    <phoneticPr fontId="3" type="noConversion"/>
  </si>
  <si>
    <t>W01, 02</t>
    <phoneticPr fontId="3" type="noConversion"/>
  </si>
  <si>
    <t>T01, 02</t>
    <phoneticPr fontId="3" type="noConversion"/>
  </si>
  <si>
    <t>C01, 02</t>
    <phoneticPr fontId="3" type="noConversion"/>
  </si>
  <si>
    <t>C03, 04</t>
    <phoneticPr fontId="3" type="noConversion"/>
  </si>
  <si>
    <t>B01, 02</t>
    <phoneticPr fontId="3" type="noConversion"/>
  </si>
  <si>
    <t>B03, 04</t>
    <phoneticPr fontId="3" type="noConversion"/>
  </si>
  <si>
    <t>D01, 02</t>
    <phoneticPr fontId="3" type="noConversion"/>
  </si>
  <si>
    <t>D03, 04</t>
    <phoneticPr fontId="3" type="noConversion"/>
  </si>
  <si>
    <t xml:space="preserve">* 쉬트 포장시 3% 추가 비용 청구하며 100매 단위로만 판매 </t>
    <phoneticPr fontId="13" type="noConversion"/>
  </si>
  <si>
    <r>
      <rPr>
        <sz val="9"/>
        <rFont val="맑은 고딕"/>
        <family val="3"/>
        <charset val="129"/>
      </rPr>
      <t>젠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 xml:space="preserve">프레스
</t>
    </r>
    <r>
      <rPr>
        <sz val="9"/>
        <rFont val="Arial"/>
        <family val="2"/>
      </rPr>
      <t>(ZENP)</t>
    </r>
    <phoneticPr fontId="13" type="noConversion"/>
  </si>
  <si>
    <r>
      <t>800X1100(</t>
    </r>
    <r>
      <rPr>
        <sz val="9"/>
        <rFont val="맑은 고딕"/>
        <family val="3"/>
        <charset val="129"/>
      </rPr>
      <t>세로</t>
    </r>
    <r>
      <rPr>
        <sz val="9"/>
        <rFont val="Arial"/>
        <family val="2"/>
      </rPr>
      <t>)</t>
    </r>
    <phoneticPr fontId="13" type="noConversion"/>
  </si>
  <si>
    <t xml:space="preserve">01 Rice White </t>
    <phoneticPr fontId="13" type="noConversion"/>
  </si>
  <si>
    <t>02</t>
    <phoneticPr fontId="3" type="noConversion"/>
  </si>
  <si>
    <t>03</t>
    <phoneticPr fontId="3" type="noConversion"/>
  </si>
  <si>
    <t>04</t>
    <phoneticPr fontId="3" type="noConversion"/>
  </si>
  <si>
    <t>O01 Optimus( 단면 )</t>
    <phoneticPr fontId="24" type="noConversion"/>
  </si>
  <si>
    <t>O02 Optimus( 단면 )</t>
    <phoneticPr fontId="24" type="noConversion"/>
  </si>
  <si>
    <t>O03 Optimus( 단면 )</t>
    <phoneticPr fontId="24" type="noConversion"/>
  </si>
  <si>
    <t>O04 Optimus( 단면)</t>
    <phoneticPr fontId="24" type="noConversion"/>
  </si>
  <si>
    <r>
      <rPr>
        <sz val="9"/>
        <color theme="1"/>
        <rFont val="맑은 고딕"/>
        <family val="3"/>
        <charset val="129"/>
      </rPr>
      <t>고궁의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아침
</t>
    </r>
    <r>
      <rPr>
        <sz val="9"/>
        <color theme="1"/>
        <rFont val="Arial"/>
        <family val="2"/>
      </rPr>
      <t>(MAP) **</t>
    </r>
    <r>
      <rPr>
        <sz val="9"/>
        <color theme="1"/>
        <rFont val="맑은 고딕"/>
        <family val="2"/>
        <charset val="129"/>
      </rPr>
      <t>장당가격임**</t>
    </r>
    <phoneticPr fontId="3" type="noConversion"/>
  </si>
  <si>
    <r>
      <t>1120x920(</t>
    </r>
    <r>
      <rPr>
        <sz val="9"/>
        <color theme="1"/>
        <rFont val="맑은 고딕"/>
        <family val="3"/>
        <charset val="129"/>
      </rPr>
      <t>가로</t>
    </r>
    <r>
      <rPr>
        <sz val="9"/>
        <color theme="1"/>
        <rFont val="Arial"/>
        <family val="2"/>
      </rPr>
      <t xml:space="preserve">)
</t>
    </r>
    <r>
      <rPr>
        <sz val="9"/>
        <color theme="1"/>
        <rFont val="맑은 고딕"/>
        <family val="3"/>
        <charset val="129"/>
      </rPr>
      <t>대례지</t>
    </r>
  </si>
  <si>
    <t>1, 2</t>
  </si>
  <si>
    <t>3~12, 13*, 14*</t>
    <phoneticPr fontId="13" type="noConversion"/>
  </si>
  <si>
    <r>
      <t>1120x788(</t>
    </r>
    <r>
      <rPr>
        <sz val="9"/>
        <color theme="1"/>
        <rFont val="맑은 고딕"/>
        <family val="3"/>
        <charset val="129"/>
      </rPr>
      <t>가로</t>
    </r>
    <r>
      <rPr>
        <sz val="9"/>
        <color theme="1"/>
        <rFont val="Arial"/>
        <family val="2"/>
      </rPr>
      <t xml:space="preserve">)
</t>
    </r>
    <r>
      <rPr>
        <sz val="9"/>
        <color theme="1"/>
        <rFont val="맑은 고딕"/>
        <family val="3"/>
        <charset val="129"/>
      </rPr>
      <t>대례지</t>
    </r>
    <phoneticPr fontId="13" type="noConversion"/>
  </si>
  <si>
    <r>
      <t>D11(</t>
    </r>
    <r>
      <rPr>
        <sz val="9"/>
        <color theme="1"/>
        <rFont val="맑은 고딕"/>
        <family val="3"/>
        <charset val="129"/>
      </rPr>
      <t>백색</t>
    </r>
    <r>
      <rPr>
        <sz val="9"/>
        <color theme="1"/>
        <rFont val="Arial"/>
        <family val="2"/>
      </rPr>
      <t>)*, D12(</t>
    </r>
    <r>
      <rPr>
        <sz val="9"/>
        <color theme="1"/>
        <rFont val="맑은 고딕"/>
        <family val="3"/>
        <charset val="129"/>
      </rPr>
      <t>미색</t>
    </r>
    <r>
      <rPr>
        <sz val="9"/>
        <color theme="1"/>
        <rFont val="Arial"/>
        <family val="2"/>
      </rPr>
      <t>)*</t>
    </r>
    <phoneticPr fontId="13" type="noConversion"/>
  </si>
  <si>
    <r>
      <t>1091x788(</t>
    </r>
    <r>
      <rPr>
        <sz val="9"/>
        <color theme="1"/>
        <rFont val="맑은 고딕"/>
        <family val="3"/>
        <charset val="129"/>
      </rPr>
      <t>가로</t>
    </r>
    <r>
      <rPr>
        <sz val="9"/>
        <color theme="1"/>
        <rFont val="Arial"/>
        <family val="2"/>
      </rPr>
      <t xml:space="preserve">)
</t>
    </r>
    <r>
      <rPr>
        <sz val="9"/>
        <color theme="1"/>
        <rFont val="맑은 고딕"/>
        <family val="3"/>
        <charset val="129"/>
      </rPr>
      <t>대례지</t>
    </r>
    <phoneticPr fontId="13" type="noConversion"/>
  </si>
  <si>
    <r>
      <t>D01(</t>
    </r>
    <r>
      <rPr>
        <sz val="9"/>
        <color theme="1"/>
        <rFont val="맑은 고딕"/>
        <family val="3"/>
        <charset val="129"/>
      </rPr>
      <t>백색</t>
    </r>
    <r>
      <rPr>
        <sz val="9"/>
        <color theme="1"/>
        <rFont val="Arial"/>
        <family val="2"/>
      </rPr>
      <t>), D02(</t>
    </r>
    <r>
      <rPr>
        <sz val="9"/>
        <color theme="1"/>
        <rFont val="맑은 고딕"/>
        <family val="3"/>
        <charset val="129"/>
      </rPr>
      <t>미색</t>
    </r>
    <r>
      <rPr>
        <sz val="9"/>
        <color theme="1"/>
        <rFont val="Arial"/>
        <family val="2"/>
      </rPr>
      <t>)</t>
    </r>
    <phoneticPr fontId="13" type="noConversion"/>
  </si>
  <si>
    <r>
      <t>1091x788(</t>
    </r>
    <r>
      <rPr>
        <sz val="9"/>
        <color theme="1"/>
        <rFont val="맑은 고딕"/>
        <family val="3"/>
        <charset val="129"/>
      </rPr>
      <t>가로</t>
    </r>
    <r>
      <rPr>
        <sz val="9"/>
        <color theme="1"/>
        <rFont val="Arial"/>
        <family val="2"/>
      </rPr>
      <t>)</t>
    </r>
    <phoneticPr fontId="3" type="noConversion"/>
  </si>
  <si>
    <t>N00</t>
    <phoneticPr fontId="13" type="noConversion"/>
  </si>
  <si>
    <t>N01, N02</t>
    <phoneticPr fontId="13" type="noConversion"/>
  </si>
  <si>
    <t>N03~N11</t>
  </si>
  <si>
    <r>
      <t>A01(</t>
    </r>
    <r>
      <rPr>
        <sz val="9"/>
        <color theme="1"/>
        <rFont val="맑은 고딕"/>
        <family val="3"/>
        <charset val="129"/>
      </rPr>
      <t>백색</t>
    </r>
    <r>
      <rPr>
        <sz val="9"/>
        <color theme="1"/>
        <rFont val="Arial"/>
        <family val="2"/>
      </rPr>
      <t>),A02(</t>
    </r>
    <r>
      <rPr>
        <sz val="9"/>
        <color theme="1"/>
        <rFont val="맑은 고딕"/>
        <family val="3"/>
        <charset val="129"/>
      </rPr>
      <t>미색</t>
    </r>
    <r>
      <rPr>
        <sz val="9"/>
        <color theme="1"/>
        <rFont val="Arial"/>
        <family val="2"/>
      </rPr>
      <t>)</t>
    </r>
  </si>
  <si>
    <t>NC00, NC01, NC02</t>
    <phoneticPr fontId="13" type="noConversion"/>
  </si>
  <si>
    <t>NC03*~NC11*</t>
    <phoneticPr fontId="13" type="noConversion"/>
  </si>
  <si>
    <r>
      <t>U01(</t>
    </r>
    <r>
      <rPr>
        <sz val="9"/>
        <color theme="1"/>
        <rFont val="맑은 고딕"/>
        <family val="3"/>
        <charset val="129"/>
      </rPr>
      <t>백색</t>
    </r>
    <r>
      <rPr>
        <sz val="9"/>
        <color theme="1"/>
        <rFont val="Arial"/>
        <family val="2"/>
      </rPr>
      <t>), U02(</t>
    </r>
    <r>
      <rPr>
        <sz val="9"/>
        <color theme="1"/>
        <rFont val="맑은 고딕"/>
        <family val="3"/>
        <charset val="129"/>
      </rPr>
      <t>고전색</t>
    </r>
    <r>
      <rPr>
        <sz val="9"/>
        <color theme="1"/>
        <rFont val="Arial"/>
        <family val="2"/>
      </rPr>
      <t>)</t>
    </r>
    <phoneticPr fontId="13" type="noConversion"/>
  </si>
  <si>
    <r>
      <t>UC01(</t>
    </r>
    <r>
      <rPr>
        <sz val="9"/>
        <color theme="1"/>
        <rFont val="맑은 고딕"/>
        <family val="3"/>
        <charset val="129"/>
      </rPr>
      <t>백색</t>
    </r>
    <r>
      <rPr>
        <sz val="9"/>
        <color theme="1"/>
        <rFont val="Arial"/>
        <family val="2"/>
      </rPr>
      <t>), UC02(</t>
    </r>
    <r>
      <rPr>
        <sz val="9"/>
        <color theme="1"/>
        <rFont val="맑은 고딕"/>
        <family val="3"/>
        <charset val="129"/>
      </rPr>
      <t>고전색</t>
    </r>
    <r>
      <rPr>
        <sz val="9"/>
        <color theme="1"/>
        <rFont val="Arial"/>
        <family val="2"/>
      </rPr>
      <t>)</t>
    </r>
    <phoneticPr fontId="13" type="noConversion"/>
  </si>
  <si>
    <r>
      <t>UCC01(</t>
    </r>
    <r>
      <rPr>
        <sz val="9"/>
        <color theme="1"/>
        <rFont val="맑은 고딕"/>
        <family val="3"/>
        <charset val="129"/>
      </rPr>
      <t>백색</t>
    </r>
    <r>
      <rPr>
        <sz val="9"/>
        <color theme="1"/>
        <rFont val="Arial"/>
        <family val="2"/>
      </rPr>
      <t>), UCC02(</t>
    </r>
    <r>
      <rPr>
        <sz val="9"/>
        <color theme="1"/>
        <rFont val="맑은 고딕"/>
        <family val="3"/>
        <charset val="129"/>
      </rPr>
      <t>고전색</t>
    </r>
    <r>
      <rPr>
        <sz val="9"/>
        <color theme="1"/>
        <rFont val="Arial"/>
        <family val="2"/>
      </rPr>
      <t>)</t>
    </r>
    <phoneticPr fontId="13" type="noConversion"/>
  </si>
  <si>
    <r>
      <t>1091X788(</t>
    </r>
    <r>
      <rPr>
        <sz val="9"/>
        <color theme="1"/>
        <rFont val="맑은 고딕"/>
        <family val="3"/>
        <charset val="129"/>
      </rPr>
      <t>가로</t>
    </r>
    <r>
      <rPr>
        <sz val="9"/>
        <color theme="1"/>
        <rFont val="Arial"/>
        <family val="2"/>
      </rPr>
      <t>)</t>
    </r>
  </si>
  <si>
    <r>
      <t>GS01(</t>
    </r>
    <r>
      <rPr>
        <sz val="9"/>
        <color theme="1"/>
        <rFont val="맑은 고딕"/>
        <family val="3"/>
        <charset val="129"/>
      </rPr>
      <t>금은백색</t>
    </r>
    <r>
      <rPr>
        <sz val="9"/>
        <color theme="1"/>
        <rFont val="Arial"/>
        <family val="2"/>
      </rPr>
      <t>)</t>
    </r>
    <phoneticPr fontId="13" type="noConversion"/>
  </si>
  <si>
    <r>
      <rPr>
        <sz val="9"/>
        <color theme="1"/>
        <rFont val="맑은 고딕"/>
        <family val="3"/>
        <charset val="129"/>
      </rPr>
      <t>인견금은지</t>
    </r>
    <r>
      <rPr>
        <sz val="9"/>
        <color theme="1"/>
        <rFont val="Arial"/>
        <family val="2"/>
      </rPr>
      <t xml:space="preserve"> </t>
    </r>
  </si>
  <si>
    <r>
      <t>GS02(</t>
    </r>
    <r>
      <rPr>
        <sz val="9"/>
        <color theme="1"/>
        <rFont val="맑은 고딕"/>
        <family val="3"/>
        <charset val="129"/>
      </rPr>
      <t>금은미색</t>
    </r>
    <r>
      <rPr>
        <sz val="9"/>
        <color theme="1"/>
        <rFont val="Arial"/>
        <family val="2"/>
      </rPr>
      <t>)</t>
    </r>
    <phoneticPr fontId="13" type="noConversion"/>
  </si>
  <si>
    <r>
      <t>960x900(</t>
    </r>
    <r>
      <rPr>
        <sz val="9"/>
        <color theme="1"/>
        <rFont val="맑은 고딕"/>
        <family val="3"/>
        <charset val="129"/>
      </rPr>
      <t>가로</t>
    </r>
    <r>
      <rPr>
        <sz val="9"/>
        <color theme="1"/>
        <rFont val="Arial"/>
        <family val="2"/>
      </rPr>
      <t xml:space="preserve">)
</t>
    </r>
    <r>
      <rPr>
        <sz val="9"/>
        <color theme="1"/>
        <rFont val="맑은 고딕"/>
        <family val="3"/>
        <charset val="129"/>
      </rPr>
      <t>전통한지</t>
    </r>
  </si>
  <si>
    <r>
      <t>S01(</t>
    </r>
    <r>
      <rPr>
        <sz val="9"/>
        <color theme="1"/>
        <rFont val="맑은 고딕"/>
        <family val="3"/>
        <charset val="129"/>
      </rPr>
      <t>백색</t>
    </r>
    <r>
      <rPr>
        <sz val="9"/>
        <color theme="1"/>
        <rFont val="Arial"/>
        <family val="2"/>
      </rPr>
      <t>)</t>
    </r>
    <phoneticPr fontId="13" type="noConversion"/>
  </si>
  <si>
    <r>
      <t>S02(</t>
    </r>
    <r>
      <rPr>
        <sz val="9"/>
        <color theme="1"/>
        <rFont val="맑은 고딕"/>
        <family val="3"/>
        <charset val="129"/>
      </rPr>
      <t>백색</t>
    </r>
    <r>
      <rPr>
        <sz val="9"/>
        <color theme="1"/>
        <rFont val="Arial"/>
        <family val="2"/>
      </rPr>
      <t>)</t>
    </r>
    <phoneticPr fontId="13" type="noConversion"/>
  </si>
  <si>
    <r>
      <t>1091x788(</t>
    </r>
    <r>
      <rPr>
        <sz val="9"/>
        <color theme="1"/>
        <rFont val="맑은 고딕"/>
        <family val="3"/>
        <charset val="129"/>
      </rPr>
      <t>가로</t>
    </r>
    <r>
      <rPr>
        <sz val="9"/>
        <color theme="1"/>
        <rFont val="Arial"/>
        <family val="2"/>
      </rPr>
      <t xml:space="preserve">)
</t>
    </r>
    <r>
      <rPr>
        <sz val="9"/>
        <color theme="1"/>
        <rFont val="맑은 고딕"/>
        <family val="3"/>
        <charset val="129"/>
      </rPr>
      <t>개량한지</t>
    </r>
  </si>
  <si>
    <r>
      <t>701(</t>
    </r>
    <r>
      <rPr>
        <sz val="9"/>
        <color theme="1"/>
        <rFont val="맑은 고딕"/>
        <family val="3"/>
        <charset val="129"/>
      </rPr>
      <t>고전색</t>
    </r>
    <r>
      <rPr>
        <sz val="9"/>
        <color theme="1"/>
        <rFont val="Arial"/>
        <family val="2"/>
      </rPr>
      <t>)</t>
    </r>
  </si>
  <si>
    <r>
      <t>707(</t>
    </r>
    <r>
      <rPr>
        <sz val="9"/>
        <color theme="1"/>
        <rFont val="맑은 고딕"/>
        <family val="3"/>
        <charset val="129"/>
      </rPr>
      <t>녹차백색</t>
    </r>
    <r>
      <rPr>
        <sz val="9"/>
        <color theme="1"/>
        <rFont val="Arial"/>
        <family val="2"/>
      </rPr>
      <t>)</t>
    </r>
  </si>
  <si>
    <r>
      <t>703(</t>
    </r>
    <r>
      <rPr>
        <sz val="9"/>
        <color theme="1"/>
        <rFont val="맑은 고딕"/>
        <family val="3"/>
        <charset val="129"/>
      </rPr>
      <t>고전색</t>
    </r>
    <r>
      <rPr>
        <sz val="9"/>
        <color theme="1"/>
        <rFont val="Arial"/>
        <family val="2"/>
      </rPr>
      <t>)</t>
    </r>
  </si>
  <si>
    <r>
      <t>939x636(</t>
    </r>
    <r>
      <rPr>
        <sz val="9"/>
        <color theme="1"/>
        <rFont val="맑은 고딕"/>
        <family val="3"/>
        <charset val="129"/>
      </rPr>
      <t>가로</t>
    </r>
    <r>
      <rPr>
        <sz val="9"/>
        <color theme="1"/>
        <rFont val="Arial"/>
        <family val="2"/>
      </rPr>
      <t xml:space="preserve">)
</t>
    </r>
    <r>
      <rPr>
        <sz val="9"/>
        <color theme="1"/>
        <rFont val="맑은 고딕"/>
        <family val="3"/>
        <charset val="129"/>
      </rPr>
      <t>개량한지</t>
    </r>
    <phoneticPr fontId="13" type="noConversion"/>
  </si>
  <si>
    <r>
      <t>502(</t>
    </r>
    <r>
      <rPr>
        <sz val="9"/>
        <color theme="1"/>
        <rFont val="맑은 고딕"/>
        <family val="3"/>
        <charset val="129"/>
      </rPr>
      <t>백색</t>
    </r>
    <r>
      <rPr>
        <sz val="9"/>
        <color theme="1"/>
        <rFont val="Arial"/>
        <family val="2"/>
      </rPr>
      <t>)</t>
    </r>
  </si>
  <si>
    <r>
      <t>506(</t>
    </r>
    <r>
      <rPr>
        <sz val="9"/>
        <color theme="1"/>
        <rFont val="맑은 고딕"/>
        <family val="3"/>
        <charset val="129"/>
      </rPr>
      <t>연미색</t>
    </r>
    <r>
      <rPr>
        <sz val="9"/>
        <color theme="1"/>
        <rFont val="Arial"/>
        <family val="2"/>
      </rPr>
      <t>)</t>
    </r>
    <phoneticPr fontId="13" type="noConversion"/>
  </si>
  <si>
    <r>
      <t>970x636(</t>
    </r>
    <r>
      <rPr>
        <sz val="9"/>
        <color theme="1"/>
        <rFont val="맑은 고딕"/>
        <family val="3"/>
        <charset val="129"/>
      </rPr>
      <t>가로</t>
    </r>
    <r>
      <rPr>
        <sz val="9"/>
        <color theme="1"/>
        <rFont val="Arial"/>
        <family val="2"/>
      </rPr>
      <t>)</t>
    </r>
    <phoneticPr fontId="13" type="noConversion"/>
  </si>
  <si>
    <r>
      <t>155(</t>
    </r>
    <r>
      <rPr>
        <sz val="9"/>
        <color theme="1"/>
        <rFont val="맑은 고딕"/>
        <family val="3"/>
        <charset val="129"/>
      </rPr>
      <t>연미색</t>
    </r>
    <r>
      <rPr>
        <sz val="9"/>
        <color theme="1"/>
        <rFont val="Arial"/>
        <family val="2"/>
      </rPr>
      <t>)*</t>
    </r>
    <phoneticPr fontId="13" type="noConversion"/>
  </si>
  <si>
    <r>
      <t>1120x790(</t>
    </r>
    <r>
      <rPr>
        <sz val="9"/>
        <color theme="1"/>
        <rFont val="맑은 고딕"/>
        <family val="3"/>
        <charset val="129"/>
      </rPr>
      <t>세로</t>
    </r>
    <r>
      <rPr>
        <sz val="9"/>
        <color theme="1"/>
        <rFont val="Arial"/>
        <family val="2"/>
      </rPr>
      <t>)</t>
    </r>
    <phoneticPr fontId="3" type="noConversion"/>
  </si>
  <si>
    <t>S08</t>
    <phoneticPr fontId="3" type="noConversion"/>
  </si>
  <si>
    <r>
      <t xml:space="preserve">G10 </t>
    </r>
    <r>
      <rPr>
        <sz val="9"/>
        <color theme="1"/>
        <rFont val="맑은 고딕"/>
        <family val="3"/>
        <charset val="129"/>
      </rPr>
      <t>백색</t>
    </r>
    <phoneticPr fontId="3" type="noConversion"/>
  </si>
  <si>
    <r>
      <t xml:space="preserve">G11 </t>
    </r>
    <r>
      <rPr>
        <sz val="9"/>
        <color theme="1"/>
        <rFont val="맑은 고딕"/>
        <family val="3"/>
        <charset val="129"/>
      </rPr>
      <t>백색</t>
    </r>
    <phoneticPr fontId="3" type="noConversion"/>
  </si>
  <si>
    <r>
      <t xml:space="preserve">G12 </t>
    </r>
    <r>
      <rPr>
        <sz val="9"/>
        <color theme="1"/>
        <rFont val="맑은 고딕"/>
        <family val="3"/>
        <charset val="129"/>
      </rPr>
      <t>고전색</t>
    </r>
    <phoneticPr fontId="3" type="noConversion"/>
  </si>
  <si>
    <r>
      <t xml:space="preserve">SS03 </t>
    </r>
    <r>
      <rPr>
        <sz val="9"/>
        <color theme="1"/>
        <rFont val="맑은 고딕"/>
        <family val="3"/>
        <charset val="129"/>
      </rPr>
      <t>백색</t>
    </r>
    <r>
      <rPr>
        <sz val="9"/>
        <color theme="1"/>
        <rFont val="Arial"/>
        <family val="2"/>
      </rPr>
      <t xml:space="preserve">( </t>
    </r>
    <r>
      <rPr>
        <sz val="9"/>
        <color theme="1"/>
        <rFont val="맑은 고딕"/>
        <family val="3"/>
        <charset val="129"/>
      </rPr>
      <t>순운용지</t>
    </r>
    <r>
      <rPr>
        <sz val="9"/>
        <color theme="1"/>
        <rFont val="Arial"/>
        <family val="2"/>
      </rPr>
      <t>)</t>
    </r>
    <phoneticPr fontId="3" type="noConversion"/>
  </si>
  <si>
    <r>
      <t xml:space="preserve">Y05 </t>
    </r>
    <r>
      <rPr>
        <sz val="9"/>
        <color theme="1"/>
        <rFont val="맑은 고딕"/>
        <family val="3"/>
        <charset val="129"/>
      </rPr>
      <t>고전색</t>
    </r>
    <r>
      <rPr>
        <sz val="9"/>
        <color theme="1"/>
        <rFont val="Arial"/>
        <family val="2"/>
      </rPr>
      <t xml:space="preserve">( </t>
    </r>
    <r>
      <rPr>
        <sz val="9"/>
        <color theme="1"/>
        <rFont val="맑은 고딕"/>
        <family val="3"/>
        <charset val="129"/>
      </rPr>
      <t>옛향</t>
    </r>
    <r>
      <rPr>
        <sz val="9"/>
        <color theme="1"/>
        <rFont val="Arial"/>
        <family val="2"/>
      </rPr>
      <t>)</t>
    </r>
    <phoneticPr fontId="3" type="noConversion"/>
  </si>
  <si>
    <r>
      <t xml:space="preserve">ST01 </t>
    </r>
    <r>
      <rPr>
        <sz val="9"/>
        <color theme="1"/>
        <rFont val="맑은 고딕"/>
        <family val="3"/>
        <charset val="129"/>
      </rPr>
      <t>백색</t>
    </r>
    <r>
      <rPr>
        <sz val="9"/>
        <color theme="1"/>
        <rFont val="Arial"/>
        <family val="2"/>
      </rPr>
      <t xml:space="preserve">( </t>
    </r>
    <r>
      <rPr>
        <sz val="9"/>
        <color theme="1"/>
        <rFont val="맑은 고딕"/>
        <family val="3"/>
        <charset val="129"/>
      </rPr>
      <t>명함지</t>
    </r>
    <r>
      <rPr>
        <sz val="9"/>
        <color theme="1"/>
        <rFont val="Arial"/>
        <family val="2"/>
      </rPr>
      <t xml:space="preserve"> )</t>
    </r>
    <phoneticPr fontId="3" type="noConversion"/>
  </si>
  <si>
    <r>
      <t>G01(</t>
    </r>
    <r>
      <rPr>
        <sz val="9"/>
        <color theme="1"/>
        <rFont val="맑은 고딕"/>
        <family val="3"/>
        <charset val="129"/>
      </rPr>
      <t>백색</t>
    </r>
    <r>
      <rPr>
        <sz val="9"/>
        <color theme="1"/>
        <rFont val="Arial"/>
        <family val="2"/>
      </rPr>
      <t>)</t>
    </r>
    <phoneticPr fontId="13" type="noConversion"/>
  </si>
  <si>
    <r>
      <t>G03(</t>
    </r>
    <r>
      <rPr>
        <sz val="9"/>
        <color theme="1"/>
        <rFont val="맑은 고딕"/>
        <family val="3"/>
        <charset val="129"/>
      </rPr>
      <t>백색</t>
    </r>
    <r>
      <rPr>
        <sz val="9"/>
        <color theme="1"/>
        <rFont val="Arial"/>
        <family val="2"/>
      </rPr>
      <t>), G04(</t>
    </r>
    <r>
      <rPr>
        <sz val="9"/>
        <color theme="1"/>
        <rFont val="맑은 고딕"/>
        <family val="3"/>
        <charset val="129"/>
      </rPr>
      <t>미색</t>
    </r>
    <r>
      <rPr>
        <sz val="9"/>
        <color theme="1"/>
        <rFont val="Arial"/>
        <family val="2"/>
      </rPr>
      <t>)</t>
    </r>
    <phoneticPr fontId="13" type="noConversion"/>
  </si>
  <si>
    <r>
      <t>G06(</t>
    </r>
    <r>
      <rPr>
        <sz val="9"/>
        <color theme="1"/>
        <rFont val="맑은 고딕"/>
        <family val="3"/>
        <charset val="129"/>
      </rPr>
      <t>미색</t>
    </r>
    <r>
      <rPr>
        <sz val="9"/>
        <color theme="1"/>
        <rFont val="Arial"/>
        <family val="2"/>
      </rPr>
      <t>)</t>
    </r>
    <phoneticPr fontId="13" type="noConversion"/>
  </si>
  <si>
    <r>
      <t>G08(</t>
    </r>
    <r>
      <rPr>
        <sz val="9"/>
        <color theme="1"/>
        <rFont val="맑은 고딕"/>
        <family val="3"/>
        <charset val="129"/>
      </rPr>
      <t>미색</t>
    </r>
    <r>
      <rPr>
        <sz val="9"/>
        <color theme="1"/>
        <rFont val="Arial"/>
        <family val="2"/>
      </rPr>
      <t>)</t>
    </r>
    <phoneticPr fontId="13" type="noConversion"/>
  </si>
  <si>
    <r>
      <t xml:space="preserve">1120x788
</t>
    </r>
    <r>
      <rPr>
        <sz val="9"/>
        <color theme="1"/>
        <rFont val="맑은 고딕"/>
        <family val="3"/>
        <charset val="129"/>
      </rPr>
      <t>카렌다지</t>
    </r>
  </si>
  <si>
    <r>
      <rPr>
        <sz val="9"/>
        <color theme="1"/>
        <rFont val="맑은 고딕"/>
        <family val="3"/>
        <charset val="129"/>
      </rPr>
      <t>백색</t>
    </r>
    <r>
      <rPr>
        <sz val="9"/>
        <color theme="1"/>
        <rFont val="Arial"/>
        <family val="2"/>
      </rPr>
      <t>C01</t>
    </r>
  </si>
  <si>
    <r>
      <t xml:space="preserve">1120x788
</t>
    </r>
    <r>
      <rPr>
        <sz val="9"/>
        <color theme="1"/>
        <rFont val="맑은 고딕"/>
        <family val="3"/>
        <charset val="129"/>
      </rPr>
      <t>옛생각</t>
    </r>
  </si>
  <si>
    <r>
      <rPr>
        <sz val="9"/>
        <color theme="1"/>
        <rFont val="맑은 고딕"/>
        <family val="3"/>
        <charset val="129"/>
      </rPr>
      <t>미색</t>
    </r>
    <r>
      <rPr>
        <sz val="9"/>
        <color theme="1"/>
        <rFont val="Arial"/>
        <family val="2"/>
      </rPr>
      <t>Y02</t>
    </r>
  </si>
  <si>
    <r>
      <t>1091x788(</t>
    </r>
    <r>
      <rPr>
        <sz val="9"/>
        <color theme="1"/>
        <rFont val="맑은 고딕"/>
        <family val="3"/>
        <charset val="129"/>
      </rPr>
      <t>가로</t>
    </r>
    <r>
      <rPr>
        <sz val="9"/>
        <color theme="1"/>
        <rFont val="Arial"/>
        <family val="2"/>
      </rPr>
      <t>)</t>
    </r>
  </si>
  <si>
    <r>
      <t>24</t>
    </r>
    <r>
      <rPr>
        <sz val="9"/>
        <color theme="1"/>
        <rFont val="맑은 고딕"/>
        <family val="3"/>
        <charset val="129"/>
      </rPr>
      <t>색</t>
    </r>
    <r>
      <rPr>
        <sz val="9"/>
        <color theme="1"/>
        <rFont val="Arial"/>
        <family val="2"/>
      </rPr>
      <t>*</t>
    </r>
    <phoneticPr fontId="13" type="noConversion"/>
  </si>
  <si>
    <r>
      <t>34</t>
    </r>
    <r>
      <rPr>
        <sz val="9"/>
        <color theme="1"/>
        <rFont val="맑은 고딕"/>
        <family val="3"/>
        <charset val="129"/>
      </rPr>
      <t>색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3"/>
        <charset val="129"/>
      </rPr>
      <t>일부색상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중단</t>
    </r>
    <r>
      <rPr>
        <sz val="9"/>
        <color theme="1"/>
        <rFont val="Arial"/>
        <family val="2"/>
      </rPr>
      <t>)</t>
    </r>
    <phoneticPr fontId="13" type="noConversion"/>
  </si>
  <si>
    <t>960x1200M</t>
    <phoneticPr fontId="13" type="noConversion"/>
  </si>
  <si>
    <t xml:space="preserve">EA01-2 </t>
    <phoneticPr fontId="13" type="noConversion"/>
  </si>
  <si>
    <r>
      <t>635X900(</t>
    </r>
    <r>
      <rPr>
        <sz val="9"/>
        <color theme="1"/>
        <rFont val="맑은 고딕"/>
        <family val="3"/>
        <charset val="129"/>
      </rPr>
      <t>세로</t>
    </r>
    <r>
      <rPr>
        <sz val="9"/>
        <color theme="1"/>
        <rFont val="Arial"/>
        <family val="2"/>
      </rPr>
      <t>)</t>
    </r>
  </si>
  <si>
    <t>01A(P01), 02A(P30), 03A*, 102*</t>
    <phoneticPr fontId="13" type="noConversion"/>
  </si>
  <si>
    <r>
      <t xml:space="preserve">( 640*900 </t>
    </r>
    <r>
      <rPr>
        <sz val="9"/>
        <color theme="1"/>
        <rFont val="맑은 고딕"/>
        <family val="3"/>
        <charset val="129"/>
      </rPr>
      <t>포함</t>
    </r>
    <r>
      <rPr>
        <sz val="9"/>
        <color theme="1"/>
        <rFont val="Arial"/>
        <family val="2"/>
      </rPr>
      <t xml:space="preserve"> )</t>
    </r>
    <phoneticPr fontId="13" type="noConversion"/>
  </si>
  <si>
    <t>04A*, 200*</t>
    <phoneticPr fontId="13" type="noConversion"/>
  </si>
  <si>
    <t>01B(E14), 02B(E01)</t>
    <phoneticPr fontId="13" type="noConversion"/>
  </si>
  <si>
    <t>03B(E39)</t>
    <phoneticPr fontId="13" type="noConversion"/>
  </si>
  <si>
    <r>
      <t>788x1091(</t>
    </r>
    <r>
      <rPr>
        <sz val="9"/>
        <color theme="1"/>
        <rFont val="맑은 고딕"/>
        <family val="3"/>
        <charset val="129"/>
      </rPr>
      <t>세로</t>
    </r>
    <r>
      <rPr>
        <sz val="9"/>
        <color theme="1"/>
        <rFont val="Arial"/>
        <family val="2"/>
      </rPr>
      <t>)</t>
    </r>
    <phoneticPr fontId="13" type="noConversion"/>
  </si>
  <si>
    <t xml:space="preserve">05B*, </t>
    <phoneticPr fontId="13" type="noConversion"/>
  </si>
  <si>
    <t>920x650(가로)</t>
    <phoneticPr fontId="13" type="noConversion"/>
  </si>
  <si>
    <t>Old gold, Lavender</t>
    <phoneticPr fontId="13" type="noConversion"/>
  </si>
  <si>
    <t>Medium Green, Ice Blue, Salmon, Yellow</t>
    <phoneticPr fontId="13" type="noConversion"/>
  </si>
  <si>
    <t>Vanilla</t>
    <phoneticPr fontId="13" type="noConversion"/>
  </si>
  <si>
    <r>
      <t>788x1091(</t>
    </r>
    <r>
      <rPr>
        <sz val="9"/>
        <color theme="1"/>
        <rFont val="맑은 고딕"/>
        <family val="3"/>
        <charset val="129"/>
      </rPr>
      <t>세로</t>
    </r>
    <r>
      <rPr>
        <sz val="9"/>
        <color theme="1"/>
        <rFont val="Arial"/>
        <family val="2"/>
      </rPr>
      <t>)</t>
    </r>
  </si>
  <si>
    <t>01~04</t>
  </si>
  <si>
    <t>01A~04A</t>
  </si>
  <si>
    <t>05~11,13,15,23,36~38, 39*</t>
    <phoneticPr fontId="13" type="noConversion"/>
  </si>
  <si>
    <t>14, 16, 18*, 21, 22, 24, 25, 28</t>
    <phoneticPr fontId="13" type="noConversion"/>
  </si>
  <si>
    <t>33, 34, 41, 44</t>
    <phoneticPr fontId="13" type="noConversion"/>
  </si>
  <si>
    <t>12, 17, 20, 26, 29, 35, 40*, 42, 46</t>
    <phoneticPr fontId="13" type="noConversion"/>
  </si>
  <si>
    <t>19,27,30~32,43,45,47</t>
  </si>
  <si>
    <t>02-1, 03-1</t>
    <phoneticPr fontId="13" type="noConversion"/>
  </si>
  <si>
    <t>2C, 3C, 4C</t>
    <phoneticPr fontId="13" type="noConversion"/>
  </si>
  <si>
    <r>
      <t xml:space="preserve">31-1 ( </t>
    </r>
    <r>
      <rPr>
        <sz val="9"/>
        <color theme="1"/>
        <rFont val="맑은 고딕"/>
        <family val="3"/>
        <charset val="129"/>
      </rPr>
      <t>검정</t>
    </r>
    <r>
      <rPr>
        <sz val="9"/>
        <color theme="1"/>
        <rFont val="Arial"/>
        <family val="2"/>
      </rPr>
      <t>)</t>
    </r>
    <phoneticPr fontId="13" type="noConversion"/>
  </si>
  <si>
    <r>
      <t>640x900(</t>
    </r>
    <r>
      <rPr>
        <sz val="9"/>
        <color theme="1"/>
        <rFont val="맑은 고딕"/>
        <family val="3"/>
        <charset val="129"/>
      </rPr>
      <t>세로</t>
    </r>
    <r>
      <rPr>
        <sz val="9"/>
        <color theme="1"/>
        <rFont val="Arial"/>
        <family val="2"/>
      </rPr>
      <t>)
900x640(</t>
    </r>
    <r>
      <rPr>
        <sz val="9"/>
        <color theme="1"/>
        <rFont val="맑은 고딕"/>
        <family val="3"/>
        <charset val="129"/>
      </rPr>
      <t>가로</t>
    </r>
    <r>
      <rPr>
        <sz val="9"/>
        <color theme="1"/>
        <rFont val="Arial"/>
        <family val="2"/>
      </rPr>
      <t>)</t>
    </r>
    <phoneticPr fontId="3" type="noConversion"/>
  </si>
  <si>
    <t>P15,P15-1,P17,P17-1,P29,P29-1</t>
  </si>
  <si>
    <t>P35, P35-1</t>
    <phoneticPr fontId="3" type="noConversion"/>
  </si>
  <si>
    <t>국전 종목</t>
    <phoneticPr fontId="3" type="noConversion"/>
  </si>
  <si>
    <r>
      <t>31-2(</t>
    </r>
    <r>
      <rPr>
        <sz val="9"/>
        <color theme="1"/>
        <rFont val="맑은 고딕"/>
        <family val="2"/>
        <charset val="129"/>
      </rPr>
      <t>검정</t>
    </r>
    <r>
      <rPr>
        <sz val="9"/>
        <color theme="1"/>
        <rFont val="Arial"/>
        <family val="2"/>
      </rPr>
      <t>)</t>
    </r>
    <phoneticPr fontId="3" type="noConversion"/>
  </si>
  <si>
    <t>국전 횡목</t>
    <phoneticPr fontId="3" type="noConversion"/>
  </si>
  <si>
    <r>
      <t>31-3(</t>
    </r>
    <r>
      <rPr>
        <sz val="9"/>
        <color theme="1"/>
        <rFont val="맑은 고딕"/>
        <family val="2"/>
        <charset val="129"/>
      </rPr>
      <t>검정</t>
    </r>
    <r>
      <rPr>
        <sz val="9"/>
        <color theme="1"/>
        <rFont val="Arial"/>
        <family val="2"/>
      </rPr>
      <t>)</t>
    </r>
    <phoneticPr fontId="3" type="noConversion"/>
  </si>
  <si>
    <t>5, 7, 32, 44, 56, 67</t>
    <phoneticPr fontId="13" type="noConversion"/>
  </si>
  <si>
    <t>4*, 38*</t>
    <phoneticPr fontId="13" type="noConversion"/>
  </si>
  <si>
    <t>11, 13, 16, 17, 26, 39, 76, 77</t>
    <phoneticPr fontId="13" type="noConversion"/>
  </si>
  <si>
    <t>14*</t>
    <phoneticPr fontId="13" type="noConversion"/>
  </si>
  <si>
    <t>1, 2, 8, 9, 15, 66, 72, 84, 89, 92</t>
    <phoneticPr fontId="13" type="noConversion"/>
  </si>
  <si>
    <t>31*, 49*, 52*, 53*</t>
    <phoneticPr fontId="13" type="noConversion"/>
  </si>
  <si>
    <t>19*, 59*, 60*, 63*, 70*, 71*, 74*</t>
    <phoneticPr fontId="13" type="noConversion"/>
  </si>
  <si>
    <t>82, 83</t>
    <phoneticPr fontId="13" type="noConversion"/>
  </si>
  <si>
    <t>10, 21, 47, 62, 64, 90, 95</t>
    <phoneticPr fontId="13" type="noConversion"/>
  </si>
  <si>
    <t>57*, 58*, 68*,75*</t>
    <phoneticPr fontId="13" type="noConversion"/>
  </si>
  <si>
    <t>6, 18, 20, 33, 34, 48, 87, 91</t>
    <phoneticPr fontId="13" type="noConversion"/>
  </si>
  <si>
    <t>30*, 35*, 65*</t>
    <phoneticPr fontId="13" type="noConversion"/>
  </si>
  <si>
    <t>28*, 29*, 42*, 46*, 65*, 69*, 78, 80, 81</t>
    <phoneticPr fontId="13" type="noConversion"/>
  </si>
  <si>
    <t>23, 24, 40, 41, 85, 86, 88, 93, 94</t>
    <phoneticPr fontId="13" type="noConversion"/>
  </si>
  <si>
    <t>22*, 36*, 51*, 73*</t>
    <phoneticPr fontId="13" type="noConversion"/>
  </si>
  <si>
    <t>61*</t>
    <phoneticPr fontId="13" type="noConversion"/>
  </si>
  <si>
    <r>
      <t>787x1092(</t>
    </r>
    <r>
      <rPr>
        <sz val="9"/>
        <color theme="1"/>
        <rFont val="맑은 고딕"/>
        <family val="3"/>
        <charset val="129"/>
      </rPr>
      <t>세로</t>
    </r>
    <r>
      <rPr>
        <sz val="9"/>
        <color theme="1"/>
        <rFont val="Arial"/>
        <family val="2"/>
      </rPr>
      <t>)</t>
    </r>
    <phoneticPr fontId="3" type="noConversion"/>
  </si>
  <si>
    <t>MC01, 04, 07, 09</t>
    <phoneticPr fontId="3" type="noConversion"/>
  </si>
  <si>
    <t>MC03, 05, 06, 10</t>
    <phoneticPr fontId="3" type="noConversion"/>
  </si>
  <si>
    <t>MC02, 08</t>
    <phoneticPr fontId="3" type="noConversion"/>
  </si>
  <si>
    <t>4, 6</t>
    <phoneticPr fontId="13" type="noConversion"/>
  </si>
  <si>
    <t>1, 3, 7, 9, 10, 13, 17, 18, 21, 23, 29, 31</t>
    <phoneticPr fontId="13" type="noConversion"/>
  </si>
  <si>
    <t>5*, 19*, 30*</t>
    <phoneticPr fontId="13" type="noConversion"/>
  </si>
  <si>
    <t>11*, 14*, 22*, 26*, 33*</t>
    <phoneticPr fontId="13" type="noConversion"/>
  </si>
  <si>
    <t>25*, 32*</t>
    <phoneticPr fontId="13" type="noConversion"/>
  </si>
  <si>
    <t>2*, 12*</t>
    <phoneticPr fontId="13" type="noConversion"/>
  </si>
  <si>
    <t>28*</t>
    <phoneticPr fontId="13" type="noConversion"/>
  </si>
  <si>
    <t>15*</t>
    <phoneticPr fontId="13" type="noConversion"/>
  </si>
  <si>
    <t>8, 16, 20, 27</t>
    <phoneticPr fontId="13" type="noConversion"/>
  </si>
  <si>
    <t>4A*</t>
    <phoneticPr fontId="13" type="noConversion"/>
  </si>
  <si>
    <t>27A*</t>
    <phoneticPr fontId="13" type="noConversion"/>
  </si>
  <si>
    <t>16A*</t>
    <phoneticPr fontId="13" type="noConversion"/>
  </si>
  <si>
    <t>4B*</t>
    <phoneticPr fontId="13" type="noConversion"/>
  </si>
  <si>
    <t>27B*</t>
    <phoneticPr fontId="13" type="noConversion"/>
  </si>
  <si>
    <t>16B*</t>
    <phoneticPr fontId="13" type="noConversion"/>
  </si>
  <si>
    <t>02(P36), 10(P03)</t>
    <phoneticPr fontId="13" type="noConversion"/>
  </si>
  <si>
    <t>01(P23), 11(P12)</t>
    <phoneticPr fontId="13" type="noConversion"/>
  </si>
  <si>
    <t>03(P45), 17(P40)</t>
    <phoneticPr fontId="13" type="noConversion"/>
  </si>
  <si>
    <t>05(E02), 07(E23), 12(E05), 13(E07), 18(E04), 21(E06)</t>
    <phoneticPr fontId="13" type="noConversion"/>
  </si>
  <si>
    <t>04(E20), 19(E33), 20(E38)</t>
    <phoneticPr fontId="13" type="noConversion"/>
  </si>
  <si>
    <t>06(E41)</t>
    <phoneticPr fontId="13" type="noConversion"/>
  </si>
  <si>
    <r>
      <t>788X1091(</t>
    </r>
    <r>
      <rPr>
        <sz val="9"/>
        <color theme="1"/>
        <rFont val="맑은 고딕"/>
        <family val="3"/>
        <charset val="129"/>
      </rPr>
      <t>세로</t>
    </r>
    <r>
      <rPr>
        <sz val="9"/>
        <color theme="1"/>
        <rFont val="Arial"/>
        <family val="2"/>
      </rPr>
      <t>)</t>
    </r>
    <phoneticPr fontId="13" type="noConversion"/>
  </si>
  <si>
    <t>8, 9, 14</t>
    <phoneticPr fontId="13" type="noConversion"/>
  </si>
  <si>
    <t>15, 16</t>
    <phoneticPr fontId="13" type="noConversion"/>
  </si>
  <si>
    <t>O5B</t>
    <phoneticPr fontId="13" type="noConversion"/>
  </si>
  <si>
    <r>
      <t>500X650(</t>
    </r>
    <r>
      <rPr>
        <sz val="9"/>
        <color theme="1"/>
        <rFont val="맑은 고딕"/>
        <family val="3"/>
        <charset val="129"/>
      </rPr>
      <t>세로</t>
    </r>
    <r>
      <rPr>
        <sz val="9"/>
        <color theme="1"/>
        <rFont val="Arial"/>
        <family val="2"/>
      </rPr>
      <t>)</t>
    </r>
    <phoneticPr fontId="13" type="noConversion"/>
  </si>
  <si>
    <t>10-1</t>
    <phoneticPr fontId="13" type="noConversion"/>
  </si>
  <si>
    <t>2, 9</t>
    <phoneticPr fontId="3" type="noConversion"/>
  </si>
  <si>
    <t>1, 3, 4, 5, 6, 8</t>
    <phoneticPr fontId="13" type="noConversion"/>
  </si>
  <si>
    <t>8-1*</t>
    <phoneticPr fontId="13" type="noConversion"/>
  </si>
  <si>
    <t>500x650</t>
    <phoneticPr fontId="3" type="noConversion"/>
  </si>
  <si>
    <t xml:space="preserve">01~10 </t>
    <phoneticPr fontId="13" type="noConversion"/>
  </si>
  <si>
    <r>
      <rPr>
        <sz val="9"/>
        <color theme="1"/>
        <rFont val="맑은 고딕"/>
        <family val="3"/>
        <charset val="129"/>
      </rPr>
      <t xml:space="preserve">구김지
</t>
    </r>
    <r>
      <rPr>
        <sz val="9"/>
        <color theme="1"/>
        <rFont val="Arial"/>
        <family val="2"/>
      </rPr>
      <t xml:space="preserve">(EV) </t>
    </r>
    <r>
      <rPr>
        <sz val="9"/>
        <color theme="1"/>
        <rFont val="Arial"/>
        <family val="3"/>
        <charset val="129"/>
      </rPr>
      <t>**</t>
    </r>
    <r>
      <rPr>
        <sz val="9"/>
        <color theme="1"/>
        <rFont val="맑은 고딕"/>
        <family val="3"/>
        <charset val="129"/>
      </rPr>
      <t>장당가격임</t>
    </r>
    <r>
      <rPr>
        <sz val="9"/>
        <color theme="1"/>
        <rFont val="Arial"/>
        <family val="3"/>
        <charset val="129"/>
      </rPr>
      <t>**</t>
    </r>
    <phoneticPr fontId="3" type="noConversion"/>
  </si>
  <si>
    <r>
      <rPr>
        <sz val="9"/>
        <color theme="1"/>
        <rFont val="맑은 고딕"/>
        <family val="3"/>
        <charset val="129"/>
      </rPr>
      <t xml:space="preserve">르써큐
</t>
    </r>
    <r>
      <rPr>
        <sz val="9"/>
        <color theme="1"/>
        <rFont val="Arial"/>
        <family val="2"/>
      </rPr>
      <t>(CIRQ)**</t>
    </r>
    <r>
      <rPr>
        <sz val="9"/>
        <color theme="1"/>
        <rFont val="맑은 고딕"/>
        <family val="2"/>
        <charset val="129"/>
      </rPr>
      <t>장당가격임</t>
    </r>
    <r>
      <rPr>
        <sz val="9"/>
        <color theme="1"/>
        <rFont val="Arial"/>
        <family val="2"/>
      </rPr>
      <t>**</t>
    </r>
    <phoneticPr fontId="3" type="noConversion"/>
  </si>
  <si>
    <t>마에스트로칼라
(MAE)**장당가격임**</t>
    <phoneticPr fontId="3" type="noConversion"/>
  </si>
  <si>
    <r>
      <rPr>
        <sz val="9"/>
        <color theme="1"/>
        <rFont val="맑은 고딕"/>
        <family val="3"/>
        <charset val="129"/>
      </rPr>
      <t xml:space="preserve">매직터치
</t>
    </r>
    <r>
      <rPr>
        <sz val="9"/>
        <color theme="1"/>
        <rFont val="Arial"/>
        <family val="2"/>
      </rPr>
      <t>(MGT/MGT4/MT3
/MT4/MT4B/MGT4GB)
**</t>
    </r>
    <r>
      <rPr>
        <sz val="9"/>
        <color theme="1"/>
        <rFont val="맑은 고딕"/>
        <family val="2"/>
        <charset val="129"/>
      </rPr>
      <t>장당가격임</t>
    </r>
    <r>
      <rPr>
        <sz val="9"/>
        <color theme="1"/>
        <rFont val="Arial"/>
        <family val="2"/>
      </rPr>
      <t>**</t>
    </r>
    <phoneticPr fontId="13" type="noConversion"/>
  </si>
  <si>
    <r>
      <rPr>
        <sz val="9"/>
        <color theme="1"/>
        <rFont val="맑은 고딕"/>
        <family val="3"/>
        <charset val="129"/>
      </rPr>
      <t xml:space="preserve">삼원칼라
</t>
    </r>
    <r>
      <rPr>
        <sz val="9"/>
        <color theme="1"/>
        <rFont val="Arial"/>
        <family val="2"/>
      </rPr>
      <t>(SC)**</t>
    </r>
    <r>
      <rPr>
        <sz val="9"/>
        <color theme="1"/>
        <rFont val="맑은 고딕"/>
        <family val="2"/>
        <charset val="129"/>
      </rPr>
      <t>장당가격임</t>
    </r>
    <r>
      <rPr>
        <sz val="9"/>
        <color theme="1"/>
        <rFont val="Arial"/>
        <family val="2"/>
      </rPr>
      <t>**</t>
    </r>
    <phoneticPr fontId="3" type="noConversion"/>
  </si>
  <si>
    <r>
      <rPr>
        <sz val="9"/>
        <color theme="1"/>
        <rFont val="맑은 고딕"/>
        <family val="3"/>
        <charset val="129"/>
      </rPr>
      <t xml:space="preserve">삼원칼라
</t>
    </r>
    <r>
      <rPr>
        <sz val="9"/>
        <color theme="1"/>
        <rFont val="Arial"/>
        <family val="2"/>
      </rPr>
      <t>(SWC)
**</t>
    </r>
    <r>
      <rPr>
        <sz val="9"/>
        <color theme="1"/>
        <rFont val="맑은 고딕"/>
        <family val="2"/>
        <charset val="129"/>
      </rPr>
      <t>장당가격임</t>
    </r>
    <r>
      <rPr>
        <sz val="9"/>
        <color theme="1"/>
        <rFont val="Arial"/>
        <family val="2"/>
      </rPr>
      <t>**</t>
    </r>
    <phoneticPr fontId="3" type="noConversion"/>
  </si>
  <si>
    <r>
      <rPr>
        <sz val="9"/>
        <color theme="1"/>
        <rFont val="맑은 고딕"/>
        <family val="3"/>
        <charset val="129"/>
      </rPr>
      <t xml:space="preserve">칼라퍼레이드
</t>
    </r>
    <r>
      <rPr>
        <sz val="9"/>
        <color theme="1"/>
        <rFont val="Arial"/>
        <family val="2"/>
      </rPr>
      <t>(CPD)
**</t>
    </r>
    <r>
      <rPr>
        <sz val="9"/>
        <color theme="1"/>
        <rFont val="맑은 고딕"/>
        <family val="2"/>
        <charset val="129"/>
      </rPr>
      <t>장당가격임</t>
    </r>
    <r>
      <rPr>
        <sz val="9"/>
        <color theme="1"/>
        <rFont val="Arial"/>
        <family val="2"/>
      </rPr>
      <t>**</t>
    </r>
    <phoneticPr fontId="13" type="noConversion"/>
  </si>
  <si>
    <r>
      <rPr>
        <sz val="9"/>
        <color theme="1"/>
        <rFont val="맑은 고딕"/>
        <family val="3"/>
        <charset val="129"/>
      </rPr>
      <t xml:space="preserve">카리빅
</t>
    </r>
    <r>
      <rPr>
        <sz val="9"/>
        <color theme="1"/>
        <rFont val="Arial"/>
        <family val="2"/>
      </rPr>
      <t>(CARB)
**</t>
    </r>
    <r>
      <rPr>
        <sz val="9"/>
        <color theme="1"/>
        <rFont val="맑은 고딕"/>
        <family val="2"/>
        <charset val="129"/>
      </rPr>
      <t>장당가격임</t>
    </r>
    <r>
      <rPr>
        <sz val="9"/>
        <color theme="1"/>
        <rFont val="Arial"/>
        <family val="2"/>
      </rPr>
      <t>**</t>
    </r>
    <phoneticPr fontId="3" type="noConversion"/>
  </si>
  <si>
    <r>
      <rPr>
        <sz val="9"/>
        <color theme="1"/>
        <rFont val="맑은 고딕"/>
        <family val="3"/>
        <charset val="129"/>
      </rPr>
      <t xml:space="preserve">클래식
</t>
    </r>
    <r>
      <rPr>
        <sz val="9"/>
        <color theme="1"/>
        <rFont val="Arial"/>
        <family val="2"/>
      </rPr>
      <t>(CLA)
**</t>
    </r>
    <r>
      <rPr>
        <sz val="9"/>
        <color theme="1"/>
        <rFont val="맑은 고딕"/>
        <family val="2"/>
        <charset val="129"/>
      </rPr>
      <t>장당가격임</t>
    </r>
    <r>
      <rPr>
        <sz val="9"/>
        <color theme="1"/>
        <rFont val="Arial"/>
        <family val="2"/>
      </rPr>
      <t>**</t>
    </r>
    <phoneticPr fontId="13" type="noConversion"/>
  </si>
  <si>
    <r>
      <rPr>
        <sz val="9"/>
        <color theme="1"/>
        <rFont val="맑은 고딕"/>
        <family val="3"/>
        <charset val="129"/>
      </rPr>
      <t xml:space="preserve">크로미아
</t>
    </r>
    <r>
      <rPr>
        <sz val="9"/>
        <color theme="1"/>
        <rFont val="Arial"/>
        <family val="2"/>
      </rPr>
      <t>(CRM) **</t>
    </r>
    <r>
      <rPr>
        <sz val="9"/>
        <color theme="1"/>
        <rFont val="맑은 고딕"/>
        <family val="2"/>
        <charset val="129"/>
      </rPr>
      <t>장당가격임</t>
    </r>
    <r>
      <rPr>
        <sz val="9"/>
        <color theme="1"/>
        <rFont val="Arial"/>
        <family val="2"/>
      </rPr>
      <t>**</t>
    </r>
    <phoneticPr fontId="13" type="noConversion"/>
  </si>
  <si>
    <r>
      <t>939x636(</t>
    </r>
    <r>
      <rPr>
        <sz val="9"/>
        <color theme="1"/>
        <rFont val="맑은 고딕"/>
        <family val="3"/>
        <charset val="129"/>
      </rPr>
      <t>가로</t>
    </r>
    <r>
      <rPr>
        <sz val="9"/>
        <color theme="1"/>
        <rFont val="Arial"/>
        <family val="2"/>
      </rPr>
      <t xml:space="preserve">)
</t>
    </r>
    <r>
      <rPr>
        <sz val="9"/>
        <color theme="1"/>
        <rFont val="맑은 고딕"/>
        <family val="2"/>
        <charset val="129"/>
      </rPr>
      <t>지젤</t>
    </r>
    <phoneticPr fontId="13" type="noConversion"/>
  </si>
  <si>
    <r>
      <t xml:space="preserve">960x640
</t>
    </r>
    <r>
      <rPr>
        <sz val="9"/>
        <color theme="1"/>
        <rFont val="맑은 고딕"/>
        <family val="2"/>
        <charset val="129"/>
      </rPr>
      <t>닥향</t>
    </r>
    <phoneticPr fontId="3" type="noConversion"/>
  </si>
  <si>
    <r>
      <t>1120x790(</t>
    </r>
    <r>
      <rPr>
        <sz val="9"/>
        <color theme="1"/>
        <rFont val="맑은 고딕"/>
        <family val="3"/>
        <charset val="129"/>
      </rPr>
      <t>세로</t>
    </r>
    <r>
      <rPr>
        <sz val="9"/>
        <color theme="1"/>
        <rFont val="Arial"/>
        <family val="2"/>
      </rPr>
      <t xml:space="preserve">)
</t>
    </r>
    <r>
      <rPr>
        <sz val="9"/>
        <color theme="1"/>
        <rFont val="맑은 고딕"/>
        <family val="2"/>
        <charset val="129"/>
      </rPr>
      <t>전통한지</t>
    </r>
    <r>
      <rPr>
        <sz val="9"/>
        <color theme="1"/>
        <rFont val="Arial"/>
        <family val="2"/>
      </rPr>
      <t xml:space="preserve"> II</t>
    </r>
    <phoneticPr fontId="3" type="noConversion"/>
  </si>
  <si>
    <r>
      <t>1091x788(</t>
    </r>
    <r>
      <rPr>
        <sz val="9"/>
        <color theme="1"/>
        <rFont val="맑은 고딕"/>
        <family val="3"/>
        <charset val="129"/>
      </rPr>
      <t>가로</t>
    </r>
    <r>
      <rPr>
        <sz val="9"/>
        <color theme="1"/>
        <rFont val="Arial"/>
        <family val="2"/>
      </rPr>
      <t xml:space="preserve">)
</t>
    </r>
    <r>
      <rPr>
        <sz val="9"/>
        <color theme="1"/>
        <rFont val="맑은 고딕"/>
        <family val="2"/>
        <charset val="129"/>
      </rPr>
      <t>응용한지</t>
    </r>
    <phoneticPr fontId="3" type="noConversion"/>
  </si>
  <si>
    <t>788x1091(세로) &amp;
1091x788(가로)
동일 가격적용</t>
    <phoneticPr fontId="13" type="noConversion"/>
  </si>
  <si>
    <t>1091x788(가로)
(단면)</t>
    <phoneticPr fontId="3" type="noConversion"/>
  </si>
  <si>
    <t>720X1020(세로)
( 120g 단면, 
250g &amp; 300g 양면 )</t>
    <phoneticPr fontId="3" type="noConversion"/>
  </si>
  <si>
    <t>1091x788(가로)
(울트라 블랙 )</t>
    <phoneticPr fontId="13" type="noConversion"/>
  </si>
  <si>
    <t>1091x788(가로)
( 블랙 페퍼 )</t>
    <phoneticPr fontId="13" type="noConversion"/>
  </si>
  <si>
    <t>1020x720(세로)
Aida</t>
    <phoneticPr fontId="13" type="noConversion"/>
  </si>
  <si>
    <t>1091x788(세로)
Aida</t>
    <phoneticPr fontId="13" type="noConversion"/>
  </si>
  <si>
    <t>1091x788(세로)
Linen</t>
    <phoneticPr fontId="13" type="noConversion"/>
  </si>
  <si>
    <t xml:space="preserve">1091x788(세로)
Glow Tela </t>
    <phoneticPr fontId="13" type="noConversion"/>
  </si>
  <si>
    <t>1091x788(세로)
Tella All Pack</t>
    <phoneticPr fontId="13" type="noConversion"/>
  </si>
  <si>
    <t>1091x788(세로)
Tela All Pack</t>
    <phoneticPr fontId="13" type="noConversion"/>
  </si>
  <si>
    <t>1020x720(세로)
Tela</t>
    <phoneticPr fontId="13" type="noConversion"/>
  </si>
  <si>
    <t xml:space="preserve">1091x788(세로)
Tela </t>
    <phoneticPr fontId="13" type="noConversion"/>
  </si>
  <si>
    <t xml:space="preserve">1020x720(세로)
Diana All Pack </t>
    <phoneticPr fontId="13" type="noConversion"/>
  </si>
  <si>
    <t xml:space="preserve">1091x788(세로)
Diana All Pack </t>
    <phoneticPr fontId="13" type="noConversion"/>
  </si>
  <si>
    <t>1020x720(세로)
Diana All Pack</t>
    <phoneticPr fontId="13" type="noConversion"/>
  </si>
  <si>
    <t>1020x720(세로)
Diana</t>
    <phoneticPr fontId="13" type="noConversion"/>
  </si>
  <si>
    <t>109x788(세로)
Diana</t>
    <phoneticPr fontId="13" type="noConversion"/>
  </si>
  <si>
    <t>1060*757</t>
    <phoneticPr fontId="3" type="noConversion"/>
  </si>
  <si>
    <t>네오드로잉 도화지 미색</t>
    <phoneticPr fontId="3" type="noConversion"/>
  </si>
  <si>
    <t>네오드로잉 도화지 백색</t>
    <phoneticPr fontId="3" type="noConversion"/>
  </si>
  <si>
    <t>49.50</t>
    <phoneticPr fontId="4" type="noConversion"/>
  </si>
  <si>
    <t>14.23.37.54.57</t>
    <phoneticPr fontId="3" type="noConversion"/>
  </si>
  <si>
    <t>024.062.084.085</t>
    <phoneticPr fontId="3" type="noConversion"/>
  </si>
  <si>
    <t>066.069</t>
    <phoneticPr fontId="3" type="noConversion"/>
  </si>
  <si>
    <t>088.092~094</t>
    <phoneticPr fontId="3" type="noConversion"/>
  </si>
  <si>
    <t>048.065.067.068</t>
    <phoneticPr fontId="3" type="noConversion"/>
  </si>
  <si>
    <t>086</t>
    <phoneticPr fontId="3" type="noConversion"/>
  </si>
  <si>
    <t>087.089~091</t>
    <phoneticPr fontId="3" type="noConversion"/>
  </si>
  <si>
    <t>039.040.064</t>
    <phoneticPr fontId="3" type="noConversion"/>
  </si>
  <si>
    <t>007.027.046.049.050</t>
    <phoneticPr fontId="3" type="noConversion"/>
  </si>
  <si>
    <t>001.003.025.045.071.072</t>
    <phoneticPr fontId="3" type="noConversion"/>
  </si>
  <si>
    <t>024</t>
    <phoneticPr fontId="3" type="noConversion"/>
  </si>
  <si>
    <t>011.012.021.044.062.084.085</t>
    <phoneticPr fontId="3" type="noConversion"/>
  </si>
  <si>
    <t>004.006.014.016.023.028.031.032.034~038.054.057.088.092~094</t>
    <phoneticPr fontId="3" type="noConversion"/>
  </si>
  <si>
    <t>010.055.059.060.063.087.089~091</t>
    <phoneticPr fontId="3" type="noConversion"/>
  </si>
  <si>
    <t>064</t>
    <phoneticPr fontId="4" type="noConversion"/>
  </si>
  <si>
    <t>010.087.089.091</t>
    <phoneticPr fontId="4" type="noConversion"/>
  </si>
  <si>
    <t>350</t>
    <phoneticPr fontId="3" type="noConversion"/>
  </si>
  <si>
    <t>007.049</t>
    <phoneticPr fontId="3" type="noConversion"/>
  </si>
  <si>
    <t>050</t>
    <phoneticPr fontId="3" type="noConversion"/>
  </si>
  <si>
    <t>135 000</t>
  </si>
  <si>
    <t>215 000</t>
  </si>
  <si>
    <t>23이000</t>
  </si>
  <si>
    <t>달리</t>
    <phoneticPr fontId="3" type="noConversion"/>
  </si>
  <si>
    <t>720x1010</t>
    <phoneticPr fontId="3" type="noConversion"/>
  </si>
  <si>
    <t>120Candido.122Bianco</t>
    <phoneticPr fontId="3" type="noConversion"/>
  </si>
  <si>
    <t>200Candido.202Bianco</t>
    <phoneticPr fontId="3" type="noConversion"/>
  </si>
  <si>
    <t>240Candido.242Bianco</t>
    <phoneticPr fontId="3" type="noConversion"/>
  </si>
  <si>
    <t>280Candido.282Bianco</t>
    <phoneticPr fontId="3" type="noConversion"/>
  </si>
  <si>
    <t>320Candido.322Bianco</t>
    <phoneticPr fontId="3" type="noConversion"/>
  </si>
  <si>
    <r>
      <t xml:space="preserve">1롤 </t>
    </r>
    <r>
      <rPr>
        <b/>
        <sz val="9"/>
        <rFont val="맑은 고딕"/>
        <family val="3"/>
        <charset val="129"/>
        <scheme val="minor"/>
      </rPr>
      <t>695,000</t>
    </r>
    <phoneticPr fontId="3" type="noConversion"/>
  </si>
  <si>
    <t>1롤 560,000</t>
    <phoneticPr fontId="3" type="noConversion"/>
  </si>
  <si>
    <t>AFRICA.BUKRAM P EXTRA FANTASIA</t>
    <phoneticPr fontId="7" type="noConversion"/>
  </si>
  <si>
    <t>1롤 875,000</t>
    <phoneticPr fontId="3" type="noConversion"/>
  </si>
  <si>
    <t>1롤 670,000</t>
    <phoneticPr fontId="3" type="noConversion"/>
  </si>
  <si>
    <t>1롤 380,000</t>
    <phoneticPr fontId="3" type="noConversion"/>
  </si>
  <si>
    <t>251.252</t>
    <phoneticPr fontId="4" type="noConversion"/>
  </si>
  <si>
    <t>253</t>
    <phoneticPr fontId="4" type="noConversion"/>
  </si>
  <si>
    <t>380</t>
    <phoneticPr fontId="3" type="noConversion"/>
  </si>
  <si>
    <t>1롤 1,680,000</t>
    <phoneticPr fontId="3" type="noConversion"/>
  </si>
  <si>
    <t>1롤 2,170,000</t>
    <phoneticPr fontId="3" type="noConversion"/>
  </si>
  <si>
    <t>1롤 4,190,000</t>
    <phoneticPr fontId="3" type="noConversion"/>
  </si>
  <si>
    <t>1롤 2,680,000</t>
    <phoneticPr fontId="3" type="noConversion"/>
  </si>
  <si>
    <t>1롤 3,120,000</t>
    <phoneticPr fontId="3" type="noConversion"/>
  </si>
  <si>
    <t>네오★S플러스(백색)</t>
    <phoneticPr fontId="3" type="noConversion"/>
  </si>
  <si>
    <t>네오★S플러스(미색)</t>
  </si>
  <si>
    <t>네오★고급교과서지</t>
  </si>
  <si>
    <t>토포러스
(쿠션지 대용)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</si>
</sst>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43" formatCode="_-* #,##0.00_-;\-* #,##0.00_-;_-* &quot;-&quot;??_-;_-@_-"/>
    <numFmt numFmtId="176" formatCode="0_);[Red]\(0\)"/>
    <numFmt numFmtId="177" formatCode="_-* #,##0.00_-;\-* #,##0.00_-;_-* &quot;-&quot;_-;_-@_-"/>
    <numFmt numFmtId="178" formatCode="0.0_);[Red]\(0.0\)"/>
    <numFmt numFmtId="179" formatCode="_-* #,##0_-;\-* #,##0_-;_-* \-_-;_-@_-"/>
    <numFmt numFmtId="180" formatCode="#,##0_ ;[Red]\-#,##0\ "/>
    <numFmt numFmtId="181" formatCode="_-* #,##0_-;\-* #,##0_-;_-* &quot;-&quot;??_-;_-@_-"/>
    <numFmt numFmtId="182" formatCode="mm&quot;월&quot;\ dd&quot;일&quot;"/>
    <numFmt numFmtId="183" formatCode="#,##0_ "/>
    <numFmt numFmtId="184" formatCode="mm&quot;월 &quot;dd&quot;일&quot;"/>
  </numFmts>
  <fonts count="3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name val="굴림체"/>
      <family val="3"/>
      <charset val="129"/>
    </font>
    <font>
      <sz val="8"/>
      <name val="맑은 고딕"/>
      <family val="2"/>
      <charset val="129"/>
      <scheme val="minor"/>
    </font>
    <font>
      <sz val="8"/>
      <name val="굴림체"/>
      <family val="3"/>
      <charset val="129"/>
    </font>
    <font>
      <sz val="9"/>
      <name val="맑은 고딕"/>
      <family val="3"/>
      <charset val="129"/>
      <scheme val="minor"/>
    </font>
    <font>
      <sz val="9"/>
      <color theme="1"/>
      <name val="굴림체"/>
      <family val="2"/>
      <charset val="129"/>
    </font>
    <font>
      <sz val="8"/>
      <name val="굴림체"/>
      <family val="2"/>
      <charset val="129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name val="Calibri"/>
      <family val="3"/>
      <charset val="161"/>
    </font>
    <font>
      <sz val="8"/>
      <name val="돋움"/>
      <family val="3"/>
      <charset val="129"/>
    </font>
    <font>
      <sz val="9"/>
      <name val="맑은 고딕"/>
      <family val="3"/>
      <charset val="129"/>
    </font>
    <font>
      <sz val="8"/>
      <name val="Arial"/>
      <family val="2"/>
      <charset val="129"/>
    </font>
    <font>
      <sz val="8"/>
      <name val="바탕체"/>
      <family val="1"/>
      <charset val="129"/>
    </font>
    <font>
      <sz val="10"/>
      <color rgb="FF030303"/>
      <name val="Arial"/>
      <family val="2"/>
    </font>
    <font>
      <sz val="11"/>
      <color rgb="FF030303"/>
      <name val="Arial"/>
      <family val="2"/>
    </font>
    <font>
      <sz val="10"/>
      <name val="Arial"/>
      <family val="2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rgb="FF555555"/>
      <name val="Arial"/>
      <family val="2"/>
    </font>
    <font>
      <sz val="9"/>
      <color theme="1"/>
      <name val="Arial"/>
      <family val="2"/>
    </font>
    <font>
      <sz val="8"/>
      <name val="바탕"/>
      <family val="1"/>
      <charset val="129"/>
    </font>
    <font>
      <sz val="9"/>
      <color theme="1"/>
      <name val="맑은 고딕"/>
      <family val="3"/>
      <charset val="129"/>
    </font>
    <font>
      <sz val="9"/>
      <name val="Arial"/>
      <family val="2"/>
    </font>
    <font>
      <sz val="11"/>
      <name val="돋움"/>
      <family val="3"/>
      <charset val="129"/>
    </font>
    <font>
      <sz val="11"/>
      <name val="맑은 고딕"/>
      <family val="3"/>
      <charset val="129"/>
      <scheme val="minor"/>
    </font>
    <font>
      <sz val="14"/>
      <name val="맑은 고딕"/>
      <family val="2"/>
      <charset val="129"/>
      <scheme val="minor"/>
    </font>
    <font>
      <sz val="9"/>
      <name val="돋움"/>
      <family val="3"/>
      <charset val="129"/>
    </font>
    <font>
      <sz val="9"/>
      <name val="맑은 고딕"/>
      <family val="2"/>
      <charset val="129"/>
      <scheme val="minor"/>
    </font>
    <font>
      <b/>
      <sz val="14"/>
      <name val="Arial"/>
      <family val="2"/>
    </font>
    <font>
      <b/>
      <sz val="14"/>
      <name val="맑은 고딕"/>
      <family val="3"/>
      <charset val="129"/>
    </font>
    <font>
      <sz val="9"/>
      <color theme="1"/>
      <name val="Arial"/>
      <family val="3"/>
      <charset val="129"/>
    </font>
    <font>
      <sz val="9"/>
      <color theme="1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 style="thin">
        <color indexed="64"/>
      </left>
      <right/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/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8"/>
      </left>
      <right style="thin">
        <color indexed="8"/>
      </right>
      <top style="hair">
        <color indexed="64"/>
      </top>
      <bottom/>
      <diagonal/>
    </border>
    <border>
      <left/>
      <right style="thin">
        <color indexed="8"/>
      </right>
      <top style="hair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8"/>
      </left>
      <right/>
      <top/>
      <bottom/>
      <diagonal/>
    </border>
    <border>
      <left/>
      <right/>
      <top style="hair">
        <color indexed="8"/>
      </top>
      <bottom/>
      <diagonal/>
    </border>
    <border>
      <left style="medium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8"/>
      </top>
      <bottom/>
      <diagonal/>
    </border>
    <border>
      <left style="thin">
        <color indexed="8"/>
      </left>
      <right style="thin">
        <color indexed="8"/>
      </right>
      <top style="hair">
        <color auto="1"/>
      </top>
      <bottom/>
      <diagonal/>
    </border>
    <border>
      <left style="thin">
        <color indexed="64"/>
      </left>
      <right style="thin">
        <color indexed="8"/>
      </right>
      <top style="hair">
        <color indexed="64"/>
      </top>
      <bottom/>
      <diagonal/>
    </border>
    <border>
      <left style="thin">
        <color indexed="8"/>
      </left>
      <right/>
      <top style="hair">
        <color indexed="8"/>
      </top>
      <bottom/>
      <diagonal/>
    </border>
    <border>
      <left style="thin">
        <color indexed="64"/>
      </left>
      <right/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64"/>
      </top>
      <bottom style="hair">
        <color indexed="8"/>
      </bottom>
      <diagonal/>
    </border>
    <border>
      <left/>
      <right style="thin">
        <color indexed="8"/>
      </right>
      <top style="hair">
        <color indexed="64"/>
      </top>
      <bottom style="hair">
        <color indexed="8"/>
      </bottom>
      <diagonal/>
    </border>
    <border>
      <left style="thin">
        <color indexed="64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8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hair">
        <color indexed="8"/>
      </bottom>
      <diagonal/>
    </border>
    <border>
      <left/>
      <right style="thin">
        <color indexed="8"/>
      </right>
      <top style="thin">
        <color indexed="64"/>
      </top>
      <bottom style="hair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8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medium">
        <color indexed="64"/>
      </top>
      <bottom/>
      <diagonal/>
    </border>
    <border>
      <left/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8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8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hair">
        <color indexed="8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64"/>
      </bottom>
      <diagonal/>
    </border>
    <border>
      <left/>
      <right style="thin">
        <color indexed="8"/>
      </right>
      <top style="hair">
        <color indexed="8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8"/>
      </top>
      <bottom/>
      <diagonal/>
    </border>
    <border>
      <left style="thin">
        <color indexed="64"/>
      </left>
      <right/>
      <top style="hair">
        <color indexed="8"/>
      </top>
      <bottom style="hair">
        <color indexed="64"/>
      </bottom>
      <diagonal/>
    </border>
    <border>
      <left style="thin">
        <color indexed="64"/>
      </left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  <border>
      <left/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 style="thin">
        <color indexed="64"/>
      </right>
      <top/>
      <bottom/>
      <diagonal/>
    </border>
    <border>
      <left/>
      <right style="thin">
        <color indexed="8"/>
      </right>
      <top style="hair">
        <color auto="1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/>
      <right style="thin">
        <color indexed="8"/>
      </right>
      <top/>
      <bottom style="hair">
        <color indexed="64"/>
      </bottom>
      <diagonal/>
    </border>
    <border>
      <left/>
      <right/>
      <top/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8"/>
      </left>
      <right/>
      <top/>
      <bottom style="hair">
        <color indexed="8"/>
      </bottom>
      <diagonal/>
    </border>
    <border>
      <left style="thin">
        <color indexed="8"/>
      </left>
      <right/>
      <top style="hair">
        <color indexed="64"/>
      </top>
      <bottom/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64"/>
      </left>
      <right/>
      <top style="hair">
        <color indexed="8"/>
      </top>
      <bottom style="thin">
        <color indexed="64"/>
      </bottom>
      <diagonal/>
    </border>
    <border>
      <left/>
      <right style="thin">
        <color indexed="8"/>
      </right>
      <top style="hair">
        <color indexed="8"/>
      </top>
      <bottom style="thin">
        <color indexed="64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8"/>
      </top>
      <bottom style="thin">
        <color indexed="8"/>
      </bottom>
      <diagonal/>
    </border>
    <border>
      <left style="thin">
        <color indexed="64"/>
      </left>
      <right/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thin">
        <color indexed="8"/>
      </right>
      <top style="hair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/>
      <bottom style="hair">
        <color auto="1"/>
      </bottom>
      <diagonal/>
    </border>
    <border>
      <left/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  <border>
      <left/>
      <right style="thin">
        <color indexed="8"/>
      </right>
      <top/>
      <bottom style="hair">
        <color indexed="64"/>
      </bottom>
      <diagonal/>
    </border>
    <border>
      <left style="thin">
        <color indexed="64"/>
      </left>
      <right style="thin">
        <color indexed="8"/>
      </right>
      <top/>
      <bottom style="hair">
        <color indexed="8"/>
      </bottom>
      <diagonal/>
    </border>
    <border>
      <left style="medium">
        <color indexed="64"/>
      </left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 style="hair">
        <color indexed="64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hair">
        <color indexed="8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hair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8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hair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64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8"/>
      </bottom>
      <diagonal/>
    </border>
    <border>
      <left style="thin">
        <color indexed="64"/>
      </left>
      <right/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/>
      <bottom style="hair">
        <color auto="1"/>
      </bottom>
      <diagonal/>
    </border>
    <border>
      <left/>
      <right style="thin">
        <color indexed="8"/>
      </right>
      <top/>
      <bottom style="hair">
        <color indexed="64"/>
      </bottom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/>
      <bottom style="hair">
        <color auto="1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medium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 style="medium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hair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auto="1"/>
      </top>
      <bottom/>
      <diagonal/>
    </border>
    <border>
      <left style="thin">
        <color indexed="64"/>
      </left>
      <right style="thin">
        <color indexed="8"/>
      </right>
      <top style="hair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8"/>
      </top>
      <bottom/>
      <diagonal/>
    </border>
  </borders>
  <cellStyleXfs count="1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179" fontId="27" fillId="0" borderId="0" applyFill="0" applyBorder="0" applyAlignment="0" applyProtection="0"/>
  </cellStyleXfs>
  <cellXfs count="1047">
    <xf numFmtId="0" fontId="0" fillId="0" borderId="0" xfId="0">
      <alignment vertical="center"/>
    </xf>
    <xf numFmtId="0" fontId="5" fillId="0" borderId="0" xfId="3" applyFont="1">
      <alignment vertical="center"/>
    </xf>
    <xf numFmtId="41" fontId="5" fillId="0" borderId="0" xfId="1" applyFont="1" applyFill="1" applyAlignment="1">
      <alignment vertical="center"/>
    </xf>
    <xf numFmtId="0" fontId="5" fillId="2" borderId="0" xfId="3" applyFont="1" applyFill="1">
      <alignment vertical="center"/>
    </xf>
    <xf numFmtId="49" fontId="5" fillId="2" borderId="0" xfId="3" applyNumberFormat="1" applyFont="1" applyFill="1" applyAlignment="1">
      <alignment horizontal="center" vertical="center" shrinkToFit="1"/>
    </xf>
    <xf numFmtId="49" fontId="5" fillId="2" borderId="0" xfId="3" applyNumberFormat="1" applyFont="1" applyFill="1" applyAlignment="1">
      <alignment vertical="center" shrinkToFit="1"/>
    </xf>
    <xf numFmtId="176" fontId="5" fillId="0" borderId="0" xfId="3" applyNumberFormat="1" applyFont="1" applyAlignment="1">
      <alignment horizontal="center" vertical="center" shrinkToFit="1"/>
    </xf>
    <xf numFmtId="49" fontId="5" fillId="0" borderId="1" xfId="3" applyNumberFormat="1" applyFont="1" applyBorder="1" applyAlignment="1">
      <alignment horizontal="center" vertical="center" shrinkToFit="1"/>
    </xf>
    <xf numFmtId="176" fontId="5" fillId="0" borderId="1" xfId="3" applyNumberFormat="1" applyFont="1" applyBorder="1" applyAlignment="1">
      <alignment horizontal="center" vertical="center" shrinkToFit="1"/>
    </xf>
    <xf numFmtId="49" fontId="5" fillId="0" borderId="1" xfId="3" applyNumberFormat="1" applyFont="1" applyBorder="1" applyAlignment="1">
      <alignment vertical="center" shrinkToFit="1"/>
    </xf>
    <xf numFmtId="176" fontId="5" fillId="2" borderId="1" xfId="3" applyNumberFormat="1" applyFont="1" applyFill="1" applyBorder="1" applyAlignment="1">
      <alignment horizontal="center" vertical="center" shrinkToFit="1"/>
    </xf>
    <xf numFmtId="0" fontId="5" fillId="0" borderId="1" xfId="3" applyFont="1" applyBorder="1">
      <alignment vertical="center"/>
    </xf>
    <xf numFmtId="41" fontId="5" fillId="0" borderId="1" xfId="1" applyFont="1" applyFill="1" applyBorder="1" applyAlignment="1">
      <alignment vertical="center"/>
    </xf>
    <xf numFmtId="177" fontId="5" fillId="2" borderId="0" xfId="1" applyNumberFormat="1" applyFont="1" applyFill="1">
      <alignment vertical="center"/>
    </xf>
    <xf numFmtId="0" fontId="5" fillId="0" borderId="1" xfId="3" applyFont="1" applyBorder="1" applyAlignment="1">
      <alignment horizontal="center" vertical="center" shrinkToFit="1"/>
    </xf>
    <xf numFmtId="49" fontId="5" fillId="0" borderId="1" xfId="3" applyNumberFormat="1" applyFont="1" applyBorder="1" applyAlignment="1">
      <alignment horizontal="center" vertical="center" wrapText="1" shrinkToFit="1"/>
    </xf>
    <xf numFmtId="49" fontId="5" fillId="2" borderId="1" xfId="3" applyNumberFormat="1" applyFont="1" applyFill="1" applyBorder="1" applyAlignment="1">
      <alignment horizontal="center" vertical="center" shrinkToFit="1"/>
    </xf>
    <xf numFmtId="49" fontId="5" fillId="2" borderId="1" xfId="3" applyNumberFormat="1" applyFont="1" applyFill="1" applyBorder="1" applyAlignment="1">
      <alignment horizontal="center" vertical="center" wrapText="1" shrinkToFit="1"/>
    </xf>
    <xf numFmtId="49" fontId="5" fillId="0" borderId="2" xfId="3" applyNumberFormat="1" applyFont="1" applyBorder="1" applyAlignment="1">
      <alignment horizontal="center" vertical="center" wrapText="1" shrinkToFit="1"/>
    </xf>
    <xf numFmtId="49" fontId="5" fillId="0" borderId="2" xfId="3" applyNumberFormat="1" applyFont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center" vertical="center" shrinkToFit="1"/>
    </xf>
    <xf numFmtId="49" fontId="5" fillId="3" borderId="1" xfId="3" applyNumberFormat="1" applyFont="1" applyFill="1" applyBorder="1" applyAlignment="1">
      <alignment vertical="center" shrinkToFit="1"/>
    </xf>
    <xf numFmtId="0" fontId="8" fillId="3" borderId="1" xfId="3" applyFont="1" applyFill="1" applyBorder="1" applyAlignment="1">
      <alignment horizontal="center" vertical="center" shrinkToFit="1"/>
    </xf>
    <xf numFmtId="49" fontId="5" fillId="0" borderId="3" xfId="3" applyNumberFormat="1" applyFont="1" applyBorder="1" applyAlignment="1">
      <alignment horizontal="center" vertical="center" wrapText="1" shrinkToFit="1"/>
    </xf>
    <xf numFmtId="49" fontId="5" fillId="0" borderId="3" xfId="3" applyNumberFormat="1" applyFont="1" applyBorder="1" applyAlignment="1">
      <alignment horizontal="center" vertical="center" shrinkToFit="1"/>
    </xf>
    <xf numFmtId="41" fontId="5" fillId="2" borderId="0" xfId="1" applyFont="1" applyFill="1">
      <alignment vertical="center"/>
    </xf>
    <xf numFmtId="10" fontId="5" fillId="2" borderId="0" xfId="2" applyNumberFormat="1" applyFont="1" applyFill="1">
      <alignment vertical="center"/>
    </xf>
    <xf numFmtId="49" fontId="8" fillId="0" borderId="1" xfId="3" applyNumberFormat="1" applyFont="1" applyBorder="1" applyAlignment="1">
      <alignment horizontal="center" vertical="center" shrinkToFit="1"/>
    </xf>
    <xf numFmtId="49" fontId="8" fillId="0" borderId="1" xfId="3" applyNumberFormat="1" applyFont="1" applyBorder="1" applyAlignment="1">
      <alignment vertical="center" shrinkToFit="1"/>
    </xf>
    <xf numFmtId="49" fontId="5" fillId="2" borderId="1" xfId="3" applyNumberFormat="1" applyFont="1" applyFill="1" applyBorder="1" applyAlignment="1">
      <alignment vertical="center" shrinkToFit="1"/>
    </xf>
    <xf numFmtId="0" fontId="5" fillId="2" borderId="1" xfId="3" applyFont="1" applyFill="1" applyBorder="1" applyAlignment="1">
      <alignment horizontal="center" vertical="center" shrinkToFit="1"/>
    </xf>
    <xf numFmtId="49" fontId="8" fillId="3" borderId="1" xfId="3" applyNumberFormat="1" applyFont="1" applyFill="1" applyBorder="1" applyAlignment="1">
      <alignment horizontal="center" vertical="center" shrinkToFit="1"/>
    </xf>
    <xf numFmtId="49" fontId="8" fillId="3" borderId="1" xfId="3" applyNumberFormat="1" applyFont="1" applyFill="1" applyBorder="1" applyAlignment="1">
      <alignment vertical="center" shrinkToFit="1"/>
    </xf>
    <xf numFmtId="49" fontId="5" fillId="3" borderId="1" xfId="3" applyNumberFormat="1" applyFont="1" applyFill="1" applyBorder="1" applyAlignment="1">
      <alignment horizontal="center" vertical="center" shrinkToFit="1"/>
    </xf>
    <xf numFmtId="178" fontId="5" fillId="0" borderId="1" xfId="3" applyNumberFormat="1" applyFont="1" applyBorder="1" applyAlignment="1">
      <alignment horizontal="center" vertical="center" shrinkToFit="1"/>
    </xf>
    <xf numFmtId="0" fontId="8" fillId="0" borderId="0" xfId="3" applyFont="1">
      <alignment vertical="center"/>
    </xf>
    <xf numFmtId="0" fontId="5" fillId="0" borderId="1" xfId="3" applyFont="1" applyBorder="1" applyAlignment="1">
      <alignment vertical="center" shrinkToFit="1"/>
    </xf>
    <xf numFmtId="0" fontId="5" fillId="3" borderId="1" xfId="3" applyFont="1" applyFill="1" applyBorder="1" applyAlignment="1">
      <alignment vertical="center" shrinkToFit="1"/>
    </xf>
    <xf numFmtId="3" fontId="5" fillId="0" borderId="1" xfId="5" applyNumberFormat="1" applyFont="1" applyBorder="1" applyAlignment="1">
      <alignment horizontal="center" vertical="center" wrapText="1"/>
    </xf>
    <xf numFmtId="49" fontId="5" fillId="0" borderId="1" xfId="5" applyNumberFormat="1" applyFont="1" applyBorder="1" applyAlignment="1">
      <alignment horizontal="center" vertical="center"/>
    </xf>
    <xf numFmtId="49" fontId="5" fillId="0" borderId="1" xfId="5" applyNumberFormat="1" applyFont="1" applyBorder="1" applyAlignment="1">
      <alignment vertical="center" shrinkToFit="1"/>
    </xf>
    <xf numFmtId="176" fontId="5" fillId="0" borderId="1" xfId="5" applyNumberFormat="1" applyFont="1" applyBorder="1" applyAlignment="1">
      <alignment horizontal="center" vertical="center" wrapText="1"/>
    </xf>
    <xf numFmtId="49" fontId="5" fillId="2" borderId="1" xfId="5" applyNumberFormat="1" applyFont="1" applyFill="1" applyBorder="1" applyAlignment="1">
      <alignment horizontal="center" vertical="center"/>
    </xf>
    <xf numFmtId="49" fontId="5" fillId="2" borderId="1" xfId="5" applyNumberFormat="1" applyFont="1" applyFill="1" applyBorder="1">
      <alignment vertical="center"/>
    </xf>
    <xf numFmtId="49" fontId="5" fillId="0" borderId="1" xfId="5" applyNumberFormat="1" applyFont="1" applyBorder="1">
      <alignment vertical="center"/>
    </xf>
    <xf numFmtId="49" fontId="5" fillId="3" borderId="1" xfId="6" applyNumberFormat="1" applyFont="1" applyFill="1" applyBorder="1" applyAlignment="1">
      <alignment horizontal="center" vertical="center" shrinkToFit="1"/>
    </xf>
    <xf numFmtId="0" fontId="5" fillId="3" borderId="1" xfId="7" applyFont="1" applyFill="1" applyBorder="1">
      <alignment vertical="center"/>
    </xf>
    <xf numFmtId="0" fontId="5" fillId="3" borderId="1" xfId="6" applyFont="1" applyFill="1" applyBorder="1" applyAlignment="1">
      <alignment horizontal="center" vertical="center" shrinkToFit="1"/>
    </xf>
    <xf numFmtId="0" fontId="10" fillId="2" borderId="0" xfId="3" applyFont="1" applyFill="1">
      <alignment vertical="center"/>
    </xf>
    <xf numFmtId="49" fontId="5" fillId="3" borderId="1" xfId="5" applyNumberFormat="1" applyFont="1" applyFill="1" applyBorder="1" applyAlignment="1">
      <alignment horizontal="center" vertical="center"/>
    </xf>
    <xf numFmtId="49" fontId="5" fillId="3" borderId="1" xfId="5" applyNumberFormat="1" applyFont="1" applyFill="1" applyBorder="1" applyAlignment="1">
      <alignment vertical="center" shrinkToFit="1"/>
    </xf>
    <xf numFmtId="0" fontId="5" fillId="3" borderId="1" xfId="5" applyFont="1" applyFill="1" applyBorder="1" applyAlignment="1">
      <alignment horizontal="center" vertical="center"/>
    </xf>
    <xf numFmtId="49" fontId="5" fillId="3" borderId="1" xfId="5" applyNumberFormat="1" applyFont="1" applyFill="1" applyBorder="1">
      <alignment vertical="center"/>
    </xf>
    <xf numFmtId="49" fontId="5" fillId="3" borderId="1" xfId="3" applyNumberFormat="1" applyFont="1" applyFill="1" applyBorder="1">
      <alignment vertical="center"/>
    </xf>
    <xf numFmtId="176" fontId="5" fillId="0" borderId="1" xfId="6" applyNumberFormat="1" applyFont="1" applyBorder="1" applyAlignment="1">
      <alignment horizontal="center" vertical="center" shrinkToFit="1"/>
    </xf>
    <xf numFmtId="49" fontId="5" fillId="0" borderId="1" xfId="6" applyNumberFormat="1" applyFont="1" applyBorder="1" applyAlignment="1">
      <alignment horizontal="center" vertical="center" shrinkToFit="1"/>
    </xf>
    <xf numFmtId="0" fontId="5" fillId="0" borderId="1" xfId="7" applyFont="1" applyBorder="1">
      <alignment vertical="center"/>
    </xf>
    <xf numFmtId="49" fontId="5" fillId="2" borderId="1" xfId="6" applyNumberFormat="1" applyFont="1" applyFill="1" applyBorder="1" applyAlignment="1">
      <alignment horizontal="center" vertical="center" shrinkToFit="1"/>
    </xf>
    <xf numFmtId="49" fontId="5" fillId="2" borderId="1" xfId="7" applyNumberFormat="1" applyFont="1" applyFill="1" applyBorder="1">
      <alignment vertical="center"/>
    </xf>
    <xf numFmtId="49" fontId="5" fillId="2" borderId="1" xfId="6" applyNumberFormat="1" applyFont="1" applyFill="1" applyBorder="1" applyAlignment="1">
      <alignment vertical="center" shrinkToFit="1"/>
    </xf>
    <xf numFmtId="49" fontId="5" fillId="2" borderId="1" xfId="7" applyNumberFormat="1" applyFont="1" applyFill="1" applyBorder="1" applyAlignment="1">
      <alignment vertical="center" shrinkToFit="1"/>
    </xf>
    <xf numFmtId="49" fontId="5" fillId="3" borderId="1" xfId="7" applyNumberFormat="1" applyFont="1" applyFill="1" applyBorder="1" applyAlignment="1">
      <alignment vertical="center" shrinkToFit="1"/>
    </xf>
    <xf numFmtId="49" fontId="5" fillId="4" borderId="1" xfId="3" applyNumberFormat="1" applyFont="1" applyFill="1" applyBorder="1" applyAlignment="1">
      <alignment horizontal="center" vertical="center" shrinkToFit="1"/>
    </xf>
    <xf numFmtId="49" fontId="5" fillId="4" borderId="1" xfId="3" applyNumberFormat="1" applyFont="1" applyFill="1" applyBorder="1" applyAlignment="1">
      <alignment vertical="center" shrinkToFit="1"/>
    </xf>
    <xf numFmtId="49" fontId="5" fillId="0" borderId="1" xfId="9" applyNumberFormat="1" applyFont="1" applyBorder="1" applyAlignment="1">
      <alignment horizontal="center" vertical="center" shrinkToFit="1"/>
    </xf>
    <xf numFmtId="0" fontId="5" fillId="0" borderId="1" xfId="9" applyFont="1" applyBorder="1" applyAlignment="1">
      <alignment vertical="center" shrinkToFit="1"/>
    </xf>
    <xf numFmtId="0" fontId="11" fillId="0" borderId="0" xfId="3" applyFont="1">
      <alignment vertical="center"/>
    </xf>
    <xf numFmtId="0" fontId="11" fillId="2" borderId="0" xfId="3" applyFont="1" applyFill="1">
      <alignment vertical="center"/>
    </xf>
    <xf numFmtId="43" fontId="5" fillId="0" borderId="0" xfId="3" applyNumberFormat="1" applyFont="1">
      <alignment vertical="center"/>
    </xf>
    <xf numFmtId="0" fontId="5" fillId="0" borderId="1" xfId="3" applyFont="1" applyBorder="1" applyAlignment="1">
      <alignment horizontal="center" vertical="center"/>
    </xf>
    <xf numFmtId="176" fontId="5" fillId="0" borderId="1" xfId="3" applyNumberFormat="1" applyFont="1" applyBorder="1" applyAlignment="1">
      <alignment horizontal="center" vertical="center"/>
    </xf>
    <xf numFmtId="178" fontId="5" fillId="0" borderId="1" xfId="3" applyNumberFormat="1" applyFont="1" applyBorder="1" applyAlignment="1">
      <alignment horizontal="center" vertical="center"/>
    </xf>
    <xf numFmtId="0" fontId="5" fillId="3" borderId="1" xfId="3" applyFont="1" applyFill="1" applyBorder="1" applyAlignment="1">
      <alignment horizontal="center" vertical="center"/>
    </xf>
    <xf numFmtId="0" fontId="5" fillId="3" borderId="1" xfId="3" applyFont="1" applyFill="1" applyBorder="1">
      <alignment vertical="center"/>
    </xf>
    <xf numFmtId="0" fontId="5" fillId="2" borderId="1" xfId="3" applyFont="1" applyFill="1" applyBorder="1">
      <alignment vertical="center"/>
    </xf>
    <xf numFmtId="41" fontId="5" fillId="2" borderId="1" xfId="1" applyFont="1" applyFill="1" applyBorder="1" applyAlignment="1">
      <alignment vertical="center"/>
    </xf>
    <xf numFmtId="41" fontId="5" fillId="0" borderId="0" xfId="4" applyFont="1" applyFill="1" applyAlignment="1">
      <alignment vertical="center"/>
    </xf>
    <xf numFmtId="0" fontId="5" fillId="0" borderId="1" xfId="3" applyFont="1" applyBorder="1" applyAlignment="1">
      <alignment horizontal="center" vertical="center" wrapText="1"/>
    </xf>
    <xf numFmtId="3" fontId="5" fillId="0" borderId="0" xfId="3" applyNumberFormat="1" applyFont="1">
      <alignment vertical="center"/>
    </xf>
    <xf numFmtId="0" fontId="8" fillId="3" borderId="1" xfId="3" applyFont="1" applyFill="1" applyBorder="1" applyAlignment="1">
      <alignment vertical="center" shrinkToFit="1"/>
    </xf>
    <xf numFmtId="179" fontId="5" fillId="0" borderId="0" xfId="4" applyNumberFormat="1" applyFont="1" applyFill="1" applyBorder="1" applyAlignment="1" applyProtection="1">
      <alignment horizontal="center" vertical="center"/>
    </xf>
    <xf numFmtId="49" fontId="14" fillId="0" borderId="1" xfId="3" applyNumberFormat="1" applyFont="1" applyBorder="1" applyAlignment="1">
      <alignment horizontal="center" vertical="center" shrinkToFit="1"/>
    </xf>
    <xf numFmtId="0" fontId="5" fillId="2" borderId="1" xfId="3" applyFont="1" applyFill="1" applyBorder="1" applyAlignment="1">
      <alignment horizontal="center" vertical="center"/>
    </xf>
    <xf numFmtId="176" fontId="5" fillId="0" borderId="0" xfId="3" applyNumberFormat="1" applyFont="1" applyAlignment="1">
      <alignment horizontal="center" vertical="center"/>
    </xf>
    <xf numFmtId="49" fontId="5" fillId="0" borderId="0" xfId="3" applyNumberFormat="1" applyFont="1" applyAlignment="1">
      <alignment horizontal="center" vertical="center" shrinkToFit="1"/>
    </xf>
    <xf numFmtId="49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/>
    <xf numFmtId="0" fontId="5" fillId="2" borderId="10" xfId="0" applyFont="1" applyFill="1" applyBorder="1" applyAlignment="1">
      <alignment horizontal="center" vertical="center"/>
    </xf>
    <xf numFmtId="0" fontId="5" fillId="2" borderId="11" xfId="1" applyNumberFormat="1" applyFont="1" applyFill="1" applyBorder="1" applyAlignment="1">
      <alignment horizontal="center" vertical="center"/>
    </xf>
    <xf numFmtId="0" fontId="5" fillId="2" borderId="14" xfId="1" applyNumberFormat="1" applyFont="1" applyFill="1" applyBorder="1" applyAlignment="1">
      <alignment horizontal="center" vertical="center"/>
    </xf>
    <xf numFmtId="0" fontId="5" fillId="2" borderId="16" xfId="1" applyNumberFormat="1" applyFont="1" applyFill="1" applyBorder="1" applyAlignment="1">
      <alignment horizontal="center" vertical="center"/>
    </xf>
    <xf numFmtId="0" fontId="5" fillId="2" borderId="20" xfId="1" applyNumberFormat="1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5" fillId="2" borderId="0" xfId="0" applyFont="1" applyFill="1">
      <alignment vertical="center"/>
    </xf>
    <xf numFmtId="0" fontId="5" fillId="2" borderId="11" xfId="0" applyFont="1" applyFill="1" applyBorder="1" applyAlignment="1">
      <alignment horizontal="center" vertical="center"/>
    </xf>
    <xf numFmtId="0" fontId="5" fillId="0" borderId="0" xfId="0" applyFont="1" applyAlignment="1"/>
    <xf numFmtId="0" fontId="8" fillId="2" borderId="16" xfId="1" applyNumberFormat="1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/>
    </xf>
    <xf numFmtId="0" fontId="5" fillId="2" borderId="5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5" fillId="2" borderId="4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2" xfId="0" applyBorder="1">
      <alignment vertical="center"/>
    </xf>
    <xf numFmtId="0" fontId="5" fillId="2" borderId="55" xfId="0" applyFont="1" applyFill="1" applyBorder="1" applyAlignment="1">
      <alignment horizontal="center" vertical="center"/>
    </xf>
    <xf numFmtId="0" fontId="0" fillId="0" borderId="56" xfId="0" applyBorder="1">
      <alignment vertical="center"/>
    </xf>
    <xf numFmtId="41" fontId="0" fillId="0" borderId="52" xfId="1" applyFont="1" applyBorder="1">
      <alignment vertical="center"/>
    </xf>
    <xf numFmtId="41" fontId="0" fillId="0" borderId="0" xfId="1" applyFont="1" applyBorder="1">
      <alignment vertical="center"/>
    </xf>
    <xf numFmtId="41" fontId="0" fillId="0" borderId="56" xfId="1" applyFont="1" applyBorder="1">
      <alignment vertical="center"/>
    </xf>
    <xf numFmtId="41" fontId="0" fillId="0" borderId="0" xfId="1" applyFont="1">
      <alignment vertical="center"/>
    </xf>
    <xf numFmtId="0" fontId="0" fillId="0" borderId="49" xfId="0" applyBorder="1">
      <alignment vertical="center"/>
    </xf>
    <xf numFmtId="41" fontId="17" fillId="0" borderId="57" xfId="1" applyFont="1" applyBorder="1" applyAlignment="1">
      <alignment horizontal="center" vertical="center" wrapText="1"/>
    </xf>
    <xf numFmtId="41" fontId="1" fillId="0" borderId="0" xfId="1" applyFont="1">
      <alignment vertical="center"/>
    </xf>
    <xf numFmtId="41" fontId="18" fillId="0" borderId="57" xfId="1" applyFont="1" applyBorder="1" applyAlignment="1">
      <alignment horizontal="center" vertical="center" wrapText="1"/>
    </xf>
    <xf numFmtId="41" fontId="19" fillId="0" borderId="57" xfId="1" applyFont="1" applyBorder="1" applyAlignment="1">
      <alignment horizontal="center" vertical="center" wrapText="1"/>
    </xf>
    <xf numFmtId="41" fontId="0" fillId="0" borderId="0" xfId="1" applyFont="1" applyAlignment="1">
      <alignment horizontal="center" vertical="center"/>
    </xf>
    <xf numFmtId="0" fontId="11" fillId="3" borderId="5" xfId="1" applyNumberFormat="1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41" fontId="11" fillId="3" borderId="7" xfId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41" fontId="11" fillId="3" borderId="58" xfId="1" applyFont="1" applyFill="1" applyBorder="1" applyAlignment="1">
      <alignment vertical="center"/>
    </xf>
    <xf numFmtId="49" fontId="5" fillId="0" borderId="2" xfId="3" applyNumberFormat="1" applyFont="1" applyBorder="1" applyAlignment="1">
      <alignment vertical="center" shrinkToFit="1"/>
    </xf>
    <xf numFmtId="41" fontId="11" fillId="3" borderId="54" xfId="1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41" fontId="11" fillId="3" borderId="53" xfId="1" applyFont="1" applyFill="1" applyBorder="1" applyAlignment="1">
      <alignment horizontal="right" vertical="center"/>
    </xf>
    <xf numFmtId="41" fontId="0" fillId="0" borderId="0" xfId="1" applyFont="1" applyAlignment="1">
      <alignment horizontal="right" vertical="center"/>
    </xf>
    <xf numFmtId="49" fontId="0" fillId="0" borderId="0" xfId="0" applyNumberFormat="1">
      <alignment vertical="center"/>
    </xf>
    <xf numFmtId="3" fontId="0" fillId="0" borderId="0" xfId="0" applyNumberFormat="1">
      <alignment vertical="center"/>
    </xf>
    <xf numFmtId="3" fontId="0" fillId="0" borderId="0" xfId="0" applyNumberFormat="1" applyAlignment="1">
      <alignment horizontal="right" vertical="center"/>
    </xf>
    <xf numFmtId="181" fontId="0" fillId="0" borderId="0" xfId="0" applyNumberFormat="1">
      <alignment vertical="center"/>
    </xf>
    <xf numFmtId="0" fontId="5" fillId="5" borderId="0" xfId="0" applyFont="1" applyFill="1" applyAlignment="1">
      <alignment horizontal="center"/>
    </xf>
    <xf numFmtId="0" fontId="0" fillId="5" borderId="0" xfId="0" applyFill="1">
      <alignment vertical="center"/>
    </xf>
    <xf numFmtId="0" fontId="11" fillId="5" borderId="0" xfId="0" applyFont="1" applyFill="1" applyAlignment="1">
      <alignment horizontal="center"/>
    </xf>
    <xf numFmtId="176" fontId="5" fillId="5" borderId="1" xfId="3" applyNumberFormat="1" applyFont="1" applyFill="1" applyBorder="1" applyAlignment="1">
      <alignment horizontal="center" vertical="center" shrinkToFit="1"/>
    </xf>
    <xf numFmtId="177" fontId="5" fillId="5" borderId="0" xfId="1" applyNumberFormat="1" applyFont="1" applyFill="1">
      <alignment vertical="center"/>
    </xf>
    <xf numFmtId="41" fontId="5" fillId="5" borderId="0" xfId="1" applyFont="1" applyFill="1">
      <alignment vertical="center"/>
    </xf>
    <xf numFmtId="176" fontId="5" fillId="5" borderId="1" xfId="5" applyNumberFormat="1" applyFont="1" applyFill="1" applyBorder="1" applyAlignment="1">
      <alignment horizontal="center" vertical="center"/>
    </xf>
    <xf numFmtId="176" fontId="5" fillId="5" borderId="1" xfId="6" applyNumberFormat="1" applyFont="1" applyFill="1" applyBorder="1" applyAlignment="1">
      <alignment horizontal="center" vertical="center" shrinkToFit="1"/>
    </xf>
    <xf numFmtId="176" fontId="5" fillId="5" borderId="1" xfId="3" applyNumberFormat="1" applyFont="1" applyFill="1" applyBorder="1" applyAlignment="1">
      <alignment horizontal="center" vertical="center"/>
    </xf>
    <xf numFmtId="176" fontId="14" fillId="5" borderId="1" xfId="3" applyNumberFormat="1" applyFont="1" applyFill="1" applyBorder="1" applyAlignment="1">
      <alignment horizontal="center" vertical="center" shrinkToFit="1"/>
    </xf>
    <xf numFmtId="0" fontId="5" fillId="5" borderId="0" xfId="3" applyFont="1" applyFill="1">
      <alignment vertical="center"/>
    </xf>
    <xf numFmtId="1" fontId="0" fillId="5" borderId="0" xfId="0" applyNumberFormat="1" applyFill="1">
      <alignment vertical="center"/>
    </xf>
    <xf numFmtId="181" fontId="0" fillId="5" borderId="0" xfId="0" applyNumberFormat="1" applyFill="1">
      <alignment vertical="center"/>
    </xf>
    <xf numFmtId="0" fontId="0" fillId="6" borderId="0" xfId="0" applyFill="1">
      <alignment vertical="center"/>
    </xf>
    <xf numFmtId="49" fontId="5" fillId="0" borderId="46" xfId="3" applyNumberFormat="1" applyFont="1" applyBorder="1" applyAlignment="1">
      <alignment horizontal="center" vertical="center" shrinkToFit="1"/>
    </xf>
    <xf numFmtId="41" fontId="5" fillId="2" borderId="1" xfId="1" applyFont="1" applyFill="1" applyBorder="1" applyAlignment="1">
      <alignment horizontal="right" vertical="center" shrinkToFit="1"/>
    </xf>
    <xf numFmtId="0" fontId="5" fillId="2" borderId="60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23" fillId="2" borderId="12" xfId="0" applyFont="1" applyFill="1" applyBorder="1" applyAlignment="1">
      <alignment horizontal="center" vertical="center"/>
    </xf>
    <xf numFmtId="0" fontId="5" fillId="2" borderId="78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68" xfId="1" applyNumberFormat="1" applyFont="1" applyFill="1" applyBorder="1" applyAlignment="1">
      <alignment horizontal="center" vertical="center"/>
    </xf>
    <xf numFmtId="0" fontId="5" fillId="2" borderId="69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50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/>
    </xf>
    <xf numFmtId="0" fontId="5" fillId="2" borderId="21" xfId="0" quotePrefix="1" applyFont="1" applyFill="1" applyBorder="1" applyAlignment="1">
      <alignment horizontal="center" vertical="center"/>
    </xf>
    <xf numFmtId="0" fontId="5" fillId="2" borderId="67" xfId="0" applyFont="1" applyFill="1" applyBorder="1" applyAlignment="1">
      <alignment horizontal="center" vertical="center"/>
    </xf>
    <xf numFmtId="0" fontId="5" fillId="2" borderId="68" xfId="0" applyFont="1" applyFill="1" applyBorder="1" applyAlignment="1">
      <alignment horizontal="center" vertical="center"/>
    </xf>
    <xf numFmtId="0" fontId="5" fillId="2" borderId="0" xfId="0" quotePrefix="1" applyFont="1" applyFill="1" applyAlignment="1">
      <alignment horizontal="center"/>
    </xf>
    <xf numFmtId="0" fontId="5" fillId="2" borderId="88" xfId="0" applyFont="1" applyFill="1" applyBorder="1" applyAlignment="1">
      <alignment horizontal="center" vertical="center"/>
    </xf>
    <xf numFmtId="0" fontId="5" fillId="2" borderId="104" xfId="1" applyNumberFormat="1" applyFont="1" applyFill="1" applyBorder="1" applyAlignment="1">
      <alignment horizontal="center" vertical="center"/>
    </xf>
    <xf numFmtId="49" fontId="5" fillId="2" borderId="105" xfId="0" applyNumberFormat="1" applyFont="1" applyFill="1" applyBorder="1" applyAlignment="1">
      <alignment horizontal="center" vertical="center"/>
    </xf>
    <xf numFmtId="49" fontId="5" fillId="2" borderId="12" xfId="0" applyNumberFormat="1" applyFont="1" applyFill="1" applyBorder="1" applyAlignment="1">
      <alignment horizontal="center" vertical="center"/>
    </xf>
    <xf numFmtId="49" fontId="5" fillId="2" borderId="15" xfId="0" applyNumberFormat="1" applyFont="1" applyFill="1" applyBorder="1" applyAlignment="1">
      <alignment horizontal="center" vertical="center"/>
    </xf>
    <xf numFmtId="49" fontId="5" fillId="3" borderId="12" xfId="0" applyNumberFormat="1" applyFont="1" applyFill="1" applyBorder="1" applyAlignment="1">
      <alignment horizontal="center" vertical="center"/>
    </xf>
    <xf numFmtId="0" fontId="5" fillId="2" borderId="64" xfId="0" applyFont="1" applyFill="1" applyBorder="1" applyAlignment="1">
      <alignment horizontal="center" vertical="center"/>
    </xf>
    <xf numFmtId="0" fontId="5" fillId="2" borderId="65" xfId="1" applyNumberFormat="1" applyFont="1" applyFill="1" applyBorder="1" applyAlignment="1">
      <alignment horizontal="center" vertical="center"/>
    </xf>
    <xf numFmtId="49" fontId="5" fillId="0" borderId="66" xfId="0" applyNumberFormat="1" applyFont="1" applyBorder="1" applyAlignment="1">
      <alignment horizontal="center" vertical="center"/>
    </xf>
    <xf numFmtId="49" fontId="5" fillId="0" borderId="105" xfId="0" applyNumberFormat="1" applyFont="1" applyBorder="1" applyAlignment="1">
      <alignment horizontal="center" vertical="center"/>
    </xf>
    <xf numFmtId="49" fontId="5" fillId="0" borderId="15" xfId="0" applyNumberFormat="1" applyFont="1" applyBorder="1" applyAlignment="1">
      <alignment horizontal="center" vertical="center"/>
    </xf>
    <xf numFmtId="49" fontId="5" fillId="0" borderId="12" xfId="0" applyNumberFormat="1" applyFont="1" applyBorder="1" applyAlignment="1">
      <alignment horizontal="center" vertical="center"/>
    </xf>
    <xf numFmtId="0" fontId="5" fillId="2" borderId="123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 wrapText="1"/>
    </xf>
    <xf numFmtId="0" fontId="5" fillId="2" borderId="100" xfId="0" applyFont="1" applyFill="1" applyBorder="1" applyAlignment="1">
      <alignment horizontal="center" vertical="center" wrapText="1"/>
    </xf>
    <xf numFmtId="49" fontId="5" fillId="2" borderId="69" xfId="0" applyNumberFormat="1" applyFont="1" applyFill="1" applyBorder="1" applyAlignment="1">
      <alignment horizontal="center" vertical="center"/>
    </xf>
    <xf numFmtId="0" fontId="23" fillId="2" borderId="69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89" xfId="0" applyFont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34" xfId="0" applyFont="1" applyFill="1" applyBorder="1" applyAlignment="1">
      <alignment horizontal="center" vertical="center"/>
    </xf>
    <xf numFmtId="0" fontId="5" fillId="2" borderId="134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49" fontId="5" fillId="2" borderId="17" xfId="0" applyNumberFormat="1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49" fontId="5" fillId="3" borderId="15" xfId="0" applyNumberFormat="1" applyFont="1" applyFill="1" applyBorder="1" applyAlignment="1">
      <alignment horizontal="center" vertical="center"/>
    </xf>
    <xf numFmtId="49" fontId="5" fillId="2" borderId="12" xfId="0" quotePrefix="1" applyNumberFormat="1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5" fillId="2" borderId="111" xfId="1" applyNumberFormat="1" applyFont="1" applyFill="1" applyBorder="1" applyAlignment="1">
      <alignment horizontal="center" vertical="center"/>
    </xf>
    <xf numFmtId="49" fontId="5" fillId="2" borderId="112" xfId="0" applyNumberFormat="1" applyFont="1" applyFill="1" applyBorder="1" applyAlignment="1">
      <alignment horizontal="center" vertical="center"/>
    </xf>
    <xf numFmtId="49" fontId="5" fillId="2" borderId="66" xfId="0" applyNumberFormat="1" applyFont="1" applyFill="1" applyBorder="1" applyAlignment="1">
      <alignment horizontal="center" vertical="center"/>
    </xf>
    <xf numFmtId="49" fontId="5" fillId="3" borderId="11" xfId="0" applyNumberFormat="1" applyFont="1" applyFill="1" applyBorder="1" applyAlignment="1">
      <alignment horizontal="center" vertical="center"/>
    </xf>
    <xf numFmtId="49" fontId="5" fillId="3" borderId="14" xfId="0" applyNumberFormat="1" applyFont="1" applyFill="1" applyBorder="1" applyAlignment="1">
      <alignment horizontal="center" vertical="center"/>
    </xf>
    <xf numFmtId="49" fontId="5" fillId="3" borderId="68" xfId="0" applyNumberFormat="1" applyFont="1" applyFill="1" applyBorder="1" applyAlignment="1">
      <alignment horizontal="center" vertical="center"/>
    </xf>
    <xf numFmtId="0" fontId="5" fillId="0" borderId="68" xfId="1" applyNumberFormat="1" applyFont="1" applyFill="1" applyBorder="1" applyAlignment="1">
      <alignment horizontal="center" vertical="center"/>
    </xf>
    <xf numFmtId="0" fontId="5" fillId="2" borderId="139" xfId="1" applyNumberFormat="1" applyFont="1" applyFill="1" applyBorder="1" applyAlignment="1">
      <alignment horizontal="center" vertical="center" wrapText="1"/>
    </xf>
    <xf numFmtId="0" fontId="5" fillId="2" borderId="140" xfId="0" applyFont="1" applyFill="1" applyBorder="1" applyAlignment="1">
      <alignment horizontal="center" vertical="center"/>
    </xf>
    <xf numFmtId="0" fontId="5" fillId="2" borderId="141" xfId="1" applyNumberFormat="1" applyFont="1" applyFill="1" applyBorder="1" applyAlignment="1">
      <alignment horizontal="center" vertical="center"/>
    </xf>
    <xf numFmtId="0" fontId="5" fillId="2" borderId="142" xfId="0" applyFont="1" applyFill="1" applyBorder="1" applyAlignment="1">
      <alignment horizontal="center" vertical="center"/>
    </xf>
    <xf numFmtId="49" fontId="5" fillId="2" borderId="12" xfId="0" applyNumberFormat="1" applyFont="1" applyFill="1" applyBorder="1" applyAlignment="1">
      <alignment horizontal="center" vertical="center" shrinkToFit="1"/>
    </xf>
    <xf numFmtId="49" fontId="5" fillId="2" borderId="69" xfId="0" applyNumberFormat="1" applyFont="1" applyFill="1" applyBorder="1" applyAlignment="1">
      <alignment horizontal="center" vertical="center" shrinkToFit="1"/>
    </xf>
    <xf numFmtId="0" fontId="11" fillId="2" borderId="0" xfId="1" applyNumberFormat="1" applyFont="1" applyFill="1" applyAlignment="1"/>
    <xf numFmtId="41" fontId="5" fillId="2" borderId="0" xfId="1" applyFont="1" applyFill="1" applyAlignment="1">
      <alignment horizontal="right"/>
    </xf>
    <xf numFmtId="41" fontId="5" fillId="0" borderId="0" xfId="1" applyFont="1">
      <alignment vertical="center"/>
    </xf>
    <xf numFmtId="41" fontId="5" fillId="0" borderId="1" xfId="1" applyFont="1" applyBorder="1" applyAlignment="1">
      <alignment horizontal="right" vertical="center" shrinkToFit="1"/>
    </xf>
    <xf numFmtId="41" fontId="5" fillId="0" borderId="1" xfId="1" applyFont="1" applyFill="1" applyBorder="1" applyAlignment="1">
      <alignment horizontal="right" vertical="center" shrinkToFit="1"/>
    </xf>
    <xf numFmtId="41" fontId="5" fillId="3" borderId="1" xfId="1" applyFont="1" applyFill="1" applyBorder="1" applyAlignment="1">
      <alignment horizontal="right" vertical="center" shrinkToFit="1"/>
    </xf>
    <xf numFmtId="41" fontId="8" fillId="0" borderId="0" xfId="1" applyFont="1">
      <alignment vertical="center"/>
    </xf>
    <xf numFmtId="41" fontId="5" fillId="4" borderId="1" xfId="1" applyFont="1" applyFill="1" applyBorder="1" applyAlignment="1">
      <alignment horizontal="right" vertical="center" shrinkToFit="1"/>
    </xf>
    <xf numFmtId="0" fontId="5" fillId="2" borderId="22" xfId="1" applyNumberFormat="1" applyFont="1" applyFill="1" applyBorder="1" applyAlignment="1">
      <alignment horizontal="center" vertical="center" wrapText="1"/>
    </xf>
    <xf numFmtId="49" fontId="5" fillId="3" borderId="1" xfId="3" applyNumberFormat="1" applyFont="1" applyFill="1" applyBorder="1" applyAlignment="1">
      <alignment horizontal="center" vertical="center"/>
    </xf>
    <xf numFmtId="49" fontId="5" fillId="0" borderId="1" xfId="3" applyNumberFormat="1" applyFont="1" applyBorder="1" applyAlignment="1">
      <alignment horizontal="center" vertical="center"/>
    </xf>
    <xf numFmtId="49" fontId="5" fillId="2" borderId="1" xfId="3" applyNumberFormat="1" applyFont="1" applyFill="1" applyBorder="1" applyAlignment="1">
      <alignment horizontal="center" vertical="center"/>
    </xf>
    <xf numFmtId="49" fontId="5" fillId="2" borderId="0" xfId="3" applyNumberFormat="1" applyFont="1" applyFill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41" fontId="5" fillId="0" borderId="11" xfId="1" applyFont="1" applyFill="1" applyBorder="1" applyAlignment="1">
      <alignment vertical="center"/>
    </xf>
    <xf numFmtId="0" fontId="5" fillId="0" borderId="12" xfId="0" quotePrefix="1" applyFont="1" applyBorder="1" applyAlignment="1">
      <alignment horizontal="center" vertical="center"/>
    </xf>
    <xf numFmtId="0" fontId="5" fillId="2" borderId="120" xfId="0" applyFont="1" applyFill="1" applyBorder="1" applyAlignment="1">
      <alignment horizontal="center" vertical="center"/>
    </xf>
    <xf numFmtId="41" fontId="5" fillId="0" borderId="118" xfId="1" applyFont="1" applyFill="1" applyBorder="1" applyAlignment="1">
      <alignment vertical="center"/>
    </xf>
    <xf numFmtId="0" fontId="5" fillId="0" borderId="15" xfId="0" applyFont="1" applyBorder="1" applyAlignment="1">
      <alignment horizontal="center" vertical="center"/>
    </xf>
    <xf numFmtId="41" fontId="5" fillId="0" borderId="14" xfId="1" applyFont="1" applyFill="1" applyBorder="1" applyAlignment="1">
      <alignment vertical="center"/>
    </xf>
    <xf numFmtId="0" fontId="5" fillId="2" borderId="118" xfId="1" applyNumberFormat="1" applyFont="1" applyFill="1" applyBorder="1" applyAlignment="1">
      <alignment horizontal="center" vertical="center"/>
    </xf>
    <xf numFmtId="0" fontId="5" fillId="0" borderId="117" xfId="0" applyFont="1" applyBorder="1" applyAlignment="1">
      <alignment horizontal="center" vertical="center"/>
    </xf>
    <xf numFmtId="41" fontId="5" fillId="0" borderId="65" xfId="1" applyFont="1" applyFill="1" applyBorder="1" applyAlignment="1">
      <alignment vertical="center"/>
    </xf>
    <xf numFmtId="0" fontId="5" fillId="2" borderId="105" xfId="0" applyFont="1" applyFill="1" applyBorder="1" applyAlignment="1">
      <alignment horizontal="center" vertical="center"/>
    </xf>
    <xf numFmtId="41" fontId="5" fillId="2" borderId="104" xfId="1" applyFont="1" applyFill="1" applyBorder="1" applyAlignment="1">
      <alignment vertical="center"/>
    </xf>
    <xf numFmtId="41" fontId="5" fillId="2" borderId="11" xfId="1" applyFont="1" applyFill="1" applyBorder="1" applyAlignment="1">
      <alignment vertical="center"/>
    </xf>
    <xf numFmtId="0" fontId="5" fillId="2" borderId="117" xfId="0" applyFont="1" applyFill="1" applyBorder="1" applyAlignment="1">
      <alignment horizontal="center" vertical="center"/>
    </xf>
    <xf numFmtId="41" fontId="5" fillId="2" borderId="118" xfId="1" applyFont="1" applyFill="1" applyBorder="1" applyAlignment="1">
      <alignment vertical="center"/>
    </xf>
    <xf numFmtId="0" fontId="5" fillId="2" borderId="66" xfId="0" applyFont="1" applyFill="1" applyBorder="1" applyAlignment="1">
      <alignment horizontal="center" vertical="center"/>
    </xf>
    <xf numFmtId="41" fontId="5" fillId="2" borderId="65" xfId="1" applyFont="1" applyFill="1" applyBorder="1" applyAlignment="1">
      <alignment vertical="center"/>
    </xf>
    <xf numFmtId="0" fontId="5" fillId="2" borderId="85" xfId="1" applyNumberFormat="1" applyFont="1" applyFill="1" applyBorder="1" applyAlignment="1">
      <alignment horizontal="center" vertical="center"/>
    </xf>
    <xf numFmtId="0" fontId="5" fillId="2" borderId="12" xfId="0" quotePrefix="1" applyFont="1" applyFill="1" applyBorder="1" applyAlignment="1">
      <alignment horizontal="center" vertical="center"/>
    </xf>
    <xf numFmtId="41" fontId="5" fillId="2" borderId="14" xfId="1" applyFont="1" applyFill="1" applyBorder="1" applyAlignment="1">
      <alignment vertical="center"/>
    </xf>
    <xf numFmtId="0" fontId="5" fillId="2" borderId="69" xfId="0" quotePrefix="1" applyFont="1" applyFill="1" applyBorder="1" applyAlignment="1">
      <alignment horizontal="center" vertical="center"/>
    </xf>
    <xf numFmtId="41" fontId="5" fillId="2" borderId="68" xfId="1" applyFont="1" applyFill="1" applyBorder="1" applyAlignment="1">
      <alignment vertical="center"/>
    </xf>
    <xf numFmtId="41" fontId="5" fillId="2" borderId="16" xfId="1" applyFont="1" applyFill="1" applyBorder="1" applyAlignment="1">
      <alignment vertical="center"/>
    </xf>
    <xf numFmtId="0" fontId="5" fillId="0" borderId="66" xfId="0" applyFont="1" applyBorder="1" applyAlignment="1">
      <alignment horizontal="center" vertical="center"/>
    </xf>
    <xf numFmtId="0" fontId="5" fillId="2" borderId="77" xfId="1" applyNumberFormat="1" applyFont="1" applyFill="1" applyBorder="1" applyAlignment="1">
      <alignment horizontal="center" vertical="center" wrapText="1"/>
    </xf>
    <xf numFmtId="0" fontId="5" fillId="2" borderId="105" xfId="0" quotePrefix="1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8" xfId="1" applyNumberFormat="1" applyFont="1" applyFill="1" applyBorder="1" applyAlignment="1">
      <alignment horizontal="center" vertical="center"/>
    </xf>
    <xf numFmtId="0" fontId="5" fillId="2" borderId="86" xfId="0" quotePrefix="1" applyFont="1" applyFill="1" applyBorder="1" applyAlignment="1">
      <alignment horizontal="center" vertical="center"/>
    </xf>
    <xf numFmtId="41" fontId="5" fillId="2" borderId="28" xfId="1" applyFont="1" applyFill="1" applyBorder="1" applyAlignment="1">
      <alignment vertical="center"/>
    </xf>
    <xf numFmtId="0" fontId="5" fillId="3" borderId="117" xfId="0" applyFont="1" applyFill="1" applyBorder="1" applyAlignment="1">
      <alignment horizontal="center" vertical="center"/>
    </xf>
    <xf numFmtId="41" fontId="5" fillId="3" borderId="118" xfId="1" applyFont="1" applyFill="1" applyBorder="1" applyAlignment="1">
      <alignment vertical="center"/>
    </xf>
    <xf numFmtId="0" fontId="5" fillId="2" borderId="87" xfId="0" applyFont="1" applyFill="1" applyBorder="1" applyAlignment="1">
      <alignment horizontal="center" vertical="center"/>
    </xf>
    <xf numFmtId="0" fontId="5" fillId="3" borderId="12" xfId="0" quotePrefix="1" applyFont="1" applyFill="1" applyBorder="1" applyAlignment="1">
      <alignment horizontal="center" vertical="center"/>
    </xf>
    <xf numFmtId="41" fontId="5" fillId="3" borderId="11" xfId="1" applyFont="1" applyFill="1" applyBorder="1" applyAlignment="1">
      <alignment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66" xfId="0" applyFont="1" applyFill="1" applyBorder="1" applyAlignment="1">
      <alignment horizontal="center" vertical="center"/>
    </xf>
    <xf numFmtId="41" fontId="5" fillId="3" borderId="65" xfId="1" applyFont="1" applyFill="1" applyBorder="1" applyAlignment="1">
      <alignment vertical="center"/>
    </xf>
    <xf numFmtId="182" fontId="5" fillId="2" borderId="12" xfId="0" quotePrefix="1" applyNumberFormat="1" applyFont="1" applyFill="1" applyBorder="1" applyAlignment="1">
      <alignment horizontal="center" vertical="center"/>
    </xf>
    <xf numFmtId="0" fontId="5" fillId="2" borderId="25" xfId="0" quotePrefix="1" applyFont="1" applyFill="1" applyBorder="1" applyAlignment="1">
      <alignment horizontal="center" vertical="center"/>
    </xf>
    <xf numFmtId="0" fontId="5" fillId="2" borderId="0" xfId="0" quotePrefix="1" applyFont="1" applyFill="1" applyAlignment="1">
      <alignment horizontal="center" vertical="center"/>
    </xf>
    <xf numFmtId="0" fontId="5" fillId="2" borderId="72" xfId="0" applyFont="1" applyFill="1" applyBorder="1" applyAlignment="1">
      <alignment horizontal="center" vertical="center"/>
    </xf>
    <xf numFmtId="0" fontId="5" fillId="2" borderId="122" xfId="1" applyNumberFormat="1" applyFont="1" applyFill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41" fontId="5" fillId="2" borderId="122" xfId="1" applyFont="1" applyFill="1" applyBorder="1" applyAlignment="1">
      <alignment vertical="center"/>
    </xf>
    <xf numFmtId="41" fontId="5" fillId="0" borderId="11" xfId="1" applyFont="1" applyBorder="1" applyAlignment="1">
      <alignment vertical="center"/>
    </xf>
    <xf numFmtId="0" fontId="5" fillId="3" borderId="0" xfId="0" applyFont="1" applyFill="1" applyAlignment="1">
      <alignment horizontal="center" vertical="center"/>
    </xf>
    <xf numFmtId="0" fontId="5" fillId="2" borderId="117" xfId="0" quotePrefix="1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68" xfId="0" applyFont="1" applyFill="1" applyBorder="1" applyAlignment="1">
      <alignment vertical="center" readingOrder="1"/>
    </xf>
    <xf numFmtId="41" fontId="5" fillId="0" borderId="118" xfId="1" applyFont="1" applyBorder="1" applyAlignment="1">
      <alignment vertical="center"/>
    </xf>
    <xf numFmtId="0" fontId="5" fillId="3" borderId="17" xfId="0" applyFont="1" applyFill="1" applyBorder="1" applyAlignment="1">
      <alignment horizontal="center" vertical="center"/>
    </xf>
    <xf numFmtId="41" fontId="5" fillId="3" borderId="16" xfId="1" applyFont="1" applyFill="1" applyBorder="1" applyAlignment="1">
      <alignment vertical="center"/>
    </xf>
    <xf numFmtId="0" fontId="5" fillId="2" borderId="73" xfId="0" applyFont="1" applyFill="1" applyBorder="1" applyAlignment="1">
      <alignment horizontal="center" vertical="center"/>
    </xf>
    <xf numFmtId="0" fontId="5" fillId="2" borderId="118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2" borderId="116" xfId="1" applyNumberFormat="1" applyFont="1" applyFill="1" applyBorder="1" applyAlignment="1">
      <alignment horizontal="center" vertical="center"/>
    </xf>
    <xf numFmtId="49" fontId="5" fillId="2" borderId="119" xfId="0" quotePrefix="1" applyNumberFormat="1" applyFont="1" applyFill="1" applyBorder="1" applyAlignment="1">
      <alignment horizontal="center" vertical="center"/>
    </xf>
    <xf numFmtId="41" fontId="5" fillId="2" borderId="116" xfId="1" applyFont="1" applyFill="1" applyBorder="1" applyAlignment="1">
      <alignment vertical="center"/>
    </xf>
    <xf numFmtId="182" fontId="5" fillId="2" borderId="119" xfId="0" quotePrefix="1" applyNumberFormat="1" applyFont="1" applyFill="1" applyBorder="1" applyAlignment="1">
      <alignment horizontal="center" vertical="center"/>
    </xf>
    <xf numFmtId="41" fontId="5" fillId="2" borderId="20" xfId="1" applyFont="1" applyFill="1" applyBorder="1" applyAlignment="1">
      <alignment vertical="center"/>
    </xf>
    <xf numFmtId="0" fontId="5" fillId="2" borderId="119" xfId="0" applyFont="1" applyFill="1" applyBorder="1" applyAlignment="1">
      <alignment horizontal="center" vertical="center"/>
    </xf>
    <xf numFmtId="0" fontId="5" fillId="2" borderId="145" xfId="0" applyFont="1" applyFill="1" applyBorder="1" applyAlignment="1">
      <alignment horizontal="center" vertical="center"/>
    </xf>
    <xf numFmtId="0" fontId="5" fillId="2" borderId="146" xfId="0" applyFont="1" applyFill="1" applyBorder="1" applyAlignment="1">
      <alignment horizontal="center" vertical="center"/>
    </xf>
    <xf numFmtId="0" fontId="5" fillId="2" borderId="83" xfId="1" applyNumberFormat="1" applyFont="1" applyFill="1" applyBorder="1" applyAlignment="1">
      <alignment horizontal="center" vertical="center"/>
    </xf>
    <xf numFmtId="0" fontId="5" fillId="2" borderId="84" xfId="0" applyFont="1" applyFill="1" applyBorder="1" applyAlignment="1">
      <alignment horizontal="center" vertical="center"/>
    </xf>
    <xf numFmtId="41" fontId="5" fillId="2" borderId="83" xfId="1" applyFont="1" applyFill="1" applyBorder="1" applyAlignment="1">
      <alignment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89" xfId="0" applyFont="1" applyFill="1" applyBorder="1" applyAlignment="1">
      <alignment horizontal="center" vertical="center"/>
    </xf>
    <xf numFmtId="0" fontId="5" fillId="2" borderId="90" xfId="0" applyFont="1" applyFill="1" applyBorder="1" applyAlignment="1">
      <alignment horizontal="center" vertical="center"/>
    </xf>
    <xf numFmtId="41" fontId="5" fillId="2" borderId="147" xfId="1" applyFont="1" applyFill="1" applyBorder="1" applyAlignment="1">
      <alignment vertical="center"/>
    </xf>
    <xf numFmtId="41" fontId="5" fillId="2" borderId="76" xfId="1" applyFont="1" applyFill="1" applyBorder="1" applyAlignment="1">
      <alignment vertical="center"/>
    </xf>
    <xf numFmtId="0" fontId="5" fillId="0" borderId="81" xfId="0" applyFont="1" applyBorder="1" applyAlignment="1">
      <alignment horizontal="center" vertical="center"/>
    </xf>
    <xf numFmtId="0" fontId="5" fillId="0" borderId="74" xfId="1" applyNumberFormat="1" applyFont="1" applyFill="1" applyBorder="1" applyAlignment="1">
      <alignment horizontal="center" vertical="center"/>
    </xf>
    <xf numFmtId="0" fontId="5" fillId="2" borderId="75" xfId="0" applyFont="1" applyFill="1" applyBorder="1" applyAlignment="1">
      <alignment horizontal="center" vertical="center"/>
    </xf>
    <xf numFmtId="41" fontId="5" fillId="2" borderId="74" xfId="1" applyFont="1" applyFill="1" applyBorder="1" applyAlignment="1">
      <alignment vertical="center"/>
    </xf>
    <xf numFmtId="0" fontId="5" fillId="2" borderId="34" xfId="0" applyFont="1" applyFill="1" applyBorder="1" applyAlignment="1">
      <alignment horizontal="center" vertical="center"/>
    </xf>
    <xf numFmtId="0" fontId="5" fillId="2" borderId="35" xfId="1" applyNumberFormat="1" applyFont="1" applyFill="1" applyBorder="1" applyAlignment="1">
      <alignment horizontal="center" vertical="center"/>
    </xf>
    <xf numFmtId="0" fontId="5" fillId="2" borderId="36" xfId="0" applyFont="1" applyFill="1" applyBorder="1" applyAlignment="1">
      <alignment horizontal="center" vertical="center"/>
    </xf>
    <xf numFmtId="41" fontId="5" fillId="2" borderId="35" xfId="1" applyFont="1" applyFill="1" applyBorder="1" applyAlignment="1">
      <alignment vertical="center"/>
    </xf>
    <xf numFmtId="0" fontId="5" fillId="2" borderId="91" xfId="0" applyFont="1" applyFill="1" applyBorder="1" applyAlignment="1">
      <alignment horizontal="center" vertical="center"/>
    </xf>
    <xf numFmtId="0" fontId="5" fillId="2" borderId="76" xfId="1" applyNumberFormat="1" applyFont="1" applyFill="1" applyBorder="1" applyAlignment="1">
      <alignment horizontal="center" vertical="center"/>
    </xf>
    <xf numFmtId="0" fontId="5" fillId="2" borderId="81" xfId="0" applyFont="1" applyFill="1" applyBorder="1" applyAlignment="1">
      <alignment horizontal="center" vertical="center"/>
    </xf>
    <xf numFmtId="0" fontId="5" fillId="2" borderId="74" xfId="1" applyNumberFormat="1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0" fontId="5" fillId="2" borderId="32" xfId="1" applyNumberFormat="1" applyFont="1" applyFill="1" applyBorder="1" applyAlignment="1">
      <alignment horizontal="center" vertical="center"/>
    </xf>
    <xf numFmtId="0" fontId="5" fillId="2" borderId="44" xfId="0" applyFont="1" applyFill="1" applyBorder="1" applyAlignment="1">
      <alignment horizontal="center" vertical="center"/>
    </xf>
    <xf numFmtId="41" fontId="5" fillId="2" borderId="32" xfId="1" applyFont="1" applyFill="1" applyBorder="1" applyAlignment="1">
      <alignment vertical="center"/>
    </xf>
    <xf numFmtId="0" fontId="5" fillId="2" borderId="83" xfId="0" applyFont="1" applyFill="1" applyBorder="1" applyAlignment="1">
      <alignment horizontal="center" vertical="center"/>
    </xf>
    <xf numFmtId="0" fontId="5" fillId="2" borderId="30" xfId="1" applyNumberFormat="1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24" xfId="1" applyNumberFormat="1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92" xfId="1" applyNumberFormat="1" applyFont="1" applyFill="1" applyBorder="1" applyAlignment="1">
      <alignment horizontal="center" vertical="center"/>
    </xf>
    <xf numFmtId="0" fontId="5" fillId="2" borderId="92" xfId="0" applyFont="1" applyFill="1" applyBorder="1" applyAlignment="1">
      <alignment horizontal="center" vertical="center"/>
    </xf>
    <xf numFmtId="0" fontId="5" fillId="2" borderId="93" xfId="1" applyNumberFormat="1" applyFont="1" applyFill="1" applyBorder="1" applyAlignment="1">
      <alignment horizontal="center" vertical="center"/>
    </xf>
    <xf numFmtId="0" fontId="5" fillId="2" borderId="93" xfId="0" applyFont="1" applyFill="1" applyBorder="1" applyAlignment="1">
      <alignment horizontal="center" vertical="center"/>
    </xf>
    <xf numFmtId="0" fontId="5" fillId="2" borderId="94" xfId="1" applyNumberFormat="1" applyFont="1" applyFill="1" applyBorder="1" applyAlignment="1">
      <alignment horizontal="center" vertical="center"/>
    </xf>
    <xf numFmtId="0" fontId="5" fillId="2" borderId="94" xfId="0" applyFont="1" applyFill="1" applyBorder="1" applyAlignment="1">
      <alignment horizontal="center" vertical="center"/>
    </xf>
    <xf numFmtId="49" fontId="5" fillId="2" borderId="84" xfId="0" applyNumberFormat="1" applyFont="1" applyFill="1" applyBorder="1" applyAlignment="1">
      <alignment horizontal="center" vertical="center"/>
    </xf>
    <xf numFmtId="17" fontId="5" fillId="2" borderId="11" xfId="0" applyNumberFormat="1" applyFont="1" applyFill="1" applyBorder="1" applyAlignment="1">
      <alignment horizontal="center" vertical="center"/>
    </xf>
    <xf numFmtId="41" fontId="5" fillId="2" borderId="11" xfId="1" applyFont="1" applyFill="1" applyBorder="1" applyAlignment="1">
      <alignment horizontal="center" vertical="center"/>
    </xf>
    <xf numFmtId="0" fontId="5" fillId="2" borderId="82" xfId="0" applyFont="1" applyFill="1" applyBorder="1" applyAlignment="1">
      <alignment horizontal="center" vertical="center"/>
    </xf>
    <xf numFmtId="0" fontId="5" fillId="2" borderId="95" xfId="0" applyFont="1" applyFill="1" applyBorder="1" applyAlignment="1">
      <alignment horizontal="center" vertical="center"/>
    </xf>
    <xf numFmtId="0" fontId="5" fillId="2" borderId="106" xfId="1" applyNumberFormat="1" applyFont="1" applyFill="1" applyBorder="1" applyAlignment="1">
      <alignment horizontal="center" vertical="center"/>
    </xf>
    <xf numFmtId="0" fontId="5" fillId="2" borderId="96" xfId="1" applyNumberFormat="1" applyFont="1" applyFill="1" applyBorder="1" applyAlignment="1">
      <alignment horizontal="center" vertical="center"/>
    </xf>
    <xf numFmtId="0" fontId="5" fillId="2" borderId="106" xfId="0" applyFont="1" applyFill="1" applyBorder="1" applyAlignment="1">
      <alignment horizontal="center" vertical="center" shrinkToFit="1"/>
    </xf>
    <xf numFmtId="0" fontId="5" fillId="2" borderId="10" xfId="1" applyNumberFormat="1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 shrinkToFit="1"/>
    </xf>
    <xf numFmtId="0" fontId="5" fillId="2" borderId="82" xfId="1" applyNumberFormat="1" applyFont="1" applyFill="1" applyBorder="1" applyAlignment="1">
      <alignment horizontal="center" vertical="center"/>
    </xf>
    <xf numFmtId="0" fontId="5" fillId="2" borderId="82" xfId="0" applyFont="1" applyFill="1" applyBorder="1" applyAlignment="1">
      <alignment horizontal="center" vertical="center" shrinkToFit="1"/>
    </xf>
    <xf numFmtId="0" fontId="5" fillId="2" borderId="67" xfId="1" applyNumberFormat="1" applyFont="1" applyFill="1" applyBorder="1" applyAlignment="1">
      <alignment horizontal="center" vertical="center"/>
    </xf>
    <xf numFmtId="0" fontId="5" fillId="2" borderId="97" xfId="0" applyFont="1" applyFill="1" applyBorder="1" applyAlignment="1">
      <alignment horizontal="center" vertical="center"/>
    </xf>
    <xf numFmtId="0" fontId="5" fillId="2" borderId="67" xfId="0" applyFont="1" applyFill="1" applyBorder="1" applyAlignment="1">
      <alignment horizontal="center" vertical="center" shrinkToFit="1"/>
    </xf>
    <xf numFmtId="0" fontId="5" fillId="2" borderId="12" xfId="0" applyFont="1" applyFill="1" applyBorder="1" applyAlignment="1">
      <alignment horizontal="center" vertical="center" shrinkToFit="1"/>
    </xf>
    <xf numFmtId="0" fontId="5" fillId="2" borderId="84" xfId="0" applyFont="1" applyFill="1" applyBorder="1" applyAlignment="1">
      <alignment horizontal="center" vertical="center" shrinkToFit="1"/>
    </xf>
    <xf numFmtId="0" fontId="5" fillId="3" borderId="12" xfId="0" applyFont="1" applyFill="1" applyBorder="1" applyAlignment="1">
      <alignment horizontal="center" vertical="center" shrinkToFit="1"/>
    </xf>
    <xf numFmtId="0" fontId="5" fillId="3" borderId="84" xfId="0" applyFont="1" applyFill="1" applyBorder="1" applyAlignment="1">
      <alignment horizontal="center" vertical="center" shrinkToFit="1"/>
    </xf>
    <xf numFmtId="41" fontId="5" fillId="3" borderId="83" xfId="1" applyFont="1" applyFill="1" applyBorder="1" applyAlignment="1">
      <alignment vertical="center"/>
    </xf>
    <xf numFmtId="0" fontId="5" fillId="2" borderId="11" xfId="0" applyFont="1" applyFill="1" applyBorder="1" applyAlignment="1">
      <alignment horizontal="center" vertical="center" shrinkToFit="1"/>
    </xf>
    <xf numFmtId="0" fontId="5" fillId="2" borderId="68" xfId="0" applyFont="1" applyFill="1" applyBorder="1" applyAlignment="1">
      <alignment horizontal="center" vertical="center" shrinkToFit="1"/>
    </xf>
    <xf numFmtId="0" fontId="5" fillId="2" borderId="70" xfId="0" applyFont="1" applyFill="1" applyBorder="1" applyAlignment="1">
      <alignment horizontal="center" vertical="center"/>
    </xf>
    <xf numFmtId="0" fontId="5" fillId="2" borderId="66" xfId="0" applyFont="1" applyFill="1" applyBorder="1" applyAlignment="1">
      <alignment horizontal="center" vertical="center" shrinkToFit="1"/>
    </xf>
    <xf numFmtId="0" fontId="5" fillId="2" borderId="105" xfId="0" applyFont="1" applyFill="1" applyBorder="1" applyAlignment="1">
      <alignment horizontal="center" vertical="center" shrinkToFit="1"/>
    </xf>
    <xf numFmtId="0" fontId="5" fillId="2" borderId="148" xfId="0" applyFont="1" applyFill="1" applyBorder="1" applyAlignment="1">
      <alignment horizontal="center" vertical="center" shrinkToFit="1"/>
    </xf>
    <xf numFmtId="0" fontId="5" fillId="3" borderId="84" xfId="0" applyFont="1" applyFill="1" applyBorder="1" applyAlignment="1">
      <alignment horizontal="center" vertical="center"/>
    </xf>
    <xf numFmtId="0" fontId="5" fillId="2" borderId="98" xfId="1" applyNumberFormat="1" applyFont="1" applyFill="1" applyBorder="1" applyAlignment="1">
      <alignment horizontal="center" vertical="center"/>
    </xf>
    <xf numFmtId="0" fontId="5" fillId="2" borderId="99" xfId="0" applyFont="1" applyFill="1" applyBorder="1" applyAlignment="1">
      <alignment horizontal="center" vertical="center"/>
    </xf>
    <xf numFmtId="41" fontId="5" fillId="2" borderId="98" xfId="1" applyFont="1" applyFill="1" applyBorder="1" applyAlignment="1">
      <alignment vertical="center"/>
    </xf>
    <xf numFmtId="0" fontId="5" fillId="2" borderId="100" xfId="0" applyFont="1" applyFill="1" applyBorder="1" applyAlignment="1">
      <alignment horizontal="center" vertical="center"/>
    </xf>
    <xf numFmtId="0" fontId="5" fillId="2" borderId="38" xfId="1" applyNumberFormat="1" applyFont="1" applyFill="1" applyBorder="1" applyAlignment="1">
      <alignment horizontal="center" vertical="center"/>
    </xf>
    <xf numFmtId="0" fontId="5" fillId="2" borderId="101" xfId="0" applyFont="1" applyFill="1" applyBorder="1" applyAlignment="1">
      <alignment horizontal="center" vertical="center"/>
    </xf>
    <xf numFmtId="41" fontId="5" fillId="2" borderId="38" xfId="1" applyFont="1" applyFill="1" applyBorder="1" applyAlignment="1">
      <alignment vertical="center"/>
    </xf>
    <xf numFmtId="0" fontId="5" fillId="2" borderId="104" xfId="0" applyFont="1" applyFill="1" applyBorder="1" applyAlignment="1">
      <alignment horizontal="center" vertical="center"/>
    </xf>
    <xf numFmtId="0" fontId="5" fillId="2" borderId="65" xfId="0" applyFont="1" applyFill="1" applyBorder="1" applyAlignment="1">
      <alignment horizontal="center" vertical="center"/>
    </xf>
    <xf numFmtId="0" fontId="5" fillId="2" borderId="103" xfId="0" applyFont="1" applyFill="1" applyBorder="1" applyAlignment="1">
      <alignment horizontal="center" vertical="center"/>
    </xf>
    <xf numFmtId="0" fontId="5" fillId="3" borderId="99" xfId="0" applyFont="1" applyFill="1" applyBorder="1" applyAlignment="1">
      <alignment horizontal="center" vertical="center" shrinkToFit="1"/>
    </xf>
    <xf numFmtId="41" fontId="5" fillId="3" borderId="98" xfId="1" applyFont="1" applyFill="1" applyBorder="1" applyAlignment="1">
      <alignment vertical="center"/>
    </xf>
    <xf numFmtId="0" fontId="5" fillId="3" borderId="105" xfId="0" applyFont="1" applyFill="1" applyBorder="1" applyAlignment="1">
      <alignment horizontal="center" vertical="center"/>
    </xf>
    <xf numFmtId="41" fontId="5" fillId="3" borderId="104" xfId="1" applyFont="1" applyFill="1" applyBorder="1" applyAlignment="1">
      <alignment vertical="center"/>
    </xf>
    <xf numFmtId="0" fontId="5" fillId="3" borderId="15" xfId="0" applyFont="1" applyFill="1" applyBorder="1" applyAlignment="1">
      <alignment horizontal="center" vertical="center"/>
    </xf>
    <xf numFmtId="41" fontId="5" fillId="3" borderId="14" xfId="1" applyFont="1" applyFill="1" applyBorder="1" applyAlignment="1">
      <alignment vertical="center"/>
    </xf>
    <xf numFmtId="41" fontId="5" fillId="0" borderId="104" xfId="1" applyFont="1" applyBorder="1" applyAlignment="1">
      <alignment vertical="center"/>
    </xf>
    <xf numFmtId="41" fontId="5" fillId="0" borderId="14" xfId="1" applyFont="1" applyBorder="1" applyAlignment="1">
      <alignment vertical="center"/>
    </xf>
    <xf numFmtId="49" fontId="5" fillId="3" borderId="83" xfId="0" applyNumberFormat="1" applyFont="1" applyFill="1" applyBorder="1" applyAlignment="1">
      <alignment horizontal="center" vertical="center"/>
    </xf>
    <xf numFmtId="41" fontId="5" fillId="0" borderId="65" xfId="1" applyFont="1" applyBorder="1" applyAlignment="1">
      <alignment vertical="center"/>
    </xf>
    <xf numFmtId="49" fontId="5" fillId="3" borderId="104" xfId="0" applyNumberFormat="1" applyFont="1" applyFill="1" applyBorder="1" applyAlignment="1">
      <alignment horizontal="center" vertical="center"/>
    </xf>
    <xf numFmtId="41" fontId="5" fillId="3" borderId="68" xfId="1" applyFont="1" applyFill="1" applyBorder="1" applyAlignment="1">
      <alignment vertical="center"/>
    </xf>
    <xf numFmtId="0" fontId="5" fillId="2" borderId="84" xfId="0" quotePrefix="1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41" fontId="5" fillId="3" borderId="20" xfId="1" applyFont="1" applyFill="1" applyBorder="1" applyAlignment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1" xfId="0" quotePrefix="1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65" xfId="0" quotePrefix="1" applyFont="1" applyFill="1" applyBorder="1" applyAlignment="1">
      <alignment horizontal="center" vertical="center"/>
    </xf>
    <xf numFmtId="0" fontId="5" fillId="0" borderId="105" xfId="0" applyFont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 wrapText="1"/>
    </xf>
    <xf numFmtId="0" fontId="30" fillId="0" borderId="45" xfId="0" applyFont="1" applyBorder="1" applyAlignment="1">
      <alignment horizontal="center" vertical="center" wrapText="1"/>
    </xf>
    <xf numFmtId="0" fontId="5" fillId="3" borderId="88" xfId="0" applyFont="1" applyFill="1" applyBorder="1" applyAlignment="1">
      <alignment horizontal="center" vertical="center"/>
    </xf>
    <xf numFmtId="41" fontId="5" fillId="3" borderId="76" xfId="1" applyFont="1" applyFill="1" applyBorder="1" applyAlignment="1">
      <alignment vertical="center"/>
    </xf>
    <xf numFmtId="0" fontId="5" fillId="3" borderId="112" xfId="0" applyFont="1" applyFill="1" applyBorder="1" applyAlignment="1">
      <alignment horizontal="center" vertical="center"/>
    </xf>
    <xf numFmtId="41" fontId="5" fillId="3" borderId="111" xfId="1" applyFont="1" applyFill="1" applyBorder="1" applyAlignment="1">
      <alignment vertical="center"/>
    </xf>
    <xf numFmtId="0" fontId="5" fillId="2" borderId="98" xfId="0" applyFont="1" applyFill="1" applyBorder="1" applyAlignment="1">
      <alignment horizontal="center" vertical="center"/>
    </xf>
    <xf numFmtId="9" fontId="5" fillId="2" borderId="98" xfId="2" applyFont="1" applyFill="1" applyBorder="1" applyAlignment="1">
      <alignment vertical="center"/>
    </xf>
    <xf numFmtId="9" fontId="5" fillId="2" borderId="11" xfId="2" applyFont="1" applyFill="1" applyBorder="1" applyAlignment="1">
      <alignment vertical="center"/>
    </xf>
    <xf numFmtId="0" fontId="5" fillId="2" borderId="20" xfId="0" applyFont="1" applyFill="1" applyBorder="1" applyAlignment="1">
      <alignment horizontal="center" vertical="center"/>
    </xf>
    <xf numFmtId="9" fontId="5" fillId="2" borderId="20" xfId="2" applyFont="1" applyFill="1" applyBorder="1" applyAlignment="1">
      <alignment vertical="center"/>
    </xf>
    <xf numFmtId="0" fontId="5" fillId="2" borderId="20" xfId="0" quotePrefix="1" applyFont="1" applyFill="1" applyBorder="1" applyAlignment="1">
      <alignment horizontal="center" vertical="center"/>
    </xf>
    <xf numFmtId="41" fontId="5" fillId="2" borderId="20" xfId="1" applyFont="1" applyFill="1" applyBorder="1" applyAlignment="1">
      <alignment horizontal="center" vertical="center"/>
    </xf>
    <xf numFmtId="0" fontId="5" fillId="2" borderId="11" xfId="0" quotePrefix="1" applyFont="1" applyFill="1" applyBorder="1" applyAlignment="1">
      <alignment horizontal="center" vertical="center"/>
    </xf>
    <xf numFmtId="0" fontId="5" fillId="3" borderId="83" xfId="0" quotePrefix="1" applyFont="1" applyFill="1" applyBorder="1" applyAlignment="1">
      <alignment horizontal="center" vertical="center"/>
    </xf>
    <xf numFmtId="41" fontId="5" fillId="3" borderId="83" xfId="1" applyFont="1" applyFill="1" applyBorder="1" applyAlignment="1">
      <alignment horizontal="center" vertical="center"/>
    </xf>
    <xf numFmtId="41" fontId="5" fillId="3" borderId="11" xfId="1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5" fillId="2" borderId="28" xfId="0" quotePrefix="1" applyFont="1" applyFill="1" applyBorder="1" applyAlignment="1">
      <alignment horizontal="center" vertical="center"/>
    </xf>
    <xf numFmtId="41" fontId="5" fillId="2" borderId="14" xfId="1" applyFont="1" applyFill="1" applyBorder="1" applyAlignment="1">
      <alignment horizontal="center" vertical="center"/>
    </xf>
    <xf numFmtId="0" fontId="5" fillId="3" borderId="68" xfId="0" quotePrefix="1" applyFont="1" applyFill="1" applyBorder="1" applyAlignment="1">
      <alignment horizontal="center" vertical="center"/>
    </xf>
    <xf numFmtId="41" fontId="5" fillId="3" borderId="68" xfId="1" applyFont="1" applyFill="1" applyBorder="1" applyAlignment="1">
      <alignment horizontal="center" vertical="center"/>
    </xf>
    <xf numFmtId="0" fontId="5" fillId="0" borderId="99" xfId="0" quotePrefix="1" applyFont="1" applyBorder="1" applyAlignment="1">
      <alignment horizontal="center" vertical="center"/>
    </xf>
    <xf numFmtId="41" fontId="5" fillId="0" borderId="98" xfId="1" applyFont="1" applyFill="1" applyBorder="1" applyAlignment="1">
      <alignment vertical="center"/>
    </xf>
    <xf numFmtId="0" fontId="5" fillId="0" borderId="88" xfId="0" quotePrefix="1" applyFont="1" applyBorder="1" applyAlignment="1">
      <alignment horizontal="center" vertical="center"/>
    </xf>
    <xf numFmtId="41" fontId="5" fillId="0" borderId="76" xfId="1" applyFont="1" applyFill="1" applyBorder="1" applyAlignment="1">
      <alignment vertical="center"/>
    </xf>
    <xf numFmtId="182" fontId="5" fillId="0" borderId="11" xfId="0" quotePrefix="1" applyNumberFormat="1" applyFont="1" applyBorder="1" applyAlignment="1">
      <alignment horizontal="center" vertical="center"/>
    </xf>
    <xf numFmtId="0" fontId="5" fillId="0" borderId="11" xfId="0" quotePrefix="1" applyFont="1" applyBorder="1" applyAlignment="1">
      <alignment horizontal="center" vertical="center"/>
    </xf>
    <xf numFmtId="0" fontId="5" fillId="0" borderId="83" xfId="0" quotePrefix="1" applyFont="1" applyBorder="1" applyAlignment="1">
      <alignment horizontal="center" vertical="center"/>
    </xf>
    <xf numFmtId="41" fontId="5" fillId="0" borderId="83" xfId="1" applyFont="1" applyFill="1" applyBorder="1" applyAlignment="1">
      <alignment vertical="center"/>
    </xf>
    <xf numFmtId="0" fontId="5" fillId="0" borderId="0" xfId="0" applyFont="1" applyAlignment="1">
      <alignment horizontal="center"/>
    </xf>
    <xf numFmtId="0" fontId="5" fillId="0" borderId="149" xfId="0" applyFont="1" applyBorder="1" applyAlignment="1">
      <alignment horizontal="center"/>
    </xf>
    <xf numFmtId="41" fontId="5" fillId="2" borderId="150" xfId="1" applyFont="1" applyFill="1" applyBorder="1" applyAlignment="1">
      <alignment horizontal="center" vertical="center"/>
    </xf>
    <xf numFmtId="0" fontId="5" fillId="2" borderId="151" xfId="0" applyFont="1" applyFill="1" applyBorder="1" applyAlignment="1">
      <alignment horizontal="center" vertical="center" wrapText="1"/>
    </xf>
    <xf numFmtId="0" fontId="5" fillId="0" borderId="152" xfId="0" applyFont="1" applyBorder="1" applyAlignment="1">
      <alignment horizontal="center"/>
    </xf>
    <xf numFmtId="0" fontId="5" fillId="2" borderId="150" xfId="1" applyNumberFormat="1" applyFont="1" applyFill="1" applyBorder="1" applyAlignment="1">
      <alignment horizontal="center" vertical="center"/>
    </xf>
    <xf numFmtId="41" fontId="5" fillId="2" borderId="76" xfId="1" applyFont="1" applyFill="1" applyBorder="1" applyAlignment="1">
      <alignment horizontal="center" vertical="center"/>
    </xf>
    <xf numFmtId="0" fontId="5" fillId="2" borderId="15" xfId="0" quotePrefix="1" applyFont="1" applyFill="1" applyBorder="1" applyAlignment="1">
      <alignment horizontal="center" vertical="center"/>
    </xf>
    <xf numFmtId="41" fontId="5" fillId="2" borderId="83" xfId="1" applyFont="1" applyFill="1" applyBorder="1" applyAlignment="1">
      <alignment horizontal="center" vertical="center"/>
    </xf>
    <xf numFmtId="0" fontId="5" fillId="2" borderId="150" xfId="0" applyFont="1" applyFill="1" applyBorder="1" applyAlignment="1">
      <alignment horizontal="center" vertical="center"/>
    </xf>
    <xf numFmtId="3" fontId="5" fillId="2" borderId="150" xfId="1" applyNumberFormat="1" applyFont="1" applyFill="1" applyBorder="1" applyAlignment="1">
      <alignment horizontal="center" vertical="center"/>
    </xf>
    <xf numFmtId="0" fontId="5" fillId="2" borderId="150" xfId="0" applyFont="1" applyFill="1" applyBorder="1" applyAlignment="1">
      <alignment horizontal="center"/>
    </xf>
    <xf numFmtId="41" fontId="5" fillId="2" borderId="65" xfId="1" applyFont="1" applyFill="1" applyBorder="1" applyAlignment="1">
      <alignment horizontal="center" vertical="center"/>
    </xf>
    <xf numFmtId="41" fontId="5" fillId="2" borderId="150" xfId="1" applyFont="1" applyFill="1" applyBorder="1" applyAlignment="1">
      <alignment vertical="center"/>
    </xf>
    <xf numFmtId="41" fontId="5" fillId="3" borderId="150" xfId="1" applyFont="1" applyFill="1" applyBorder="1" applyAlignment="1">
      <alignment vertical="center"/>
    </xf>
    <xf numFmtId="41" fontId="5" fillId="0" borderId="150" xfId="1" applyFont="1" applyBorder="1" applyAlignment="1">
      <alignment vertical="center"/>
    </xf>
    <xf numFmtId="0" fontId="5" fillId="3" borderId="69" xfId="0" applyFont="1" applyFill="1" applyBorder="1" applyAlignment="1">
      <alignment horizontal="center" vertical="center"/>
    </xf>
    <xf numFmtId="0" fontId="5" fillId="0" borderId="99" xfId="0" applyFont="1" applyBorder="1" applyAlignment="1">
      <alignment horizontal="center" vertical="center"/>
    </xf>
    <xf numFmtId="41" fontId="5" fillId="0" borderId="98" xfId="1" applyFont="1" applyBorder="1" applyAlignment="1">
      <alignment vertical="center"/>
    </xf>
    <xf numFmtId="0" fontId="5" fillId="2" borderId="150" xfId="0" quotePrefix="1" applyFont="1" applyFill="1" applyBorder="1" applyAlignment="1">
      <alignment horizontal="center" vertical="center"/>
    </xf>
    <xf numFmtId="0" fontId="5" fillId="2" borderId="151" xfId="0" applyFont="1" applyFill="1" applyBorder="1" applyAlignment="1">
      <alignment horizontal="center" vertical="center"/>
    </xf>
    <xf numFmtId="2" fontId="5" fillId="2" borderId="150" xfId="0" applyNumberFormat="1" applyFont="1" applyFill="1" applyBorder="1" applyAlignment="1">
      <alignment horizontal="center" vertical="center"/>
    </xf>
    <xf numFmtId="2" fontId="5" fillId="2" borderId="14" xfId="0" applyNumberFormat="1" applyFont="1" applyFill="1" applyBorder="1" applyAlignment="1">
      <alignment horizontal="center" vertical="center"/>
    </xf>
    <xf numFmtId="2" fontId="5" fillId="2" borderId="116" xfId="0" applyNumberFormat="1" applyFont="1" applyFill="1" applyBorder="1" applyAlignment="1">
      <alignment horizontal="center" vertical="center"/>
    </xf>
    <xf numFmtId="0" fontId="5" fillId="2" borderId="117" xfId="1" applyNumberFormat="1" applyFont="1" applyFill="1" applyBorder="1" applyAlignment="1">
      <alignment horizontal="center" vertical="center"/>
    </xf>
    <xf numFmtId="2" fontId="5" fillId="2" borderId="118" xfId="0" applyNumberFormat="1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41" fontId="5" fillId="0" borderId="66" xfId="1" applyFont="1" applyBorder="1" applyAlignment="1">
      <alignment vertical="center"/>
    </xf>
    <xf numFmtId="0" fontId="5" fillId="2" borderId="153" xfId="1" applyNumberFormat="1" applyFont="1" applyFill="1" applyBorder="1" applyAlignment="1">
      <alignment horizontal="center" vertical="center"/>
    </xf>
    <xf numFmtId="0" fontId="5" fillId="2" borderId="154" xfId="0" applyFont="1" applyFill="1" applyBorder="1" applyAlignment="1">
      <alignment horizontal="center" vertical="center"/>
    </xf>
    <xf numFmtId="41" fontId="5" fillId="2" borderId="153" xfId="1" applyFont="1" applyFill="1" applyBorder="1" applyAlignment="1">
      <alignment vertical="center"/>
    </xf>
    <xf numFmtId="49" fontId="5" fillId="2" borderId="99" xfId="0" applyNumberFormat="1" applyFont="1" applyFill="1" applyBorder="1" applyAlignment="1">
      <alignment horizontal="center" vertical="center"/>
    </xf>
    <xf numFmtId="49" fontId="5" fillId="2" borderId="117" xfId="0" applyNumberFormat="1" applyFont="1" applyFill="1" applyBorder="1" applyAlignment="1">
      <alignment horizontal="center" vertical="center"/>
    </xf>
    <xf numFmtId="0" fontId="5" fillId="2" borderId="47" xfId="1" applyNumberFormat="1" applyFont="1" applyFill="1" applyBorder="1" applyAlignment="1">
      <alignment horizontal="center" vertical="center"/>
    </xf>
    <xf numFmtId="0" fontId="5" fillId="2" borderId="48" xfId="0" applyFont="1" applyFill="1" applyBorder="1" applyAlignment="1">
      <alignment horizontal="center" vertical="center"/>
    </xf>
    <xf numFmtId="41" fontId="5" fillId="2" borderId="47" xfId="1" applyFont="1" applyFill="1" applyBorder="1" applyAlignment="1">
      <alignment vertical="center"/>
    </xf>
    <xf numFmtId="0" fontId="5" fillId="2" borderId="12" xfId="0" applyFont="1" applyFill="1" applyBorder="1" applyAlignment="1">
      <alignment horizontal="center" vertical="center" wrapText="1" shrinkToFit="1"/>
    </xf>
    <xf numFmtId="41" fontId="5" fillId="2" borderId="150" xfId="1" applyFont="1" applyFill="1" applyBorder="1" applyAlignment="1">
      <alignment vertical="top"/>
    </xf>
    <xf numFmtId="41" fontId="5" fillId="2" borderId="118" xfId="1" applyFont="1" applyFill="1" applyBorder="1" applyAlignment="1">
      <alignment vertical="top"/>
    </xf>
    <xf numFmtId="0" fontId="5" fillId="2" borderId="117" xfId="0" applyFont="1" applyFill="1" applyBorder="1" applyAlignment="1">
      <alignment horizontal="center" vertical="center" wrapText="1" shrinkToFit="1"/>
    </xf>
    <xf numFmtId="0" fontId="5" fillId="2" borderId="155" xfId="6" applyFont="1" applyFill="1" applyBorder="1" applyAlignment="1">
      <alignment horizontal="center"/>
    </xf>
    <xf numFmtId="41" fontId="5" fillId="3" borderId="10" xfId="1" applyFont="1" applyFill="1" applyBorder="1" applyAlignment="1">
      <alignment vertical="center"/>
    </xf>
    <xf numFmtId="0" fontId="5" fillId="2" borderId="124" xfId="6" applyFont="1" applyFill="1" applyBorder="1" applyAlignment="1">
      <alignment horizontal="center"/>
    </xf>
    <xf numFmtId="182" fontId="5" fillId="3" borderId="12" xfId="0" quotePrefix="1" applyNumberFormat="1" applyFont="1" applyFill="1" applyBorder="1" applyAlignment="1">
      <alignment horizontal="center" vertical="center"/>
    </xf>
    <xf numFmtId="0" fontId="5" fillId="2" borderId="125" xfId="6" applyFont="1" applyFill="1" applyBorder="1" applyAlignment="1">
      <alignment horizontal="center"/>
    </xf>
    <xf numFmtId="0" fontId="5" fillId="3" borderId="69" xfId="0" quotePrefix="1" applyFont="1" applyFill="1" applyBorder="1" applyAlignment="1">
      <alignment horizontal="center" vertical="center"/>
    </xf>
    <xf numFmtId="41" fontId="5" fillId="2" borderId="10" xfId="1" applyFont="1" applyFill="1" applyBorder="1" applyAlignment="1">
      <alignment vertical="center"/>
    </xf>
    <xf numFmtId="0" fontId="5" fillId="2" borderId="126" xfId="6" applyFont="1" applyFill="1" applyBorder="1" applyAlignment="1">
      <alignment horizontal="center"/>
    </xf>
    <xf numFmtId="0" fontId="5" fillId="2" borderId="127" xfId="0" applyFont="1" applyFill="1" applyBorder="1" applyAlignment="1">
      <alignment horizontal="center" vertical="center"/>
    </xf>
    <xf numFmtId="0" fontId="5" fillId="2" borderId="156" xfId="0" applyFont="1" applyFill="1" applyBorder="1" applyAlignment="1">
      <alignment horizontal="center" vertical="center"/>
    </xf>
    <xf numFmtId="0" fontId="5" fillId="2" borderId="157" xfId="0" applyFont="1" applyFill="1" applyBorder="1" applyAlignment="1">
      <alignment horizontal="center" vertical="center"/>
    </xf>
    <xf numFmtId="0" fontId="5" fillId="2" borderId="158" xfId="0" applyFont="1" applyFill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3" borderId="117" xfId="0" quotePrefix="1" applyFont="1" applyFill="1" applyBorder="1" applyAlignment="1">
      <alignment horizontal="center" vertical="center"/>
    </xf>
    <xf numFmtId="41" fontId="5" fillId="2" borderId="159" xfId="1" applyFont="1" applyFill="1" applyBorder="1" applyAlignment="1">
      <alignment vertical="center"/>
    </xf>
    <xf numFmtId="184" fontId="5" fillId="2" borderId="12" xfId="0" applyNumberFormat="1" applyFont="1" applyFill="1" applyBorder="1" applyAlignment="1">
      <alignment horizontal="center" vertical="center"/>
    </xf>
    <xf numFmtId="49" fontId="5" fillId="3" borderId="105" xfId="0" applyNumberFormat="1" applyFont="1" applyFill="1" applyBorder="1" applyAlignment="1">
      <alignment horizontal="center" vertical="center"/>
    </xf>
    <xf numFmtId="0" fontId="5" fillId="3" borderId="150" xfId="0" applyFont="1" applyFill="1" applyBorder="1" applyAlignment="1">
      <alignment horizontal="center" vertical="center"/>
    </xf>
    <xf numFmtId="0" fontId="5" fillId="3" borderId="65" xfId="0" applyFont="1" applyFill="1" applyBorder="1" applyAlignment="1">
      <alignment horizontal="center" vertical="center"/>
    </xf>
    <xf numFmtId="41" fontId="5" fillId="2" borderId="105" xfId="1" quotePrefix="1" applyFont="1" applyFill="1" applyBorder="1" applyAlignment="1">
      <alignment horizontal="center" vertical="center"/>
    </xf>
    <xf numFmtId="41" fontId="5" fillId="2" borderId="12" xfId="1" quotePrefix="1" applyFont="1" applyFill="1" applyBorder="1" applyAlignment="1">
      <alignment horizontal="center" vertical="center"/>
    </xf>
    <xf numFmtId="41" fontId="5" fillId="2" borderId="118" xfId="1" quotePrefix="1" applyFont="1" applyFill="1" applyBorder="1" applyAlignment="1">
      <alignment horizontal="center" vertical="center"/>
    </xf>
    <xf numFmtId="41" fontId="5" fillId="2" borderId="14" xfId="1" quotePrefix="1" applyFont="1" applyFill="1" applyBorder="1" applyAlignment="1">
      <alignment horizontal="center" vertical="center"/>
    </xf>
    <xf numFmtId="41" fontId="5" fillId="2" borderId="150" xfId="1" quotePrefix="1" applyFont="1" applyFill="1" applyBorder="1" applyAlignment="1">
      <alignment horizontal="center" vertical="center"/>
    </xf>
    <xf numFmtId="41" fontId="5" fillId="2" borderId="68" xfId="1" quotePrefix="1" applyFont="1" applyFill="1" applyBorder="1" applyAlignment="1">
      <alignment horizontal="center" vertical="center"/>
    </xf>
    <xf numFmtId="41" fontId="5" fillId="2" borderId="105" xfId="1" applyFont="1" applyFill="1" applyBorder="1" applyAlignment="1">
      <alignment horizontal="center" vertical="center"/>
    </xf>
    <xf numFmtId="41" fontId="5" fillId="2" borderId="12" xfId="1" applyFont="1" applyFill="1" applyBorder="1" applyAlignment="1">
      <alignment horizontal="center" vertical="center"/>
    </xf>
    <xf numFmtId="41" fontId="5" fillId="2" borderId="118" xfId="1" applyFont="1" applyFill="1" applyBorder="1" applyAlignment="1">
      <alignment horizontal="center" vertical="center"/>
    </xf>
    <xf numFmtId="41" fontId="5" fillId="2" borderId="68" xfId="1" applyFont="1" applyFill="1" applyBorder="1" applyAlignment="1">
      <alignment horizontal="center" vertical="center"/>
    </xf>
    <xf numFmtId="41" fontId="5" fillId="0" borderId="104" xfId="1" applyFont="1" applyFill="1" applyBorder="1" applyAlignment="1">
      <alignment vertical="center"/>
    </xf>
    <xf numFmtId="0" fontId="5" fillId="0" borderId="60" xfId="0" applyFont="1" applyBorder="1" applyAlignment="1">
      <alignment horizontal="center" vertical="center"/>
    </xf>
    <xf numFmtId="0" fontId="5" fillId="0" borderId="119" xfId="0" applyFont="1" applyBorder="1" applyAlignment="1">
      <alignment horizontal="center" vertical="center"/>
    </xf>
    <xf numFmtId="41" fontId="5" fillId="0" borderId="116" xfId="1" applyFont="1" applyFill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50" xfId="1" applyNumberFormat="1" applyFont="1" applyFill="1" applyBorder="1" applyAlignment="1">
      <alignment horizontal="center" vertical="center"/>
    </xf>
    <xf numFmtId="3" fontId="5" fillId="0" borderId="12" xfId="0" applyNumberFormat="1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69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3" fontId="5" fillId="0" borderId="21" xfId="0" applyNumberFormat="1" applyFont="1" applyBorder="1" applyAlignment="1">
      <alignment horizontal="center" vertical="center"/>
    </xf>
    <xf numFmtId="0" fontId="5" fillId="2" borderId="98" xfId="1" applyNumberFormat="1" applyFont="1" applyFill="1" applyBorder="1" applyAlignment="1">
      <alignment horizontal="center"/>
    </xf>
    <xf numFmtId="0" fontId="5" fillId="2" borderId="99" xfId="1" applyNumberFormat="1" applyFont="1" applyFill="1" applyBorder="1" applyAlignment="1">
      <alignment horizontal="center"/>
    </xf>
    <xf numFmtId="0" fontId="5" fillId="2" borderId="14" xfId="1" applyNumberFormat="1" applyFont="1" applyFill="1" applyBorder="1" applyAlignment="1">
      <alignment horizontal="center"/>
    </xf>
    <xf numFmtId="0" fontId="5" fillId="2" borderId="15" xfId="1" applyNumberFormat="1" applyFont="1" applyFill="1" applyBorder="1" applyAlignment="1">
      <alignment horizontal="center"/>
    </xf>
    <xf numFmtId="0" fontId="5" fillId="2" borderId="83" xfId="1" applyNumberFormat="1" applyFont="1" applyFill="1" applyBorder="1" applyAlignment="1">
      <alignment horizontal="center"/>
    </xf>
    <xf numFmtId="0" fontId="5" fillId="2" borderId="84" xfId="1" applyNumberFormat="1" applyFont="1" applyFill="1" applyBorder="1" applyAlignment="1">
      <alignment horizontal="center"/>
    </xf>
    <xf numFmtId="0" fontId="5" fillId="2" borderId="150" xfId="1" applyNumberFormat="1" applyFont="1" applyFill="1" applyBorder="1" applyAlignment="1">
      <alignment horizontal="center"/>
    </xf>
    <xf numFmtId="0" fontId="5" fillId="2" borderId="12" xfId="1" applyNumberFormat="1" applyFont="1" applyFill="1" applyBorder="1" applyAlignment="1">
      <alignment horizontal="center"/>
    </xf>
    <xf numFmtId="0" fontId="5" fillId="2" borderId="20" xfId="1" applyNumberFormat="1" applyFont="1" applyFill="1" applyBorder="1" applyAlignment="1">
      <alignment horizontal="center"/>
    </xf>
    <xf numFmtId="0" fontId="5" fillId="2" borderId="21" xfId="1" applyNumberFormat="1" applyFont="1" applyFill="1" applyBorder="1" applyAlignment="1">
      <alignment horizontal="center"/>
    </xf>
    <xf numFmtId="0" fontId="5" fillId="2" borderId="16" xfId="1" applyNumberFormat="1" applyFont="1" applyFill="1" applyBorder="1" applyAlignment="1">
      <alignment horizontal="center"/>
    </xf>
    <xf numFmtId="0" fontId="5" fillId="2" borderId="17" xfId="1" applyNumberFormat="1" applyFont="1" applyFill="1" applyBorder="1" applyAlignment="1">
      <alignment horizontal="center"/>
    </xf>
    <xf numFmtId="0" fontId="5" fillId="2" borderId="68" xfId="1" applyNumberFormat="1" applyFont="1" applyFill="1" applyBorder="1" applyAlignment="1">
      <alignment horizontal="center"/>
    </xf>
    <xf numFmtId="0" fontId="5" fillId="2" borderId="69" xfId="1" applyNumberFormat="1" applyFont="1" applyFill="1" applyBorder="1" applyAlignment="1">
      <alignment horizontal="center"/>
    </xf>
    <xf numFmtId="41" fontId="5" fillId="0" borderId="20" xfId="1" applyFont="1" applyBorder="1" applyAlignment="1">
      <alignment vertical="center"/>
    </xf>
    <xf numFmtId="0" fontId="26" fillId="2" borderId="12" xfId="0" applyFont="1" applyFill="1" applyBorder="1" applyAlignment="1">
      <alignment horizontal="center" vertical="center"/>
    </xf>
    <xf numFmtId="41" fontId="26" fillId="2" borderId="150" xfId="1" applyFont="1" applyFill="1" applyBorder="1" applyAlignment="1">
      <alignment vertical="center"/>
    </xf>
    <xf numFmtId="0" fontId="26" fillId="2" borderId="69" xfId="0" applyFont="1" applyFill="1" applyBorder="1" applyAlignment="1">
      <alignment horizontal="center" vertical="center"/>
    </xf>
    <xf numFmtId="41" fontId="26" fillId="2" borderId="68" xfId="1" applyFont="1" applyFill="1" applyBorder="1" applyAlignment="1">
      <alignment vertical="center"/>
    </xf>
    <xf numFmtId="41" fontId="26" fillId="0" borderId="150" xfId="1" applyFont="1" applyFill="1" applyBorder="1" applyAlignment="1">
      <alignment vertical="center"/>
    </xf>
    <xf numFmtId="41" fontId="26" fillId="0" borderId="14" xfId="1" applyFont="1" applyFill="1" applyBorder="1" applyAlignment="1">
      <alignment vertical="center"/>
    </xf>
    <xf numFmtId="41" fontId="26" fillId="0" borderId="83" xfId="1" applyFont="1" applyFill="1" applyBorder="1" applyAlignment="1">
      <alignment vertical="center"/>
    </xf>
    <xf numFmtId="41" fontId="26" fillId="0" borderId="68" xfId="1" applyFont="1" applyFill="1" applyBorder="1" applyAlignment="1">
      <alignment vertical="center"/>
    </xf>
    <xf numFmtId="0" fontId="5" fillId="2" borderId="161" xfId="0" applyFont="1" applyFill="1" applyBorder="1" applyAlignment="1">
      <alignment horizontal="center" vertical="center"/>
    </xf>
    <xf numFmtId="0" fontId="5" fillId="2" borderId="162" xfId="0" applyFont="1" applyFill="1" applyBorder="1" applyAlignment="1">
      <alignment horizontal="center" vertical="center"/>
    </xf>
    <xf numFmtId="49" fontId="26" fillId="2" borderId="163" xfId="0" applyNumberFormat="1" applyFont="1" applyFill="1" applyBorder="1" applyAlignment="1">
      <alignment horizontal="center" vertical="center"/>
    </xf>
    <xf numFmtId="41" fontId="26" fillId="2" borderId="162" xfId="1" applyFont="1" applyFill="1" applyBorder="1" applyAlignment="1">
      <alignment vertical="center"/>
    </xf>
    <xf numFmtId="49" fontId="26" fillId="2" borderId="12" xfId="0" applyNumberFormat="1" applyFont="1" applyFill="1" applyBorder="1" applyAlignment="1">
      <alignment horizontal="center" vertical="center"/>
    </xf>
    <xf numFmtId="49" fontId="26" fillId="2" borderId="21" xfId="0" applyNumberFormat="1" applyFont="1" applyFill="1" applyBorder="1" applyAlignment="1">
      <alignment horizontal="center" vertical="center"/>
    </xf>
    <xf numFmtId="41" fontId="26" fillId="2" borderId="20" xfId="1" applyFont="1" applyFill="1" applyBorder="1" applyAlignment="1">
      <alignment vertical="center"/>
    </xf>
    <xf numFmtId="0" fontId="5" fillId="2" borderId="76" xfId="0" applyFont="1" applyFill="1" applyBorder="1" applyAlignment="1">
      <alignment horizontal="center" vertical="center"/>
    </xf>
    <xf numFmtId="49" fontId="26" fillId="2" borderId="88" xfId="0" applyNumberFormat="1" applyFont="1" applyFill="1" applyBorder="1" applyAlignment="1">
      <alignment horizontal="center" vertical="center"/>
    </xf>
    <xf numFmtId="41" fontId="26" fillId="2" borderId="76" xfId="1" applyFont="1" applyFill="1" applyBorder="1" applyAlignment="1">
      <alignment vertical="center"/>
    </xf>
    <xf numFmtId="0" fontId="5" fillId="2" borderId="32" xfId="0" applyFont="1" applyFill="1" applyBorder="1" applyAlignment="1">
      <alignment horizontal="center" vertical="center"/>
    </xf>
    <xf numFmtId="49" fontId="26" fillId="2" borderId="44" xfId="0" quotePrefix="1" applyNumberFormat="1" applyFont="1" applyFill="1" applyBorder="1" applyAlignment="1">
      <alignment horizontal="center" vertical="center"/>
    </xf>
    <xf numFmtId="41" fontId="26" fillId="2" borderId="35" xfId="1" applyFont="1" applyFill="1" applyBorder="1" applyAlignment="1">
      <alignment vertical="center"/>
    </xf>
    <xf numFmtId="49" fontId="26" fillId="2" borderId="69" xfId="0" applyNumberFormat="1" applyFont="1" applyFill="1" applyBorder="1" applyAlignment="1">
      <alignment horizontal="center" vertical="center"/>
    </xf>
    <xf numFmtId="0" fontId="26" fillId="2" borderId="66" xfId="0" applyFont="1" applyFill="1" applyBorder="1" applyAlignment="1">
      <alignment horizontal="center" vertical="center"/>
    </xf>
    <xf numFmtId="41" fontId="26" fillId="2" borderId="65" xfId="1" applyFont="1" applyFill="1" applyBorder="1" applyAlignment="1">
      <alignment vertical="center"/>
    </xf>
    <xf numFmtId="0" fontId="5" fillId="2" borderId="164" xfId="0" applyFont="1" applyFill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41" fontId="5" fillId="0" borderId="32" xfId="1" applyFont="1" applyFill="1" applyBorder="1" applyAlignment="1">
      <alignment vertical="center"/>
    </xf>
    <xf numFmtId="41" fontId="5" fillId="0" borderId="68" xfId="1" applyFont="1" applyFill="1" applyBorder="1" applyAlignment="1">
      <alignment vertical="center"/>
    </xf>
    <xf numFmtId="0" fontId="5" fillId="0" borderId="88" xfId="0" applyFont="1" applyBorder="1" applyAlignment="1">
      <alignment horizontal="center" vertical="center"/>
    </xf>
    <xf numFmtId="41" fontId="5" fillId="0" borderId="150" xfId="1" applyFont="1" applyFill="1" applyBorder="1" applyAlignment="1">
      <alignment vertical="center"/>
    </xf>
    <xf numFmtId="0" fontId="5" fillId="0" borderId="68" xfId="0" applyFont="1" applyBorder="1" applyAlignment="1">
      <alignment horizontal="center" vertical="center"/>
    </xf>
    <xf numFmtId="0" fontId="5" fillId="2" borderId="74" xfId="0" applyFont="1" applyFill="1" applyBorder="1" applyAlignment="1">
      <alignment horizontal="center" vertical="center"/>
    </xf>
    <xf numFmtId="0" fontId="5" fillId="2" borderId="116" xfId="0" applyFont="1" applyFill="1" applyBorder="1" applyAlignment="1">
      <alignment horizontal="center" vertical="center"/>
    </xf>
    <xf numFmtId="0" fontId="5" fillId="2" borderId="160" xfId="0" applyFont="1" applyFill="1" applyBorder="1" applyAlignment="1">
      <alignment horizontal="center" vertical="center"/>
    </xf>
    <xf numFmtId="0" fontId="5" fillId="2" borderId="162" xfId="1" applyNumberFormat="1" applyFont="1" applyFill="1" applyBorder="1" applyAlignment="1">
      <alignment horizontal="center" vertical="center"/>
    </xf>
    <xf numFmtId="0" fontId="5" fillId="0" borderId="163" xfId="12" applyFont="1" applyBorder="1" applyAlignment="1">
      <alignment horizontal="center" vertical="center"/>
    </xf>
    <xf numFmtId="41" fontId="5" fillId="0" borderId="162" xfId="1" applyFont="1" applyBorder="1" applyAlignment="1">
      <alignment vertical="center"/>
    </xf>
    <xf numFmtId="0" fontId="5" fillId="2" borderId="12" xfId="12" applyFont="1" applyFill="1" applyBorder="1" applyAlignment="1">
      <alignment horizontal="center" vertical="center"/>
    </xf>
    <xf numFmtId="0" fontId="5" fillId="2" borderId="84" xfId="12" applyFont="1" applyFill="1" applyBorder="1" applyAlignment="1">
      <alignment horizontal="center" vertical="center"/>
    </xf>
    <xf numFmtId="0" fontId="5" fillId="2" borderId="69" xfId="12" applyFont="1" applyFill="1" applyBorder="1" applyAlignment="1">
      <alignment horizontal="center" vertical="center"/>
    </xf>
    <xf numFmtId="0" fontId="5" fillId="2" borderId="112" xfId="0" applyFont="1" applyFill="1" applyBorder="1" applyAlignment="1">
      <alignment horizontal="center" vertical="center"/>
    </xf>
    <xf numFmtId="41" fontId="5" fillId="2" borderId="111" xfId="1" applyFont="1" applyFill="1" applyBorder="1" applyAlignment="1">
      <alignment vertical="center"/>
    </xf>
    <xf numFmtId="41" fontId="5" fillId="2" borderId="162" xfId="1" applyFont="1" applyFill="1" applyBorder="1" applyAlignment="1">
      <alignment vertical="center"/>
    </xf>
    <xf numFmtId="0" fontId="5" fillId="2" borderId="163" xfId="0" applyFont="1" applyFill="1" applyBorder="1" applyAlignment="1">
      <alignment horizontal="center" vertical="center"/>
    </xf>
    <xf numFmtId="41" fontId="5" fillId="2" borderId="162" xfId="1" applyFont="1" applyFill="1" applyBorder="1" applyAlignment="1">
      <alignment horizontal="center" vertical="center"/>
    </xf>
    <xf numFmtId="41" fontId="5" fillId="0" borderId="150" xfId="1" applyFont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  <xf numFmtId="0" fontId="5" fillId="2" borderId="83" xfId="0" quotePrefix="1" applyFont="1" applyFill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16" xfId="1" applyNumberFormat="1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41" fontId="5" fillId="0" borderId="16" xfId="1" applyFont="1" applyFill="1" applyBorder="1" applyAlignment="1">
      <alignment vertical="center"/>
    </xf>
    <xf numFmtId="0" fontId="5" fillId="2" borderId="150" xfId="1" applyNumberFormat="1" applyFont="1" applyFill="1" applyBorder="1" applyAlignment="1">
      <alignment horizontal="center" vertical="center" shrinkToFit="1"/>
    </xf>
    <xf numFmtId="0" fontId="5" fillId="2" borderId="68" xfId="1" applyNumberFormat="1" applyFont="1" applyFill="1" applyBorder="1" applyAlignment="1">
      <alignment horizontal="center" vertical="center" shrinkToFit="1"/>
    </xf>
    <xf numFmtId="0" fontId="5" fillId="2" borderId="76" xfId="0" quotePrefix="1" applyFont="1" applyFill="1" applyBorder="1" applyAlignment="1">
      <alignment horizontal="center" vertical="center"/>
    </xf>
    <xf numFmtId="0" fontId="5" fillId="2" borderId="14" xfId="0" quotePrefix="1" applyFont="1" applyFill="1" applyBorder="1" applyAlignment="1">
      <alignment horizontal="center" vertical="center"/>
    </xf>
    <xf numFmtId="0" fontId="5" fillId="3" borderId="83" xfId="0" applyFont="1" applyFill="1" applyBorder="1" applyAlignment="1">
      <alignment horizontal="center" vertical="center"/>
    </xf>
    <xf numFmtId="0" fontId="5" fillId="2" borderId="129" xfId="0" applyFont="1" applyFill="1" applyBorder="1" applyAlignment="1">
      <alignment horizontal="center" vertical="center"/>
    </xf>
    <xf numFmtId="0" fontId="5" fillId="3" borderId="38" xfId="0" applyFont="1" applyFill="1" applyBorder="1" applyAlignment="1">
      <alignment horizontal="center" vertical="center"/>
    </xf>
    <xf numFmtId="41" fontId="5" fillId="3" borderId="38" xfId="1" applyFont="1" applyFill="1" applyBorder="1" applyAlignment="1">
      <alignment vertical="center"/>
    </xf>
    <xf numFmtId="0" fontId="5" fillId="2" borderId="16" xfId="0" quotePrefix="1" applyFont="1" applyFill="1" applyBorder="1" applyAlignment="1">
      <alignment horizontal="center" vertical="center"/>
    </xf>
    <xf numFmtId="0" fontId="5" fillId="2" borderId="130" xfId="0" applyFont="1" applyFill="1" applyBorder="1" applyAlignment="1">
      <alignment horizontal="center" vertical="center"/>
    </xf>
    <xf numFmtId="0" fontId="5" fillId="2" borderId="131" xfId="1" applyNumberFormat="1" applyFont="1" applyFill="1" applyBorder="1" applyAlignment="1">
      <alignment horizontal="center" vertical="center"/>
    </xf>
    <xf numFmtId="0" fontId="5" fillId="2" borderId="131" xfId="0" applyFont="1" applyFill="1" applyBorder="1" applyAlignment="1">
      <alignment horizontal="center" vertical="center"/>
    </xf>
    <xf numFmtId="41" fontId="5" fillId="2" borderId="131" xfId="1" applyFont="1" applyFill="1" applyBorder="1" applyAlignment="1">
      <alignment vertical="center"/>
    </xf>
    <xf numFmtId="0" fontId="5" fillId="2" borderId="12" xfId="0" applyFont="1" applyFill="1" applyBorder="1" applyAlignment="1">
      <alignment horizontal="center" vertical="center" wrapText="1"/>
    </xf>
    <xf numFmtId="41" fontId="5" fillId="0" borderId="83" xfId="1" applyFont="1" applyBorder="1" applyAlignment="1">
      <alignment vertical="center"/>
    </xf>
    <xf numFmtId="0" fontId="5" fillId="3" borderId="163" xfId="0" applyFont="1" applyFill="1" applyBorder="1" applyAlignment="1">
      <alignment horizontal="center" vertical="center"/>
    </xf>
    <xf numFmtId="41" fontId="5" fillId="3" borderId="162" xfId="1" applyFont="1" applyFill="1" applyBorder="1" applyAlignment="1">
      <alignment vertical="center"/>
    </xf>
    <xf numFmtId="0" fontId="5" fillId="2" borderId="114" xfId="0" applyFont="1" applyFill="1" applyBorder="1" applyAlignment="1">
      <alignment horizontal="center" vertical="center"/>
    </xf>
    <xf numFmtId="0" fontId="5" fillId="2" borderId="115" xfId="1" applyNumberFormat="1" applyFont="1" applyFill="1" applyBorder="1" applyAlignment="1">
      <alignment horizontal="center" vertical="center"/>
    </xf>
    <xf numFmtId="0" fontId="5" fillId="2" borderId="132" xfId="0" applyFont="1" applyFill="1" applyBorder="1" applyAlignment="1">
      <alignment horizontal="center" vertical="center"/>
    </xf>
    <xf numFmtId="41" fontId="5" fillId="2" borderId="115" xfId="1" applyFont="1" applyFill="1" applyBorder="1" applyAlignment="1">
      <alignment vertical="center"/>
    </xf>
    <xf numFmtId="182" fontId="5" fillId="2" borderId="15" xfId="0" quotePrefix="1" applyNumberFormat="1" applyFont="1" applyFill="1" applyBorder="1" applyAlignment="1">
      <alignment horizontal="center" vertical="center"/>
    </xf>
    <xf numFmtId="182" fontId="5" fillId="2" borderId="12" xfId="0" applyNumberFormat="1" applyFont="1" applyFill="1" applyBorder="1" applyAlignment="1">
      <alignment horizontal="center" vertical="center"/>
    </xf>
    <xf numFmtId="182" fontId="5" fillId="2" borderId="21" xfId="0" applyNumberFormat="1" applyFont="1" applyFill="1" applyBorder="1" applyAlignment="1">
      <alignment horizontal="center" vertical="center"/>
    </xf>
    <xf numFmtId="182" fontId="5" fillId="2" borderId="66" xfId="0" applyNumberFormat="1" applyFont="1" applyFill="1" applyBorder="1" applyAlignment="1">
      <alignment horizontal="center" vertical="center"/>
    </xf>
    <xf numFmtId="0" fontId="5" fillId="2" borderId="133" xfId="0" applyFont="1" applyFill="1" applyBorder="1" applyAlignment="1">
      <alignment horizontal="center" vertical="center"/>
    </xf>
    <xf numFmtId="0" fontId="5" fillId="2" borderId="47" xfId="0" applyFont="1" applyFill="1" applyBorder="1" applyAlignment="1">
      <alignment horizontal="center" vertical="center"/>
    </xf>
    <xf numFmtId="182" fontId="5" fillId="2" borderId="150" xfId="0" quotePrefix="1" applyNumberFormat="1" applyFont="1" applyFill="1" applyBorder="1" applyAlignment="1">
      <alignment horizontal="center" vertical="center"/>
    </xf>
    <xf numFmtId="0" fontId="5" fillId="2" borderId="167" xfId="1" applyNumberFormat="1" applyFont="1" applyFill="1" applyBorder="1" applyAlignment="1">
      <alignment horizontal="center" vertical="center"/>
    </xf>
    <xf numFmtId="0" fontId="5" fillId="2" borderId="168" xfId="0" applyFont="1" applyFill="1" applyBorder="1" applyAlignment="1">
      <alignment horizontal="center" vertical="center"/>
    </xf>
    <xf numFmtId="41" fontId="5" fillId="2" borderId="167" xfId="1" applyFont="1" applyFill="1" applyBorder="1" applyAlignment="1">
      <alignment vertical="center"/>
    </xf>
    <xf numFmtId="0" fontId="5" fillId="2" borderId="49" xfId="0" applyFont="1" applyFill="1" applyBorder="1">
      <alignment vertical="center"/>
    </xf>
    <xf numFmtId="0" fontId="5" fillId="2" borderId="172" xfId="1" applyNumberFormat="1" applyFont="1" applyFill="1" applyBorder="1" applyAlignment="1">
      <alignment horizontal="center" vertical="center"/>
    </xf>
    <xf numFmtId="0" fontId="5" fillId="3" borderId="173" xfId="0" applyFont="1" applyFill="1" applyBorder="1" applyAlignment="1">
      <alignment horizontal="center" vertical="center"/>
    </xf>
    <xf numFmtId="41" fontId="5" fillId="3" borderId="172" xfId="1" applyFont="1" applyFill="1" applyBorder="1" applyAlignment="1">
      <alignment vertical="center"/>
    </xf>
    <xf numFmtId="0" fontId="5" fillId="2" borderId="174" xfId="0" applyFont="1" applyFill="1" applyBorder="1" applyAlignment="1">
      <alignment horizontal="center" vertical="center"/>
    </xf>
    <xf numFmtId="0" fontId="5" fillId="0" borderId="173" xfId="0" applyFont="1" applyBorder="1" applyAlignment="1">
      <alignment horizontal="center" vertical="center"/>
    </xf>
    <xf numFmtId="17" fontId="5" fillId="2" borderId="21" xfId="0" applyNumberFormat="1" applyFont="1" applyFill="1" applyBorder="1" applyAlignment="1">
      <alignment horizontal="center" vertical="center"/>
    </xf>
    <xf numFmtId="17" fontId="5" fillId="2" borderId="12" xfId="0" applyNumberFormat="1" applyFont="1" applyFill="1" applyBorder="1" applyAlignment="1">
      <alignment horizontal="center" vertical="center"/>
    </xf>
    <xf numFmtId="0" fontId="5" fillId="3" borderId="48" xfId="0" applyFont="1" applyFill="1" applyBorder="1" applyAlignment="1">
      <alignment horizontal="center" vertical="center"/>
    </xf>
    <xf numFmtId="41" fontId="5" fillId="3" borderId="47" xfId="1" applyFont="1" applyFill="1" applyBorder="1" applyAlignment="1">
      <alignment vertical="center"/>
    </xf>
    <xf numFmtId="0" fontId="5" fillId="0" borderId="83" xfId="0" applyFont="1" applyBorder="1" applyAlignment="1">
      <alignment horizontal="center" vertical="center"/>
    </xf>
    <xf numFmtId="0" fontId="5" fillId="0" borderId="84" xfId="0" applyFont="1" applyBorder="1" applyAlignment="1">
      <alignment horizontal="center" vertical="center"/>
    </xf>
    <xf numFmtId="0" fontId="26" fillId="2" borderId="176" xfId="13" applyNumberFormat="1" applyFont="1" applyFill="1" applyBorder="1" applyAlignment="1">
      <alignment horizontal="center" vertical="center"/>
    </xf>
    <xf numFmtId="0" fontId="26" fillId="2" borderId="177" xfId="0" applyFont="1" applyFill="1" applyBorder="1" applyAlignment="1">
      <alignment horizontal="center" vertical="center" shrinkToFit="1"/>
    </xf>
    <xf numFmtId="179" fontId="26" fillId="2" borderId="170" xfId="13" applyFont="1" applyFill="1" applyBorder="1" applyAlignment="1">
      <alignment horizontal="center" vertical="center" shrinkToFit="1"/>
    </xf>
    <xf numFmtId="0" fontId="26" fillId="2" borderId="150" xfId="13" applyNumberFormat="1" applyFont="1" applyFill="1" applyBorder="1" applyAlignment="1">
      <alignment horizontal="center" vertical="center"/>
    </xf>
    <xf numFmtId="49" fontId="26" fillId="2" borderId="12" xfId="0" applyNumberFormat="1" applyFont="1" applyFill="1" applyBorder="1" applyAlignment="1">
      <alignment horizontal="center" vertical="center" shrinkToFit="1"/>
    </xf>
    <xf numFmtId="179" fontId="26" fillId="2" borderId="10" xfId="13" applyFont="1" applyFill="1" applyBorder="1" applyAlignment="1">
      <alignment horizontal="center" vertical="center" shrinkToFit="1"/>
    </xf>
    <xf numFmtId="0" fontId="26" fillId="2" borderId="68" xfId="13" applyNumberFormat="1" applyFont="1" applyFill="1" applyBorder="1" applyAlignment="1">
      <alignment horizontal="center" vertical="center"/>
    </xf>
    <xf numFmtId="49" fontId="26" fillId="2" borderId="69" xfId="0" applyNumberFormat="1" applyFont="1" applyFill="1" applyBorder="1" applyAlignment="1">
      <alignment horizontal="center" vertical="center" shrinkToFit="1"/>
    </xf>
    <xf numFmtId="179" fontId="26" fillId="2" borderId="67" xfId="13" applyFont="1" applyFill="1" applyBorder="1" applyAlignment="1">
      <alignment horizontal="center" vertical="center" shrinkToFit="1"/>
    </xf>
    <xf numFmtId="0" fontId="5" fillId="2" borderId="46" xfId="1" applyNumberFormat="1" applyFont="1" applyFill="1" applyBorder="1" applyAlignment="1">
      <alignment horizontal="center" vertical="center"/>
    </xf>
    <xf numFmtId="41" fontId="5" fillId="2" borderId="79" xfId="1" applyFont="1" applyFill="1" applyBorder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4" xfId="1" applyNumberFormat="1" applyFont="1" applyFill="1" applyBorder="1" applyAlignment="1">
      <alignment horizontal="center" vertical="center"/>
    </xf>
    <xf numFmtId="0" fontId="5" fillId="2" borderId="180" xfId="0" applyFont="1" applyFill="1" applyBorder="1" applyAlignment="1">
      <alignment horizontal="center" vertical="center"/>
    </xf>
    <xf numFmtId="0" fontId="5" fillId="2" borderId="40" xfId="0" applyFont="1" applyFill="1" applyBorder="1" applyAlignment="1">
      <alignment horizontal="center" vertical="center"/>
    </xf>
    <xf numFmtId="0" fontId="5" fillId="2" borderId="40" xfId="1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3" xfId="1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1" fontId="5" fillId="2" borderId="141" xfId="1" applyFont="1" applyFill="1" applyBorder="1" applyAlignment="1">
      <alignment vertical="center"/>
    </xf>
    <xf numFmtId="0" fontId="5" fillId="2" borderId="33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0" fontId="5" fillId="2" borderId="135" xfId="1" applyNumberFormat="1" applyFont="1" applyFill="1" applyBorder="1" applyAlignment="1">
      <alignment horizontal="center" vertical="center"/>
    </xf>
    <xf numFmtId="0" fontId="5" fillId="0" borderId="135" xfId="0" applyFont="1" applyBorder="1" applyAlignment="1">
      <alignment horizontal="center" vertical="center"/>
    </xf>
    <xf numFmtId="0" fontId="5" fillId="2" borderId="181" xfId="1" applyNumberFormat="1" applyFont="1" applyFill="1" applyBorder="1" applyAlignment="1">
      <alignment horizontal="center" vertical="center"/>
    </xf>
    <xf numFmtId="0" fontId="5" fillId="0" borderId="136" xfId="0" applyFont="1" applyBorder="1" applyAlignment="1">
      <alignment horizontal="center" vertical="center"/>
    </xf>
    <xf numFmtId="41" fontId="5" fillId="0" borderId="115" xfId="1" applyFont="1" applyBorder="1" applyAlignment="1">
      <alignment vertical="center"/>
    </xf>
    <xf numFmtId="0" fontId="5" fillId="2" borderId="167" xfId="0" applyFont="1" applyFill="1" applyBorder="1" applyAlignment="1">
      <alignment horizontal="center" vertical="center"/>
    </xf>
    <xf numFmtId="0" fontId="5" fillId="2" borderId="158" xfId="0" applyFont="1" applyFill="1" applyBorder="1" applyAlignment="1">
      <alignment horizontal="center"/>
    </xf>
    <xf numFmtId="49" fontId="5" fillId="2" borderId="168" xfId="0" applyNumberFormat="1" applyFont="1" applyFill="1" applyBorder="1" applyAlignment="1">
      <alignment horizontal="center" vertical="center"/>
    </xf>
    <xf numFmtId="0" fontId="5" fillId="0" borderId="151" xfId="0" applyFont="1" applyBorder="1" applyAlignment="1">
      <alignment horizontal="center" vertical="center"/>
    </xf>
    <xf numFmtId="49" fontId="5" fillId="2" borderId="168" xfId="0" quotePrefix="1" applyNumberFormat="1" applyFont="1" applyFill="1" applyBorder="1" applyAlignment="1">
      <alignment horizontal="center" vertical="center"/>
    </xf>
    <xf numFmtId="49" fontId="5" fillId="3" borderId="167" xfId="0" applyNumberFormat="1" applyFont="1" applyFill="1" applyBorder="1" applyAlignment="1">
      <alignment horizontal="center" vertical="center"/>
    </xf>
    <xf numFmtId="41" fontId="5" fillId="3" borderId="167" xfId="1" applyFont="1" applyFill="1" applyBorder="1" applyAlignment="1">
      <alignment vertical="center"/>
    </xf>
    <xf numFmtId="49" fontId="5" fillId="3" borderId="150" xfId="0" applyNumberFormat="1" applyFont="1" applyFill="1" applyBorder="1" applyAlignment="1">
      <alignment horizontal="center" vertical="center"/>
    </xf>
    <xf numFmtId="49" fontId="5" fillId="0" borderId="150" xfId="0" applyNumberFormat="1" applyFont="1" applyBorder="1" applyAlignment="1">
      <alignment horizontal="center" vertical="center"/>
    </xf>
    <xf numFmtId="0" fontId="5" fillId="0" borderId="122" xfId="1" applyNumberFormat="1" applyFont="1" applyFill="1" applyBorder="1" applyAlignment="1">
      <alignment horizontal="center" vertical="center"/>
    </xf>
    <xf numFmtId="0" fontId="5" fillId="2" borderId="61" xfId="0" applyFont="1" applyFill="1" applyBorder="1" applyAlignment="1">
      <alignment horizontal="center" vertical="center"/>
    </xf>
    <xf numFmtId="0" fontId="5" fillId="2" borderId="79" xfId="1" applyNumberFormat="1" applyFont="1" applyFill="1" applyBorder="1" applyAlignment="1">
      <alignment horizontal="center" vertical="center"/>
    </xf>
    <xf numFmtId="0" fontId="5" fillId="2" borderId="62" xfId="0" applyFont="1" applyFill="1" applyBorder="1" applyAlignment="1">
      <alignment horizontal="center" vertical="center"/>
    </xf>
    <xf numFmtId="0" fontId="5" fillId="0" borderId="176" xfId="0" applyFont="1" applyBorder="1" applyAlignment="1">
      <alignment horizontal="center" vertical="center"/>
    </xf>
    <xf numFmtId="41" fontId="5" fillId="0" borderId="176" xfId="1" applyFont="1" applyFill="1" applyBorder="1" applyAlignment="1">
      <alignment vertical="center"/>
    </xf>
    <xf numFmtId="0" fontId="5" fillId="2" borderId="177" xfId="0" applyFont="1" applyFill="1" applyBorder="1" applyAlignment="1">
      <alignment horizontal="center" vertical="center"/>
    </xf>
    <xf numFmtId="41" fontId="5" fillId="2" borderId="176" xfId="1" applyFont="1" applyFill="1" applyBorder="1" applyAlignment="1">
      <alignment vertical="center"/>
    </xf>
    <xf numFmtId="41" fontId="5" fillId="0" borderId="172" xfId="1" applyFont="1" applyFill="1" applyBorder="1" applyAlignment="1">
      <alignment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14" xfId="1" applyNumberFormat="1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 wrapText="1"/>
    </xf>
    <xf numFmtId="0" fontId="5" fillId="2" borderId="176" xfId="1" applyNumberFormat="1" applyFont="1" applyFill="1" applyBorder="1" applyAlignment="1">
      <alignment horizontal="center" vertical="center"/>
    </xf>
    <xf numFmtId="0" fontId="5" fillId="3" borderId="177" xfId="0" applyFont="1" applyFill="1" applyBorder="1" applyAlignment="1">
      <alignment horizontal="center" vertical="center"/>
    </xf>
    <xf numFmtId="41" fontId="5" fillId="3" borderId="176" xfId="1" applyFont="1" applyFill="1" applyBorder="1" applyAlignment="1">
      <alignment vertical="center"/>
    </xf>
    <xf numFmtId="41" fontId="5" fillId="0" borderId="172" xfId="1" applyFont="1" applyBorder="1" applyAlignment="1">
      <alignment vertical="center"/>
    </xf>
    <xf numFmtId="0" fontId="5" fillId="2" borderId="37" xfId="0" applyFont="1" applyFill="1" applyBorder="1" applyAlignment="1">
      <alignment horizontal="center" vertical="center"/>
    </xf>
    <xf numFmtId="0" fontId="5" fillId="2" borderId="147" xfId="1" applyNumberFormat="1" applyFont="1" applyFill="1" applyBorder="1" applyAlignment="1">
      <alignment horizontal="center" vertical="center"/>
    </xf>
    <xf numFmtId="0" fontId="5" fillId="2" borderId="173" xfId="0" applyFont="1" applyFill="1" applyBorder="1" applyAlignment="1">
      <alignment horizontal="center" vertical="center"/>
    </xf>
    <xf numFmtId="41" fontId="5" fillId="2" borderId="172" xfId="1" applyFont="1" applyFill="1" applyBorder="1" applyAlignment="1">
      <alignment vertical="center"/>
    </xf>
    <xf numFmtId="3" fontId="5" fillId="2" borderId="12" xfId="0" applyNumberFormat="1" applyFont="1" applyFill="1" applyBorder="1" applyAlignment="1">
      <alignment horizontal="center" vertical="center"/>
    </xf>
    <xf numFmtId="3" fontId="5" fillId="2" borderId="15" xfId="0" applyNumberFormat="1" applyFont="1" applyFill="1" applyBorder="1" applyAlignment="1">
      <alignment horizontal="center" vertical="center"/>
    </xf>
    <xf numFmtId="3" fontId="5" fillId="3" borderId="12" xfId="0" applyNumberFormat="1" applyFont="1" applyFill="1" applyBorder="1" applyAlignment="1">
      <alignment horizontal="center" vertical="center"/>
    </xf>
    <xf numFmtId="183" fontId="5" fillId="2" borderId="12" xfId="0" applyNumberFormat="1" applyFont="1" applyFill="1" applyBorder="1" applyAlignment="1">
      <alignment horizontal="center" vertical="center"/>
    </xf>
    <xf numFmtId="183" fontId="5" fillId="2" borderId="84" xfId="0" applyNumberFormat="1" applyFont="1" applyFill="1" applyBorder="1" applyAlignment="1">
      <alignment horizontal="center" vertical="center"/>
    </xf>
    <xf numFmtId="3" fontId="5" fillId="2" borderId="17" xfId="0" applyNumberFormat="1" applyFont="1" applyFill="1" applyBorder="1" applyAlignment="1">
      <alignment horizontal="center" vertical="center"/>
    </xf>
    <xf numFmtId="3" fontId="5" fillId="2" borderId="21" xfId="0" applyNumberFormat="1" applyFont="1" applyFill="1" applyBorder="1" applyAlignment="1">
      <alignment horizontal="center" vertical="center"/>
    </xf>
    <xf numFmtId="3" fontId="5" fillId="3" borderId="17" xfId="0" applyNumberFormat="1" applyFont="1" applyFill="1" applyBorder="1" applyAlignment="1">
      <alignment horizontal="center" vertical="center"/>
    </xf>
    <xf numFmtId="3" fontId="5" fillId="3" borderId="15" xfId="0" applyNumberFormat="1" applyFont="1" applyFill="1" applyBorder="1" applyAlignment="1">
      <alignment horizontal="center" vertical="center"/>
    </xf>
    <xf numFmtId="3" fontId="5" fillId="2" borderId="66" xfId="0" applyNumberFormat="1" applyFont="1" applyFill="1" applyBorder="1" applyAlignment="1">
      <alignment horizontal="center" vertical="center"/>
    </xf>
    <xf numFmtId="3" fontId="5" fillId="2" borderId="172" xfId="0" applyNumberFormat="1" applyFont="1" applyFill="1" applyBorder="1" applyAlignment="1">
      <alignment horizontal="center" vertical="center"/>
    </xf>
    <xf numFmtId="0" fontId="5" fillId="2" borderId="143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 shrinkToFit="1"/>
    </xf>
    <xf numFmtId="41" fontId="5" fillId="0" borderId="68" xfId="1" applyFont="1" applyBorder="1" applyAlignment="1">
      <alignment vertical="center"/>
    </xf>
    <xf numFmtId="0" fontId="5" fillId="2" borderId="182" xfId="0" applyFont="1" applyFill="1" applyBorder="1" applyAlignment="1">
      <alignment horizontal="center" vertical="center"/>
    </xf>
    <xf numFmtId="0" fontId="5" fillId="2" borderId="172" xfId="1" applyNumberFormat="1" applyFont="1" applyFill="1" applyBorder="1" applyAlignment="1">
      <alignment horizontal="center" vertical="center" shrinkToFit="1"/>
    </xf>
    <xf numFmtId="0" fontId="5" fillId="2" borderId="83" xfId="1" applyNumberFormat="1" applyFont="1" applyFill="1" applyBorder="1" applyAlignment="1">
      <alignment horizontal="center" vertical="center" shrinkToFit="1"/>
    </xf>
    <xf numFmtId="0" fontId="5" fillId="3" borderId="150" xfId="1" applyNumberFormat="1" applyFont="1" applyFill="1" applyBorder="1" applyAlignment="1">
      <alignment horizontal="center" vertical="center" shrinkToFit="1"/>
    </xf>
    <xf numFmtId="0" fontId="5" fillId="3" borderId="83" xfId="1" applyNumberFormat="1" applyFont="1" applyFill="1" applyBorder="1" applyAlignment="1">
      <alignment horizontal="center" vertical="center" shrinkToFit="1"/>
    </xf>
    <xf numFmtId="0" fontId="5" fillId="2" borderId="14" xfId="1" applyNumberFormat="1" applyFont="1" applyFill="1" applyBorder="1" applyAlignment="1">
      <alignment horizontal="center" vertical="center" shrinkToFit="1"/>
    </xf>
    <xf numFmtId="0" fontId="5" fillId="0" borderId="27" xfId="0" applyFont="1" applyBorder="1" applyAlignment="1">
      <alignment horizontal="center" vertical="center"/>
    </xf>
    <xf numFmtId="0" fontId="5" fillId="3" borderId="14" xfId="1" applyNumberFormat="1" applyFont="1" applyFill="1" applyBorder="1" applyAlignment="1">
      <alignment horizontal="center" vertical="center" shrinkToFit="1"/>
    </xf>
    <xf numFmtId="0" fontId="5" fillId="0" borderId="146" xfId="0" applyFont="1" applyBorder="1" applyAlignment="1">
      <alignment horizontal="center" vertical="center"/>
    </xf>
    <xf numFmtId="0" fontId="5" fillId="3" borderId="83" xfId="1" applyNumberFormat="1" applyFont="1" applyFill="1" applyBorder="1" applyAlignment="1">
      <alignment horizontal="center" vertical="center"/>
    </xf>
    <xf numFmtId="0" fontId="5" fillId="0" borderId="71" xfId="0" applyFont="1" applyBorder="1" applyAlignment="1">
      <alignment horizontal="center" vertical="center"/>
    </xf>
    <xf numFmtId="0" fontId="5" fillId="3" borderId="150" xfId="1" applyNumberFormat="1" applyFont="1" applyFill="1" applyBorder="1" applyAlignment="1">
      <alignment horizontal="center" vertical="center"/>
    </xf>
    <xf numFmtId="184" fontId="5" fillId="0" borderId="12" xfId="0" applyNumberFormat="1" applyFont="1" applyBorder="1" applyAlignment="1">
      <alignment horizontal="center" vertical="center"/>
    </xf>
    <xf numFmtId="0" fontId="5" fillId="0" borderId="177" xfId="0" applyFont="1" applyBorder="1" applyAlignment="1">
      <alignment horizontal="center" vertical="center"/>
    </xf>
    <xf numFmtId="41" fontId="5" fillId="0" borderId="176" xfId="1" applyFont="1" applyBorder="1" applyAlignment="1">
      <alignment vertical="center"/>
    </xf>
    <xf numFmtId="41" fontId="5" fillId="0" borderId="12" xfId="1" applyFont="1" applyBorder="1" applyAlignment="1">
      <alignment horizontal="center" vertical="center"/>
    </xf>
    <xf numFmtId="41" fontId="5" fillId="3" borderId="12" xfId="1" applyFont="1" applyFill="1" applyBorder="1" applyAlignment="1">
      <alignment horizontal="center" vertical="center"/>
    </xf>
    <xf numFmtId="41" fontId="5" fillId="2" borderId="155" xfId="1" applyFont="1" applyFill="1" applyBorder="1" applyAlignment="1">
      <alignment vertical="center"/>
    </xf>
    <xf numFmtId="0" fontId="5" fillId="3" borderId="14" xfId="1" applyNumberFormat="1" applyFont="1" applyFill="1" applyBorder="1" applyAlignment="1">
      <alignment horizontal="center" vertical="center"/>
    </xf>
    <xf numFmtId="0" fontId="5" fillId="3" borderId="65" xfId="1" applyNumberFormat="1" applyFont="1" applyFill="1" applyBorder="1" applyAlignment="1">
      <alignment horizontal="center" vertical="center"/>
    </xf>
    <xf numFmtId="0" fontId="5" fillId="2" borderId="150" xfId="0" applyFont="1" applyFill="1" applyBorder="1" applyAlignment="1">
      <alignment horizontal="center" vertical="center" shrinkToFit="1"/>
    </xf>
    <xf numFmtId="41" fontId="5" fillId="0" borderId="16" xfId="1" applyFont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180" fontId="5" fillId="2" borderId="108" xfId="0" applyNumberFormat="1" applyFont="1" applyFill="1" applyBorder="1" applyAlignment="1">
      <alignment horizontal="center"/>
    </xf>
    <xf numFmtId="0" fontId="5" fillId="2" borderId="123" xfId="0" quotePrefix="1" applyFont="1" applyFill="1" applyBorder="1" applyAlignment="1">
      <alignment horizontal="center" vertical="center"/>
    </xf>
    <xf numFmtId="41" fontId="5" fillId="2" borderId="184" xfId="1" applyFont="1" applyFill="1" applyBorder="1" applyAlignment="1">
      <alignment vertical="center"/>
    </xf>
    <xf numFmtId="180" fontId="5" fillId="2" borderId="10" xfId="0" applyNumberFormat="1" applyFont="1" applyFill="1" applyBorder="1" applyAlignment="1">
      <alignment horizontal="center"/>
    </xf>
    <xf numFmtId="180" fontId="5" fillId="2" borderId="29" xfId="0" applyNumberFormat="1" applyFont="1" applyFill="1" applyBorder="1" applyAlignment="1">
      <alignment horizontal="center"/>
    </xf>
    <xf numFmtId="41" fontId="5" fillId="2" borderId="124" xfId="1" applyFont="1" applyFill="1" applyBorder="1" applyAlignment="1">
      <alignment vertical="center"/>
    </xf>
    <xf numFmtId="180" fontId="5" fillId="2" borderId="60" xfId="0" applyNumberFormat="1" applyFont="1" applyFill="1" applyBorder="1" applyAlignment="1">
      <alignment horizontal="center"/>
    </xf>
    <xf numFmtId="0" fontId="5" fillId="2" borderId="88" xfId="0" quotePrefix="1" applyFont="1" applyFill="1" applyBorder="1" applyAlignment="1">
      <alignment horizontal="center" vertical="center"/>
    </xf>
    <xf numFmtId="41" fontId="5" fillId="2" borderId="185" xfId="1" applyFont="1" applyFill="1" applyBorder="1" applyAlignment="1">
      <alignment vertical="center"/>
    </xf>
    <xf numFmtId="180" fontId="5" fillId="2" borderId="67" xfId="0" applyNumberFormat="1" applyFont="1" applyFill="1" applyBorder="1" applyAlignment="1">
      <alignment horizontal="center"/>
    </xf>
    <xf numFmtId="41" fontId="5" fillId="2" borderId="125" xfId="1" applyFont="1" applyFill="1" applyBorder="1" applyAlignment="1">
      <alignment vertical="center"/>
    </xf>
    <xf numFmtId="41" fontId="5" fillId="2" borderId="0" xfId="1" applyFont="1" applyFill="1" applyAlignment="1">
      <alignment horizontal="center"/>
    </xf>
    <xf numFmtId="0" fontId="23" fillId="2" borderId="167" xfId="13" applyNumberFormat="1" applyFont="1" applyFill="1" applyBorder="1" applyAlignment="1">
      <alignment horizontal="center" vertical="center"/>
    </xf>
    <xf numFmtId="0" fontId="23" fillId="2" borderId="168" xfId="0" applyFont="1" applyFill="1" applyBorder="1" applyAlignment="1">
      <alignment horizontal="center" vertical="center"/>
    </xf>
    <xf numFmtId="0" fontId="23" fillId="2" borderId="83" xfId="0" applyFont="1" applyFill="1" applyBorder="1" applyAlignment="1">
      <alignment horizontal="center" vertical="center" wrapText="1"/>
    </xf>
    <xf numFmtId="0" fontId="23" fillId="2" borderId="150" xfId="13" applyNumberFormat="1" applyFont="1" applyFill="1" applyBorder="1" applyAlignment="1">
      <alignment horizontal="center" vertical="center"/>
    </xf>
    <xf numFmtId="0" fontId="23" fillId="2" borderId="16" xfId="13" applyNumberFormat="1" applyFont="1" applyFill="1" applyBorder="1" applyAlignment="1">
      <alignment horizontal="center" vertical="center"/>
    </xf>
    <xf numFmtId="0" fontId="23" fillId="2" borderId="16" xfId="0" applyFont="1" applyFill="1" applyBorder="1" applyAlignment="1">
      <alignment horizontal="center" vertical="center"/>
    </xf>
    <xf numFmtId="0" fontId="23" fillId="2" borderId="14" xfId="0" applyFont="1" applyFill="1" applyBorder="1" applyAlignment="1">
      <alignment horizontal="center" vertical="center" wrapText="1"/>
    </xf>
    <xf numFmtId="0" fontId="23" fillId="2" borderId="14" xfId="13" applyNumberFormat="1" applyFont="1" applyFill="1" applyBorder="1" applyAlignment="1">
      <alignment horizontal="center" vertical="center"/>
    </xf>
    <xf numFmtId="0" fontId="23" fillId="2" borderId="14" xfId="0" applyFont="1" applyFill="1" applyBorder="1" applyAlignment="1">
      <alignment horizontal="center" vertical="center"/>
    </xf>
    <xf numFmtId="0" fontId="23" fillId="2" borderId="150" xfId="0" applyFont="1" applyFill="1" applyBorder="1" applyAlignment="1">
      <alignment horizontal="center" vertical="center" wrapText="1"/>
    </xf>
    <xf numFmtId="0" fontId="23" fillId="2" borderId="150" xfId="0" applyFont="1" applyFill="1" applyBorder="1" applyAlignment="1">
      <alignment horizontal="center" vertical="center"/>
    </xf>
    <xf numFmtId="0" fontId="23" fillId="2" borderId="83" xfId="13" applyNumberFormat="1" applyFont="1" applyFill="1" applyBorder="1" applyAlignment="1">
      <alignment horizontal="center" vertical="center"/>
    </xf>
    <xf numFmtId="0" fontId="23" fillId="2" borderId="84" xfId="0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center" vertical="center"/>
    </xf>
    <xf numFmtId="0" fontId="23" fillId="3" borderId="84" xfId="0" applyFont="1" applyFill="1" applyBorder="1" applyAlignment="1">
      <alignment horizontal="center" vertical="center"/>
    </xf>
    <xf numFmtId="0" fontId="23" fillId="2" borderId="83" xfId="0" applyFont="1" applyFill="1" applyBorder="1" applyAlignment="1">
      <alignment horizontal="center" vertical="center"/>
    </xf>
    <xf numFmtId="0" fontId="23" fillId="2" borderId="16" xfId="0" applyFont="1" applyFill="1" applyBorder="1" applyAlignment="1">
      <alignment horizontal="center" vertical="center" wrapText="1"/>
    </xf>
    <xf numFmtId="0" fontId="23" fillId="3" borderId="12" xfId="0" applyFont="1" applyFill="1" applyBorder="1" applyAlignment="1">
      <alignment horizontal="center" vertical="center"/>
    </xf>
    <xf numFmtId="0" fontId="23" fillId="3" borderId="17" xfId="0" applyFont="1" applyFill="1" applyBorder="1" applyAlignment="1">
      <alignment horizontal="center" vertical="center"/>
    </xf>
    <xf numFmtId="0" fontId="23" fillId="2" borderId="65" xfId="0" applyFont="1" applyFill="1" applyBorder="1" applyAlignment="1">
      <alignment horizontal="center" vertical="center" wrapText="1"/>
    </xf>
    <xf numFmtId="0" fontId="23" fillId="2" borderId="65" xfId="13" applyNumberFormat="1" applyFont="1" applyFill="1" applyBorder="1" applyAlignment="1">
      <alignment horizontal="center" vertical="center"/>
    </xf>
    <xf numFmtId="0" fontId="23" fillId="3" borderId="66" xfId="0" applyFont="1" applyFill="1" applyBorder="1" applyAlignment="1">
      <alignment horizontal="center" vertical="center"/>
    </xf>
    <xf numFmtId="0" fontId="23" fillId="2" borderId="122" xfId="0" applyFont="1" applyFill="1" applyBorder="1" applyAlignment="1">
      <alignment horizontal="center" vertical="center"/>
    </xf>
    <xf numFmtId="0" fontId="23" fillId="2" borderId="122" xfId="13" applyNumberFormat="1" applyFont="1" applyFill="1" applyBorder="1" applyAlignment="1">
      <alignment horizontal="center" vertical="center"/>
    </xf>
    <xf numFmtId="0" fontId="23" fillId="3" borderId="123" xfId="0" applyFont="1" applyFill="1" applyBorder="1" applyAlignment="1">
      <alignment horizontal="center" vertical="center" shrinkToFit="1"/>
    </xf>
    <xf numFmtId="0" fontId="23" fillId="3" borderId="12" xfId="0" applyFont="1" applyFill="1" applyBorder="1" applyAlignment="1">
      <alignment horizontal="center" vertical="center" shrinkToFit="1"/>
    </xf>
    <xf numFmtId="0" fontId="23" fillId="2" borderId="156" xfId="0" applyFont="1" applyFill="1" applyBorder="1" applyAlignment="1">
      <alignment horizontal="center" vertical="center"/>
    </xf>
    <xf numFmtId="0" fontId="23" fillId="2" borderId="12" xfId="0" applyFont="1" applyFill="1" applyBorder="1" applyAlignment="1">
      <alignment horizontal="center" vertical="center" shrinkToFit="1"/>
    </xf>
    <xf numFmtId="0" fontId="23" fillId="2" borderId="123" xfId="0" applyFont="1" applyFill="1" applyBorder="1" applyAlignment="1">
      <alignment horizontal="center" vertical="center"/>
    </xf>
    <xf numFmtId="0" fontId="8" fillId="2" borderId="146" xfId="0" applyFont="1" applyFill="1" applyBorder="1" applyAlignment="1">
      <alignment horizontal="center" vertical="center"/>
    </xf>
    <xf numFmtId="0" fontId="8" fillId="2" borderId="150" xfId="1" applyNumberFormat="1" applyFont="1" applyFill="1" applyBorder="1" applyAlignment="1">
      <alignment horizontal="center" vertical="center"/>
    </xf>
    <xf numFmtId="0" fontId="23" fillId="2" borderId="159" xfId="13" applyNumberFormat="1" applyFont="1" applyFill="1" applyBorder="1" applyAlignment="1">
      <alignment horizontal="center" vertical="center"/>
    </xf>
    <xf numFmtId="0" fontId="23" fillId="0" borderId="188" xfId="0" applyFont="1" applyBorder="1" applyAlignment="1">
      <alignment horizontal="center" vertical="center" shrinkToFit="1"/>
    </xf>
    <xf numFmtId="0" fontId="23" fillId="2" borderId="84" xfId="0" applyFont="1" applyFill="1" applyBorder="1" applyAlignment="1">
      <alignment horizontal="center" vertical="center" shrinkToFit="1"/>
    </xf>
    <xf numFmtId="0" fontId="23" fillId="2" borderId="17" xfId="0" quotePrefix="1" applyFont="1" applyFill="1" applyBorder="1" applyAlignment="1">
      <alignment horizontal="center" vertical="center" shrinkToFit="1"/>
    </xf>
    <xf numFmtId="0" fontId="23" fillId="2" borderId="12" xfId="0" quotePrefix="1" applyFont="1" applyFill="1" applyBorder="1" applyAlignment="1">
      <alignment horizontal="center" vertical="center" shrinkToFit="1"/>
    </xf>
    <xf numFmtId="0" fontId="23" fillId="2" borderId="189" xfId="0" applyFont="1" applyFill="1" applyBorder="1" applyAlignment="1">
      <alignment horizontal="center" vertical="center"/>
    </xf>
    <xf numFmtId="0" fontId="23" fillId="2" borderId="168" xfId="0" applyFont="1" applyFill="1" applyBorder="1" applyAlignment="1">
      <alignment horizontal="center" vertical="center" shrinkToFit="1"/>
    </xf>
    <xf numFmtId="0" fontId="23" fillId="2" borderId="15" xfId="0" applyFont="1" applyFill="1" applyBorder="1" applyAlignment="1">
      <alignment horizontal="center" vertical="center" shrinkToFit="1"/>
    </xf>
    <xf numFmtId="0" fontId="35" fillId="2" borderId="94" xfId="0" applyFont="1" applyFill="1" applyBorder="1" applyAlignment="1">
      <alignment horizontal="center" vertical="center" wrapText="1"/>
    </xf>
    <xf numFmtId="0" fontId="23" fillId="2" borderId="17" xfId="0" applyFont="1" applyFill="1" applyBorder="1" applyAlignment="1">
      <alignment horizontal="center" vertical="center" shrinkToFit="1"/>
    </xf>
    <xf numFmtId="0" fontId="35" fillId="2" borderId="97" xfId="0" applyFont="1" applyFill="1" applyBorder="1" applyAlignment="1">
      <alignment horizontal="center" vertical="center" wrapText="1"/>
    </xf>
    <xf numFmtId="0" fontId="23" fillId="2" borderId="68" xfId="13" applyNumberFormat="1" applyFont="1" applyFill="1" applyBorder="1" applyAlignment="1">
      <alignment horizontal="center" vertical="center"/>
    </xf>
    <xf numFmtId="0" fontId="23" fillId="2" borderId="69" xfId="0" applyFont="1" applyFill="1" applyBorder="1" applyAlignment="1">
      <alignment horizontal="center" vertical="center" shrinkToFit="1"/>
    </xf>
    <xf numFmtId="0" fontId="23" fillId="0" borderId="12" xfId="0" applyFont="1" applyBorder="1" applyAlignment="1">
      <alignment horizontal="center" vertical="center" shrinkToFit="1"/>
    </xf>
    <xf numFmtId="0" fontId="23" fillId="3" borderId="16" xfId="0" applyFont="1" applyFill="1" applyBorder="1" applyAlignment="1">
      <alignment horizontal="center" vertical="center" shrinkToFit="1"/>
    </xf>
    <xf numFmtId="0" fontId="23" fillId="0" borderId="16" xfId="0" applyFont="1" applyBorder="1" applyAlignment="1">
      <alignment horizontal="center" vertical="center" shrinkToFit="1"/>
    </xf>
    <xf numFmtId="0" fontId="23" fillId="2" borderId="16" xfId="0" applyFont="1" applyFill="1" applyBorder="1" applyAlignment="1">
      <alignment horizontal="center" vertical="center" shrinkToFit="1"/>
    </xf>
    <xf numFmtId="0" fontId="23" fillId="3" borderId="14" xfId="0" applyFont="1" applyFill="1" applyBorder="1" applyAlignment="1">
      <alignment horizontal="center" vertical="center" shrinkToFit="1"/>
    </xf>
    <xf numFmtId="0" fontId="23" fillId="2" borderId="83" xfId="0" applyFont="1" applyFill="1" applyBorder="1" applyAlignment="1">
      <alignment horizontal="center" vertical="center" shrinkToFit="1"/>
    </xf>
    <xf numFmtId="0" fontId="23" fillId="2" borderId="68" xfId="0" applyFont="1" applyFill="1" applyBorder="1" applyAlignment="1">
      <alignment horizontal="center" vertical="center"/>
    </xf>
    <xf numFmtId="0" fontId="23" fillId="0" borderId="123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3" fillId="0" borderId="84" xfId="0" applyFont="1" applyBorder="1" applyAlignment="1">
      <alignment horizontal="center" vertical="center"/>
    </xf>
    <xf numFmtId="0" fontId="23" fillId="3" borderId="15" xfId="0" applyFont="1" applyFill="1" applyBorder="1" applyAlignment="1">
      <alignment horizontal="center" vertical="center"/>
    </xf>
    <xf numFmtId="0" fontId="23" fillId="3" borderId="69" xfId="0" applyFont="1" applyFill="1" applyBorder="1" applyAlignment="1">
      <alignment horizontal="center" vertical="center"/>
    </xf>
    <xf numFmtId="182" fontId="23" fillId="2" borderId="12" xfId="0" quotePrefix="1" applyNumberFormat="1" applyFont="1" applyFill="1" applyBorder="1" applyAlignment="1">
      <alignment horizontal="center" vertical="center"/>
    </xf>
    <xf numFmtId="0" fontId="23" fillId="0" borderId="98" xfId="13" applyNumberFormat="1" applyFont="1" applyFill="1" applyBorder="1" applyAlignment="1">
      <alignment horizontal="center" vertical="center"/>
    </xf>
    <xf numFmtId="182" fontId="23" fillId="0" borderId="99" xfId="0" quotePrefix="1" applyNumberFormat="1" applyFont="1" applyBorder="1" applyAlignment="1">
      <alignment horizontal="center" vertical="center" shrinkToFit="1"/>
    </xf>
    <xf numFmtId="0" fontId="23" fillId="0" borderId="68" xfId="13" applyNumberFormat="1" applyFont="1" applyFill="1" applyBorder="1" applyAlignment="1">
      <alignment horizontal="center" vertical="center"/>
    </xf>
    <xf numFmtId="0" fontId="23" fillId="0" borderId="69" xfId="0" quotePrefix="1" applyFont="1" applyBorder="1" applyAlignment="1">
      <alignment horizontal="center" vertical="center" shrinkToFit="1"/>
    </xf>
    <xf numFmtId="179" fontId="26" fillId="2" borderId="167" xfId="13" applyFont="1" applyFill="1" applyBorder="1" applyAlignment="1">
      <alignment horizontal="center" vertical="center"/>
    </xf>
    <xf numFmtId="179" fontId="26" fillId="2" borderId="150" xfId="13" applyFont="1" applyFill="1" applyBorder="1" applyAlignment="1">
      <alignment horizontal="center" vertical="center"/>
    </xf>
    <xf numFmtId="179" fontId="26" fillId="2" borderId="16" xfId="13" applyFont="1" applyFill="1" applyBorder="1" applyAlignment="1">
      <alignment horizontal="center" vertical="center"/>
    </xf>
    <xf numFmtId="179" fontId="26" fillId="2" borderId="14" xfId="13" applyFont="1" applyFill="1" applyBorder="1" applyAlignment="1">
      <alignment horizontal="center" vertical="center"/>
    </xf>
    <xf numFmtId="179" fontId="26" fillId="2" borderId="83" xfId="13" applyFont="1" applyFill="1" applyBorder="1" applyAlignment="1">
      <alignment horizontal="center" vertical="center"/>
    </xf>
    <xf numFmtId="179" fontId="26" fillId="3" borderId="83" xfId="13" applyFont="1" applyFill="1" applyBorder="1" applyAlignment="1">
      <alignment horizontal="center" vertical="center"/>
    </xf>
    <xf numFmtId="179" fontId="26" fillId="3" borderId="150" xfId="13" applyFont="1" applyFill="1" applyBorder="1" applyAlignment="1">
      <alignment horizontal="center" vertical="center"/>
    </xf>
    <xf numFmtId="179" fontId="26" fillId="3" borderId="16" xfId="13" applyFont="1" applyFill="1" applyBorder="1" applyAlignment="1">
      <alignment horizontal="center" vertical="center"/>
    </xf>
    <xf numFmtId="179" fontId="26" fillId="3" borderId="65" xfId="13" applyFont="1" applyFill="1" applyBorder="1" applyAlignment="1">
      <alignment horizontal="center" vertical="center"/>
    </xf>
    <xf numFmtId="179" fontId="26" fillId="3" borderId="122" xfId="13" applyFont="1" applyFill="1" applyBorder="1" applyAlignment="1">
      <alignment horizontal="center" vertical="center" shrinkToFit="1"/>
    </xf>
    <xf numFmtId="179" fontId="26" fillId="3" borderId="150" xfId="13" applyFont="1" applyFill="1" applyBorder="1" applyAlignment="1">
      <alignment horizontal="center" vertical="center" shrinkToFit="1"/>
    </xf>
    <xf numFmtId="179" fontId="26" fillId="2" borderId="150" xfId="13" applyFont="1" applyFill="1" applyBorder="1" applyAlignment="1">
      <alignment horizontal="center" vertical="center" shrinkToFit="1"/>
    </xf>
    <xf numFmtId="179" fontId="26" fillId="2" borderId="122" xfId="13" applyFont="1" applyFill="1" applyBorder="1" applyAlignment="1">
      <alignment horizontal="center" vertical="center"/>
    </xf>
    <xf numFmtId="41" fontId="5" fillId="2" borderId="17" xfId="1" applyFont="1" applyFill="1" applyBorder="1" applyAlignment="1">
      <alignment horizontal="center" vertical="center"/>
    </xf>
    <xf numFmtId="179" fontId="26" fillId="0" borderId="159" xfId="13" applyFont="1" applyBorder="1" applyAlignment="1">
      <alignment horizontal="center" vertical="center" shrinkToFit="1"/>
    </xf>
    <xf numFmtId="179" fontId="26" fillId="2" borderId="83" xfId="13" applyFont="1" applyFill="1" applyBorder="1" applyAlignment="1">
      <alignment horizontal="center" vertical="center" shrinkToFit="1"/>
    </xf>
    <xf numFmtId="179" fontId="26" fillId="2" borderId="16" xfId="13" applyFont="1" applyFill="1" applyBorder="1" applyAlignment="1">
      <alignment horizontal="center" vertical="center" shrinkToFit="1"/>
    </xf>
    <xf numFmtId="179" fontId="26" fillId="2" borderId="167" xfId="13" applyFont="1" applyFill="1" applyBorder="1" applyAlignment="1">
      <alignment horizontal="center" vertical="center" shrinkToFit="1"/>
    </xf>
    <xf numFmtId="179" fontId="26" fillId="2" borderId="14" xfId="13" applyFont="1" applyFill="1" applyBorder="1" applyAlignment="1">
      <alignment horizontal="center" vertical="center" shrinkToFit="1"/>
    </xf>
    <xf numFmtId="179" fontId="26" fillId="0" borderId="16" xfId="13" applyFont="1" applyBorder="1" applyAlignment="1">
      <alignment horizontal="center" vertical="center" shrinkToFit="1"/>
    </xf>
    <xf numFmtId="179" fontId="26" fillId="0" borderId="68" xfId="13" applyFont="1" applyBorder="1" applyAlignment="1">
      <alignment horizontal="center" vertical="center" shrinkToFit="1"/>
    </xf>
    <xf numFmtId="179" fontId="26" fillId="0" borderId="150" xfId="13" applyFont="1" applyBorder="1" applyAlignment="1">
      <alignment horizontal="center" vertical="center" shrinkToFit="1"/>
    </xf>
    <xf numFmtId="179" fontId="26" fillId="3" borderId="16" xfId="13" applyFont="1" applyFill="1" applyBorder="1" applyAlignment="1">
      <alignment horizontal="center" vertical="center" shrinkToFit="1"/>
    </xf>
    <xf numFmtId="179" fontId="26" fillId="2" borderId="68" xfId="13" applyFont="1" applyFill="1" applyBorder="1" applyAlignment="1">
      <alignment horizontal="center" vertical="center" shrinkToFit="1"/>
    </xf>
    <xf numFmtId="179" fontId="26" fillId="0" borderId="122" xfId="13" applyFont="1" applyBorder="1" applyAlignment="1">
      <alignment horizontal="center" vertical="center"/>
    </xf>
    <xf numFmtId="179" fontId="26" fillId="0" borderId="150" xfId="13" applyFont="1" applyBorder="1" applyAlignment="1">
      <alignment horizontal="center" vertical="center"/>
    </xf>
    <xf numFmtId="179" fontId="26" fillId="0" borderId="83" xfId="13" applyFont="1" applyBorder="1" applyAlignment="1">
      <alignment horizontal="center" vertical="center"/>
    </xf>
    <xf numFmtId="179" fontId="26" fillId="3" borderId="14" xfId="13" applyFont="1" applyFill="1" applyBorder="1" applyAlignment="1">
      <alignment horizontal="center" vertical="center"/>
    </xf>
    <xf numFmtId="179" fontId="26" fillId="3" borderId="68" xfId="13" applyFont="1" applyFill="1" applyBorder="1" applyAlignment="1">
      <alignment horizontal="center" vertical="center"/>
    </xf>
    <xf numFmtId="179" fontId="26" fillId="2" borderId="68" xfId="13" applyFont="1" applyFill="1" applyBorder="1" applyAlignment="1">
      <alignment horizontal="center" vertical="center"/>
    </xf>
    <xf numFmtId="179" fontId="26" fillId="0" borderId="98" xfId="13" applyFont="1" applyFill="1" applyBorder="1" applyAlignment="1">
      <alignment horizontal="center" vertical="center" shrinkToFit="1"/>
    </xf>
    <xf numFmtId="179" fontId="26" fillId="0" borderId="68" xfId="13" applyFont="1" applyFill="1" applyBorder="1" applyAlignment="1">
      <alignment horizontal="center" vertical="center" shrinkToFit="1"/>
    </xf>
    <xf numFmtId="49" fontId="5" fillId="0" borderId="193" xfId="3" applyNumberFormat="1" applyFont="1" applyBorder="1" applyAlignment="1">
      <alignment horizontal="center" vertical="center" shrinkToFit="1"/>
    </xf>
    <xf numFmtId="43" fontId="0" fillId="0" borderId="0" xfId="0" applyNumberFormat="1">
      <alignment vertical="center"/>
    </xf>
    <xf numFmtId="1" fontId="0" fillId="0" borderId="0" xfId="0" applyNumberFormat="1">
      <alignment vertical="center"/>
    </xf>
    <xf numFmtId="41" fontId="11" fillId="3" borderId="53" xfId="1" applyFont="1" applyFill="1" applyBorder="1" applyAlignment="1">
      <alignment horizontal="center" vertical="center"/>
    </xf>
    <xf numFmtId="41" fontId="11" fillId="3" borderId="54" xfId="1" applyFont="1" applyFill="1" applyBorder="1" applyAlignment="1">
      <alignment horizontal="center" vertical="center"/>
    </xf>
    <xf numFmtId="49" fontId="5" fillId="0" borderId="193" xfId="3" applyNumberFormat="1" applyFont="1" applyBorder="1" applyAlignment="1">
      <alignment horizontal="center" vertical="center" shrinkToFit="1"/>
    </xf>
    <xf numFmtId="49" fontId="5" fillId="0" borderId="4" xfId="3" applyNumberFormat="1" applyFont="1" applyBorder="1" applyAlignment="1">
      <alignment horizontal="center" vertical="center" shrinkToFit="1"/>
    </xf>
    <xf numFmtId="49" fontId="5" fillId="0" borderId="3" xfId="3" applyNumberFormat="1" applyFont="1" applyBorder="1" applyAlignment="1">
      <alignment horizontal="center" vertical="center" shrinkToFit="1"/>
    </xf>
    <xf numFmtId="49" fontId="5" fillId="2" borderId="46" xfId="3" applyNumberFormat="1" applyFont="1" applyFill="1" applyBorder="1" applyAlignment="1">
      <alignment horizontal="center" vertical="center" wrapText="1" shrinkToFit="1"/>
    </xf>
    <xf numFmtId="49" fontId="5" fillId="2" borderId="4" xfId="3" applyNumberFormat="1" applyFont="1" applyFill="1" applyBorder="1" applyAlignment="1">
      <alignment horizontal="center" vertical="center" wrapText="1" shrinkToFit="1"/>
    </xf>
    <xf numFmtId="49" fontId="5" fillId="2" borderId="3" xfId="3" applyNumberFormat="1" applyFont="1" applyFill="1" applyBorder="1" applyAlignment="1">
      <alignment horizontal="center" vertical="center" wrapText="1" shrinkToFit="1"/>
    </xf>
    <xf numFmtId="49" fontId="5" fillId="0" borderId="46" xfId="3" applyNumberFormat="1" applyFont="1" applyBorder="1" applyAlignment="1">
      <alignment horizontal="center" vertical="center" shrinkToFit="1"/>
    </xf>
    <xf numFmtId="49" fontId="5" fillId="0" borderId="1" xfId="3" applyNumberFormat="1" applyFont="1" applyBorder="1" applyAlignment="1">
      <alignment horizontal="center" vertical="center" shrinkToFit="1"/>
    </xf>
    <xf numFmtId="49" fontId="5" fillId="0" borderId="1" xfId="3" applyNumberFormat="1" applyFont="1" applyBorder="1" applyAlignment="1">
      <alignment horizontal="center" vertical="center" wrapText="1" shrinkToFit="1"/>
    </xf>
    <xf numFmtId="49" fontId="5" fillId="2" borderId="1" xfId="3" applyNumberFormat="1" applyFont="1" applyFill="1" applyBorder="1" applyAlignment="1">
      <alignment horizontal="center" vertical="center" wrapText="1" shrinkToFit="1"/>
    </xf>
    <xf numFmtId="49" fontId="5" fillId="0" borderId="2" xfId="3" applyNumberFormat="1" applyFont="1" applyBorder="1" applyAlignment="1">
      <alignment horizontal="center" vertical="center" wrapText="1" shrinkToFit="1"/>
    </xf>
    <xf numFmtId="49" fontId="5" fillId="0" borderId="2" xfId="3" applyNumberFormat="1" applyFont="1" applyBorder="1" applyAlignment="1">
      <alignment horizontal="center" vertical="center" shrinkToFit="1"/>
    </xf>
    <xf numFmtId="0" fontId="5" fillId="0" borderId="1" xfId="3" applyFont="1" applyBorder="1" applyAlignment="1">
      <alignment horizontal="center" vertical="center"/>
    </xf>
    <xf numFmtId="49" fontId="5" fillId="0" borderId="4" xfId="3" applyNumberFormat="1" applyFont="1" applyBorder="1" applyAlignment="1">
      <alignment horizontal="center" vertical="center" wrapText="1" shrinkToFit="1"/>
    </xf>
    <xf numFmtId="49" fontId="5" fillId="0" borderId="3" xfId="3" applyNumberFormat="1" applyFont="1" applyBorder="1" applyAlignment="1">
      <alignment horizontal="center" vertical="center" wrapText="1" shrinkToFit="1"/>
    </xf>
    <xf numFmtId="49" fontId="5" fillId="0" borderId="46" xfId="3" applyNumberFormat="1" applyFont="1" applyBorder="1" applyAlignment="1">
      <alignment horizontal="center" vertical="center" wrapText="1" shrinkToFit="1"/>
    </xf>
    <xf numFmtId="0" fontId="5" fillId="0" borderId="2" xfId="3" applyFont="1" applyBorder="1" applyAlignment="1">
      <alignment horizontal="center" vertical="center" wrapText="1"/>
    </xf>
    <xf numFmtId="0" fontId="5" fillId="0" borderId="4" xfId="3" applyFont="1" applyBorder="1" applyAlignment="1">
      <alignment horizontal="center" vertical="center" wrapText="1"/>
    </xf>
    <xf numFmtId="0" fontId="5" fillId="0" borderId="3" xfId="3" applyFont="1" applyBorder="1" applyAlignment="1">
      <alignment horizontal="center" vertical="center" wrapText="1"/>
    </xf>
    <xf numFmtId="0" fontId="5" fillId="0" borderId="2" xfId="3" applyFont="1" applyBorder="1" applyAlignment="1">
      <alignment horizontal="center" vertical="center"/>
    </xf>
    <xf numFmtId="0" fontId="5" fillId="0" borderId="4" xfId="3" applyFont="1" applyBorder="1" applyAlignment="1">
      <alignment horizontal="center" vertical="center"/>
    </xf>
    <xf numFmtId="0" fontId="5" fillId="0" borderId="3" xfId="3" applyFont="1" applyBorder="1" applyAlignment="1">
      <alignment horizontal="center" vertical="center"/>
    </xf>
    <xf numFmtId="0" fontId="5" fillId="2" borderId="2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 wrapText="1"/>
    </xf>
    <xf numFmtId="49" fontId="5" fillId="2" borderId="2" xfId="3" applyNumberFormat="1" applyFont="1" applyFill="1" applyBorder="1" applyAlignment="1">
      <alignment horizontal="center" vertical="center" wrapText="1" shrinkToFit="1"/>
    </xf>
    <xf numFmtId="49" fontId="5" fillId="0" borderId="2" xfId="3" applyNumberFormat="1" applyFont="1" applyBorder="1" applyAlignment="1">
      <alignment horizontal="center" vertical="center" wrapText="1"/>
    </xf>
    <xf numFmtId="49" fontId="5" fillId="0" borderId="4" xfId="3" applyNumberFormat="1" applyFont="1" applyBorder="1" applyAlignment="1">
      <alignment horizontal="center" vertical="center" wrapText="1"/>
    </xf>
    <xf numFmtId="49" fontId="5" fillId="2" borderId="1" xfId="3" applyNumberFormat="1" applyFont="1" applyFill="1" applyBorder="1" applyAlignment="1">
      <alignment horizontal="center" vertical="center" shrinkToFit="1"/>
    </xf>
    <xf numFmtId="49" fontId="5" fillId="0" borderId="2" xfId="9" applyNumberFormat="1" applyFont="1" applyBorder="1" applyAlignment="1">
      <alignment horizontal="center" vertical="center" shrinkToFit="1"/>
    </xf>
    <xf numFmtId="49" fontId="5" fillId="0" borderId="3" xfId="9" applyNumberFormat="1" applyFont="1" applyBorder="1" applyAlignment="1">
      <alignment horizontal="center" vertical="center" shrinkToFit="1"/>
    </xf>
    <xf numFmtId="49" fontId="5" fillId="0" borderId="1" xfId="9" applyNumberFormat="1" applyFont="1" applyBorder="1" applyAlignment="1">
      <alignment horizontal="center" vertical="center" wrapText="1" shrinkToFit="1"/>
    </xf>
    <xf numFmtId="49" fontId="5" fillId="0" borderId="4" xfId="9" applyNumberFormat="1" applyFont="1" applyBorder="1" applyAlignment="1">
      <alignment horizontal="center" vertical="center" shrinkToFit="1"/>
    </xf>
    <xf numFmtId="3" fontId="5" fillId="0" borderId="2" xfId="5" applyNumberFormat="1" applyFont="1" applyBorder="1" applyAlignment="1">
      <alignment horizontal="center" vertical="center" wrapText="1"/>
    </xf>
    <xf numFmtId="3" fontId="5" fillId="0" borderId="3" xfId="5" applyNumberFormat="1" applyFont="1" applyBorder="1" applyAlignment="1">
      <alignment horizontal="center" vertical="center" wrapText="1"/>
    </xf>
    <xf numFmtId="3" fontId="5" fillId="0" borderId="1" xfId="5" applyNumberFormat="1" applyFont="1" applyBorder="1" applyAlignment="1">
      <alignment horizontal="center" vertical="center" wrapText="1"/>
    </xf>
    <xf numFmtId="3" fontId="5" fillId="0" borderId="4" xfId="5" applyNumberFormat="1" applyFont="1" applyBorder="1" applyAlignment="1">
      <alignment horizontal="center" vertical="center" wrapText="1"/>
    </xf>
    <xf numFmtId="49" fontId="5" fillId="0" borderId="1" xfId="3" applyNumberFormat="1" applyFont="1" applyBorder="1" applyAlignment="1">
      <alignment horizontal="center" vertical="center" wrapText="1"/>
    </xf>
    <xf numFmtId="0" fontId="5" fillId="2" borderId="203" xfId="1" applyNumberFormat="1" applyFont="1" applyFill="1" applyBorder="1" applyAlignment="1">
      <alignment horizontal="center" vertical="center"/>
    </xf>
    <xf numFmtId="0" fontId="5" fillId="2" borderId="192" xfId="1" applyNumberFormat="1" applyFont="1" applyFill="1" applyBorder="1" applyAlignment="1">
      <alignment horizontal="center" vertical="center"/>
    </xf>
    <xf numFmtId="0" fontId="5" fillId="2" borderId="83" xfId="1" applyNumberFormat="1" applyFont="1" applyFill="1" applyBorder="1" applyAlignment="1">
      <alignment horizontal="center" vertical="center"/>
    </xf>
    <xf numFmtId="0" fontId="5" fillId="2" borderId="202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6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67" xfId="0" applyFont="1" applyFill="1" applyBorder="1" applyAlignment="1">
      <alignment horizontal="center" vertical="center"/>
    </xf>
    <xf numFmtId="0" fontId="5" fillId="2" borderId="201" xfId="0" applyFont="1" applyFill="1" applyBorder="1" applyAlignment="1">
      <alignment horizontal="center" vertical="center"/>
    </xf>
    <xf numFmtId="0" fontId="5" fillId="2" borderId="82" xfId="0" applyFont="1" applyFill="1" applyBorder="1" applyAlignment="1">
      <alignment horizontal="center" vertical="center"/>
    </xf>
    <xf numFmtId="0" fontId="5" fillId="2" borderId="60" xfId="0" applyFont="1" applyFill="1" applyBorder="1" applyAlignment="1">
      <alignment horizontal="center" vertical="center"/>
    </xf>
    <xf numFmtId="0" fontId="5" fillId="2" borderId="14" xfId="1" applyNumberFormat="1" applyFont="1" applyFill="1" applyBorder="1" applyAlignment="1">
      <alignment horizontal="center" vertical="center"/>
    </xf>
    <xf numFmtId="0" fontId="5" fillId="2" borderId="65" xfId="1" applyNumberFormat="1" applyFont="1" applyFill="1" applyBorder="1" applyAlignment="1">
      <alignment horizontal="center" vertical="center"/>
    </xf>
    <xf numFmtId="0" fontId="5" fillId="2" borderId="200" xfId="1" applyNumberFormat="1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5" fillId="2" borderId="194" xfId="1" applyNumberFormat="1" applyFont="1" applyFill="1" applyBorder="1" applyAlignment="1">
      <alignment horizontal="center" vertical="center"/>
    </xf>
    <xf numFmtId="0" fontId="5" fillId="2" borderId="68" xfId="1" applyNumberFormat="1" applyFont="1" applyFill="1" applyBorder="1" applyAlignment="1">
      <alignment horizontal="center" vertical="center"/>
    </xf>
    <xf numFmtId="0" fontId="5" fillId="2" borderId="20" xfId="1" applyNumberFormat="1" applyFont="1" applyFill="1" applyBorder="1" applyAlignment="1">
      <alignment horizontal="center" vertical="center"/>
    </xf>
    <xf numFmtId="0" fontId="5" fillId="2" borderId="76" xfId="1" applyNumberFormat="1" applyFont="1" applyFill="1" applyBorder="1" applyAlignment="1">
      <alignment horizontal="center" vertical="center"/>
    </xf>
    <xf numFmtId="0" fontId="5" fillId="2" borderId="208" xfId="0" applyFont="1" applyFill="1" applyBorder="1" applyAlignment="1">
      <alignment horizontal="center" vertical="center"/>
    </xf>
    <xf numFmtId="0" fontId="5" fillId="2" borderId="207" xfId="1" applyNumberFormat="1" applyFont="1" applyFill="1" applyBorder="1" applyAlignment="1">
      <alignment horizontal="center" vertical="center"/>
    </xf>
    <xf numFmtId="41" fontId="5" fillId="2" borderId="209" xfId="1" applyFont="1" applyFill="1" applyBorder="1" applyAlignment="1">
      <alignment horizontal="center" vertical="center" wrapText="1"/>
    </xf>
    <xf numFmtId="41" fontId="5" fillId="2" borderId="23" xfId="1" applyFont="1" applyFill="1" applyBorder="1" applyAlignment="1">
      <alignment horizontal="center" vertical="center" wrapText="1"/>
    </xf>
    <xf numFmtId="41" fontId="5" fillId="2" borderId="26" xfId="1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/>
    </xf>
    <xf numFmtId="0" fontId="5" fillId="2" borderId="192" xfId="0" applyFont="1" applyFill="1" applyBorder="1" applyAlignment="1">
      <alignment horizontal="center" vertical="center"/>
    </xf>
    <xf numFmtId="0" fontId="5" fillId="2" borderId="83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82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5" fillId="2" borderId="198" xfId="0" applyFont="1" applyFill="1" applyBorder="1" applyAlignment="1">
      <alignment horizontal="center" vertical="center"/>
    </xf>
    <xf numFmtId="0" fontId="5" fillId="2" borderId="64" xfId="0" applyFont="1" applyFill="1" applyBorder="1" applyAlignment="1">
      <alignment horizontal="center" vertical="center" wrapText="1"/>
    </xf>
    <xf numFmtId="0" fontId="5" fillId="2" borderId="206" xfId="0" applyFont="1" applyFill="1" applyBorder="1" applyAlignment="1">
      <alignment horizontal="center" vertical="center" wrapText="1"/>
    </xf>
    <xf numFmtId="0" fontId="5" fillId="2" borderId="205" xfId="0" applyFont="1" applyFill="1" applyBorder="1" applyAlignment="1">
      <alignment horizontal="center" vertical="center" wrapText="1"/>
    </xf>
    <xf numFmtId="0" fontId="5" fillId="2" borderId="91" xfId="0" applyFont="1" applyFill="1" applyBorder="1" applyAlignment="1">
      <alignment horizontal="center" vertical="center" wrapText="1"/>
    </xf>
    <xf numFmtId="0" fontId="5" fillId="2" borderId="60" xfId="0" applyFont="1" applyFill="1" applyBorder="1" applyAlignment="1">
      <alignment horizontal="center" vertical="center" wrapText="1"/>
    </xf>
    <xf numFmtId="0" fontId="5" fillId="2" borderId="198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/>
    </xf>
    <xf numFmtId="0" fontId="5" fillId="2" borderId="205" xfId="0" applyFont="1" applyFill="1" applyBorder="1" applyAlignment="1">
      <alignment horizontal="center" vertical="center"/>
    </xf>
    <xf numFmtId="0" fontId="5" fillId="2" borderId="91" xfId="0" applyFont="1" applyFill="1" applyBorder="1" applyAlignment="1">
      <alignment horizontal="center" vertical="center"/>
    </xf>
    <xf numFmtId="0" fontId="5" fillId="2" borderId="67" xfId="0" applyFont="1" applyFill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65" xfId="0" applyFont="1" applyBorder="1" applyAlignment="1">
      <alignment horizontal="center" vertical="center" wrapText="1"/>
    </xf>
    <xf numFmtId="0" fontId="5" fillId="0" borderId="20" xfId="1" applyNumberFormat="1" applyFont="1" applyFill="1" applyBorder="1" applyAlignment="1">
      <alignment horizontal="center" vertical="center"/>
    </xf>
    <xf numFmtId="0" fontId="5" fillId="0" borderId="192" xfId="1" applyNumberFormat="1" applyFont="1" applyFill="1" applyBorder="1" applyAlignment="1">
      <alignment horizontal="center" vertical="center"/>
    </xf>
    <xf numFmtId="0" fontId="5" fillId="0" borderId="204" xfId="1" applyNumberFormat="1" applyFont="1" applyFill="1" applyBorder="1" applyAlignment="1">
      <alignment horizontal="center" vertical="center"/>
    </xf>
    <xf numFmtId="0" fontId="5" fillId="0" borderId="203" xfId="1" applyNumberFormat="1" applyFont="1" applyFill="1" applyBorder="1" applyAlignment="1">
      <alignment horizontal="center" vertical="center"/>
    </xf>
    <xf numFmtId="0" fontId="5" fillId="0" borderId="202" xfId="0" applyFont="1" applyBorder="1" applyAlignment="1">
      <alignment horizontal="center" vertical="center" wrapText="1"/>
    </xf>
    <xf numFmtId="0" fontId="5" fillId="0" borderId="68" xfId="1" applyNumberFormat="1" applyFont="1" applyFill="1" applyBorder="1" applyAlignment="1">
      <alignment horizontal="center" vertical="center"/>
    </xf>
    <xf numFmtId="0" fontId="5" fillId="0" borderId="67" xfId="0" applyFont="1" applyBorder="1" applyAlignment="1">
      <alignment horizontal="center" vertical="center" wrapText="1"/>
    </xf>
    <xf numFmtId="0" fontId="5" fillId="0" borderId="65" xfId="1" applyNumberFormat="1" applyFont="1" applyFill="1" applyBorder="1" applyAlignment="1">
      <alignment horizontal="center" vertical="center"/>
    </xf>
    <xf numFmtId="0" fontId="5" fillId="2" borderId="202" xfId="0" applyFont="1" applyFill="1" applyBorder="1" applyAlignment="1">
      <alignment horizontal="center" vertical="center" wrapText="1"/>
    </xf>
    <xf numFmtId="0" fontId="5" fillId="2" borderId="165" xfId="0" applyFont="1" applyFill="1" applyBorder="1" applyAlignment="1">
      <alignment horizontal="center" vertical="center" wrapText="1"/>
    </xf>
    <xf numFmtId="0" fontId="5" fillId="2" borderId="165" xfId="0" applyFont="1" applyFill="1" applyBorder="1" applyAlignment="1">
      <alignment horizontal="center" vertical="center"/>
    </xf>
    <xf numFmtId="0" fontId="5" fillId="2" borderId="199" xfId="0" applyFont="1" applyFill="1" applyBorder="1" applyAlignment="1">
      <alignment horizontal="center" vertical="center"/>
    </xf>
    <xf numFmtId="0" fontId="5" fillId="2" borderId="13" xfId="12" applyFont="1" applyFill="1" applyBorder="1" applyAlignment="1">
      <alignment horizontal="center" vertical="center"/>
    </xf>
    <xf numFmtId="0" fontId="5" fillId="2" borderId="10" xfId="12" applyFont="1" applyFill="1" applyBorder="1" applyAlignment="1">
      <alignment horizontal="center" vertical="center"/>
    </xf>
    <xf numFmtId="0" fontId="5" fillId="2" borderId="67" xfId="12" applyFont="1" applyFill="1" applyBorder="1" applyAlignment="1">
      <alignment horizontal="center" vertical="center"/>
    </xf>
    <xf numFmtId="0" fontId="5" fillId="2" borderId="201" xfId="12" applyFont="1" applyFill="1" applyBorder="1" applyAlignment="1">
      <alignment horizontal="center" vertical="center"/>
    </xf>
    <xf numFmtId="0" fontId="5" fillId="2" borderId="82" xfId="12" applyFont="1" applyFill="1" applyBorder="1" applyAlignment="1">
      <alignment horizontal="center" vertical="center"/>
    </xf>
    <xf numFmtId="0" fontId="5" fillId="2" borderId="170" xfId="0" applyFont="1" applyFill="1" applyBorder="1" applyAlignment="1">
      <alignment horizontal="center" vertical="center" wrapText="1"/>
    </xf>
    <xf numFmtId="0" fontId="5" fillId="2" borderId="201" xfId="0" applyFont="1" applyFill="1" applyBorder="1" applyAlignment="1">
      <alignment horizontal="center" vertical="center" wrapText="1"/>
    </xf>
    <xf numFmtId="0" fontId="26" fillId="2" borderId="203" xfId="0" applyFont="1" applyFill="1" applyBorder="1" applyAlignment="1">
      <alignment horizontal="center" vertical="center"/>
    </xf>
    <xf numFmtId="0" fontId="26" fillId="2" borderId="192" xfId="0" applyFont="1" applyFill="1" applyBorder="1" applyAlignment="1">
      <alignment horizontal="center" vertical="center"/>
    </xf>
    <xf numFmtId="0" fontId="26" fillId="2" borderId="68" xfId="0" applyFont="1" applyFill="1" applyBorder="1" applyAlignment="1">
      <alignment horizontal="center" vertical="center"/>
    </xf>
    <xf numFmtId="0" fontId="5" fillId="2" borderId="19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35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22" xfId="0" applyFont="1" applyFill="1" applyBorder="1" applyAlignment="1">
      <alignment horizontal="center" vertical="center"/>
    </xf>
    <xf numFmtId="0" fontId="5" fillId="2" borderId="68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9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82" xfId="0" applyFont="1" applyBorder="1" applyAlignment="1">
      <alignment horizontal="center" vertical="center" wrapText="1"/>
    </xf>
    <xf numFmtId="0" fontId="5" fillId="2" borderId="197" xfId="0" applyFont="1" applyFill="1" applyBorder="1" applyAlignment="1">
      <alignment horizontal="center" vertical="center" wrapText="1"/>
    </xf>
    <xf numFmtId="0" fontId="5" fillId="2" borderId="102" xfId="1" applyNumberFormat="1" applyFont="1" applyFill="1" applyBorder="1" applyAlignment="1">
      <alignment horizontal="center" vertical="center" wrapText="1"/>
    </xf>
    <xf numFmtId="0" fontId="5" fillId="2" borderId="9" xfId="1" applyNumberFormat="1" applyFont="1" applyFill="1" applyBorder="1" applyAlignment="1">
      <alignment horizontal="center" vertical="center" wrapText="1"/>
    </xf>
    <xf numFmtId="0" fontId="5" fillId="2" borderId="63" xfId="1" applyNumberFormat="1" applyFont="1" applyFill="1" applyBorder="1" applyAlignment="1">
      <alignment horizontal="center" vertical="center" wrapText="1"/>
    </xf>
    <xf numFmtId="0" fontId="5" fillId="2" borderId="128" xfId="1" applyNumberFormat="1" applyFont="1" applyFill="1" applyBorder="1" applyAlignment="1">
      <alignment horizontal="center" vertical="center" wrapText="1"/>
    </xf>
    <xf numFmtId="0" fontId="5" fillId="2" borderId="23" xfId="1" applyNumberFormat="1" applyFont="1" applyFill="1" applyBorder="1" applyAlignment="1">
      <alignment horizontal="center" vertical="center" wrapText="1"/>
    </xf>
    <xf numFmtId="0" fontId="5" fillId="2" borderId="26" xfId="1" applyNumberFormat="1" applyFont="1" applyFill="1" applyBorder="1" applyAlignment="1">
      <alignment horizontal="center" vertical="center" wrapText="1"/>
    </xf>
    <xf numFmtId="0" fontId="5" fillId="2" borderId="45" xfId="1" applyNumberFormat="1" applyFont="1" applyFill="1" applyBorder="1" applyAlignment="1">
      <alignment horizontal="center" vertical="center" wrapText="1"/>
    </xf>
    <xf numFmtId="0" fontId="5" fillId="2" borderId="9" xfId="1" applyNumberFormat="1" applyFont="1" applyFill="1" applyBorder="1" applyAlignment="1">
      <alignment horizontal="center" vertical="center"/>
    </xf>
    <xf numFmtId="0" fontId="5" fillId="2" borderId="63" xfId="1" applyNumberFormat="1" applyFont="1" applyFill="1" applyBorder="1" applyAlignment="1">
      <alignment horizontal="center" vertical="center"/>
    </xf>
    <xf numFmtId="0" fontId="5" fillId="2" borderId="22" xfId="1" applyNumberFormat="1" applyFont="1" applyFill="1" applyBorder="1" applyAlignment="1">
      <alignment horizontal="center" vertical="center" wrapText="1"/>
    </xf>
    <xf numFmtId="0" fontId="33" fillId="2" borderId="102" xfId="1" applyNumberFormat="1" applyFont="1" applyFill="1" applyBorder="1" applyAlignment="1">
      <alignment horizontal="center" vertical="center" wrapText="1"/>
    </xf>
    <xf numFmtId="0" fontId="5" fillId="2" borderId="121" xfId="1" applyNumberFormat="1" applyFont="1" applyFill="1" applyBorder="1" applyAlignment="1">
      <alignment horizontal="center" vertical="center" wrapText="1"/>
    </xf>
    <xf numFmtId="0" fontId="5" fillId="2" borderId="109" xfId="1" applyNumberFormat="1" applyFont="1" applyFill="1" applyBorder="1" applyAlignment="1">
      <alignment horizontal="center" vertical="center" wrapText="1"/>
    </xf>
    <xf numFmtId="0" fontId="5" fillId="2" borderId="144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29" fillId="0" borderId="23" xfId="0" applyFont="1" applyBorder="1" applyAlignment="1">
      <alignment horizontal="center" vertical="center"/>
    </xf>
    <xf numFmtId="0" fontId="29" fillId="0" borderId="77" xfId="0" applyFont="1" applyBorder="1" applyAlignment="1">
      <alignment horizontal="center" vertical="center"/>
    </xf>
    <xf numFmtId="0" fontId="5" fillId="2" borderId="107" xfId="1" applyNumberFormat="1" applyFont="1" applyFill="1" applyBorder="1" applyAlignment="1">
      <alignment horizontal="center" vertical="center" wrapText="1"/>
    </xf>
    <xf numFmtId="41" fontId="5" fillId="2" borderId="102" xfId="1" applyFont="1" applyFill="1" applyBorder="1" applyAlignment="1">
      <alignment horizontal="center" vertical="center" wrapText="1"/>
    </xf>
    <xf numFmtId="41" fontId="5" fillId="2" borderId="9" xfId="1" applyFont="1" applyFill="1" applyBorder="1" applyAlignment="1">
      <alignment horizontal="center" vertical="center" wrapText="1"/>
    </xf>
    <xf numFmtId="41" fontId="5" fillId="2" borderId="63" xfId="1" applyFont="1" applyFill="1" applyBorder="1" applyAlignment="1">
      <alignment horizontal="center" vertical="center" wrapText="1"/>
    </xf>
    <xf numFmtId="0" fontId="23" fillId="2" borderId="14" xfId="0" applyFont="1" applyFill="1" applyBorder="1" applyAlignment="1">
      <alignment horizontal="center" vertical="center" wrapText="1"/>
    </xf>
    <xf numFmtId="0" fontId="23" fillId="2" borderId="192" xfId="0" applyFont="1" applyFill="1" applyBorder="1" applyAlignment="1">
      <alignment horizontal="center" vertical="center" wrapText="1"/>
    </xf>
    <xf numFmtId="0" fontId="23" fillId="2" borderId="83" xfId="0" applyFont="1" applyFill="1" applyBorder="1" applyAlignment="1">
      <alignment horizontal="center" vertical="center" wrapText="1"/>
    </xf>
    <xf numFmtId="0" fontId="5" fillId="2" borderId="40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63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 wrapText="1"/>
    </xf>
    <xf numFmtId="0" fontId="5" fillId="2" borderId="63" xfId="0" applyFont="1" applyFill="1" applyBorder="1" applyAlignment="1">
      <alignment horizontal="center" vertical="center" wrapText="1"/>
    </xf>
    <xf numFmtId="0" fontId="30" fillId="0" borderId="9" xfId="0" applyFont="1" applyBorder="1" applyAlignment="1">
      <alignment horizontal="center" vertical="center"/>
    </xf>
    <xf numFmtId="0" fontId="30" fillId="0" borderId="63" xfId="0" applyFont="1" applyBorder="1" applyAlignment="1">
      <alignment horizontal="center" vertical="center"/>
    </xf>
    <xf numFmtId="41" fontId="5" fillId="2" borderId="109" xfId="1" applyFont="1" applyFill="1" applyBorder="1" applyAlignment="1">
      <alignment horizontal="center" vertical="center" wrapText="1"/>
    </xf>
    <xf numFmtId="0" fontId="5" fillId="2" borderId="113" xfId="1" applyNumberFormat="1" applyFont="1" applyFill="1" applyBorder="1" applyAlignment="1">
      <alignment horizontal="center" vertical="center" wrapText="1"/>
    </xf>
    <xf numFmtId="0" fontId="5" fillId="2" borderId="144" xfId="1" applyNumberFormat="1" applyFont="1" applyFill="1" applyBorder="1" applyAlignment="1">
      <alignment horizontal="center" vertical="center" wrapText="1"/>
    </xf>
    <xf numFmtId="0" fontId="29" fillId="0" borderId="23" xfId="0" applyFont="1" applyBorder="1" applyAlignment="1">
      <alignment horizontal="center" vertical="center" wrapText="1"/>
    </xf>
    <xf numFmtId="0" fontId="29" fillId="0" borderId="26" xfId="0" applyFont="1" applyBorder="1" applyAlignment="1">
      <alignment horizontal="center" vertical="center" wrapText="1"/>
    </xf>
    <xf numFmtId="0" fontId="5" fillId="0" borderId="144" xfId="1" applyNumberFormat="1" applyFont="1" applyFill="1" applyBorder="1" applyAlignment="1">
      <alignment horizontal="center" vertical="center" wrapText="1"/>
    </xf>
    <xf numFmtId="0" fontId="5" fillId="0" borderId="23" xfId="1" applyNumberFormat="1" applyFont="1" applyFill="1" applyBorder="1" applyAlignment="1">
      <alignment horizontal="center" vertical="center" wrapText="1"/>
    </xf>
    <xf numFmtId="0" fontId="5" fillId="0" borderId="26" xfId="1" applyNumberFormat="1" applyFont="1" applyFill="1" applyBorder="1" applyAlignment="1">
      <alignment horizontal="center" vertical="center" wrapText="1"/>
    </xf>
    <xf numFmtId="0" fontId="28" fillId="2" borderId="9" xfId="1" applyNumberFormat="1" applyFont="1" applyFill="1" applyBorder="1" applyAlignment="1">
      <alignment horizontal="center" vertical="center" wrapText="1"/>
    </xf>
    <xf numFmtId="0" fontId="5" fillId="2" borderId="77" xfId="1" applyNumberFormat="1" applyFont="1" applyFill="1" applyBorder="1" applyAlignment="1">
      <alignment horizontal="center" vertical="center" wrapText="1"/>
    </xf>
    <xf numFmtId="0" fontId="5" fillId="2" borderId="102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49" fontId="5" fillId="2" borderId="9" xfId="1" applyNumberFormat="1" applyFont="1" applyFill="1" applyBorder="1" applyAlignment="1">
      <alignment horizontal="center" vertical="center" wrapText="1"/>
    </xf>
    <xf numFmtId="49" fontId="5" fillId="2" borderId="9" xfId="0" applyNumberFormat="1" applyFont="1" applyFill="1" applyBorder="1" applyAlignment="1">
      <alignment horizontal="center" vertical="center" wrapText="1"/>
    </xf>
    <xf numFmtId="49" fontId="5" fillId="2" borderId="63" xfId="0" applyNumberFormat="1" applyFont="1" applyFill="1" applyBorder="1" applyAlignment="1">
      <alignment horizontal="center" vertical="center" wrapText="1"/>
    </xf>
    <xf numFmtId="41" fontId="5" fillId="2" borderId="160" xfId="1" applyFont="1" applyFill="1" applyBorder="1" applyAlignment="1">
      <alignment horizontal="center" vertical="center" wrapText="1"/>
    </xf>
    <xf numFmtId="41" fontId="5" fillId="2" borderId="22" xfId="1" applyFont="1" applyFill="1" applyBorder="1" applyAlignment="1">
      <alignment horizontal="center" vertical="center" wrapText="1"/>
    </xf>
    <xf numFmtId="0" fontId="5" fillId="2" borderId="160" xfId="1" applyNumberFormat="1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31" fillId="0" borderId="128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0" fontId="5" fillId="0" borderId="77" xfId="0" applyFont="1" applyBorder="1" applyAlignment="1">
      <alignment horizontal="center" vertical="center"/>
    </xf>
    <xf numFmtId="0" fontId="5" fillId="2" borderId="171" xfId="1" applyNumberFormat="1" applyFont="1" applyFill="1" applyBorder="1" applyAlignment="1">
      <alignment horizontal="center" vertical="center" wrapText="1"/>
    </xf>
    <xf numFmtId="0" fontId="5" fillId="2" borderId="144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5" fillId="2" borderId="45" xfId="0" applyFont="1" applyFill="1" applyBorder="1" applyAlignment="1">
      <alignment horizontal="center" vertical="center" wrapText="1"/>
    </xf>
    <xf numFmtId="0" fontId="30" fillId="0" borderId="9" xfId="0" applyFont="1" applyBorder="1" applyAlignment="1">
      <alignment horizontal="center" vertical="center" wrapText="1"/>
    </xf>
    <xf numFmtId="0" fontId="30" fillId="0" borderId="22" xfId="0" applyFont="1" applyBorder="1" applyAlignment="1">
      <alignment horizontal="center" vertical="center" wrapText="1"/>
    </xf>
    <xf numFmtId="0" fontId="5" fillId="2" borderId="4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29" fillId="0" borderId="77" xfId="0" applyFont="1" applyBorder="1" applyAlignment="1">
      <alignment horizontal="center" vertical="center" wrapText="1"/>
    </xf>
    <xf numFmtId="41" fontId="5" fillId="2" borderId="166" xfId="1" applyFont="1" applyFill="1" applyBorder="1" applyAlignment="1">
      <alignment horizontal="center" vertical="center" wrapText="1"/>
    </xf>
    <xf numFmtId="41" fontId="5" fillId="2" borderId="169" xfId="1" applyFont="1" applyFill="1" applyBorder="1" applyAlignment="1">
      <alignment horizontal="center" vertical="center" wrapText="1"/>
    </xf>
    <xf numFmtId="41" fontId="5" fillId="2" borderId="41" xfId="1" applyFont="1" applyFill="1" applyBorder="1" applyAlignment="1">
      <alignment horizontal="center" vertical="center" wrapText="1"/>
    </xf>
    <xf numFmtId="0" fontId="5" fillId="2" borderId="137" xfId="1" applyNumberFormat="1" applyFont="1" applyFill="1" applyBorder="1" applyAlignment="1">
      <alignment horizontal="center" vertical="center" wrapText="1"/>
    </xf>
    <xf numFmtId="0" fontId="5" fillId="2" borderId="138" xfId="1" applyNumberFormat="1" applyFont="1" applyFill="1" applyBorder="1" applyAlignment="1">
      <alignment horizontal="center" vertical="center" wrapText="1"/>
    </xf>
    <xf numFmtId="0" fontId="5" fillId="2" borderId="175" xfId="1" applyNumberFormat="1" applyFont="1" applyFill="1" applyBorder="1" applyAlignment="1">
      <alignment horizontal="center" vertical="center" wrapText="1"/>
    </xf>
    <xf numFmtId="41" fontId="5" fillId="2" borderId="45" xfId="1" applyFont="1" applyFill="1" applyBorder="1" applyAlignment="1">
      <alignment horizontal="center" vertical="center" wrapText="1"/>
    </xf>
    <xf numFmtId="0" fontId="26" fillId="2" borderId="137" xfId="13" applyNumberFormat="1" applyFont="1" applyFill="1" applyBorder="1" applyAlignment="1">
      <alignment horizontal="center" vertical="center" wrapText="1"/>
    </xf>
    <xf numFmtId="0" fontId="26" fillId="0" borderId="178" xfId="0" applyFont="1" applyBorder="1" applyAlignment="1">
      <alignment horizontal="center" vertical="center" wrapText="1"/>
    </xf>
    <xf numFmtId="0" fontId="26" fillId="0" borderId="179" xfId="0" applyFont="1" applyBorder="1" applyAlignment="1">
      <alignment horizontal="center" vertical="center" wrapText="1"/>
    </xf>
    <xf numFmtId="0" fontId="5" fillId="2" borderId="80" xfId="1" applyNumberFormat="1" applyFont="1" applyFill="1" applyBorder="1" applyAlignment="1">
      <alignment horizontal="center" vertical="center" wrapText="1"/>
    </xf>
    <xf numFmtId="0" fontId="5" fillId="0" borderId="45" xfId="1" applyNumberFormat="1" applyFont="1" applyFill="1" applyBorder="1" applyAlignment="1">
      <alignment horizontal="center" vertical="center" wrapText="1"/>
    </xf>
    <xf numFmtId="0" fontId="5" fillId="0" borderId="9" xfId="1" applyNumberFormat="1" applyFont="1" applyFill="1" applyBorder="1" applyAlignment="1">
      <alignment horizontal="center" vertical="center" wrapText="1"/>
    </xf>
    <xf numFmtId="0" fontId="5" fillId="0" borderId="22" xfId="1" applyNumberFormat="1" applyFont="1" applyFill="1" applyBorder="1" applyAlignment="1">
      <alignment horizontal="center" vertical="center" wrapText="1"/>
    </xf>
    <xf numFmtId="0" fontId="5" fillId="2" borderId="183" xfId="1" applyNumberFormat="1" applyFont="1" applyFill="1" applyBorder="1" applyAlignment="1">
      <alignment horizontal="center" vertical="center" wrapText="1"/>
    </xf>
    <xf numFmtId="0" fontId="31" fillId="2" borderId="45" xfId="0" applyFont="1" applyFill="1" applyBorder="1" applyAlignment="1">
      <alignment horizontal="center" vertical="center" wrapText="1"/>
    </xf>
    <xf numFmtId="0" fontId="31" fillId="2" borderId="9" xfId="0" applyFont="1" applyFill="1" applyBorder="1" applyAlignment="1">
      <alignment horizontal="center" vertical="center" wrapText="1"/>
    </xf>
    <xf numFmtId="0" fontId="31" fillId="2" borderId="22" xfId="0" applyFont="1" applyFill="1" applyBorder="1" applyAlignment="1">
      <alignment horizontal="center" vertical="center" wrapText="1"/>
    </xf>
    <xf numFmtId="0" fontId="5" fillId="0" borderId="102" xfId="1" applyNumberFormat="1" applyFont="1" applyFill="1" applyBorder="1" applyAlignment="1">
      <alignment horizontal="center" vertical="center" wrapText="1"/>
    </xf>
    <xf numFmtId="0" fontId="32" fillId="0" borderId="9" xfId="1" applyNumberFormat="1" applyFont="1" applyFill="1" applyBorder="1" applyAlignment="1">
      <alignment horizontal="center" vertical="center" wrapText="1"/>
    </xf>
    <xf numFmtId="0" fontId="5" fillId="0" borderId="63" xfId="1" applyNumberFormat="1" applyFont="1" applyFill="1" applyBorder="1" applyAlignment="1">
      <alignment horizontal="center" vertical="center" wrapText="1"/>
    </xf>
    <xf numFmtId="0" fontId="23" fillId="2" borderId="14" xfId="13" applyNumberFormat="1" applyFont="1" applyFill="1" applyBorder="1" applyAlignment="1">
      <alignment horizontal="center" vertical="center"/>
    </xf>
    <xf numFmtId="0" fontId="23" fillId="2" borderId="68" xfId="13" applyNumberFormat="1" applyFont="1" applyFill="1" applyBorder="1" applyAlignment="1">
      <alignment horizontal="center" vertical="center"/>
    </xf>
    <xf numFmtId="0" fontId="34" fillId="2" borderId="178" xfId="13" applyNumberFormat="1" applyFont="1" applyFill="1" applyBorder="1" applyAlignment="1">
      <alignment horizontal="center" vertical="center" wrapText="1"/>
    </xf>
    <xf numFmtId="0" fontId="23" fillId="2" borderId="178" xfId="13" applyNumberFormat="1" applyFont="1" applyFill="1" applyBorder="1" applyAlignment="1">
      <alignment horizontal="center" vertical="center" wrapText="1"/>
    </xf>
    <xf numFmtId="0" fontId="23" fillId="2" borderId="179" xfId="13" applyNumberFormat="1" applyFont="1" applyFill="1" applyBorder="1" applyAlignment="1">
      <alignment horizontal="center" vertical="center" wrapText="1"/>
    </xf>
    <xf numFmtId="41" fontId="5" fillId="2" borderId="121" xfId="1" applyFont="1" applyFill="1" applyBorder="1" applyAlignment="1">
      <alignment horizontal="center" vertical="center" wrapText="1"/>
    </xf>
    <xf numFmtId="0" fontId="29" fillId="0" borderId="23" xfId="0" applyFont="1" applyBorder="1">
      <alignment vertical="center"/>
    </xf>
    <xf numFmtId="0" fontId="34" fillId="2" borderId="186" xfId="13" applyNumberFormat="1" applyFont="1" applyFill="1" applyBorder="1" applyAlignment="1">
      <alignment horizontal="center" vertical="center" wrapText="1"/>
    </xf>
    <xf numFmtId="0" fontId="23" fillId="2" borderId="187" xfId="13" applyNumberFormat="1" applyFont="1" applyFill="1" applyBorder="1" applyAlignment="1">
      <alignment horizontal="center" vertical="center" wrapText="1"/>
    </xf>
    <xf numFmtId="0" fontId="23" fillId="2" borderId="167" xfId="0" applyFont="1" applyFill="1" applyBorder="1" applyAlignment="1">
      <alignment horizontal="center" vertical="center" wrapText="1"/>
    </xf>
    <xf numFmtId="0" fontId="23" fillId="2" borderId="83" xfId="13" applyNumberFormat="1" applyFont="1" applyFill="1" applyBorder="1" applyAlignment="1">
      <alignment horizontal="center" vertical="center"/>
    </xf>
    <xf numFmtId="0" fontId="23" fillId="2" borderId="16" xfId="0" applyFont="1" applyFill="1" applyBorder="1" applyAlignment="1">
      <alignment horizontal="center" vertical="center" wrapText="1"/>
    </xf>
    <xf numFmtId="0" fontId="23" fillId="2" borderId="150" xfId="0" applyFont="1" applyFill="1" applyBorder="1" applyAlignment="1">
      <alignment horizontal="center" vertical="center" wrapText="1"/>
    </xf>
    <xf numFmtId="0" fontId="23" fillId="2" borderId="83" xfId="0" applyFont="1" applyFill="1" applyBorder="1" applyAlignment="1">
      <alignment horizontal="center" vertical="center"/>
    </xf>
    <xf numFmtId="0" fontId="5" fillId="2" borderId="196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69" xfId="0" applyFont="1" applyFill="1" applyBorder="1" applyAlignment="1">
      <alignment horizontal="center" vertical="center"/>
    </xf>
    <xf numFmtId="0" fontId="5" fillId="2" borderId="65" xfId="0" applyFont="1" applyFill="1" applyBorder="1" applyAlignment="1">
      <alignment horizontal="center" vertical="center"/>
    </xf>
    <xf numFmtId="0" fontId="5" fillId="2" borderId="117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0" fontId="23" fillId="2" borderId="14" xfId="0" applyFont="1" applyFill="1" applyBorder="1" applyAlignment="1">
      <alignment horizontal="center" vertical="center"/>
    </xf>
    <xf numFmtId="0" fontId="23" fillId="2" borderId="192" xfId="0" applyFont="1" applyFill="1" applyBorder="1" applyAlignment="1">
      <alignment horizontal="center" vertical="center"/>
    </xf>
    <xf numFmtId="0" fontId="23" fillId="2" borderId="68" xfId="0" applyFont="1" applyFill="1" applyBorder="1" applyAlignment="1">
      <alignment horizontal="center" vertical="center"/>
    </xf>
    <xf numFmtId="0" fontId="23" fillId="2" borderId="194" xfId="0" applyFont="1" applyFill="1" applyBorder="1" applyAlignment="1">
      <alignment horizontal="center" vertical="center"/>
    </xf>
    <xf numFmtId="0" fontId="23" fillId="2" borderId="195" xfId="0" applyFont="1" applyFill="1" applyBorder="1" applyAlignment="1">
      <alignment horizontal="center" vertical="center"/>
    </xf>
    <xf numFmtId="0" fontId="23" fillId="2" borderId="65" xfId="0" applyFont="1" applyFill="1" applyBorder="1" applyAlignment="1">
      <alignment horizontal="center" vertical="center"/>
    </xf>
    <xf numFmtId="0" fontId="34" fillId="0" borderId="191" xfId="0" applyFont="1" applyBorder="1" applyAlignment="1">
      <alignment horizontal="center" vertical="center" wrapText="1"/>
    </xf>
    <xf numFmtId="0" fontId="23" fillId="0" borderId="179" xfId="0" applyFont="1" applyBorder="1" applyAlignment="1">
      <alignment horizontal="center" vertical="center" wrapText="1"/>
    </xf>
    <xf numFmtId="0" fontId="34" fillId="2" borderId="179" xfId="13" applyNumberFormat="1" applyFont="1" applyFill="1" applyBorder="1" applyAlignment="1">
      <alignment horizontal="center" vertical="center" wrapText="1"/>
    </xf>
    <xf numFmtId="0" fontId="34" fillId="2" borderId="137" xfId="13" applyNumberFormat="1" applyFont="1" applyFill="1" applyBorder="1" applyAlignment="1">
      <alignment horizontal="center" vertical="center" wrapText="1"/>
    </xf>
    <xf numFmtId="0" fontId="8" fillId="2" borderId="107" xfId="1" applyNumberFormat="1" applyFont="1" applyFill="1" applyBorder="1" applyAlignment="1">
      <alignment horizontal="center" vertical="center" wrapText="1"/>
    </xf>
    <xf numFmtId="0" fontId="8" fillId="2" borderId="23" xfId="1" applyNumberFormat="1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/>
    </xf>
    <xf numFmtId="0" fontId="8" fillId="2" borderId="82" xfId="0" applyFont="1" applyFill="1" applyBorder="1" applyAlignment="1">
      <alignment horizontal="center" vertical="center"/>
    </xf>
    <xf numFmtId="0" fontId="23" fillId="2" borderId="190" xfId="0" applyFont="1" applyFill="1" applyBorder="1" applyAlignment="1">
      <alignment horizontal="center" vertical="center" wrapText="1"/>
    </xf>
    <xf numFmtId="0" fontId="23" fillId="2" borderId="9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/>
    </xf>
    <xf numFmtId="0" fontId="0" fillId="0" borderId="127" xfId="0" applyBorder="1" applyAlignment="1">
      <alignment horizontal="center" vertical="center"/>
    </xf>
  </cellXfs>
  <cellStyles count="14">
    <cellStyle name="백분율" xfId="2" builtinId="5"/>
    <cellStyle name="쉼표 [0]" xfId="1" builtinId="6"/>
    <cellStyle name="쉼표 [0] 2" xfId="4" xr:uid="{E42D57C2-4212-41BE-8ECD-B43B585E5521}"/>
    <cellStyle name="쉼표 [0] 2 18" xfId="10" xr:uid="{E2FFCDE1-4BCE-4F1C-8443-52EB533020D8}"/>
    <cellStyle name="쉼표 [0] 3" xfId="11" xr:uid="{6301709A-E5A0-459E-94C0-4AF89CA85800}"/>
    <cellStyle name="쉼표 [0] 4" xfId="8" xr:uid="{62B9AEC0-68E2-45DE-9D84-2D0E0095BBFD}"/>
    <cellStyle name="쉼표 [0] 7" xfId="13" xr:uid="{5A8607B1-CE6E-48CF-A472-FE23018E99E3}"/>
    <cellStyle name="표준" xfId="0" builtinId="0"/>
    <cellStyle name="표준 13" xfId="5" xr:uid="{F984088F-3C04-4B98-873E-A3C40A9E0E01}"/>
    <cellStyle name="표준 3" xfId="3" xr:uid="{BF1A1F93-D271-429E-AB0D-306B84336050}"/>
    <cellStyle name="표준 3 6" xfId="9" xr:uid="{E4C7E9A9-BCBF-4280-8AC8-879D49B06567}"/>
    <cellStyle name="표준 5" xfId="6" xr:uid="{753F7D88-301A-4555-AE98-3B0AF79F71E2}"/>
    <cellStyle name="표준_그래픽디자인,인쇄용지" xfId="12" xr:uid="{F18CA666-40EE-4C74-BC8B-FE1AFE7B61E2}"/>
    <cellStyle name="표준_티라미수" xfId="7" xr:uid="{CF193CC4-CE50-4DCF-BBF7-588A255DAE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1692</xdr:row>
      <xdr:rowOff>55591</xdr:rowOff>
    </xdr:from>
    <xdr:to>
      <xdr:col>1</xdr:col>
      <xdr:colOff>216000</xdr:colOff>
      <xdr:row>1693</xdr:row>
      <xdr:rowOff>161451</xdr:rowOff>
    </xdr:to>
    <xdr:pic>
      <xdr:nvPicPr>
        <xdr:cNvPr id="19" name="Picture 2">
          <a:extLst>
            <a:ext uri="{FF2B5EF4-FFF2-40B4-BE49-F238E27FC236}">
              <a16:creationId xmlns:a16="http://schemas.microsoft.com/office/drawing/2014/main" id="{A82F4E94-18A8-499C-96C3-838236A846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22772" y="326305891"/>
          <a:ext cx="216000" cy="315411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893</xdr:row>
      <xdr:rowOff>152400</xdr:rowOff>
    </xdr:from>
    <xdr:to>
      <xdr:col>1</xdr:col>
      <xdr:colOff>216000</xdr:colOff>
      <xdr:row>896</xdr:row>
      <xdr:rowOff>41087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77973F7-C0AE-425D-AC7C-610BF52D6A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72540" y="167853360"/>
          <a:ext cx="216000" cy="46018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1169</xdr:row>
      <xdr:rowOff>173269</xdr:rowOff>
    </xdr:from>
    <xdr:to>
      <xdr:col>1</xdr:col>
      <xdr:colOff>216000</xdr:colOff>
      <xdr:row>1172</xdr:row>
      <xdr:rowOff>41163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D0B317-2EF7-4850-9171-459522E2F1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72540" y="221023729"/>
          <a:ext cx="216000" cy="439394"/>
        </a:xfrm>
        <a:prstGeom prst="rect">
          <a:avLst/>
        </a:prstGeom>
        <a:noFill/>
      </xdr:spPr>
    </xdr:pic>
    <xdr:clientData/>
  </xdr:twoCellAnchor>
  <xdr:oneCellAnchor>
    <xdr:from>
      <xdr:col>1</xdr:col>
      <xdr:colOff>0</xdr:colOff>
      <xdr:row>1614</xdr:row>
      <xdr:rowOff>166510</xdr:rowOff>
    </xdr:from>
    <xdr:ext cx="216000" cy="316721"/>
    <xdr:pic>
      <xdr:nvPicPr>
        <xdr:cNvPr id="4" name="Picture 2">
          <a:extLst>
            <a:ext uri="{FF2B5EF4-FFF2-40B4-BE49-F238E27FC236}">
              <a16:creationId xmlns:a16="http://schemas.microsoft.com/office/drawing/2014/main" id="{36E6300F-F0CE-4DD3-8E44-4BE3D47531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72540" y="307694470"/>
          <a:ext cx="216000" cy="316721"/>
        </a:xfrm>
        <a:prstGeom prst="rect">
          <a:avLst/>
        </a:prstGeom>
        <a:noFill/>
      </xdr:spPr>
    </xdr:pic>
    <xdr:clientData/>
  </xdr:oneCellAnchor>
  <xdr:twoCellAnchor editAs="oneCell">
    <xdr:from>
      <xdr:col>1</xdr:col>
      <xdr:colOff>0</xdr:colOff>
      <xdr:row>1782</xdr:row>
      <xdr:rowOff>9196</xdr:rowOff>
    </xdr:from>
    <xdr:to>
      <xdr:col>1</xdr:col>
      <xdr:colOff>216000</xdr:colOff>
      <xdr:row>1784</xdr:row>
      <xdr:rowOff>52355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BC15B506-3D08-4434-AD90-E9E23132DD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72540" y="341446156"/>
          <a:ext cx="216000" cy="42415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1798</xdr:row>
      <xdr:rowOff>32657</xdr:rowOff>
    </xdr:from>
    <xdr:to>
      <xdr:col>1</xdr:col>
      <xdr:colOff>216000</xdr:colOff>
      <xdr:row>1800</xdr:row>
      <xdr:rowOff>75816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A4B0FA2F-85B2-493D-90B3-FA4736A9F4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72540" y="344517617"/>
          <a:ext cx="216000" cy="42415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1934</xdr:row>
      <xdr:rowOff>35170</xdr:rowOff>
    </xdr:from>
    <xdr:to>
      <xdr:col>1</xdr:col>
      <xdr:colOff>216000</xdr:colOff>
      <xdr:row>1936</xdr:row>
      <xdr:rowOff>76267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3EE73F03-A27A-41ED-8DCD-1C6AA1D83F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72540" y="370428130"/>
          <a:ext cx="216000" cy="42209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1999</xdr:row>
      <xdr:rowOff>125016</xdr:rowOff>
    </xdr:from>
    <xdr:to>
      <xdr:col>1</xdr:col>
      <xdr:colOff>216000</xdr:colOff>
      <xdr:row>2002</xdr:row>
      <xdr:rowOff>31013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E2A553D0-0D7D-4AD6-B262-073AAA2341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72540" y="382900476"/>
          <a:ext cx="216000" cy="47749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2036</xdr:row>
      <xdr:rowOff>41671</xdr:rowOff>
    </xdr:from>
    <xdr:to>
      <xdr:col>1</xdr:col>
      <xdr:colOff>216000</xdr:colOff>
      <xdr:row>2038</xdr:row>
      <xdr:rowOff>82761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id="{FE60C774-3606-44C9-AA2E-96EA4F02C6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72540" y="389865631"/>
          <a:ext cx="216000" cy="422091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2042</xdr:row>
      <xdr:rowOff>66260</xdr:rowOff>
    </xdr:from>
    <xdr:to>
      <xdr:col>1</xdr:col>
      <xdr:colOff>216000</xdr:colOff>
      <xdr:row>2044</xdr:row>
      <xdr:rowOff>107352</xdr:rowOff>
    </xdr:to>
    <xdr:pic>
      <xdr:nvPicPr>
        <xdr:cNvPr id="10" name="Picture 2">
          <a:extLst>
            <a:ext uri="{FF2B5EF4-FFF2-40B4-BE49-F238E27FC236}">
              <a16:creationId xmlns:a16="http://schemas.microsoft.com/office/drawing/2014/main" id="{5C4E1970-33AD-4AAE-B752-AC633C179D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72540" y="391033220"/>
          <a:ext cx="216000" cy="422091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2226</xdr:row>
      <xdr:rowOff>132521</xdr:rowOff>
    </xdr:from>
    <xdr:to>
      <xdr:col>1</xdr:col>
      <xdr:colOff>216000</xdr:colOff>
      <xdr:row>2229</xdr:row>
      <xdr:rowOff>36443</xdr:rowOff>
    </xdr:to>
    <xdr:pic>
      <xdr:nvPicPr>
        <xdr:cNvPr id="11" name="Picture 2">
          <a:extLst>
            <a:ext uri="{FF2B5EF4-FFF2-40B4-BE49-F238E27FC236}">
              <a16:creationId xmlns:a16="http://schemas.microsoft.com/office/drawing/2014/main" id="{FC535520-DA80-45C0-9B57-0C0FE2E8DC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72540" y="425960981"/>
          <a:ext cx="216000" cy="475422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757</xdr:row>
      <xdr:rowOff>0</xdr:rowOff>
    </xdr:from>
    <xdr:to>
      <xdr:col>5</xdr:col>
      <xdr:colOff>0</xdr:colOff>
      <xdr:row>759</xdr:row>
      <xdr:rowOff>9525</xdr:rowOff>
    </xdr:to>
    <xdr:sp macro="" textlink="">
      <xdr:nvSpPr>
        <xdr:cNvPr id="2" name="Line 651">
          <a:extLst>
            <a:ext uri="{FF2B5EF4-FFF2-40B4-BE49-F238E27FC236}">
              <a16:creationId xmlns:a16="http://schemas.microsoft.com/office/drawing/2014/main" id="{28EF8D12-9D3C-43D0-A215-052F9C64B523}"/>
            </a:ext>
          </a:extLst>
        </xdr:cNvPr>
        <xdr:cNvSpPr>
          <a:spLocks noChangeShapeType="1"/>
        </xdr:cNvSpPr>
      </xdr:nvSpPr>
      <xdr:spPr bwMode="auto">
        <a:xfrm>
          <a:off x="9286875" y="146475450"/>
          <a:ext cx="0" cy="390525"/>
        </a:xfrm>
        <a:prstGeom prst="line">
          <a:avLst/>
        </a:prstGeom>
        <a:noFill/>
        <a:ln w="9360" cap="rnd">
          <a:solidFill>
            <a:srgbClr val="000000"/>
          </a:solidFill>
          <a:prstDash val="sysDot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757</xdr:row>
      <xdr:rowOff>0</xdr:rowOff>
    </xdr:from>
    <xdr:to>
      <xdr:col>5</xdr:col>
      <xdr:colOff>0</xdr:colOff>
      <xdr:row>759</xdr:row>
      <xdr:rowOff>76200</xdr:rowOff>
    </xdr:to>
    <xdr:sp macro="" textlink="">
      <xdr:nvSpPr>
        <xdr:cNvPr id="3" name="Line 652">
          <a:extLst>
            <a:ext uri="{FF2B5EF4-FFF2-40B4-BE49-F238E27FC236}">
              <a16:creationId xmlns:a16="http://schemas.microsoft.com/office/drawing/2014/main" id="{40B8E834-98D4-463A-947F-EAFE0F4841BF}"/>
            </a:ext>
          </a:extLst>
        </xdr:cNvPr>
        <xdr:cNvSpPr>
          <a:spLocks noChangeShapeType="1"/>
        </xdr:cNvSpPr>
      </xdr:nvSpPr>
      <xdr:spPr bwMode="auto">
        <a:xfrm>
          <a:off x="9286875" y="146475450"/>
          <a:ext cx="0" cy="457200"/>
        </a:xfrm>
        <a:prstGeom prst="line">
          <a:avLst/>
        </a:prstGeom>
        <a:noFill/>
        <a:ln w="9360" cap="sq">
          <a:solidFill>
            <a:srgbClr val="000000"/>
          </a:solidFill>
          <a:prstDash val="sysDot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3684</xdr:colOff>
      <xdr:row>1782</xdr:row>
      <xdr:rowOff>30480</xdr:rowOff>
    </xdr:from>
    <xdr:to>
      <xdr:col>1</xdr:col>
      <xdr:colOff>1323</xdr:colOff>
      <xdr:row>1783</xdr:row>
      <xdr:rowOff>115571</xdr:rowOff>
    </xdr:to>
    <xdr:pic>
      <xdr:nvPicPr>
        <xdr:cNvPr id="4" name="Picture 533">
          <a:extLst>
            <a:ext uri="{FF2B5EF4-FFF2-40B4-BE49-F238E27FC236}">
              <a16:creationId xmlns:a16="http://schemas.microsoft.com/office/drawing/2014/main" id="{50A8EF54-F25A-4619-A6D1-33570E48B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3909" y="346978605"/>
          <a:ext cx="0" cy="2374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3684</xdr:colOff>
      <xdr:row>1783</xdr:row>
      <xdr:rowOff>30480</xdr:rowOff>
    </xdr:from>
    <xdr:to>
      <xdr:col>1</xdr:col>
      <xdr:colOff>1323</xdr:colOff>
      <xdr:row>1784</xdr:row>
      <xdr:rowOff>115571</xdr:rowOff>
    </xdr:to>
    <xdr:pic>
      <xdr:nvPicPr>
        <xdr:cNvPr id="124" name="Picture 533">
          <a:extLst>
            <a:ext uri="{FF2B5EF4-FFF2-40B4-BE49-F238E27FC236}">
              <a16:creationId xmlns:a16="http://schemas.microsoft.com/office/drawing/2014/main" id="{734B77F5-462A-4029-B897-F5183D255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2307" y="343447090"/>
          <a:ext cx="0" cy="238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3684</xdr:colOff>
      <xdr:row>1784</xdr:row>
      <xdr:rowOff>30480</xdr:rowOff>
    </xdr:from>
    <xdr:to>
      <xdr:col>1</xdr:col>
      <xdr:colOff>1323</xdr:colOff>
      <xdr:row>1785</xdr:row>
      <xdr:rowOff>115571</xdr:rowOff>
    </xdr:to>
    <xdr:pic>
      <xdr:nvPicPr>
        <xdr:cNvPr id="125" name="Picture 533">
          <a:extLst>
            <a:ext uri="{FF2B5EF4-FFF2-40B4-BE49-F238E27FC236}">
              <a16:creationId xmlns:a16="http://schemas.microsoft.com/office/drawing/2014/main" id="{C87AC798-81D3-4EAB-BD6E-AC3A2BFCE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2307" y="343447090"/>
          <a:ext cx="0" cy="238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3684</xdr:colOff>
      <xdr:row>1785</xdr:row>
      <xdr:rowOff>30480</xdr:rowOff>
    </xdr:from>
    <xdr:to>
      <xdr:col>1</xdr:col>
      <xdr:colOff>1323</xdr:colOff>
      <xdr:row>1786</xdr:row>
      <xdr:rowOff>115571</xdr:rowOff>
    </xdr:to>
    <xdr:pic>
      <xdr:nvPicPr>
        <xdr:cNvPr id="126" name="Picture 533">
          <a:extLst>
            <a:ext uri="{FF2B5EF4-FFF2-40B4-BE49-F238E27FC236}">
              <a16:creationId xmlns:a16="http://schemas.microsoft.com/office/drawing/2014/main" id="{17568EDA-D8BD-4BC7-B3D1-2006A333C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2307" y="343447090"/>
          <a:ext cx="0" cy="238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3684</xdr:colOff>
      <xdr:row>1786</xdr:row>
      <xdr:rowOff>30480</xdr:rowOff>
    </xdr:from>
    <xdr:to>
      <xdr:col>1</xdr:col>
      <xdr:colOff>1323</xdr:colOff>
      <xdr:row>1787</xdr:row>
      <xdr:rowOff>115571</xdr:rowOff>
    </xdr:to>
    <xdr:pic>
      <xdr:nvPicPr>
        <xdr:cNvPr id="127" name="Picture 533">
          <a:extLst>
            <a:ext uri="{FF2B5EF4-FFF2-40B4-BE49-F238E27FC236}">
              <a16:creationId xmlns:a16="http://schemas.microsoft.com/office/drawing/2014/main" id="{1436B69F-9636-4388-9B33-D8ACEBD8F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2307" y="343447090"/>
          <a:ext cx="0" cy="238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3684</xdr:colOff>
      <xdr:row>1787</xdr:row>
      <xdr:rowOff>30480</xdr:rowOff>
    </xdr:from>
    <xdr:to>
      <xdr:col>1</xdr:col>
      <xdr:colOff>1323</xdr:colOff>
      <xdr:row>1788</xdr:row>
      <xdr:rowOff>115571</xdr:rowOff>
    </xdr:to>
    <xdr:pic>
      <xdr:nvPicPr>
        <xdr:cNvPr id="128" name="Picture 533">
          <a:extLst>
            <a:ext uri="{FF2B5EF4-FFF2-40B4-BE49-F238E27FC236}">
              <a16:creationId xmlns:a16="http://schemas.microsoft.com/office/drawing/2014/main" id="{BA84BB0C-C0D4-44DC-A3CB-DB22D9BAB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2307" y="344060565"/>
          <a:ext cx="0" cy="2384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3684</xdr:colOff>
      <xdr:row>1788</xdr:row>
      <xdr:rowOff>30480</xdr:rowOff>
    </xdr:from>
    <xdr:to>
      <xdr:col>1</xdr:col>
      <xdr:colOff>1323</xdr:colOff>
      <xdr:row>1789</xdr:row>
      <xdr:rowOff>115571</xdr:rowOff>
    </xdr:to>
    <xdr:pic>
      <xdr:nvPicPr>
        <xdr:cNvPr id="129" name="Picture 533">
          <a:extLst>
            <a:ext uri="{FF2B5EF4-FFF2-40B4-BE49-F238E27FC236}">
              <a16:creationId xmlns:a16="http://schemas.microsoft.com/office/drawing/2014/main" id="{97843022-21F7-4EA6-A110-C8F6F0707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2307" y="344060565"/>
          <a:ext cx="0" cy="2384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3684</xdr:colOff>
      <xdr:row>1789</xdr:row>
      <xdr:rowOff>30480</xdr:rowOff>
    </xdr:from>
    <xdr:to>
      <xdr:col>1</xdr:col>
      <xdr:colOff>1323</xdr:colOff>
      <xdr:row>1790</xdr:row>
      <xdr:rowOff>115571</xdr:rowOff>
    </xdr:to>
    <xdr:pic>
      <xdr:nvPicPr>
        <xdr:cNvPr id="130" name="Picture 533">
          <a:extLst>
            <a:ext uri="{FF2B5EF4-FFF2-40B4-BE49-F238E27FC236}">
              <a16:creationId xmlns:a16="http://schemas.microsoft.com/office/drawing/2014/main" id="{D7CDA06E-2B43-4D4B-B4C4-7310808F0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2307" y="344213933"/>
          <a:ext cx="0" cy="238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3684</xdr:colOff>
      <xdr:row>1789</xdr:row>
      <xdr:rowOff>30480</xdr:rowOff>
    </xdr:from>
    <xdr:to>
      <xdr:col>1</xdr:col>
      <xdr:colOff>1323</xdr:colOff>
      <xdr:row>1790</xdr:row>
      <xdr:rowOff>115571</xdr:rowOff>
    </xdr:to>
    <xdr:pic>
      <xdr:nvPicPr>
        <xdr:cNvPr id="131" name="Picture 533">
          <a:extLst>
            <a:ext uri="{FF2B5EF4-FFF2-40B4-BE49-F238E27FC236}">
              <a16:creationId xmlns:a16="http://schemas.microsoft.com/office/drawing/2014/main" id="{686B5DD7-EE87-4524-9B79-6371351E0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2307" y="344060565"/>
          <a:ext cx="0" cy="2384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3684</xdr:colOff>
      <xdr:row>1790</xdr:row>
      <xdr:rowOff>30480</xdr:rowOff>
    </xdr:from>
    <xdr:to>
      <xdr:col>1</xdr:col>
      <xdr:colOff>1323</xdr:colOff>
      <xdr:row>1791</xdr:row>
      <xdr:rowOff>115571</xdr:rowOff>
    </xdr:to>
    <xdr:pic>
      <xdr:nvPicPr>
        <xdr:cNvPr id="132" name="Picture 533">
          <a:extLst>
            <a:ext uri="{FF2B5EF4-FFF2-40B4-BE49-F238E27FC236}">
              <a16:creationId xmlns:a16="http://schemas.microsoft.com/office/drawing/2014/main" id="{24067D16-76F0-4FA9-A192-5D34B0934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2307" y="344213933"/>
          <a:ext cx="0" cy="238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3684</xdr:colOff>
      <xdr:row>1790</xdr:row>
      <xdr:rowOff>30480</xdr:rowOff>
    </xdr:from>
    <xdr:to>
      <xdr:col>1</xdr:col>
      <xdr:colOff>1323</xdr:colOff>
      <xdr:row>1791</xdr:row>
      <xdr:rowOff>115571</xdr:rowOff>
    </xdr:to>
    <xdr:pic>
      <xdr:nvPicPr>
        <xdr:cNvPr id="133" name="Picture 533">
          <a:extLst>
            <a:ext uri="{FF2B5EF4-FFF2-40B4-BE49-F238E27FC236}">
              <a16:creationId xmlns:a16="http://schemas.microsoft.com/office/drawing/2014/main" id="{6AFE125F-E502-4CAC-A3F0-DBD33F3D0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2307" y="344060565"/>
          <a:ext cx="0" cy="2384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3684</xdr:colOff>
      <xdr:row>1791</xdr:row>
      <xdr:rowOff>30480</xdr:rowOff>
    </xdr:from>
    <xdr:to>
      <xdr:col>1</xdr:col>
      <xdr:colOff>1323</xdr:colOff>
      <xdr:row>1792</xdr:row>
      <xdr:rowOff>115571</xdr:rowOff>
    </xdr:to>
    <xdr:pic>
      <xdr:nvPicPr>
        <xdr:cNvPr id="134" name="Picture 533">
          <a:extLst>
            <a:ext uri="{FF2B5EF4-FFF2-40B4-BE49-F238E27FC236}">
              <a16:creationId xmlns:a16="http://schemas.microsoft.com/office/drawing/2014/main" id="{E4A2B24B-E0B6-4EC1-9B68-08E065E08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2307" y="344213933"/>
          <a:ext cx="0" cy="238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3684</xdr:colOff>
      <xdr:row>1792</xdr:row>
      <xdr:rowOff>30480</xdr:rowOff>
    </xdr:from>
    <xdr:to>
      <xdr:col>1</xdr:col>
      <xdr:colOff>1323</xdr:colOff>
      <xdr:row>1793</xdr:row>
      <xdr:rowOff>115571</xdr:rowOff>
    </xdr:to>
    <xdr:pic>
      <xdr:nvPicPr>
        <xdr:cNvPr id="135" name="Picture 533">
          <a:extLst>
            <a:ext uri="{FF2B5EF4-FFF2-40B4-BE49-F238E27FC236}">
              <a16:creationId xmlns:a16="http://schemas.microsoft.com/office/drawing/2014/main" id="{493BD760-B80E-41A8-8E1F-F897EC861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2307" y="344827408"/>
          <a:ext cx="0" cy="238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3684</xdr:colOff>
      <xdr:row>1793</xdr:row>
      <xdr:rowOff>30480</xdr:rowOff>
    </xdr:from>
    <xdr:to>
      <xdr:col>1</xdr:col>
      <xdr:colOff>1323</xdr:colOff>
      <xdr:row>1794</xdr:row>
      <xdr:rowOff>115571</xdr:rowOff>
    </xdr:to>
    <xdr:pic>
      <xdr:nvPicPr>
        <xdr:cNvPr id="136" name="Picture 533">
          <a:extLst>
            <a:ext uri="{FF2B5EF4-FFF2-40B4-BE49-F238E27FC236}">
              <a16:creationId xmlns:a16="http://schemas.microsoft.com/office/drawing/2014/main" id="{5147B7E0-924C-41D0-9357-E56E22A40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2307" y="344827408"/>
          <a:ext cx="0" cy="238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3684</xdr:colOff>
      <xdr:row>1794</xdr:row>
      <xdr:rowOff>30480</xdr:rowOff>
    </xdr:from>
    <xdr:to>
      <xdr:col>1</xdr:col>
      <xdr:colOff>1323</xdr:colOff>
      <xdr:row>1795</xdr:row>
      <xdr:rowOff>115571</xdr:rowOff>
    </xdr:to>
    <xdr:pic>
      <xdr:nvPicPr>
        <xdr:cNvPr id="137" name="Picture 533">
          <a:extLst>
            <a:ext uri="{FF2B5EF4-FFF2-40B4-BE49-F238E27FC236}">
              <a16:creationId xmlns:a16="http://schemas.microsoft.com/office/drawing/2014/main" id="{F9AF7575-62B4-4F22-9108-C3B0E1CA2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2307" y="344980777"/>
          <a:ext cx="0" cy="2384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3684</xdr:colOff>
      <xdr:row>1794</xdr:row>
      <xdr:rowOff>30480</xdr:rowOff>
    </xdr:from>
    <xdr:to>
      <xdr:col>1</xdr:col>
      <xdr:colOff>1323</xdr:colOff>
      <xdr:row>1795</xdr:row>
      <xdr:rowOff>115571</xdr:rowOff>
    </xdr:to>
    <xdr:pic>
      <xdr:nvPicPr>
        <xdr:cNvPr id="138" name="Picture 533">
          <a:extLst>
            <a:ext uri="{FF2B5EF4-FFF2-40B4-BE49-F238E27FC236}">
              <a16:creationId xmlns:a16="http://schemas.microsoft.com/office/drawing/2014/main" id="{088B7C65-C18C-4599-A4D4-31E50C68F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2307" y="344827408"/>
          <a:ext cx="0" cy="238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3684</xdr:colOff>
      <xdr:row>1795</xdr:row>
      <xdr:rowOff>30480</xdr:rowOff>
    </xdr:from>
    <xdr:to>
      <xdr:col>1</xdr:col>
      <xdr:colOff>1323</xdr:colOff>
      <xdr:row>1796</xdr:row>
      <xdr:rowOff>115571</xdr:rowOff>
    </xdr:to>
    <xdr:pic>
      <xdr:nvPicPr>
        <xdr:cNvPr id="139" name="Picture 533">
          <a:extLst>
            <a:ext uri="{FF2B5EF4-FFF2-40B4-BE49-F238E27FC236}">
              <a16:creationId xmlns:a16="http://schemas.microsoft.com/office/drawing/2014/main" id="{9CDFEC0F-2F11-446F-A2CD-6FD8C2EA2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2307" y="344980777"/>
          <a:ext cx="0" cy="2384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3684</xdr:colOff>
      <xdr:row>1795</xdr:row>
      <xdr:rowOff>30480</xdr:rowOff>
    </xdr:from>
    <xdr:to>
      <xdr:col>1</xdr:col>
      <xdr:colOff>1323</xdr:colOff>
      <xdr:row>1796</xdr:row>
      <xdr:rowOff>115571</xdr:rowOff>
    </xdr:to>
    <xdr:pic>
      <xdr:nvPicPr>
        <xdr:cNvPr id="140" name="Picture 533">
          <a:extLst>
            <a:ext uri="{FF2B5EF4-FFF2-40B4-BE49-F238E27FC236}">
              <a16:creationId xmlns:a16="http://schemas.microsoft.com/office/drawing/2014/main" id="{BBA15311-0B2B-4090-B4BA-6BC4F9E12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2307" y="344827408"/>
          <a:ext cx="0" cy="238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3684</xdr:colOff>
      <xdr:row>1796</xdr:row>
      <xdr:rowOff>30480</xdr:rowOff>
    </xdr:from>
    <xdr:to>
      <xdr:col>1</xdr:col>
      <xdr:colOff>1323</xdr:colOff>
      <xdr:row>1797</xdr:row>
      <xdr:rowOff>115571</xdr:rowOff>
    </xdr:to>
    <xdr:pic>
      <xdr:nvPicPr>
        <xdr:cNvPr id="141" name="Picture 533">
          <a:extLst>
            <a:ext uri="{FF2B5EF4-FFF2-40B4-BE49-F238E27FC236}">
              <a16:creationId xmlns:a16="http://schemas.microsoft.com/office/drawing/2014/main" id="{824F1995-F8E3-4DCB-80C7-C42917977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2307" y="344980777"/>
          <a:ext cx="0" cy="2384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3684</xdr:colOff>
      <xdr:row>1797</xdr:row>
      <xdr:rowOff>30480</xdr:rowOff>
    </xdr:from>
    <xdr:to>
      <xdr:col>1</xdr:col>
      <xdr:colOff>1323</xdr:colOff>
      <xdr:row>1798</xdr:row>
      <xdr:rowOff>115571</xdr:rowOff>
    </xdr:to>
    <xdr:pic>
      <xdr:nvPicPr>
        <xdr:cNvPr id="142" name="Picture 533">
          <a:extLst>
            <a:ext uri="{FF2B5EF4-FFF2-40B4-BE49-F238E27FC236}">
              <a16:creationId xmlns:a16="http://schemas.microsoft.com/office/drawing/2014/main" id="{F90D95A8-A034-4776-B268-8301B9852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2307" y="345594251"/>
          <a:ext cx="0" cy="238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3684</xdr:colOff>
      <xdr:row>1798</xdr:row>
      <xdr:rowOff>30480</xdr:rowOff>
    </xdr:from>
    <xdr:to>
      <xdr:col>1</xdr:col>
      <xdr:colOff>1323</xdr:colOff>
      <xdr:row>1799</xdr:row>
      <xdr:rowOff>115571</xdr:rowOff>
    </xdr:to>
    <xdr:pic>
      <xdr:nvPicPr>
        <xdr:cNvPr id="143" name="Picture 533">
          <a:extLst>
            <a:ext uri="{FF2B5EF4-FFF2-40B4-BE49-F238E27FC236}">
              <a16:creationId xmlns:a16="http://schemas.microsoft.com/office/drawing/2014/main" id="{67113E94-E0B3-4FAF-A313-BB549C1D2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2307" y="345594251"/>
          <a:ext cx="0" cy="238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3684</xdr:colOff>
      <xdr:row>1799</xdr:row>
      <xdr:rowOff>30480</xdr:rowOff>
    </xdr:from>
    <xdr:to>
      <xdr:col>1</xdr:col>
      <xdr:colOff>1323</xdr:colOff>
      <xdr:row>1800</xdr:row>
      <xdr:rowOff>115571</xdr:rowOff>
    </xdr:to>
    <xdr:pic>
      <xdr:nvPicPr>
        <xdr:cNvPr id="144" name="Picture 533">
          <a:extLst>
            <a:ext uri="{FF2B5EF4-FFF2-40B4-BE49-F238E27FC236}">
              <a16:creationId xmlns:a16="http://schemas.microsoft.com/office/drawing/2014/main" id="{F852A533-CD4B-420E-871F-8C4958AC7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2307" y="345747620"/>
          <a:ext cx="0" cy="2384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3684</xdr:colOff>
      <xdr:row>1799</xdr:row>
      <xdr:rowOff>30480</xdr:rowOff>
    </xdr:from>
    <xdr:to>
      <xdr:col>1</xdr:col>
      <xdr:colOff>1323</xdr:colOff>
      <xdr:row>1800</xdr:row>
      <xdr:rowOff>115571</xdr:rowOff>
    </xdr:to>
    <xdr:pic>
      <xdr:nvPicPr>
        <xdr:cNvPr id="145" name="Picture 533">
          <a:extLst>
            <a:ext uri="{FF2B5EF4-FFF2-40B4-BE49-F238E27FC236}">
              <a16:creationId xmlns:a16="http://schemas.microsoft.com/office/drawing/2014/main" id="{DAEA5312-E60F-4E70-89D9-06AB76062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2307" y="345594251"/>
          <a:ext cx="0" cy="238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3684</xdr:colOff>
      <xdr:row>1800</xdr:row>
      <xdr:rowOff>30480</xdr:rowOff>
    </xdr:from>
    <xdr:to>
      <xdr:col>1</xdr:col>
      <xdr:colOff>1323</xdr:colOff>
      <xdr:row>1801</xdr:row>
      <xdr:rowOff>115571</xdr:rowOff>
    </xdr:to>
    <xdr:pic>
      <xdr:nvPicPr>
        <xdr:cNvPr id="146" name="Picture 533">
          <a:extLst>
            <a:ext uri="{FF2B5EF4-FFF2-40B4-BE49-F238E27FC236}">
              <a16:creationId xmlns:a16="http://schemas.microsoft.com/office/drawing/2014/main" id="{FD0A692F-9737-47ED-A656-88046F07E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2307" y="345747620"/>
          <a:ext cx="0" cy="2384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3684</xdr:colOff>
      <xdr:row>1801</xdr:row>
      <xdr:rowOff>30480</xdr:rowOff>
    </xdr:from>
    <xdr:to>
      <xdr:col>1</xdr:col>
      <xdr:colOff>1323</xdr:colOff>
      <xdr:row>1802</xdr:row>
      <xdr:rowOff>115571</xdr:rowOff>
    </xdr:to>
    <xdr:pic>
      <xdr:nvPicPr>
        <xdr:cNvPr id="147" name="Picture 533">
          <a:extLst>
            <a:ext uri="{FF2B5EF4-FFF2-40B4-BE49-F238E27FC236}">
              <a16:creationId xmlns:a16="http://schemas.microsoft.com/office/drawing/2014/main" id="{570C747D-2BB1-4764-8378-2B4DA9F93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2307" y="346207726"/>
          <a:ext cx="0" cy="2384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3684</xdr:colOff>
      <xdr:row>1802</xdr:row>
      <xdr:rowOff>30480</xdr:rowOff>
    </xdr:from>
    <xdr:to>
      <xdr:col>1</xdr:col>
      <xdr:colOff>1323</xdr:colOff>
      <xdr:row>1803</xdr:row>
      <xdr:rowOff>115571</xdr:rowOff>
    </xdr:to>
    <xdr:pic>
      <xdr:nvPicPr>
        <xdr:cNvPr id="148" name="Picture 533">
          <a:extLst>
            <a:ext uri="{FF2B5EF4-FFF2-40B4-BE49-F238E27FC236}">
              <a16:creationId xmlns:a16="http://schemas.microsoft.com/office/drawing/2014/main" id="{93039C52-20E8-4481-968A-4014C453F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2307" y="346207726"/>
          <a:ext cx="0" cy="2384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3684</xdr:colOff>
      <xdr:row>1803</xdr:row>
      <xdr:rowOff>30480</xdr:rowOff>
    </xdr:from>
    <xdr:to>
      <xdr:col>1</xdr:col>
      <xdr:colOff>1323</xdr:colOff>
      <xdr:row>1804</xdr:row>
      <xdr:rowOff>115571</xdr:rowOff>
    </xdr:to>
    <xdr:pic>
      <xdr:nvPicPr>
        <xdr:cNvPr id="149" name="Picture 533">
          <a:extLst>
            <a:ext uri="{FF2B5EF4-FFF2-40B4-BE49-F238E27FC236}">
              <a16:creationId xmlns:a16="http://schemas.microsoft.com/office/drawing/2014/main" id="{2114A3D5-A7ED-4FA6-9607-A3A7C6C7A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2307" y="346361094"/>
          <a:ext cx="0" cy="238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3684</xdr:colOff>
      <xdr:row>1804</xdr:row>
      <xdr:rowOff>30480</xdr:rowOff>
    </xdr:from>
    <xdr:to>
      <xdr:col>1</xdr:col>
      <xdr:colOff>1323</xdr:colOff>
      <xdr:row>1805</xdr:row>
      <xdr:rowOff>115571</xdr:rowOff>
    </xdr:to>
    <xdr:pic>
      <xdr:nvPicPr>
        <xdr:cNvPr id="150" name="Picture 533">
          <a:extLst>
            <a:ext uri="{FF2B5EF4-FFF2-40B4-BE49-F238E27FC236}">
              <a16:creationId xmlns:a16="http://schemas.microsoft.com/office/drawing/2014/main" id="{F663EC27-905E-4654-8952-2F1C8F6B2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2307" y="346667832"/>
          <a:ext cx="0" cy="2384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3684</xdr:colOff>
      <xdr:row>1622</xdr:row>
      <xdr:rowOff>30480</xdr:rowOff>
    </xdr:from>
    <xdr:to>
      <xdr:col>1</xdr:col>
      <xdr:colOff>1323</xdr:colOff>
      <xdr:row>1623</xdr:row>
      <xdr:rowOff>0</xdr:rowOff>
    </xdr:to>
    <xdr:pic>
      <xdr:nvPicPr>
        <xdr:cNvPr id="5" name="Picture 533">
          <a:extLst>
            <a:ext uri="{FF2B5EF4-FFF2-40B4-BE49-F238E27FC236}">
              <a16:creationId xmlns:a16="http://schemas.microsoft.com/office/drawing/2014/main" id="{53ED8ED7-50F5-4CB9-AD70-7863FE774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7224" y="308137560"/>
          <a:ext cx="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3684</xdr:colOff>
      <xdr:row>1627</xdr:row>
      <xdr:rowOff>30480</xdr:rowOff>
    </xdr:from>
    <xdr:to>
      <xdr:col>1</xdr:col>
      <xdr:colOff>1323</xdr:colOff>
      <xdr:row>1628</xdr:row>
      <xdr:rowOff>0</xdr:rowOff>
    </xdr:to>
    <xdr:pic>
      <xdr:nvPicPr>
        <xdr:cNvPr id="18" name="Picture 533">
          <a:extLst>
            <a:ext uri="{FF2B5EF4-FFF2-40B4-BE49-F238E27FC236}">
              <a16:creationId xmlns:a16="http://schemas.microsoft.com/office/drawing/2014/main" id="{DB614689-1BF9-4F95-BCC9-895DCE501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7224" y="308899560"/>
          <a:ext cx="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571500</xdr:colOff>
      <xdr:row>9</xdr:row>
      <xdr:rowOff>28575</xdr:rowOff>
    </xdr:from>
    <xdr:to>
      <xdr:col>0</xdr:col>
      <xdr:colOff>849205</xdr:colOff>
      <xdr:row>10</xdr:row>
      <xdr:rowOff>0</xdr:rowOff>
    </xdr:to>
    <xdr:pic>
      <xdr:nvPicPr>
        <xdr:cNvPr id="19" name="Picture 536">
          <a:extLst>
            <a:ext uri="{FF2B5EF4-FFF2-40B4-BE49-F238E27FC236}">
              <a16:creationId xmlns:a16="http://schemas.microsoft.com/office/drawing/2014/main" id="{76A9F06C-45DA-4496-83DE-A590F669E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140" y="1552575"/>
          <a:ext cx="27770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565785</xdr:colOff>
      <xdr:row>21</xdr:row>
      <xdr:rowOff>104775</xdr:rowOff>
    </xdr:from>
    <xdr:to>
      <xdr:col>0</xdr:col>
      <xdr:colOff>843490</xdr:colOff>
      <xdr:row>22</xdr:row>
      <xdr:rowOff>177910</xdr:rowOff>
    </xdr:to>
    <xdr:pic>
      <xdr:nvPicPr>
        <xdr:cNvPr id="77" name="Picture 536">
          <a:extLst>
            <a:ext uri="{FF2B5EF4-FFF2-40B4-BE49-F238E27FC236}">
              <a16:creationId xmlns:a16="http://schemas.microsoft.com/office/drawing/2014/main" id="{D3CEC43C-C51E-4711-A90D-5F8590CAF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3914775"/>
          <a:ext cx="277705" cy="263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590551</xdr:colOff>
      <xdr:row>31</xdr:row>
      <xdr:rowOff>670</xdr:rowOff>
    </xdr:from>
    <xdr:to>
      <xdr:col>0</xdr:col>
      <xdr:colOff>857251</xdr:colOff>
      <xdr:row>32</xdr:row>
      <xdr:rowOff>151240</xdr:rowOff>
    </xdr:to>
    <xdr:pic>
      <xdr:nvPicPr>
        <xdr:cNvPr id="78" name="Picture 536">
          <a:extLst>
            <a:ext uri="{FF2B5EF4-FFF2-40B4-BE49-F238E27FC236}">
              <a16:creationId xmlns:a16="http://schemas.microsoft.com/office/drawing/2014/main" id="{72B35021-6A77-4062-AF6F-1F699E9E8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8191" y="5624230"/>
          <a:ext cx="266700" cy="310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209551</xdr:colOff>
      <xdr:row>41</xdr:row>
      <xdr:rowOff>38100</xdr:rowOff>
    </xdr:from>
    <xdr:to>
      <xdr:col>0</xdr:col>
      <xdr:colOff>460385</xdr:colOff>
      <xdr:row>42</xdr:row>
      <xdr:rowOff>85725</xdr:rowOff>
    </xdr:to>
    <xdr:pic>
      <xdr:nvPicPr>
        <xdr:cNvPr id="79" name="Picture 536">
          <a:extLst>
            <a:ext uri="{FF2B5EF4-FFF2-40B4-BE49-F238E27FC236}">
              <a16:creationId xmlns:a16="http://schemas.microsoft.com/office/drawing/2014/main" id="{870F908E-6B4F-46C0-9410-A73E62768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1" y="7505700"/>
          <a:ext cx="250834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563880</xdr:colOff>
      <xdr:row>46</xdr:row>
      <xdr:rowOff>89535</xdr:rowOff>
    </xdr:from>
    <xdr:to>
      <xdr:col>0</xdr:col>
      <xdr:colOff>841585</xdr:colOff>
      <xdr:row>47</xdr:row>
      <xdr:rowOff>162670</xdr:rowOff>
    </xdr:to>
    <xdr:pic>
      <xdr:nvPicPr>
        <xdr:cNvPr id="80" name="Picture 536">
          <a:extLst>
            <a:ext uri="{FF2B5EF4-FFF2-40B4-BE49-F238E27FC236}">
              <a16:creationId xmlns:a16="http://schemas.microsoft.com/office/drawing/2014/main" id="{B1371116-2AC9-44EA-AABB-3E8056566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" y="8509635"/>
          <a:ext cx="277705" cy="263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552450</xdr:colOff>
      <xdr:row>62</xdr:row>
      <xdr:rowOff>152400</xdr:rowOff>
    </xdr:from>
    <xdr:to>
      <xdr:col>0</xdr:col>
      <xdr:colOff>830155</xdr:colOff>
      <xdr:row>64</xdr:row>
      <xdr:rowOff>35035</xdr:rowOff>
    </xdr:to>
    <xdr:pic>
      <xdr:nvPicPr>
        <xdr:cNvPr id="81" name="Picture 536">
          <a:extLst>
            <a:ext uri="{FF2B5EF4-FFF2-40B4-BE49-F238E27FC236}">
              <a16:creationId xmlns:a16="http://schemas.microsoft.com/office/drawing/2014/main" id="{D4C44758-3F40-4765-A86F-ABCB4A0AB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090" y="11620500"/>
          <a:ext cx="277705" cy="263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561975</xdr:colOff>
      <xdr:row>73</xdr:row>
      <xdr:rowOff>76200</xdr:rowOff>
    </xdr:from>
    <xdr:to>
      <xdr:col>0</xdr:col>
      <xdr:colOff>839680</xdr:colOff>
      <xdr:row>74</xdr:row>
      <xdr:rowOff>149335</xdr:rowOff>
    </xdr:to>
    <xdr:pic>
      <xdr:nvPicPr>
        <xdr:cNvPr id="82" name="Picture 536">
          <a:extLst>
            <a:ext uri="{FF2B5EF4-FFF2-40B4-BE49-F238E27FC236}">
              <a16:creationId xmlns:a16="http://schemas.microsoft.com/office/drawing/2014/main" id="{070D2E64-749A-4E42-82A4-C9054B9E0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615" y="13639800"/>
          <a:ext cx="277705" cy="263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529590</xdr:colOff>
      <xdr:row>102</xdr:row>
      <xdr:rowOff>89535</xdr:rowOff>
    </xdr:from>
    <xdr:to>
      <xdr:col>0</xdr:col>
      <xdr:colOff>807295</xdr:colOff>
      <xdr:row>104</xdr:row>
      <xdr:rowOff>15240</xdr:rowOff>
    </xdr:to>
    <xdr:pic>
      <xdr:nvPicPr>
        <xdr:cNvPr id="83" name="Picture 536">
          <a:extLst>
            <a:ext uri="{FF2B5EF4-FFF2-40B4-BE49-F238E27FC236}">
              <a16:creationId xmlns:a16="http://schemas.microsoft.com/office/drawing/2014/main" id="{4C9FCA67-2D58-4F4F-A1B4-A39DEEC6A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" y="19177635"/>
          <a:ext cx="277705" cy="306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552450</xdr:colOff>
      <xdr:row>128</xdr:row>
      <xdr:rowOff>102870</xdr:rowOff>
    </xdr:from>
    <xdr:to>
      <xdr:col>0</xdr:col>
      <xdr:colOff>830155</xdr:colOff>
      <xdr:row>130</xdr:row>
      <xdr:rowOff>50275</xdr:rowOff>
    </xdr:to>
    <xdr:pic>
      <xdr:nvPicPr>
        <xdr:cNvPr id="84" name="Picture 536">
          <a:extLst>
            <a:ext uri="{FF2B5EF4-FFF2-40B4-BE49-F238E27FC236}">
              <a16:creationId xmlns:a16="http://schemas.microsoft.com/office/drawing/2014/main" id="{AEDCBD94-48A4-4FE5-AD1A-6F015BBC9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090" y="24143970"/>
          <a:ext cx="277705" cy="328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582930</xdr:colOff>
      <xdr:row>158</xdr:row>
      <xdr:rowOff>51436</xdr:rowOff>
    </xdr:from>
    <xdr:to>
      <xdr:col>0</xdr:col>
      <xdr:colOff>860635</xdr:colOff>
      <xdr:row>159</xdr:row>
      <xdr:rowOff>153146</xdr:rowOff>
    </xdr:to>
    <xdr:pic>
      <xdr:nvPicPr>
        <xdr:cNvPr id="85" name="Picture 536">
          <a:extLst>
            <a:ext uri="{FF2B5EF4-FFF2-40B4-BE49-F238E27FC236}">
              <a16:creationId xmlns:a16="http://schemas.microsoft.com/office/drawing/2014/main" id="{78E1566A-C2C9-4638-978E-33C90BAC9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0570" y="29807536"/>
          <a:ext cx="277705" cy="292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579120</xdr:colOff>
      <xdr:row>187</xdr:row>
      <xdr:rowOff>67023</xdr:rowOff>
    </xdr:from>
    <xdr:to>
      <xdr:col>0</xdr:col>
      <xdr:colOff>809625</xdr:colOff>
      <xdr:row>189</xdr:row>
      <xdr:rowOff>13335</xdr:rowOff>
    </xdr:to>
    <xdr:pic>
      <xdr:nvPicPr>
        <xdr:cNvPr id="86" name="Picture 536">
          <a:extLst>
            <a:ext uri="{FF2B5EF4-FFF2-40B4-BE49-F238E27FC236}">
              <a16:creationId xmlns:a16="http://schemas.microsoft.com/office/drawing/2014/main" id="{F3B2F3D8-5A4B-488E-987F-897DB9C90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760" y="35347623"/>
          <a:ext cx="230505" cy="3273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567690</xdr:colOff>
      <xdr:row>311</xdr:row>
      <xdr:rowOff>22860</xdr:rowOff>
    </xdr:from>
    <xdr:to>
      <xdr:col>0</xdr:col>
      <xdr:colOff>845395</xdr:colOff>
      <xdr:row>312</xdr:row>
      <xdr:rowOff>95995</xdr:rowOff>
    </xdr:to>
    <xdr:pic>
      <xdr:nvPicPr>
        <xdr:cNvPr id="87" name="Picture 536">
          <a:extLst>
            <a:ext uri="{FF2B5EF4-FFF2-40B4-BE49-F238E27FC236}">
              <a16:creationId xmlns:a16="http://schemas.microsoft.com/office/drawing/2014/main" id="{6C849557-CB14-4305-8E74-46AF43EB1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330" y="58925460"/>
          <a:ext cx="277705" cy="263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207645</xdr:colOff>
      <xdr:row>486</xdr:row>
      <xdr:rowOff>156210</xdr:rowOff>
    </xdr:from>
    <xdr:to>
      <xdr:col>0</xdr:col>
      <xdr:colOff>485350</xdr:colOff>
      <xdr:row>488</xdr:row>
      <xdr:rowOff>38845</xdr:rowOff>
    </xdr:to>
    <xdr:pic>
      <xdr:nvPicPr>
        <xdr:cNvPr id="88" name="Picture 536">
          <a:extLst>
            <a:ext uri="{FF2B5EF4-FFF2-40B4-BE49-F238E27FC236}">
              <a16:creationId xmlns:a16="http://schemas.microsoft.com/office/drawing/2014/main" id="{989893E6-6A94-43C8-88CF-34B460EFB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285" y="92396310"/>
          <a:ext cx="277705" cy="263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584835</xdr:colOff>
      <xdr:row>512</xdr:row>
      <xdr:rowOff>121921</xdr:rowOff>
    </xdr:from>
    <xdr:to>
      <xdr:col>0</xdr:col>
      <xdr:colOff>862540</xdr:colOff>
      <xdr:row>514</xdr:row>
      <xdr:rowOff>44561</xdr:rowOff>
    </xdr:to>
    <xdr:pic>
      <xdr:nvPicPr>
        <xdr:cNvPr id="89" name="Picture 536">
          <a:extLst>
            <a:ext uri="{FF2B5EF4-FFF2-40B4-BE49-F238E27FC236}">
              <a16:creationId xmlns:a16="http://schemas.microsoft.com/office/drawing/2014/main" id="{E2B3AD43-7DAF-4E80-B8CD-B520C03FB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" y="99220021"/>
          <a:ext cx="277705" cy="303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575310</xdr:colOff>
      <xdr:row>559</xdr:row>
      <xdr:rowOff>38100</xdr:rowOff>
    </xdr:from>
    <xdr:to>
      <xdr:col>0</xdr:col>
      <xdr:colOff>853015</xdr:colOff>
      <xdr:row>561</xdr:row>
      <xdr:rowOff>745</xdr:rowOff>
    </xdr:to>
    <xdr:pic>
      <xdr:nvPicPr>
        <xdr:cNvPr id="108" name="Picture 536">
          <a:extLst>
            <a:ext uri="{FF2B5EF4-FFF2-40B4-BE49-F238E27FC236}">
              <a16:creationId xmlns:a16="http://schemas.microsoft.com/office/drawing/2014/main" id="{CCC91612-6DB4-429F-975E-92D5D9019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108074460"/>
          <a:ext cx="277705" cy="3436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571500</xdr:colOff>
      <xdr:row>570</xdr:row>
      <xdr:rowOff>104775</xdr:rowOff>
    </xdr:from>
    <xdr:to>
      <xdr:col>0</xdr:col>
      <xdr:colOff>849205</xdr:colOff>
      <xdr:row>571</xdr:row>
      <xdr:rowOff>177910</xdr:rowOff>
    </xdr:to>
    <xdr:pic>
      <xdr:nvPicPr>
        <xdr:cNvPr id="109" name="Picture 536">
          <a:extLst>
            <a:ext uri="{FF2B5EF4-FFF2-40B4-BE49-F238E27FC236}">
              <a16:creationId xmlns:a16="http://schemas.microsoft.com/office/drawing/2014/main" id="{F8340C57-E3C4-41DB-B545-B6CAEF563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140" y="110236635"/>
          <a:ext cx="277705" cy="263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575310</xdr:colOff>
      <xdr:row>610</xdr:row>
      <xdr:rowOff>89535</xdr:rowOff>
    </xdr:from>
    <xdr:to>
      <xdr:col>0</xdr:col>
      <xdr:colOff>853015</xdr:colOff>
      <xdr:row>611</xdr:row>
      <xdr:rowOff>162670</xdr:rowOff>
    </xdr:to>
    <xdr:pic>
      <xdr:nvPicPr>
        <xdr:cNvPr id="113" name="Picture 536">
          <a:extLst>
            <a:ext uri="{FF2B5EF4-FFF2-40B4-BE49-F238E27FC236}">
              <a16:creationId xmlns:a16="http://schemas.microsoft.com/office/drawing/2014/main" id="{CCEE3528-5B24-4D72-869D-07B73F532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117841395"/>
          <a:ext cx="277705" cy="263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561975</xdr:colOff>
      <xdr:row>642</xdr:row>
      <xdr:rowOff>28575</xdr:rowOff>
    </xdr:from>
    <xdr:to>
      <xdr:col>0</xdr:col>
      <xdr:colOff>839680</xdr:colOff>
      <xdr:row>643</xdr:row>
      <xdr:rowOff>101710</xdr:rowOff>
    </xdr:to>
    <xdr:pic>
      <xdr:nvPicPr>
        <xdr:cNvPr id="115" name="Picture 536">
          <a:extLst>
            <a:ext uri="{FF2B5EF4-FFF2-40B4-BE49-F238E27FC236}">
              <a16:creationId xmlns:a16="http://schemas.microsoft.com/office/drawing/2014/main" id="{599F3E89-D2FD-43D4-8FCD-E3DB75CE9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615" y="123609735"/>
          <a:ext cx="277705" cy="263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548640</xdr:colOff>
      <xdr:row>667</xdr:row>
      <xdr:rowOff>74295</xdr:rowOff>
    </xdr:from>
    <xdr:to>
      <xdr:col>0</xdr:col>
      <xdr:colOff>826345</xdr:colOff>
      <xdr:row>668</xdr:row>
      <xdr:rowOff>189340</xdr:rowOff>
    </xdr:to>
    <xdr:pic>
      <xdr:nvPicPr>
        <xdr:cNvPr id="116" name="Picture 536">
          <a:extLst>
            <a:ext uri="{FF2B5EF4-FFF2-40B4-BE49-F238E27FC236}">
              <a16:creationId xmlns:a16="http://schemas.microsoft.com/office/drawing/2014/main" id="{AC7FD155-269E-4252-BF6C-635360288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280" y="128417955"/>
          <a:ext cx="277705" cy="3055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603886</xdr:colOff>
      <xdr:row>727</xdr:row>
      <xdr:rowOff>7620</xdr:rowOff>
    </xdr:from>
    <xdr:to>
      <xdr:col>0</xdr:col>
      <xdr:colOff>896860</xdr:colOff>
      <xdr:row>728</xdr:row>
      <xdr:rowOff>106680</xdr:rowOff>
    </xdr:to>
    <xdr:pic>
      <xdr:nvPicPr>
        <xdr:cNvPr id="151" name="Picture 536">
          <a:extLst>
            <a:ext uri="{FF2B5EF4-FFF2-40B4-BE49-F238E27FC236}">
              <a16:creationId xmlns:a16="http://schemas.microsoft.com/office/drawing/2014/main" id="{4F9E3AE8-2A44-4E3D-AEAD-E92AD673E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6" y="140162280"/>
          <a:ext cx="292974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560070</xdr:colOff>
      <xdr:row>752</xdr:row>
      <xdr:rowOff>133350</xdr:rowOff>
    </xdr:from>
    <xdr:to>
      <xdr:col>0</xdr:col>
      <xdr:colOff>837775</xdr:colOff>
      <xdr:row>754</xdr:row>
      <xdr:rowOff>62865</xdr:rowOff>
    </xdr:to>
    <xdr:pic>
      <xdr:nvPicPr>
        <xdr:cNvPr id="202" name="Picture 536">
          <a:extLst>
            <a:ext uri="{FF2B5EF4-FFF2-40B4-BE49-F238E27FC236}">
              <a16:creationId xmlns:a16="http://schemas.microsoft.com/office/drawing/2014/main" id="{DB5C499E-8E18-48DD-886E-6FD88DC29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710" y="145050510"/>
          <a:ext cx="277705" cy="310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548640</xdr:colOff>
      <xdr:row>797</xdr:row>
      <xdr:rowOff>68580</xdr:rowOff>
    </xdr:from>
    <xdr:to>
      <xdr:col>0</xdr:col>
      <xdr:colOff>826345</xdr:colOff>
      <xdr:row>798</xdr:row>
      <xdr:rowOff>141715</xdr:rowOff>
    </xdr:to>
    <xdr:pic>
      <xdr:nvPicPr>
        <xdr:cNvPr id="203" name="Picture 536">
          <a:extLst>
            <a:ext uri="{FF2B5EF4-FFF2-40B4-BE49-F238E27FC236}">
              <a16:creationId xmlns:a16="http://schemas.microsoft.com/office/drawing/2014/main" id="{4A82BD83-1481-475D-BEF8-506AAE2BD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280" y="153558240"/>
          <a:ext cx="277705" cy="263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196215</xdr:colOff>
      <xdr:row>884</xdr:row>
      <xdr:rowOff>114300</xdr:rowOff>
    </xdr:from>
    <xdr:to>
      <xdr:col>0</xdr:col>
      <xdr:colOff>427920</xdr:colOff>
      <xdr:row>885</xdr:row>
      <xdr:rowOff>182880</xdr:rowOff>
    </xdr:to>
    <xdr:pic>
      <xdr:nvPicPr>
        <xdr:cNvPr id="204" name="Picture 536">
          <a:extLst>
            <a:ext uri="{FF2B5EF4-FFF2-40B4-BE49-F238E27FC236}">
              <a16:creationId xmlns:a16="http://schemas.microsoft.com/office/drawing/2014/main" id="{ECDD4FC7-16BC-41FD-830A-2B6130AA8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" y="170101260"/>
          <a:ext cx="231705" cy="259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569595</xdr:colOff>
      <xdr:row>894</xdr:row>
      <xdr:rowOff>53340</xdr:rowOff>
    </xdr:from>
    <xdr:to>
      <xdr:col>0</xdr:col>
      <xdr:colOff>800699</xdr:colOff>
      <xdr:row>895</xdr:row>
      <xdr:rowOff>91440</xdr:rowOff>
    </xdr:to>
    <xdr:pic>
      <xdr:nvPicPr>
        <xdr:cNvPr id="205" name="Picture 536">
          <a:extLst>
            <a:ext uri="{FF2B5EF4-FFF2-40B4-BE49-F238E27FC236}">
              <a16:creationId xmlns:a16="http://schemas.microsoft.com/office/drawing/2014/main" id="{9BF6DA3B-8D81-4AF7-8D9E-7F068F999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7235" y="171907200"/>
          <a:ext cx="231104" cy="220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581026</xdr:colOff>
      <xdr:row>938</xdr:row>
      <xdr:rowOff>38100</xdr:rowOff>
    </xdr:from>
    <xdr:to>
      <xdr:col>0</xdr:col>
      <xdr:colOff>835172</xdr:colOff>
      <xdr:row>940</xdr:row>
      <xdr:rowOff>6460</xdr:rowOff>
    </xdr:to>
    <xdr:pic>
      <xdr:nvPicPr>
        <xdr:cNvPr id="206" name="Picture 536">
          <a:extLst>
            <a:ext uri="{FF2B5EF4-FFF2-40B4-BE49-F238E27FC236}">
              <a16:creationId xmlns:a16="http://schemas.microsoft.com/office/drawing/2014/main" id="{AAFC0A67-F8DA-41A5-9037-7279377CA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8666" y="180182520"/>
          <a:ext cx="254146" cy="349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657225</xdr:colOff>
      <xdr:row>947</xdr:row>
      <xdr:rowOff>137160</xdr:rowOff>
    </xdr:from>
    <xdr:to>
      <xdr:col>0</xdr:col>
      <xdr:colOff>934930</xdr:colOff>
      <xdr:row>949</xdr:row>
      <xdr:rowOff>73135</xdr:rowOff>
    </xdr:to>
    <xdr:pic>
      <xdr:nvPicPr>
        <xdr:cNvPr id="207" name="Picture 536">
          <a:extLst>
            <a:ext uri="{FF2B5EF4-FFF2-40B4-BE49-F238E27FC236}">
              <a16:creationId xmlns:a16="http://schemas.microsoft.com/office/drawing/2014/main" id="{6952C9D2-C294-4B0E-9BCB-C15896877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4865" y="181996080"/>
          <a:ext cx="277705" cy="316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600075</xdr:colOff>
      <xdr:row>953</xdr:row>
      <xdr:rowOff>148034</xdr:rowOff>
    </xdr:from>
    <xdr:to>
      <xdr:col>0</xdr:col>
      <xdr:colOff>838200</xdr:colOff>
      <xdr:row>955</xdr:row>
      <xdr:rowOff>73135</xdr:rowOff>
    </xdr:to>
    <xdr:pic>
      <xdr:nvPicPr>
        <xdr:cNvPr id="208" name="Picture 536">
          <a:extLst>
            <a:ext uri="{FF2B5EF4-FFF2-40B4-BE49-F238E27FC236}">
              <a16:creationId xmlns:a16="http://schemas.microsoft.com/office/drawing/2014/main" id="{4538B5AD-2F15-4A73-941C-129403806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715" y="183340454"/>
          <a:ext cx="238125" cy="3061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257176</xdr:colOff>
      <xdr:row>962</xdr:row>
      <xdr:rowOff>112266</xdr:rowOff>
    </xdr:from>
    <xdr:to>
      <xdr:col>0</xdr:col>
      <xdr:colOff>485775</xdr:colOff>
      <xdr:row>964</xdr:row>
      <xdr:rowOff>57411</xdr:rowOff>
    </xdr:to>
    <xdr:pic>
      <xdr:nvPicPr>
        <xdr:cNvPr id="209" name="Picture 536">
          <a:extLst>
            <a:ext uri="{FF2B5EF4-FFF2-40B4-BE49-F238E27FC236}">
              <a16:creationId xmlns:a16="http://schemas.microsoft.com/office/drawing/2014/main" id="{E13E82F7-CDAE-4E30-82CB-7731F8270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816" y="185019186"/>
          <a:ext cx="228599" cy="3261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588645</xdr:colOff>
      <xdr:row>998</xdr:row>
      <xdr:rowOff>129540</xdr:rowOff>
    </xdr:from>
    <xdr:to>
      <xdr:col>0</xdr:col>
      <xdr:colOff>866350</xdr:colOff>
      <xdr:row>1000</xdr:row>
      <xdr:rowOff>116950</xdr:rowOff>
    </xdr:to>
    <xdr:pic>
      <xdr:nvPicPr>
        <xdr:cNvPr id="210" name="Picture 536">
          <a:extLst>
            <a:ext uri="{FF2B5EF4-FFF2-40B4-BE49-F238E27FC236}">
              <a16:creationId xmlns:a16="http://schemas.microsoft.com/office/drawing/2014/main" id="{831CFCD4-7B10-4441-9165-F64E2DA41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6285" y="191863980"/>
          <a:ext cx="277705" cy="322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573405</xdr:colOff>
      <xdr:row>1011</xdr:row>
      <xdr:rowOff>146685</xdr:rowOff>
    </xdr:from>
    <xdr:to>
      <xdr:col>0</xdr:col>
      <xdr:colOff>851110</xdr:colOff>
      <xdr:row>1013</xdr:row>
      <xdr:rowOff>29320</xdr:rowOff>
    </xdr:to>
    <xdr:pic>
      <xdr:nvPicPr>
        <xdr:cNvPr id="211" name="Picture 536">
          <a:extLst>
            <a:ext uri="{FF2B5EF4-FFF2-40B4-BE49-F238E27FC236}">
              <a16:creationId xmlns:a16="http://schemas.microsoft.com/office/drawing/2014/main" id="{5118107D-2AB3-4C78-82F3-1B264A84F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045" y="194060445"/>
          <a:ext cx="277705" cy="263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624840</xdr:colOff>
      <xdr:row>1019</xdr:row>
      <xdr:rowOff>36195</xdr:rowOff>
    </xdr:from>
    <xdr:to>
      <xdr:col>0</xdr:col>
      <xdr:colOff>902545</xdr:colOff>
      <xdr:row>1020</xdr:row>
      <xdr:rowOff>147430</xdr:rowOff>
    </xdr:to>
    <xdr:pic>
      <xdr:nvPicPr>
        <xdr:cNvPr id="212" name="Picture 536">
          <a:extLst>
            <a:ext uri="{FF2B5EF4-FFF2-40B4-BE49-F238E27FC236}">
              <a16:creationId xmlns:a16="http://schemas.microsoft.com/office/drawing/2014/main" id="{6325BE60-C257-4A4B-A5DD-7C1E2722B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95489195"/>
          <a:ext cx="277705" cy="278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636270</xdr:colOff>
      <xdr:row>1027</xdr:row>
      <xdr:rowOff>106680</xdr:rowOff>
    </xdr:from>
    <xdr:to>
      <xdr:col>0</xdr:col>
      <xdr:colOff>913975</xdr:colOff>
      <xdr:row>1028</xdr:row>
      <xdr:rowOff>179815</xdr:rowOff>
    </xdr:to>
    <xdr:pic>
      <xdr:nvPicPr>
        <xdr:cNvPr id="213" name="Picture 536">
          <a:extLst>
            <a:ext uri="{FF2B5EF4-FFF2-40B4-BE49-F238E27FC236}">
              <a16:creationId xmlns:a16="http://schemas.microsoft.com/office/drawing/2014/main" id="{32838CF7-A919-445B-8680-3AD48D644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" y="196900800"/>
          <a:ext cx="277705" cy="263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600075</xdr:colOff>
      <xdr:row>1039</xdr:row>
      <xdr:rowOff>81915</xdr:rowOff>
    </xdr:from>
    <xdr:to>
      <xdr:col>0</xdr:col>
      <xdr:colOff>877780</xdr:colOff>
      <xdr:row>1040</xdr:row>
      <xdr:rowOff>155050</xdr:rowOff>
    </xdr:to>
    <xdr:pic>
      <xdr:nvPicPr>
        <xdr:cNvPr id="214" name="Picture 536">
          <a:extLst>
            <a:ext uri="{FF2B5EF4-FFF2-40B4-BE49-F238E27FC236}">
              <a16:creationId xmlns:a16="http://schemas.microsoft.com/office/drawing/2014/main" id="{E366F961-8A2A-49EE-AB44-E2285B5BB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715" y="199200135"/>
          <a:ext cx="277705" cy="263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590551</xdr:colOff>
      <xdr:row>1099</xdr:row>
      <xdr:rowOff>60961</xdr:rowOff>
    </xdr:from>
    <xdr:to>
      <xdr:col>0</xdr:col>
      <xdr:colOff>868255</xdr:colOff>
      <xdr:row>1100</xdr:row>
      <xdr:rowOff>121920</xdr:rowOff>
    </xdr:to>
    <xdr:pic>
      <xdr:nvPicPr>
        <xdr:cNvPr id="215" name="Picture 536">
          <a:extLst>
            <a:ext uri="{FF2B5EF4-FFF2-40B4-BE49-F238E27FC236}">
              <a16:creationId xmlns:a16="http://schemas.microsoft.com/office/drawing/2014/main" id="{CEAD162E-F25B-4C0F-B002-882FB7D69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8191" y="210632041"/>
          <a:ext cx="277704" cy="2514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556260</xdr:colOff>
      <xdr:row>1133</xdr:row>
      <xdr:rowOff>146685</xdr:rowOff>
    </xdr:from>
    <xdr:to>
      <xdr:col>0</xdr:col>
      <xdr:colOff>833965</xdr:colOff>
      <xdr:row>1135</xdr:row>
      <xdr:rowOff>29320</xdr:rowOff>
    </xdr:to>
    <xdr:pic>
      <xdr:nvPicPr>
        <xdr:cNvPr id="216" name="Picture 536">
          <a:extLst>
            <a:ext uri="{FF2B5EF4-FFF2-40B4-BE49-F238E27FC236}">
              <a16:creationId xmlns:a16="http://schemas.microsoft.com/office/drawing/2014/main" id="{6C2007B1-4C6A-4CF8-B785-46AA6ACAC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217194765"/>
          <a:ext cx="277705" cy="263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567690</xdr:colOff>
      <xdr:row>1165</xdr:row>
      <xdr:rowOff>19050</xdr:rowOff>
    </xdr:from>
    <xdr:to>
      <xdr:col>0</xdr:col>
      <xdr:colOff>845395</xdr:colOff>
      <xdr:row>1166</xdr:row>
      <xdr:rowOff>92185</xdr:rowOff>
    </xdr:to>
    <xdr:pic>
      <xdr:nvPicPr>
        <xdr:cNvPr id="217" name="Picture 536">
          <a:extLst>
            <a:ext uri="{FF2B5EF4-FFF2-40B4-BE49-F238E27FC236}">
              <a16:creationId xmlns:a16="http://schemas.microsoft.com/office/drawing/2014/main" id="{507C4E1B-EE18-4981-9E85-4560662EE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330" y="223163130"/>
          <a:ext cx="277705" cy="263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560070</xdr:colOff>
      <xdr:row>1172</xdr:row>
      <xdr:rowOff>89535</xdr:rowOff>
    </xdr:from>
    <xdr:to>
      <xdr:col>0</xdr:col>
      <xdr:colOff>837775</xdr:colOff>
      <xdr:row>1173</xdr:row>
      <xdr:rowOff>158860</xdr:rowOff>
    </xdr:to>
    <xdr:pic>
      <xdr:nvPicPr>
        <xdr:cNvPr id="218" name="Picture 536">
          <a:extLst>
            <a:ext uri="{FF2B5EF4-FFF2-40B4-BE49-F238E27FC236}">
              <a16:creationId xmlns:a16="http://schemas.microsoft.com/office/drawing/2014/main" id="{F3103CA6-A681-4FB5-8F72-2870D60BF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710" y="224567115"/>
          <a:ext cx="277705" cy="25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72390</xdr:colOff>
      <xdr:row>1192</xdr:row>
      <xdr:rowOff>108585</xdr:rowOff>
    </xdr:from>
    <xdr:to>
      <xdr:col>0</xdr:col>
      <xdr:colOff>350095</xdr:colOff>
      <xdr:row>1193</xdr:row>
      <xdr:rowOff>181720</xdr:rowOff>
    </xdr:to>
    <xdr:pic>
      <xdr:nvPicPr>
        <xdr:cNvPr id="219" name="Picture 536">
          <a:extLst>
            <a:ext uri="{FF2B5EF4-FFF2-40B4-BE49-F238E27FC236}">
              <a16:creationId xmlns:a16="http://schemas.microsoft.com/office/drawing/2014/main" id="{AC0F878D-F71E-4993-92DB-563B9AC41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228396165"/>
          <a:ext cx="277705" cy="263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579120</xdr:colOff>
      <xdr:row>1214</xdr:row>
      <xdr:rowOff>95250</xdr:rowOff>
    </xdr:from>
    <xdr:to>
      <xdr:col>0</xdr:col>
      <xdr:colOff>856825</xdr:colOff>
      <xdr:row>1216</xdr:row>
      <xdr:rowOff>11430</xdr:rowOff>
    </xdr:to>
    <xdr:pic>
      <xdr:nvPicPr>
        <xdr:cNvPr id="220" name="Picture 536">
          <a:extLst>
            <a:ext uri="{FF2B5EF4-FFF2-40B4-BE49-F238E27FC236}">
              <a16:creationId xmlns:a16="http://schemas.microsoft.com/office/drawing/2014/main" id="{6A826FF9-EEB0-4723-86FB-B0F13AFBD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760" y="232573830"/>
          <a:ext cx="277705" cy="297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571500</xdr:colOff>
      <xdr:row>1239</xdr:row>
      <xdr:rowOff>123825</xdr:rowOff>
    </xdr:from>
    <xdr:to>
      <xdr:col>0</xdr:col>
      <xdr:colOff>849205</xdr:colOff>
      <xdr:row>1241</xdr:row>
      <xdr:rowOff>6460</xdr:rowOff>
    </xdr:to>
    <xdr:pic>
      <xdr:nvPicPr>
        <xdr:cNvPr id="221" name="Picture 536">
          <a:extLst>
            <a:ext uri="{FF2B5EF4-FFF2-40B4-BE49-F238E27FC236}">
              <a16:creationId xmlns:a16="http://schemas.microsoft.com/office/drawing/2014/main" id="{F606A203-E2E1-4F4F-9EED-E3349F46A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140" y="237357285"/>
          <a:ext cx="277705" cy="263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142875</xdr:colOff>
      <xdr:row>1248</xdr:row>
      <xdr:rowOff>47625</xdr:rowOff>
    </xdr:from>
    <xdr:to>
      <xdr:col>0</xdr:col>
      <xdr:colOff>420580</xdr:colOff>
      <xdr:row>1249</xdr:row>
      <xdr:rowOff>120760</xdr:rowOff>
    </xdr:to>
    <xdr:pic>
      <xdr:nvPicPr>
        <xdr:cNvPr id="222" name="Picture 536">
          <a:extLst>
            <a:ext uri="{FF2B5EF4-FFF2-40B4-BE49-F238E27FC236}">
              <a16:creationId xmlns:a16="http://schemas.microsoft.com/office/drawing/2014/main" id="{A725F790-E404-4C3D-8182-CB62C64D3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515" y="238995585"/>
          <a:ext cx="277705" cy="263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584835</xdr:colOff>
      <xdr:row>1256</xdr:row>
      <xdr:rowOff>182881</xdr:rowOff>
    </xdr:from>
    <xdr:to>
      <xdr:col>0</xdr:col>
      <xdr:colOff>862540</xdr:colOff>
      <xdr:row>1258</xdr:row>
      <xdr:rowOff>162671</xdr:rowOff>
    </xdr:to>
    <xdr:pic>
      <xdr:nvPicPr>
        <xdr:cNvPr id="223" name="Picture 536">
          <a:extLst>
            <a:ext uri="{FF2B5EF4-FFF2-40B4-BE49-F238E27FC236}">
              <a16:creationId xmlns:a16="http://schemas.microsoft.com/office/drawing/2014/main" id="{FEFBE319-DEAC-4C95-B2D6-E46A556B4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" y="240654841"/>
          <a:ext cx="277705" cy="36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598170</xdr:colOff>
      <xdr:row>1276</xdr:row>
      <xdr:rowOff>66675</xdr:rowOff>
    </xdr:from>
    <xdr:to>
      <xdr:col>0</xdr:col>
      <xdr:colOff>875875</xdr:colOff>
      <xdr:row>1277</xdr:row>
      <xdr:rowOff>139810</xdr:rowOff>
    </xdr:to>
    <xdr:pic>
      <xdr:nvPicPr>
        <xdr:cNvPr id="224" name="Picture 536">
          <a:extLst>
            <a:ext uri="{FF2B5EF4-FFF2-40B4-BE49-F238E27FC236}">
              <a16:creationId xmlns:a16="http://schemas.microsoft.com/office/drawing/2014/main" id="{833F63A8-84D2-440E-B2C1-473F6EAA4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" y="244348635"/>
          <a:ext cx="277705" cy="263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542925</xdr:colOff>
      <xdr:row>1288</xdr:row>
      <xdr:rowOff>9525</xdr:rowOff>
    </xdr:from>
    <xdr:to>
      <xdr:col>0</xdr:col>
      <xdr:colOff>820630</xdr:colOff>
      <xdr:row>1289</xdr:row>
      <xdr:rowOff>82660</xdr:rowOff>
    </xdr:to>
    <xdr:pic>
      <xdr:nvPicPr>
        <xdr:cNvPr id="225" name="Picture 536">
          <a:extLst>
            <a:ext uri="{FF2B5EF4-FFF2-40B4-BE49-F238E27FC236}">
              <a16:creationId xmlns:a16="http://schemas.microsoft.com/office/drawing/2014/main" id="{1C0C3EEB-29C1-4B49-B301-C6697E06C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565" y="246577485"/>
          <a:ext cx="277705" cy="263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586740</xdr:colOff>
      <xdr:row>1303</xdr:row>
      <xdr:rowOff>163830</xdr:rowOff>
    </xdr:from>
    <xdr:to>
      <xdr:col>0</xdr:col>
      <xdr:colOff>864445</xdr:colOff>
      <xdr:row>1305</xdr:row>
      <xdr:rowOff>46465</xdr:rowOff>
    </xdr:to>
    <xdr:pic>
      <xdr:nvPicPr>
        <xdr:cNvPr id="226" name="Picture 536">
          <a:extLst>
            <a:ext uri="{FF2B5EF4-FFF2-40B4-BE49-F238E27FC236}">
              <a16:creationId xmlns:a16="http://schemas.microsoft.com/office/drawing/2014/main" id="{7517792C-9213-4967-BAFD-A4DB73FA1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380" y="249589290"/>
          <a:ext cx="277705" cy="263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544830</xdr:colOff>
      <xdr:row>1388</xdr:row>
      <xdr:rowOff>116205</xdr:rowOff>
    </xdr:from>
    <xdr:to>
      <xdr:col>0</xdr:col>
      <xdr:colOff>822535</xdr:colOff>
      <xdr:row>1390</xdr:row>
      <xdr:rowOff>97900</xdr:rowOff>
    </xdr:to>
    <xdr:pic>
      <xdr:nvPicPr>
        <xdr:cNvPr id="227" name="Picture 536">
          <a:extLst>
            <a:ext uri="{FF2B5EF4-FFF2-40B4-BE49-F238E27FC236}">
              <a16:creationId xmlns:a16="http://schemas.microsoft.com/office/drawing/2014/main" id="{3BB289BA-27F2-4312-976A-ADAD4AC8B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2470" y="264057765"/>
          <a:ext cx="277705" cy="3626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581025</xdr:colOff>
      <xdr:row>1420</xdr:row>
      <xdr:rowOff>137160</xdr:rowOff>
    </xdr:from>
    <xdr:to>
      <xdr:col>0</xdr:col>
      <xdr:colOff>858730</xdr:colOff>
      <xdr:row>1422</xdr:row>
      <xdr:rowOff>19795</xdr:rowOff>
    </xdr:to>
    <xdr:pic>
      <xdr:nvPicPr>
        <xdr:cNvPr id="228" name="Picture 536">
          <a:extLst>
            <a:ext uri="{FF2B5EF4-FFF2-40B4-BE49-F238E27FC236}">
              <a16:creationId xmlns:a16="http://schemas.microsoft.com/office/drawing/2014/main" id="{B5F5ECB0-993F-493C-9F73-7557C0A78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8665" y="270174720"/>
          <a:ext cx="277705" cy="263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523875</xdr:colOff>
      <xdr:row>1437</xdr:row>
      <xdr:rowOff>62865</xdr:rowOff>
    </xdr:from>
    <xdr:to>
      <xdr:col>0</xdr:col>
      <xdr:colOff>801580</xdr:colOff>
      <xdr:row>1439</xdr:row>
      <xdr:rowOff>13335</xdr:rowOff>
    </xdr:to>
    <xdr:pic>
      <xdr:nvPicPr>
        <xdr:cNvPr id="229" name="Picture 536">
          <a:extLst>
            <a:ext uri="{FF2B5EF4-FFF2-40B4-BE49-F238E27FC236}">
              <a16:creationId xmlns:a16="http://schemas.microsoft.com/office/drawing/2014/main" id="{B9D6D2ED-15AB-4A2E-A855-8BE0B56AA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515" y="273338925"/>
          <a:ext cx="277705" cy="331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584835</xdr:colOff>
      <xdr:row>1447</xdr:row>
      <xdr:rowOff>156210</xdr:rowOff>
    </xdr:from>
    <xdr:to>
      <xdr:col>0</xdr:col>
      <xdr:colOff>862540</xdr:colOff>
      <xdr:row>1449</xdr:row>
      <xdr:rowOff>38845</xdr:rowOff>
    </xdr:to>
    <xdr:pic>
      <xdr:nvPicPr>
        <xdr:cNvPr id="230" name="Picture 536">
          <a:extLst>
            <a:ext uri="{FF2B5EF4-FFF2-40B4-BE49-F238E27FC236}">
              <a16:creationId xmlns:a16="http://schemas.microsoft.com/office/drawing/2014/main" id="{4F518E6D-5D4E-43DC-B347-87E81A331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" y="275337270"/>
          <a:ext cx="277705" cy="263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93345</xdr:colOff>
      <xdr:row>1459</xdr:row>
      <xdr:rowOff>19050</xdr:rowOff>
    </xdr:from>
    <xdr:to>
      <xdr:col>0</xdr:col>
      <xdr:colOff>371050</xdr:colOff>
      <xdr:row>1460</xdr:row>
      <xdr:rowOff>92185</xdr:rowOff>
    </xdr:to>
    <xdr:pic>
      <xdr:nvPicPr>
        <xdr:cNvPr id="231" name="Picture 536">
          <a:extLst>
            <a:ext uri="{FF2B5EF4-FFF2-40B4-BE49-F238E27FC236}">
              <a16:creationId xmlns:a16="http://schemas.microsoft.com/office/drawing/2014/main" id="{5BBB3926-96FC-4540-85A0-713F4B022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85" y="277486110"/>
          <a:ext cx="277705" cy="263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581025</xdr:colOff>
      <xdr:row>1466</xdr:row>
      <xdr:rowOff>57150</xdr:rowOff>
    </xdr:from>
    <xdr:to>
      <xdr:col>0</xdr:col>
      <xdr:colOff>858730</xdr:colOff>
      <xdr:row>1467</xdr:row>
      <xdr:rowOff>139810</xdr:rowOff>
    </xdr:to>
    <xdr:pic>
      <xdr:nvPicPr>
        <xdr:cNvPr id="232" name="Picture 536">
          <a:extLst>
            <a:ext uri="{FF2B5EF4-FFF2-40B4-BE49-F238E27FC236}">
              <a16:creationId xmlns:a16="http://schemas.microsoft.com/office/drawing/2014/main" id="{12E56AA4-A3F6-41CA-8BE5-B0F865D23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8665" y="278834850"/>
          <a:ext cx="277705" cy="2655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594360</xdr:colOff>
      <xdr:row>1560</xdr:row>
      <xdr:rowOff>182879</xdr:rowOff>
    </xdr:from>
    <xdr:to>
      <xdr:col>0</xdr:col>
      <xdr:colOff>872065</xdr:colOff>
      <xdr:row>1562</xdr:row>
      <xdr:rowOff>67420</xdr:rowOff>
    </xdr:to>
    <xdr:pic>
      <xdr:nvPicPr>
        <xdr:cNvPr id="233" name="Picture 536">
          <a:extLst>
            <a:ext uri="{FF2B5EF4-FFF2-40B4-BE49-F238E27FC236}">
              <a16:creationId xmlns:a16="http://schemas.microsoft.com/office/drawing/2014/main" id="{443D646D-9AE3-4245-A26B-3E86E7A57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96288459"/>
          <a:ext cx="277705" cy="265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603885</xdr:colOff>
      <xdr:row>1626</xdr:row>
      <xdr:rowOff>152400</xdr:rowOff>
    </xdr:from>
    <xdr:to>
      <xdr:col>0</xdr:col>
      <xdr:colOff>881590</xdr:colOff>
      <xdr:row>1628</xdr:row>
      <xdr:rowOff>78851</xdr:rowOff>
    </xdr:to>
    <xdr:pic>
      <xdr:nvPicPr>
        <xdr:cNvPr id="234" name="Picture 536">
          <a:extLst>
            <a:ext uri="{FF2B5EF4-FFF2-40B4-BE49-F238E27FC236}">
              <a16:creationId xmlns:a16="http://schemas.microsoft.com/office/drawing/2014/main" id="{18EF9924-50A1-4CEC-BD9D-5CDD97020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308830980"/>
          <a:ext cx="277705" cy="307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590550</xdr:colOff>
      <xdr:row>1665</xdr:row>
      <xdr:rowOff>104775</xdr:rowOff>
    </xdr:from>
    <xdr:to>
      <xdr:col>0</xdr:col>
      <xdr:colOff>868255</xdr:colOff>
      <xdr:row>1666</xdr:row>
      <xdr:rowOff>177910</xdr:rowOff>
    </xdr:to>
    <xdr:pic>
      <xdr:nvPicPr>
        <xdr:cNvPr id="235" name="Picture 536">
          <a:extLst>
            <a:ext uri="{FF2B5EF4-FFF2-40B4-BE49-F238E27FC236}">
              <a16:creationId xmlns:a16="http://schemas.microsoft.com/office/drawing/2014/main" id="{C0A58E5A-1AF2-4A5E-B5DA-5F044DF10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8190" y="315984255"/>
          <a:ext cx="277705" cy="263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561975</xdr:colOff>
      <xdr:row>1686</xdr:row>
      <xdr:rowOff>180975</xdr:rowOff>
    </xdr:from>
    <xdr:to>
      <xdr:col>0</xdr:col>
      <xdr:colOff>839680</xdr:colOff>
      <xdr:row>1688</xdr:row>
      <xdr:rowOff>63610</xdr:rowOff>
    </xdr:to>
    <xdr:pic>
      <xdr:nvPicPr>
        <xdr:cNvPr id="236" name="Picture 536">
          <a:extLst>
            <a:ext uri="{FF2B5EF4-FFF2-40B4-BE49-F238E27FC236}">
              <a16:creationId xmlns:a16="http://schemas.microsoft.com/office/drawing/2014/main" id="{195AEC40-AC2F-4681-A9C6-9DC7655F4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615" y="320068575"/>
          <a:ext cx="277705" cy="263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514350</xdr:colOff>
      <xdr:row>1709</xdr:row>
      <xdr:rowOff>95250</xdr:rowOff>
    </xdr:from>
    <xdr:to>
      <xdr:col>0</xdr:col>
      <xdr:colOff>792055</xdr:colOff>
      <xdr:row>1710</xdr:row>
      <xdr:rowOff>168385</xdr:rowOff>
    </xdr:to>
    <xdr:pic>
      <xdr:nvPicPr>
        <xdr:cNvPr id="237" name="Picture 536">
          <a:extLst>
            <a:ext uri="{FF2B5EF4-FFF2-40B4-BE49-F238E27FC236}">
              <a16:creationId xmlns:a16="http://schemas.microsoft.com/office/drawing/2014/main" id="{61E215FE-A547-4F01-ACB3-9AD42DB84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990" y="324364350"/>
          <a:ext cx="277705" cy="263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573405</xdr:colOff>
      <xdr:row>1748</xdr:row>
      <xdr:rowOff>104775</xdr:rowOff>
    </xdr:from>
    <xdr:to>
      <xdr:col>0</xdr:col>
      <xdr:colOff>851110</xdr:colOff>
      <xdr:row>1749</xdr:row>
      <xdr:rowOff>177910</xdr:rowOff>
    </xdr:to>
    <xdr:pic>
      <xdr:nvPicPr>
        <xdr:cNvPr id="238" name="Picture 536">
          <a:extLst>
            <a:ext uri="{FF2B5EF4-FFF2-40B4-BE49-F238E27FC236}">
              <a16:creationId xmlns:a16="http://schemas.microsoft.com/office/drawing/2014/main" id="{6230627D-6AE2-42C0-8352-E0EA5ED8A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045" y="331795755"/>
          <a:ext cx="277705" cy="263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577215</xdr:colOff>
      <xdr:row>1769</xdr:row>
      <xdr:rowOff>154305</xdr:rowOff>
    </xdr:from>
    <xdr:to>
      <xdr:col>0</xdr:col>
      <xdr:colOff>854920</xdr:colOff>
      <xdr:row>1771</xdr:row>
      <xdr:rowOff>82660</xdr:rowOff>
    </xdr:to>
    <xdr:pic>
      <xdr:nvPicPr>
        <xdr:cNvPr id="239" name="Picture 536">
          <a:extLst>
            <a:ext uri="{FF2B5EF4-FFF2-40B4-BE49-F238E27FC236}">
              <a16:creationId xmlns:a16="http://schemas.microsoft.com/office/drawing/2014/main" id="{A80240B1-4F29-45B5-9A42-CD59D5C69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855" y="335845785"/>
          <a:ext cx="277705" cy="3093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584835</xdr:colOff>
      <xdr:row>1789</xdr:row>
      <xdr:rowOff>38100</xdr:rowOff>
    </xdr:from>
    <xdr:to>
      <xdr:col>0</xdr:col>
      <xdr:colOff>849630</xdr:colOff>
      <xdr:row>1790</xdr:row>
      <xdr:rowOff>168385</xdr:rowOff>
    </xdr:to>
    <xdr:pic>
      <xdr:nvPicPr>
        <xdr:cNvPr id="240" name="Picture 536">
          <a:extLst>
            <a:ext uri="{FF2B5EF4-FFF2-40B4-BE49-F238E27FC236}">
              <a16:creationId xmlns:a16="http://schemas.microsoft.com/office/drawing/2014/main" id="{77217629-E75C-4620-B6BE-DFD03D6A9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" y="339539580"/>
          <a:ext cx="264795" cy="3207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567690</xdr:colOff>
      <xdr:row>1853</xdr:row>
      <xdr:rowOff>118110</xdr:rowOff>
    </xdr:from>
    <xdr:to>
      <xdr:col>0</xdr:col>
      <xdr:colOff>845395</xdr:colOff>
      <xdr:row>1855</xdr:row>
      <xdr:rowOff>60960</xdr:rowOff>
    </xdr:to>
    <xdr:pic>
      <xdr:nvPicPr>
        <xdr:cNvPr id="241" name="Picture 536">
          <a:extLst>
            <a:ext uri="{FF2B5EF4-FFF2-40B4-BE49-F238E27FC236}">
              <a16:creationId xmlns:a16="http://schemas.microsoft.com/office/drawing/2014/main" id="{68324A45-7CA1-4365-BCEB-7292365CC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330" y="352268790"/>
          <a:ext cx="277705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211455</xdr:colOff>
      <xdr:row>1907</xdr:row>
      <xdr:rowOff>135255</xdr:rowOff>
    </xdr:from>
    <xdr:to>
      <xdr:col>0</xdr:col>
      <xdr:colOff>489160</xdr:colOff>
      <xdr:row>1909</xdr:row>
      <xdr:rowOff>17890</xdr:rowOff>
    </xdr:to>
    <xdr:pic>
      <xdr:nvPicPr>
        <xdr:cNvPr id="242" name="Picture 536">
          <a:extLst>
            <a:ext uri="{FF2B5EF4-FFF2-40B4-BE49-F238E27FC236}">
              <a16:creationId xmlns:a16="http://schemas.microsoft.com/office/drawing/2014/main" id="{B73A4DC6-FA6A-411D-A9F8-14755BBD8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363144435"/>
          <a:ext cx="277705" cy="263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567690</xdr:colOff>
      <xdr:row>1911</xdr:row>
      <xdr:rowOff>188595</xdr:rowOff>
    </xdr:from>
    <xdr:to>
      <xdr:col>0</xdr:col>
      <xdr:colOff>845395</xdr:colOff>
      <xdr:row>1913</xdr:row>
      <xdr:rowOff>71230</xdr:rowOff>
    </xdr:to>
    <xdr:pic>
      <xdr:nvPicPr>
        <xdr:cNvPr id="243" name="Picture 536">
          <a:extLst>
            <a:ext uri="{FF2B5EF4-FFF2-40B4-BE49-F238E27FC236}">
              <a16:creationId xmlns:a16="http://schemas.microsoft.com/office/drawing/2014/main" id="{F399B356-C596-4716-BF63-ABDD88356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330" y="363959775"/>
          <a:ext cx="277705" cy="263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203835</xdr:colOff>
      <xdr:row>1919</xdr:row>
      <xdr:rowOff>57150</xdr:rowOff>
    </xdr:from>
    <xdr:to>
      <xdr:col>0</xdr:col>
      <xdr:colOff>481540</xdr:colOff>
      <xdr:row>1920</xdr:row>
      <xdr:rowOff>130285</xdr:rowOff>
    </xdr:to>
    <xdr:pic>
      <xdr:nvPicPr>
        <xdr:cNvPr id="244" name="Picture 536">
          <a:extLst>
            <a:ext uri="{FF2B5EF4-FFF2-40B4-BE49-F238E27FC236}">
              <a16:creationId xmlns:a16="http://schemas.microsoft.com/office/drawing/2014/main" id="{4EAF8AC5-9134-4021-9D87-836E9B7D8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365352330"/>
          <a:ext cx="277705" cy="263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626745</xdr:colOff>
      <xdr:row>2045</xdr:row>
      <xdr:rowOff>99060</xdr:rowOff>
    </xdr:from>
    <xdr:to>
      <xdr:col>0</xdr:col>
      <xdr:colOff>895350</xdr:colOff>
      <xdr:row>2047</xdr:row>
      <xdr:rowOff>5502</xdr:rowOff>
    </xdr:to>
    <xdr:pic>
      <xdr:nvPicPr>
        <xdr:cNvPr id="245" name="Picture 536">
          <a:extLst>
            <a:ext uri="{FF2B5EF4-FFF2-40B4-BE49-F238E27FC236}">
              <a16:creationId xmlns:a16="http://schemas.microsoft.com/office/drawing/2014/main" id="{CB78C222-B9BE-41E7-9660-43F30FF0A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" y="389397240"/>
          <a:ext cx="268605" cy="2874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581025</xdr:colOff>
      <xdr:row>2125</xdr:row>
      <xdr:rowOff>38100</xdr:rowOff>
    </xdr:from>
    <xdr:to>
      <xdr:col>0</xdr:col>
      <xdr:colOff>861940</xdr:colOff>
      <xdr:row>2126</xdr:row>
      <xdr:rowOff>182880</xdr:rowOff>
    </xdr:to>
    <xdr:pic>
      <xdr:nvPicPr>
        <xdr:cNvPr id="246" name="Picture 536">
          <a:extLst>
            <a:ext uri="{FF2B5EF4-FFF2-40B4-BE49-F238E27FC236}">
              <a16:creationId xmlns:a16="http://schemas.microsoft.com/office/drawing/2014/main" id="{DB83CB23-073A-4F58-8E62-D0B3BDBA5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8665" y="404576280"/>
          <a:ext cx="280915" cy="335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579120</xdr:colOff>
      <xdr:row>2152</xdr:row>
      <xdr:rowOff>57150</xdr:rowOff>
    </xdr:from>
    <xdr:to>
      <xdr:col>0</xdr:col>
      <xdr:colOff>856825</xdr:colOff>
      <xdr:row>2153</xdr:row>
      <xdr:rowOff>170290</xdr:rowOff>
    </xdr:to>
    <xdr:pic>
      <xdr:nvPicPr>
        <xdr:cNvPr id="247" name="Picture 536">
          <a:extLst>
            <a:ext uri="{FF2B5EF4-FFF2-40B4-BE49-F238E27FC236}">
              <a16:creationId xmlns:a16="http://schemas.microsoft.com/office/drawing/2014/main" id="{06AAE14D-4B21-437B-A845-9F701EFD6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760" y="409738830"/>
          <a:ext cx="277705" cy="303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598170</xdr:colOff>
      <xdr:row>2180</xdr:row>
      <xdr:rowOff>66675</xdr:rowOff>
    </xdr:from>
    <xdr:to>
      <xdr:col>0</xdr:col>
      <xdr:colOff>867251</xdr:colOff>
      <xdr:row>2181</xdr:row>
      <xdr:rowOff>173355</xdr:rowOff>
    </xdr:to>
    <xdr:pic>
      <xdr:nvPicPr>
        <xdr:cNvPr id="248" name="Picture 536">
          <a:extLst>
            <a:ext uri="{FF2B5EF4-FFF2-40B4-BE49-F238E27FC236}">
              <a16:creationId xmlns:a16="http://schemas.microsoft.com/office/drawing/2014/main" id="{42BE85FE-EDB7-4267-BA93-166031351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" y="415082355"/>
          <a:ext cx="269081" cy="297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607696</xdr:colOff>
      <xdr:row>2200</xdr:row>
      <xdr:rowOff>26670</xdr:rowOff>
    </xdr:from>
    <xdr:to>
      <xdr:col>0</xdr:col>
      <xdr:colOff>863328</xdr:colOff>
      <xdr:row>2201</xdr:row>
      <xdr:rowOff>78850</xdr:rowOff>
    </xdr:to>
    <xdr:pic>
      <xdr:nvPicPr>
        <xdr:cNvPr id="249" name="Picture 536">
          <a:extLst>
            <a:ext uri="{FF2B5EF4-FFF2-40B4-BE49-F238E27FC236}">
              <a16:creationId xmlns:a16="http://schemas.microsoft.com/office/drawing/2014/main" id="{6169EC5E-E4F0-48C9-8A58-D1392A5F4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5336" y="418852350"/>
          <a:ext cx="255632" cy="242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561975</xdr:colOff>
      <xdr:row>2221</xdr:row>
      <xdr:rowOff>114300</xdr:rowOff>
    </xdr:from>
    <xdr:to>
      <xdr:col>0</xdr:col>
      <xdr:colOff>839680</xdr:colOff>
      <xdr:row>2223</xdr:row>
      <xdr:rowOff>745</xdr:rowOff>
    </xdr:to>
    <xdr:pic>
      <xdr:nvPicPr>
        <xdr:cNvPr id="250" name="Picture 536">
          <a:extLst>
            <a:ext uri="{FF2B5EF4-FFF2-40B4-BE49-F238E27FC236}">
              <a16:creationId xmlns:a16="http://schemas.microsoft.com/office/drawing/2014/main" id="{89A54A96-F3A7-4503-903E-5B0396ADC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615" y="422940480"/>
          <a:ext cx="277705" cy="267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579120</xdr:colOff>
      <xdr:row>2249</xdr:row>
      <xdr:rowOff>5715</xdr:rowOff>
    </xdr:from>
    <xdr:to>
      <xdr:col>0</xdr:col>
      <xdr:colOff>856825</xdr:colOff>
      <xdr:row>2250</xdr:row>
      <xdr:rowOff>78850</xdr:rowOff>
    </xdr:to>
    <xdr:pic>
      <xdr:nvPicPr>
        <xdr:cNvPr id="251" name="Picture 536">
          <a:extLst>
            <a:ext uri="{FF2B5EF4-FFF2-40B4-BE49-F238E27FC236}">
              <a16:creationId xmlns:a16="http://schemas.microsoft.com/office/drawing/2014/main" id="{BE4CE51C-9AAB-4C6F-BDCB-33995C483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760" y="428165895"/>
          <a:ext cx="277705" cy="263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207645</xdr:colOff>
      <xdr:row>2270</xdr:row>
      <xdr:rowOff>167640</xdr:rowOff>
    </xdr:from>
    <xdr:to>
      <xdr:col>0</xdr:col>
      <xdr:colOff>485350</xdr:colOff>
      <xdr:row>2272</xdr:row>
      <xdr:rowOff>42655</xdr:rowOff>
    </xdr:to>
    <xdr:pic>
      <xdr:nvPicPr>
        <xdr:cNvPr id="252" name="Picture 536">
          <a:extLst>
            <a:ext uri="{FF2B5EF4-FFF2-40B4-BE49-F238E27FC236}">
              <a16:creationId xmlns:a16="http://schemas.microsoft.com/office/drawing/2014/main" id="{CA62EC21-6DFA-4449-9255-8ED8A5D8B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285" y="432328320"/>
          <a:ext cx="277705" cy="2560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542925</xdr:colOff>
      <xdr:row>2346</xdr:row>
      <xdr:rowOff>9525</xdr:rowOff>
    </xdr:from>
    <xdr:to>
      <xdr:col>0</xdr:col>
      <xdr:colOff>820630</xdr:colOff>
      <xdr:row>2347</xdr:row>
      <xdr:rowOff>82660</xdr:rowOff>
    </xdr:to>
    <xdr:pic>
      <xdr:nvPicPr>
        <xdr:cNvPr id="253" name="Picture 536">
          <a:extLst>
            <a:ext uri="{FF2B5EF4-FFF2-40B4-BE49-F238E27FC236}">
              <a16:creationId xmlns:a16="http://schemas.microsoft.com/office/drawing/2014/main" id="{A00B8886-DBC4-4421-979F-127832F48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565" y="446648205"/>
          <a:ext cx="277705" cy="263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31802</xdr:colOff>
      <xdr:row>2352</xdr:row>
      <xdr:rowOff>123825</xdr:rowOff>
    </xdr:from>
    <xdr:to>
      <xdr:col>0</xdr:col>
      <xdr:colOff>283420</xdr:colOff>
      <xdr:row>2353</xdr:row>
      <xdr:rowOff>172195</xdr:rowOff>
    </xdr:to>
    <xdr:pic>
      <xdr:nvPicPr>
        <xdr:cNvPr id="254" name="Picture 536">
          <a:extLst>
            <a:ext uri="{FF2B5EF4-FFF2-40B4-BE49-F238E27FC236}">
              <a16:creationId xmlns:a16="http://schemas.microsoft.com/office/drawing/2014/main" id="{6CDB8C0E-31D9-4228-9CE7-B7557564A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442" y="447905505"/>
          <a:ext cx="251618" cy="238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581025</xdr:colOff>
      <xdr:row>2374</xdr:row>
      <xdr:rowOff>19050</xdr:rowOff>
    </xdr:from>
    <xdr:to>
      <xdr:col>0</xdr:col>
      <xdr:colOff>858730</xdr:colOff>
      <xdr:row>2375</xdr:row>
      <xdr:rowOff>92185</xdr:rowOff>
    </xdr:to>
    <xdr:pic>
      <xdr:nvPicPr>
        <xdr:cNvPr id="255" name="Picture 536">
          <a:extLst>
            <a:ext uri="{FF2B5EF4-FFF2-40B4-BE49-F238E27FC236}">
              <a16:creationId xmlns:a16="http://schemas.microsoft.com/office/drawing/2014/main" id="{7647B750-BE01-4679-9155-51BE13AEA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8665" y="452753730"/>
          <a:ext cx="277705" cy="263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555715</xdr:colOff>
      <xdr:row>1819</xdr:row>
      <xdr:rowOff>26670</xdr:rowOff>
    </xdr:from>
    <xdr:to>
      <xdr:col>0</xdr:col>
      <xdr:colOff>833420</xdr:colOff>
      <xdr:row>1820</xdr:row>
      <xdr:rowOff>156210</xdr:rowOff>
    </xdr:to>
    <xdr:pic>
      <xdr:nvPicPr>
        <xdr:cNvPr id="256" name="Picture 536">
          <a:extLst>
            <a:ext uri="{FF2B5EF4-FFF2-40B4-BE49-F238E27FC236}">
              <a16:creationId xmlns:a16="http://schemas.microsoft.com/office/drawing/2014/main" id="{3A422C29-4BB2-4AEB-B82D-9A721DA63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355" y="345182190"/>
          <a:ext cx="277705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266700</xdr:colOff>
      <xdr:row>176</xdr:row>
      <xdr:rowOff>15240</xdr:rowOff>
    </xdr:from>
    <xdr:to>
      <xdr:col>0</xdr:col>
      <xdr:colOff>454275</xdr:colOff>
      <xdr:row>177</xdr:row>
      <xdr:rowOff>91092</xdr:rowOff>
    </xdr:to>
    <xdr:pic>
      <xdr:nvPicPr>
        <xdr:cNvPr id="257" name="Picture 536">
          <a:extLst>
            <a:ext uri="{FF2B5EF4-FFF2-40B4-BE49-F238E27FC236}">
              <a16:creationId xmlns:a16="http://schemas.microsoft.com/office/drawing/2014/main" id="{AAC09C3F-2D5C-407E-9339-58763C471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" y="33200340"/>
          <a:ext cx="187575" cy="2663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205741</xdr:colOff>
      <xdr:row>1611</xdr:row>
      <xdr:rowOff>152400</xdr:rowOff>
    </xdr:from>
    <xdr:to>
      <xdr:col>0</xdr:col>
      <xdr:colOff>427259</xdr:colOff>
      <xdr:row>1612</xdr:row>
      <xdr:rowOff>172195</xdr:rowOff>
    </xdr:to>
    <xdr:pic>
      <xdr:nvPicPr>
        <xdr:cNvPr id="258" name="Picture 536">
          <a:extLst>
            <a:ext uri="{FF2B5EF4-FFF2-40B4-BE49-F238E27FC236}">
              <a16:creationId xmlns:a16="http://schemas.microsoft.com/office/drawing/2014/main" id="{D9E70CAE-5AB6-4D14-853E-36C6EE811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1" y="305973480"/>
          <a:ext cx="221518" cy="210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609601</xdr:colOff>
      <xdr:row>2058</xdr:row>
      <xdr:rowOff>158115</xdr:rowOff>
    </xdr:from>
    <xdr:to>
      <xdr:col>0</xdr:col>
      <xdr:colOff>840631</xdr:colOff>
      <xdr:row>2060</xdr:row>
      <xdr:rowOff>78850</xdr:rowOff>
    </xdr:to>
    <xdr:pic>
      <xdr:nvPicPr>
        <xdr:cNvPr id="259" name="Picture 536">
          <a:extLst>
            <a:ext uri="{FF2B5EF4-FFF2-40B4-BE49-F238E27FC236}">
              <a16:creationId xmlns:a16="http://schemas.microsoft.com/office/drawing/2014/main" id="{1DD6D5D9-29C3-41C0-A147-2E879A8FD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7241" y="391932795"/>
          <a:ext cx="231030" cy="301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558165</xdr:colOff>
      <xdr:row>1182</xdr:row>
      <xdr:rowOff>121920</xdr:rowOff>
    </xdr:from>
    <xdr:to>
      <xdr:col>0</xdr:col>
      <xdr:colOff>835870</xdr:colOff>
      <xdr:row>1184</xdr:row>
      <xdr:rowOff>4555</xdr:rowOff>
    </xdr:to>
    <xdr:pic>
      <xdr:nvPicPr>
        <xdr:cNvPr id="260" name="Picture 536">
          <a:extLst>
            <a:ext uri="{FF2B5EF4-FFF2-40B4-BE49-F238E27FC236}">
              <a16:creationId xmlns:a16="http://schemas.microsoft.com/office/drawing/2014/main" id="{6BDD1C54-5B3B-4B60-91C2-FFAACF038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5805" y="226504500"/>
          <a:ext cx="277705" cy="263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129541</xdr:colOff>
      <xdr:row>1405</xdr:row>
      <xdr:rowOff>18251</xdr:rowOff>
    </xdr:from>
    <xdr:to>
      <xdr:col>0</xdr:col>
      <xdr:colOff>259080</xdr:colOff>
      <xdr:row>1405</xdr:row>
      <xdr:rowOff>187435</xdr:rowOff>
    </xdr:to>
    <xdr:pic>
      <xdr:nvPicPr>
        <xdr:cNvPr id="261" name="Picture 536">
          <a:extLst>
            <a:ext uri="{FF2B5EF4-FFF2-40B4-BE49-F238E27FC236}">
              <a16:creationId xmlns:a16="http://schemas.microsoft.com/office/drawing/2014/main" id="{1345C214-1637-4DA5-B457-CE3ABD49C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181" y="267198311"/>
          <a:ext cx="129539" cy="1691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511678</xdr:colOff>
      <xdr:row>864</xdr:row>
      <xdr:rowOff>43650</xdr:rowOff>
    </xdr:from>
    <xdr:to>
      <xdr:col>0</xdr:col>
      <xdr:colOff>786765</xdr:colOff>
      <xdr:row>865</xdr:row>
      <xdr:rowOff>114300</xdr:rowOff>
    </xdr:to>
    <xdr:pic>
      <xdr:nvPicPr>
        <xdr:cNvPr id="262" name="Picture 536">
          <a:extLst>
            <a:ext uri="{FF2B5EF4-FFF2-40B4-BE49-F238E27FC236}">
              <a16:creationId xmlns:a16="http://schemas.microsoft.com/office/drawing/2014/main" id="{E41C280F-0A86-4450-8DE1-DE0CEEF17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318" y="166220610"/>
          <a:ext cx="275087" cy="26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68580</xdr:colOff>
      <xdr:row>875</xdr:row>
      <xdr:rowOff>77940</xdr:rowOff>
    </xdr:from>
    <xdr:to>
      <xdr:col>0</xdr:col>
      <xdr:colOff>281939</xdr:colOff>
      <xdr:row>876</xdr:row>
      <xdr:rowOff>148533</xdr:rowOff>
    </xdr:to>
    <xdr:pic>
      <xdr:nvPicPr>
        <xdr:cNvPr id="263" name="Picture 536">
          <a:extLst>
            <a:ext uri="{FF2B5EF4-FFF2-40B4-BE49-F238E27FC236}">
              <a16:creationId xmlns:a16="http://schemas.microsoft.com/office/drawing/2014/main" id="{46906B04-BB98-4871-AA40-8DDE85CFB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" y="168350400"/>
          <a:ext cx="213359" cy="2610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209550</xdr:colOff>
      <xdr:row>871</xdr:row>
      <xdr:rowOff>63786</xdr:rowOff>
    </xdr:from>
    <xdr:to>
      <xdr:col>0</xdr:col>
      <xdr:colOff>422911</xdr:colOff>
      <xdr:row>872</xdr:row>
      <xdr:rowOff>147430</xdr:rowOff>
    </xdr:to>
    <xdr:pic>
      <xdr:nvPicPr>
        <xdr:cNvPr id="264" name="Picture 536">
          <a:extLst>
            <a:ext uri="{FF2B5EF4-FFF2-40B4-BE49-F238E27FC236}">
              <a16:creationId xmlns:a16="http://schemas.microsoft.com/office/drawing/2014/main" id="{CE9F34A6-FD69-4CA5-A5F3-DE2EBFC69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" y="167574246"/>
          <a:ext cx="213361" cy="2741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243841</xdr:colOff>
      <xdr:row>880</xdr:row>
      <xdr:rowOff>0</xdr:rowOff>
    </xdr:from>
    <xdr:to>
      <xdr:col>0</xdr:col>
      <xdr:colOff>446823</xdr:colOff>
      <xdr:row>881</xdr:row>
      <xdr:rowOff>57895</xdr:rowOff>
    </xdr:to>
    <xdr:pic>
      <xdr:nvPicPr>
        <xdr:cNvPr id="265" name="Picture 536">
          <a:extLst>
            <a:ext uri="{FF2B5EF4-FFF2-40B4-BE49-F238E27FC236}">
              <a16:creationId xmlns:a16="http://schemas.microsoft.com/office/drawing/2014/main" id="{F8C29DB6-B573-4AC0-BE0D-19450E2BD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1" y="169224960"/>
          <a:ext cx="202982" cy="2483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579121</xdr:colOff>
      <xdr:row>1061</xdr:row>
      <xdr:rowOff>64770</xdr:rowOff>
    </xdr:from>
    <xdr:to>
      <xdr:col>0</xdr:col>
      <xdr:colOff>838201</xdr:colOff>
      <xdr:row>1062</xdr:row>
      <xdr:rowOff>168385</xdr:rowOff>
    </xdr:to>
    <xdr:pic>
      <xdr:nvPicPr>
        <xdr:cNvPr id="266" name="Picture 536">
          <a:extLst>
            <a:ext uri="{FF2B5EF4-FFF2-40B4-BE49-F238E27FC236}">
              <a16:creationId xmlns:a16="http://schemas.microsoft.com/office/drawing/2014/main" id="{CA90DA65-0438-4BCB-9673-811BF08D5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761" y="203396850"/>
          <a:ext cx="259080" cy="294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563880</xdr:colOff>
      <xdr:row>1648</xdr:row>
      <xdr:rowOff>104775</xdr:rowOff>
    </xdr:from>
    <xdr:to>
      <xdr:col>0</xdr:col>
      <xdr:colOff>841585</xdr:colOff>
      <xdr:row>1650</xdr:row>
      <xdr:rowOff>25510</xdr:rowOff>
    </xdr:to>
    <xdr:pic>
      <xdr:nvPicPr>
        <xdr:cNvPr id="267" name="Picture 536">
          <a:extLst>
            <a:ext uri="{FF2B5EF4-FFF2-40B4-BE49-F238E27FC236}">
              <a16:creationId xmlns:a16="http://schemas.microsoft.com/office/drawing/2014/main" id="{D68FFCC2-B042-4E75-A0C0-868628D28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" y="312768615"/>
          <a:ext cx="277705" cy="278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561975</xdr:colOff>
      <xdr:row>473</xdr:row>
      <xdr:rowOff>88337</xdr:rowOff>
    </xdr:from>
    <xdr:to>
      <xdr:col>0</xdr:col>
      <xdr:colOff>826770</xdr:colOff>
      <xdr:row>475</xdr:row>
      <xdr:rowOff>68581</xdr:rowOff>
    </xdr:to>
    <xdr:pic>
      <xdr:nvPicPr>
        <xdr:cNvPr id="268" name="Picture 536">
          <a:extLst>
            <a:ext uri="{FF2B5EF4-FFF2-40B4-BE49-F238E27FC236}">
              <a16:creationId xmlns:a16="http://schemas.microsoft.com/office/drawing/2014/main" id="{1A882ECD-B090-4DCA-8154-19A595D8B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615" y="89851937"/>
          <a:ext cx="264795" cy="3612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556260</xdr:colOff>
      <xdr:row>1886</xdr:row>
      <xdr:rowOff>179070</xdr:rowOff>
    </xdr:from>
    <xdr:to>
      <xdr:col>0</xdr:col>
      <xdr:colOff>833965</xdr:colOff>
      <xdr:row>1888</xdr:row>
      <xdr:rowOff>89535</xdr:rowOff>
    </xdr:to>
    <xdr:pic>
      <xdr:nvPicPr>
        <xdr:cNvPr id="269" name="Picture 536">
          <a:extLst>
            <a:ext uri="{FF2B5EF4-FFF2-40B4-BE49-F238E27FC236}">
              <a16:creationId xmlns:a16="http://schemas.microsoft.com/office/drawing/2014/main" id="{413E68BD-C62E-4D30-9F54-EA85B20F7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359187750"/>
          <a:ext cx="277705" cy="291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609600</xdr:colOff>
      <xdr:row>2039</xdr:row>
      <xdr:rowOff>99816</xdr:rowOff>
    </xdr:from>
    <xdr:to>
      <xdr:col>0</xdr:col>
      <xdr:colOff>853015</xdr:colOff>
      <xdr:row>2041</xdr:row>
      <xdr:rowOff>21700</xdr:rowOff>
    </xdr:to>
    <xdr:pic>
      <xdr:nvPicPr>
        <xdr:cNvPr id="270" name="Picture 536">
          <a:extLst>
            <a:ext uri="{FF2B5EF4-FFF2-40B4-BE49-F238E27FC236}">
              <a16:creationId xmlns:a16="http://schemas.microsoft.com/office/drawing/2014/main" id="{A7B0695F-8647-4006-995D-1057B46CB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7240" y="388254996"/>
          <a:ext cx="243415" cy="3028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632460</xdr:colOff>
      <xdr:row>2004</xdr:row>
      <xdr:rowOff>152400</xdr:rowOff>
    </xdr:from>
    <xdr:to>
      <xdr:col>0</xdr:col>
      <xdr:colOff>899160</xdr:colOff>
      <xdr:row>2006</xdr:row>
      <xdr:rowOff>76200</xdr:rowOff>
    </xdr:to>
    <xdr:pic>
      <xdr:nvPicPr>
        <xdr:cNvPr id="271" name="Picture 536">
          <a:extLst>
            <a:ext uri="{FF2B5EF4-FFF2-40B4-BE49-F238E27FC236}">
              <a16:creationId xmlns:a16="http://schemas.microsoft.com/office/drawing/2014/main" id="{AC39D4DD-F49E-41F3-9ACF-B3217D52F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381640080"/>
          <a:ext cx="266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93345</xdr:colOff>
      <xdr:row>1402</xdr:row>
      <xdr:rowOff>46309</xdr:rowOff>
    </xdr:from>
    <xdr:to>
      <xdr:col>0</xdr:col>
      <xdr:colOff>314325</xdr:colOff>
      <xdr:row>1403</xdr:row>
      <xdr:rowOff>144419</xdr:rowOff>
    </xdr:to>
    <xdr:pic>
      <xdr:nvPicPr>
        <xdr:cNvPr id="273" name="Picture 536">
          <a:extLst>
            <a:ext uri="{FF2B5EF4-FFF2-40B4-BE49-F238E27FC236}">
              <a16:creationId xmlns:a16="http://schemas.microsoft.com/office/drawing/2014/main" id="{30FE7339-D9D8-4CA9-8D9D-C9AB4CEE4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85" y="266654869"/>
          <a:ext cx="220980" cy="28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571500</xdr:colOff>
      <xdr:row>1900</xdr:row>
      <xdr:rowOff>148275</xdr:rowOff>
    </xdr:from>
    <xdr:to>
      <xdr:col>0</xdr:col>
      <xdr:colOff>805390</xdr:colOff>
      <xdr:row>1901</xdr:row>
      <xdr:rowOff>179815</xdr:rowOff>
    </xdr:to>
    <xdr:pic>
      <xdr:nvPicPr>
        <xdr:cNvPr id="274" name="Picture 536">
          <a:extLst>
            <a:ext uri="{FF2B5EF4-FFF2-40B4-BE49-F238E27FC236}">
              <a16:creationId xmlns:a16="http://schemas.microsoft.com/office/drawing/2014/main" id="{88D989F1-DDF9-4E50-BBE6-C78F3278F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140" y="361823955"/>
          <a:ext cx="233890" cy="222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540475</xdr:colOff>
      <xdr:row>1799</xdr:row>
      <xdr:rowOff>91440</xdr:rowOff>
    </xdr:from>
    <xdr:to>
      <xdr:col>0</xdr:col>
      <xdr:colOff>818180</xdr:colOff>
      <xdr:row>1801</xdr:row>
      <xdr:rowOff>30480</xdr:rowOff>
    </xdr:to>
    <xdr:pic>
      <xdr:nvPicPr>
        <xdr:cNvPr id="275" name="Picture 536">
          <a:extLst>
            <a:ext uri="{FF2B5EF4-FFF2-40B4-BE49-F238E27FC236}">
              <a16:creationId xmlns:a16="http://schemas.microsoft.com/office/drawing/2014/main" id="{3A9CBC2C-FF05-4C3F-84A6-6A736C2C0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115" y="341497920"/>
          <a:ext cx="277705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590550</xdr:colOff>
      <xdr:row>1295</xdr:row>
      <xdr:rowOff>28575</xdr:rowOff>
    </xdr:from>
    <xdr:to>
      <xdr:col>0</xdr:col>
      <xdr:colOff>868255</xdr:colOff>
      <xdr:row>1296</xdr:row>
      <xdr:rowOff>101710</xdr:rowOff>
    </xdr:to>
    <xdr:pic>
      <xdr:nvPicPr>
        <xdr:cNvPr id="276" name="Picture 536">
          <a:extLst>
            <a:ext uri="{FF2B5EF4-FFF2-40B4-BE49-F238E27FC236}">
              <a16:creationId xmlns:a16="http://schemas.microsoft.com/office/drawing/2014/main" id="{89232890-3EA9-40C1-8BEB-B488705A3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8190" y="247930035"/>
          <a:ext cx="277705" cy="263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569595</xdr:colOff>
      <xdr:row>1109</xdr:row>
      <xdr:rowOff>108585</xdr:rowOff>
    </xdr:from>
    <xdr:to>
      <xdr:col>0</xdr:col>
      <xdr:colOff>847299</xdr:colOff>
      <xdr:row>1110</xdr:row>
      <xdr:rowOff>169544</xdr:rowOff>
    </xdr:to>
    <xdr:pic>
      <xdr:nvPicPr>
        <xdr:cNvPr id="277" name="Picture 536">
          <a:extLst>
            <a:ext uri="{FF2B5EF4-FFF2-40B4-BE49-F238E27FC236}">
              <a16:creationId xmlns:a16="http://schemas.microsoft.com/office/drawing/2014/main" id="{7ACB74B2-EDC5-4C2F-84B6-CB7623AD0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7235" y="212584665"/>
          <a:ext cx="277704" cy="2514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556260</xdr:colOff>
      <xdr:row>1117</xdr:row>
      <xdr:rowOff>11430</xdr:rowOff>
    </xdr:from>
    <xdr:to>
      <xdr:col>0</xdr:col>
      <xdr:colOff>833964</xdr:colOff>
      <xdr:row>1118</xdr:row>
      <xdr:rowOff>72389</xdr:rowOff>
    </xdr:to>
    <xdr:pic>
      <xdr:nvPicPr>
        <xdr:cNvPr id="278" name="Picture 536">
          <a:extLst>
            <a:ext uri="{FF2B5EF4-FFF2-40B4-BE49-F238E27FC236}">
              <a16:creationId xmlns:a16="http://schemas.microsoft.com/office/drawing/2014/main" id="{04638A59-D2C2-4414-A99D-199DA94AF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214011510"/>
          <a:ext cx="277704" cy="2514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676275</xdr:colOff>
      <xdr:row>1927</xdr:row>
      <xdr:rowOff>95250</xdr:rowOff>
    </xdr:from>
    <xdr:to>
      <xdr:col>0</xdr:col>
      <xdr:colOff>953980</xdr:colOff>
      <xdr:row>1928</xdr:row>
      <xdr:rowOff>168385</xdr:rowOff>
    </xdr:to>
    <xdr:pic>
      <xdr:nvPicPr>
        <xdr:cNvPr id="279" name="Picture 536">
          <a:extLst>
            <a:ext uri="{FF2B5EF4-FFF2-40B4-BE49-F238E27FC236}">
              <a16:creationId xmlns:a16="http://schemas.microsoft.com/office/drawing/2014/main" id="{93129371-5219-4381-A206-CFCC0AB6A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3915" y="366914430"/>
          <a:ext cx="277705" cy="263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657225</xdr:colOff>
      <xdr:row>1941</xdr:row>
      <xdr:rowOff>0</xdr:rowOff>
    </xdr:from>
    <xdr:to>
      <xdr:col>0</xdr:col>
      <xdr:colOff>934930</xdr:colOff>
      <xdr:row>1942</xdr:row>
      <xdr:rowOff>73135</xdr:rowOff>
    </xdr:to>
    <xdr:pic>
      <xdr:nvPicPr>
        <xdr:cNvPr id="280" name="Picture 536">
          <a:extLst>
            <a:ext uri="{FF2B5EF4-FFF2-40B4-BE49-F238E27FC236}">
              <a16:creationId xmlns:a16="http://schemas.microsoft.com/office/drawing/2014/main" id="{0D3FA6D3-D5FE-4BB1-8438-D5EF8EC8D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4865" y="369486180"/>
          <a:ext cx="277705" cy="263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695325</xdr:colOff>
      <xdr:row>1963</xdr:row>
      <xdr:rowOff>104775</xdr:rowOff>
    </xdr:from>
    <xdr:to>
      <xdr:col>0</xdr:col>
      <xdr:colOff>973030</xdr:colOff>
      <xdr:row>1964</xdr:row>
      <xdr:rowOff>177910</xdr:rowOff>
    </xdr:to>
    <xdr:pic>
      <xdr:nvPicPr>
        <xdr:cNvPr id="281" name="Picture 536">
          <a:extLst>
            <a:ext uri="{FF2B5EF4-FFF2-40B4-BE49-F238E27FC236}">
              <a16:creationId xmlns:a16="http://schemas.microsoft.com/office/drawing/2014/main" id="{954B2546-7F2B-4ACB-A364-F70F8B7CA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2965" y="373781955"/>
          <a:ext cx="277705" cy="263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657225</xdr:colOff>
      <xdr:row>1952</xdr:row>
      <xdr:rowOff>161925</xdr:rowOff>
    </xdr:from>
    <xdr:to>
      <xdr:col>0</xdr:col>
      <xdr:colOff>934930</xdr:colOff>
      <xdr:row>1954</xdr:row>
      <xdr:rowOff>44560</xdr:rowOff>
    </xdr:to>
    <xdr:pic>
      <xdr:nvPicPr>
        <xdr:cNvPr id="282" name="Picture 536">
          <a:extLst>
            <a:ext uri="{FF2B5EF4-FFF2-40B4-BE49-F238E27FC236}">
              <a16:creationId xmlns:a16="http://schemas.microsoft.com/office/drawing/2014/main" id="{0F6ED389-6C23-476B-BF76-0806F6787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4865" y="371743605"/>
          <a:ext cx="277705" cy="263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66676</xdr:colOff>
      <xdr:row>1971</xdr:row>
      <xdr:rowOff>85726</xdr:rowOff>
    </xdr:from>
    <xdr:to>
      <xdr:col>0</xdr:col>
      <xdr:colOff>377363</xdr:colOff>
      <xdr:row>1972</xdr:row>
      <xdr:rowOff>104775</xdr:rowOff>
    </xdr:to>
    <xdr:pic>
      <xdr:nvPicPr>
        <xdr:cNvPr id="283" name="Picture 536">
          <a:extLst>
            <a:ext uri="{FF2B5EF4-FFF2-40B4-BE49-F238E27FC236}">
              <a16:creationId xmlns:a16="http://schemas.microsoft.com/office/drawing/2014/main" id="{87770E2B-2959-4707-BAEA-DD13FFA7B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6" y="375286906"/>
          <a:ext cx="310687" cy="2095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30479</xdr:colOff>
      <xdr:row>1973</xdr:row>
      <xdr:rowOff>76200</xdr:rowOff>
    </xdr:from>
    <xdr:to>
      <xdr:col>0</xdr:col>
      <xdr:colOff>302060</xdr:colOff>
      <xdr:row>1974</xdr:row>
      <xdr:rowOff>89885</xdr:rowOff>
    </xdr:to>
    <xdr:pic>
      <xdr:nvPicPr>
        <xdr:cNvPr id="284" name="Picture 536">
          <a:extLst>
            <a:ext uri="{FF2B5EF4-FFF2-40B4-BE49-F238E27FC236}">
              <a16:creationId xmlns:a16="http://schemas.microsoft.com/office/drawing/2014/main" id="{2F9182E5-267F-4332-901A-055B65AF2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19" y="375658380"/>
          <a:ext cx="271581" cy="2041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137047</xdr:colOff>
      <xdr:row>1975</xdr:row>
      <xdr:rowOff>31824</xdr:rowOff>
    </xdr:from>
    <xdr:to>
      <xdr:col>0</xdr:col>
      <xdr:colOff>249218</xdr:colOff>
      <xdr:row>1975</xdr:row>
      <xdr:rowOff>180876</xdr:rowOff>
    </xdr:to>
    <xdr:pic>
      <xdr:nvPicPr>
        <xdr:cNvPr id="285" name="Picture 648">
          <a:extLst>
            <a:ext uri="{FF2B5EF4-FFF2-40B4-BE49-F238E27FC236}">
              <a16:creationId xmlns:a16="http://schemas.microsoft.com/office/drawing/2014/main" id="{B13F1547-2B54-4D6C-AC61-71E652EF8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687" y="375995004"/>
          <a:ext cx="112171" cy="1490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104775</xdr:colOff>
      <xdr:row>1246</xdr:row>
      <xdr:rowOff>66675</xdr:rowOff>
    </xdr:from>
    <xdr:to>
      <xdr:col>0</xdr:col>
      <xdr:colOff>382480</xdr:colOff>
      <xdr:row>1247</xdr:row>
      <xdr:rowOff>142875</xdr:rowOff>
    </xdr:to>
    <xdr:pic>
      <xdr:nvPicPr>
        <xdr:cNvPr id="286" name="Picture 536">
          <a:extLst>
            <a:ext uri="{FF2B5EF4-FFF2-40B4-BE49-F238E27FC236}">
              <a16:creationId xmlns:a16="http://schemas.microsoft.com/office/drawing/2014/main" id="{F1D334D9-7891-4A3F-987E-8448FA62D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415" y="238633635"/>
          <a:ext cx="27770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581025</xdr:colOff>
      <xdr:row>2262</xdr:row>
      <xdr:rowOff>66675</xdr:rowOff>
    </xdr:from>
    <xdr:to>
      <xdr:col>0</xdr:col>
      <xdr:colOff>858730</xdr:colOff>
      <xdr:row>2263</xdr:row>
      <xdr:rowOff>139810</xdr:rowOff>
    </xdr:to>
    <xdr:pic>
      <xdr:nvPicPr>
        <xdr:cNvPr id="287" name="Picture 536">
          <a:extLst>
            <a:ext uri="{FF2B5EF4-FFF2-40B4-BE49-F238E27FC236}">
              <a16:creationId xmlns:a16="http://schemas.microsoft.com/office/drawing/2014/main" id="{19401D28-ADA9-47D1-A2F6-A376B97C2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8665" y="430703355"/>
          <a:ext cx="277705" cy="263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638175</xdr:colOff>
      <xdr:row>623</xdr:row>
      <xdr:rowOff>114300</xdr:rowOff>
    </xdr:from>
    <xdr:to>
      <xdr:col>0</xdr:col>
      <xdr:colOff>915880</xdr:colOff>
      <xdr:row>625</xdr:row>
      <xdr:rowOff>15985</xdr:rowOff>
    </xdr:to>
    <xdr:pic>
      <xdr:nvPicPr>
        <xdr:cNvPr id="288" name="Picture 536">
          <a:extLst>
            <a:ext uri="{FF2B5EF4-FFF2-40B4-BE49-F238E27FC236}">
              <a16:creationId xmlns:a16="http://schemas.microsoft.com/office/drawing/2014/main" id="{B36F769E-EF15-4D31-9F61-46D276D85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5815" y="120342660"/>
          <a:ext cx="277705" cy="275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630</xdr:row>
      <xdr:rowOff>190500</xdr:rowOff>
    </xdr:from>
    <xdr:to>
      <xdr:col>0</xdr:col>
      <xdr:colOff>925405</xdr:colOff>
      <xdr:row>632</xdr:row>
      <xdr:rowOff>92185</xdr:rowOff>
    </xdr:to>
    <xdr:pic>
      <xdr:nvPicPr>
        <xdr:cNvPr id="289" name="Picture 536">
          <a:extLst>
            <a:ext uri="{FF2B5EF4-FFF2-40B4-BE49-F238E27FC236}">
              <a16:creationId xmlns:a16="http://schemas.microsoft.com/office/drawing/2014/main" id="{BB222179-7406-4A0C-BEE7-D2D7B2E22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340" y="121630440"/>
          <a:ext cx="277705" cy="275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48642</xdr:colOff>
      <xdr:row>57</xdr:row>
      <xdr:rowOff>28575</xdr:rowOff>
    </xdr:from>
    <xdr:to>
      <xdr:col>0</xdr:col>
      <xdr:colOff>306280</xdr:colOff>
      <xdr:row>58</xdr:row>
      <xdr:rowOff>82660</xdr:rowOff>
    </xdr:to>
    <xdr:pic>
      <xdr:nvPicPr>
        <xdr:cNvPr id="290" name="Picture 536">
          <a:extLst>
            <a:ext uri="{FF2B5EF4-FFF2-40B4-BE49-F238E27FC236}">
              <a16:creationId xmlns:a16="http://schemas.microsoft.com/office/drawing/2014/main" id="{2345B1BE-E0CD-4A55-BB42-8847863A5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282" y="10544175"/>
          <a:ext cx="257638" cy="2445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492</xdr:row>
      <xdr:rowOff>142875</xdr:rowOff>
    </xdr:from>
    <xdr:to>
      <xdr:col>0</xdr:col>
      <xdr:colOff>392005</xdr:colOff>
      <xdr:row>494</xdr:row>
      <xdr:rowOff>25510</xdr:rowOff>
    </xdr:to>
    <xdr:pic>
      <xdr:nvPicPr>
        <xdr:cNvPr id="291" name="Picture 536">
          <a:extLst>
            <a:ext uri="{FF2B5EF4-FFF2-40B4-BE49-F238E27FC236}">
              <a16:creationId xmlns:a16="http://schemas.microsoft.com/office/drawing/2014/main" id="{8E00C8B9-A5F3-4C3D-AB18-5A9023E4D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" y="93525975"/>
          <a:ext cx="277705" cy="263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1808</xdr:row>
      <xdr:rowOff>15240</xdr:rowOff>
    </xdr:from>
    <xdr:to>
      <xdr:col>0</xdr:col>
      <xdr:colOff>392005</xdr:colOff>
      <xdr:row>1809</xdr:row>
      <xdr:rowOff>150495</xdr:rowOff>
    </xdr:to>
    <xdr:pic>
      <xdr:nvPicPr>
        <xdr:cNvPr id="292" name="Picture 536">
          <a:extLst>
            <a:ext uri="{FF2B5EF4-FFF2-40B4-BE49-F238E27FC236}">
              <a16:creationId xmlns:a16="http://schemas.microsoft.com/office/drawing/2014/main" id="{3FD8C238-30BC-4638-B2C6-19E278363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" y="343120980"/>
          <a:ext cx="277705" cy="310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533400</xdr:colOff>
      <xdr:row>1549</xdr:row>
      <xdr:rowOff>85725</xdr:rowOff>
    </xdr:from>
    <xdr:to>
      <xdr:col>0</xdr:col>
      <xdr:colOff>811105</xdr:colOff>
      <xdr:row>1550</xdr:row>
      <xdr:rowOff>160766</xdr:rowOff>
    </xdr:to>
    <xdr:pic>
      <xdr:nvPicPr>
        <xdr:cNvPr id="293" name="Picture 536">
          <a:extLst>
            <a:ext uri="{FF2B5EF4-FFF2-40B4-BE49-F238E27FC236}">
              <a16:creationId xmlns:a16="http://schemas.microsoft.com/office/drawing/2014/main" id="{E5385B47-D2A1-4A1B-A1AC-3E097669D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040" y="294095805"/>
          <a:ext cx="277705" cy="265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EA82E-6A46-4FFD-A2D5-6ED93058A39B}">
  <dimension ref="A1:L2278"/>
  <sheetViews>
    <sheetView view="pageBreakPreview" topLeftCell="A849" zoomScale="130" zoomScaleNormal="100" zoomScaleSheetLayoutView="130" workbookViewId="0">
      <selection activeCell="D858" sqref="D858"/>
    </sheetView>
  </sheetViews>
  <sheetFormatPr defaultColWidth="9" defaultRowHeight="12.9" customHeight="1"/>
  <cols>
    <col min="1" max="1" width="15.59765625" style="84" customWidth="1"/>
    <col min="2" max="2" width="8.09765625" style="84" customWidth="1"/>
    <col min="3" max="3" width="5.09765625" style="4" customWidth="1"/>
    <col min="4" max="4" width="28" style="5" customWidth="1"/>
    <col min="5" max="5" width="9.69921875" style="25" customWidth="1"/>
    <col min="6" max="6" width="1.3984375" style="1" customWidth="1"/>
    <col min="7" max="7" width="5.5" style="6" hidden="1" customWidth="1"/>
    <col min="8" max="8" width="8.5" style="1" hidden="1" customWidth="1"/>
    <col min="9" max="9" width="5.3984375" style="2" hidden="1" customWidth="1"/>
    <col min="10" max="10" width="7" style="143" customWidth="1"/>
    <col min="11" max="11" width="10.8984375" style="3" customWidth="1"/>
    <col min="12" max="12" width="9.69921875" style="3" customWidth="1"/>
    <col min="13" max="13" width="10.8984375" style="3" bestFit="1" customWidth="1"/>
    <col min="14" max="16384" width="9" style="3"/>
  </cols>
  <sheetData>
    <row r="1" spans="1:12" s="86" customFormat="1" ht="15" customHeight="1">
      <c r="A1" s="118" t="s">
        <v>2348</v>
      </c>
      <c r="B1" s="119" t="s">
        <v>2316</v>
      </c>
      <c r="C1" s="120" t="s">
        <v>2351</v>
      </c>
      <c r="D1" s="121" t="s">
        <v>2350</v>
      </c>
      <c r="E1" s="122" t="s">
        <v>1751</v>
      </c>
      <c r="J1" s="135" t="s">
        <v>2747</v>
      </c>
      <c r="L1" s="122"/>
    </row>
    <row r="2" spans="1:12" ht="15" customHeight="1">
      <c r="A2" s="841" t="s">
        <v>0</v>
      </c>
      <c r="B2" s="810" t="s">
        <v>1</v>
      </c>
      <c r="C2" s="7">
        <v>230</v>
      </c>
      <c r="D2" s="9" t="s">
        <v>2</v>
      </c>
      <c r="E2" s="212">
        <v>550000</v>
      </c>
      <c r="G2" s="10">
        <v>230</v>
      </c>
      <c r="H2" s="11">
        <f>0.8*1.1</f>
        <v>0.88000000000000012</v>
      </c>
      <c r="I2" s="12" t="e">
        <f>ROUND(#REF!*1000000/G2/H2,-3)</f>
        <v>#REF!</v>
      </c>
      <c r="J2" s="136">
        <v>300</v>
      </c>
      <c r="K2" s="13"/>
    </row>
    <row r="3" spans="1:12" ht="15" customHeight="1">
      <c r="A3" s="841"/>
      <c r="B3" s="810"/>
      <c r="C3" s="7">
        <f>C2</f>
        <v>230</v>
      </c>
      <c r="D3" s="9" t="s">
        <v>3</v>
      </c>
      <c r="E3" s="212">
        <v>630000</v>
      </c>
      <c r="G3" s="10">
        <v>230</v>
      </c>
      <c r="H3" s="11">
        <f>0.8*1.1</f>
        <v>0.88000000000000012</v>
      </c>
      <c r="I3" s="12" t="e">
        <f>ROUND(#REF!*1000000/G3/H3,-3)</f>
        <v>#REF!</v>
      </c>
      <c r="J3" s="136">
        <v>300</v>
      </c>
      <c r="K3" s="13"/>
    </row>
    <row r="4" spans="1:12" ht="15" customHeight="1">
      <c r="A4" s="841"/>
      <c r="B4" s="810"/>
      <c r="C4" s="7">
        <v>270</v>
      </c>
      <c r="D4" s="9" t="s">
        <v>4</v>
      </c>
      <c r="E4" s="212">
        <v>900000</v>
      </c>
      <c r="G4" s="10">
        <v>270</v>
      </c>
      <c r="H4" s="11">
        <f t="shared" ref="H4:H29" si="0">0.8*1.1</f>
        <v>0.88000000000000012</v>
      </c>
      <c r="I4" s="12" t="e">
        <f>ROUND(#REF!*1000000/G4/H4,-3)</f>
        <v>#REF!</v>
      </c>
      <c r="J4" s="136">
        <v>360</v>
      </c>
      <c r="K4" s="13"/>
    </row>
    <row r="5" spans="1:12" ht="15" customHeight="1">
      <c r="A5" s="841"/>
      <c r="B5" s="810"/>
      <c r="C5" s="14">
        <v>350</v>
      </c>
      <c r="D5" s="9" t="s">
        <v>5</v>
      </c>
      <c r="E5" s="212">
        <v>750000</v>
      </c>
      <c r="G5" s="10">
        <v>350</v>
      </c>
      <c r="H5" s="11">
        <f t="shared" si="0"/>
        <v>0.88000000000000012</v>
      </c>
      <c r="I5" s="12" t="e">
        <f>ROUND(#REF!*1000000/G5/H5,-3)</f>
        <v>#REF!</v>
      </c>
      <c r="J5" s="136">
        <v>470</v>
      </c>
      <c r="K5" s="13"/>
    </row>
    <row r="6" spans="1:12" ht="15" customHeight="1">
      <c r="A6" s="841"/>
      <c r="B6" s="810"/>
      <c r="C6" s="7">
        <f t="shared" ref="C6:C12" si="1">C5</f>
        <v>350</v>
      </c>
      <c r="D6" s="9" t="s">
        <v>6</v>
      </c>
      <c r="E6" s="212">
        <v>825000</v>
      </c>
      <c r="G6" s="10">
        <v>350</v>
      </c>
      <c r="H6" s="11">
        <f t="shared" si="0"/>
        <v>0.88000000000000012</v>
      </c>
      <c r="I6" s="12" t="e">
        <f>ROUND(#REF!*1000000/G6/H6,-3)</f>
        <v>#REF!</v>
      </c>
      <c r="J6" s="136">
        <v>470</v>
      </c>
      <c r="K6" s="13"/>
    </row>
    <row r="7" spans="1:12" ht="15" customHeight="1">
      <c r="A7" s="841"/>
      <c r="B7" s="810"/>
      <c r="C7" s="7">
        <f t="shared" si="1"/>
        <v>350</v>
      </c>
      <c r="D7" s="9" t="s">
        <v>7</v>
      </c>
      <c r="E7" s="212">
        <v>800000</v>
      </c>
      <c r="G7" s="10">
        <v>350</v>
      </c>
      <c r="H7" s="11">
        <f t="shared" si="0"/>
        <v>0.88000000000000012</v>
      </c>
      <c r="I7" s="12" t="e">
        <f>ROUND(#REF!*1000000/G7/H7,-3)</f>
        <v>#REF!</v>
      </c>
      <c r="J7" s="136">
        <v>420</v>
      </c>
      <c r="K7" s="13"/>
    </row>
    <row r="8" spans="1:12" ht="15" customHeight="1">
      <c r="A8" s="841"/>
      <c r="B8" s="810"/>
      <c r="C8" s="7">
        <f t="shared" si="1"/>
        <v>350</v>
      </c>
      <c r="D8" s="9" t="s">
        <v>8</v>
      </c>
      <c r="E8" s="212">
        <v>865000</v>
      </c>
      <c r="G8" s="10">
        <v>350</v>
      </c>
      <c r="H8" s="11">
        <f t="shared" si="0"/>
        <v>0.88000000000000012</v>
      </c>
      <c r="I8" s="12" t="e">
        <f>ROUND(#REF!*1000000/G8/H8,-3)</f>
        <v>#REF!</v>
      </c>
      <c r="J8" s="136">
        <v>470</v>
      </c>
      <c r="K8" s="13"/>
    </row>
    <row r="9" spans="1:12" ht="15" customHeight="1">
      <c r="A9" s="841"/>
      <c r="B9" s="810"/>
      <c r="C9" s="7">
        <f t="shared" si="1"/>
        <v>350</v>
      </c>
      <c r="D9" s="9" t="s">
        <v>9</v>
      </c>
      <c r="E9" s="212">
        <v>955000</v>
      </c>
      <c r="G9" s="10">
        <v>350</v>
      </c>
      <c r="H9" s="11">
        <f t="shared" si="0"/>
        <v>0.88000000000000012</v>
      </c>
      <c r="I9" s="12" t="e">
        <f>ROUND(#REF!*1000000/G9/H9,-3)</f>
        <v>#REF!</v>
      </c>
      <c r="J9" s="136">
        <v>470</v>
      </c>
      <c r="K9" s="13"/>
    </row>
    <row r="10" spans="1:12" ht="15" customHeight="1">
      <c r="A10" s="841"/>
      <c r="B10" s="810"/>
      <c r="C10" s="7">
        <f t="shared" si="1"/>
        <v>350</v>
      </c>
      <c r="D10" s="9" t="s">
        <v>10</v>
      </c>
      <c r="E10" s="212">
        <v>955000</v>
      </c>
      <c r="G10" s="10">
        <v>350</v>
      </c>
      <c r="H10" s="11">
        <f t="shared" si="0"/>
        <v>0.88000000000000012</v>
      </c>
      <c r="I10" s="12" t="e">
        <f>ROUND(#REF!*1000000/G10/H10,-3)</f>
        <v>#REF!</v>
      </c>
      <c r="J10" s="136">
        <v>420</v>
      </c>
      <c r="K10" s="13"/>
    </row>
    <row r="11" spans="1:12" ht="15" customHeight="1">
      <c r="A11" s="841"/>
      <c r="B11" s="810"/>
      <c r="C11" s="7">
        <f t="shared" si="1"/>
        <v>350</v>
      </c>
      <c r="D11" s="9" t="s">
        <v>11</v>
      </c>
      <c r="E11" s="212">
        <v>1225000</v>
      </c>
      <c r="G11" s="10">
        <v>350</v>
      </c>
      <c r="H11" s="11">
        <f t="shared" si="0"/>
        <v>0.88000000000000012</v>
      </c>
      <c r="I11" s="12" t="e">
        <f>ROUND(#REF!*1000000/G11/H11,-3)</f>
        <v>#REF!</v>
      </c>
      <c r="J11" s="136">
        <v>470</v>
      </c>
      <c r="K11" s="13"/>
    </row>
    <row r="12" spans="1:12" ht="15" customHeight="1">
      <c r="A12" s="841"/>
      <c r="B12" s="810"/>
      <c r="C12" s="7">
        <f t="shared" si="1"/>
        <v>350</v>
      </c>
      <c r="D12" s="9" t="s">
        <v>12</v>
      </c>
      <c r="E12" s="212">
        <v>1300000</v>
      </c>
      <c r="G12" s="10">
        <v>350</v>
      </c>
      <c r="H12" s="11">
        <f t="shared" si="0"/>
        <v>0.88000000000000012</v>
      </c>
      <c r="I12" s="12" t="e">
        <f>ROUND(#REF!*1000000/G12/H12,-3)</f>
        <v>#REF!</v>
      </c>
      <c r="J12" s="136">
        <v>470</v>
      </c>
      <c r="K12" s="13"/>
    </row>
    <row r="13" spans="1:12" ht="15" customHeight="1">
      <c r="A13" s="841"/>
      <c r="B13" s="810"/>
      <c r="C13" s="7">
        <v>290</v>
      </c>
      <c r="D13" s="9" t="s">
        <v>13</v>
      </c>
      <c r="E13" s="212">
        <v>550000</v>
      </c>
      <c r="G13" s="10">
        <v>290</v>
      </c>
      <c r="H13" s="11">
        <f t="shared" si="0"/>
        <v>0.88000000000000012</v>
      </c>
      <c r="I13" s="12" t="e">
        <f>ROUND(#REF!*1000000/G13/H13,-3)</f>
        <v>#REF!</v>
      </c>
      <c r="J13" s="136">
        <v>370</v>
      </c>
      <c r="K13" s="13"/>
    </row>
    <row r="14" spans="1:12" ht="15" customHeight="1">
      <c r="A14" s="841"/>
      <c r="B14" s="810"/>
      <c r="C14" s="7">
        <v>330</v>
      </c>
      <c r="D14" s="9" t="s">
        <v>13</v>
      </c>
      <c r="E14" s="212">
        <v>625000</v>
      </c>
      <c r="G14" s="10">
        <v>330</v>
      </c>
      <c r="H14" s="11">
        <f t="shared" si="0"/>
        <v>0.88000000000000012</v>
      </c>
      <c r="I14" s="12" t="e">
        <f>ROUND(#REF!*1000000/G14/H14,-3)</f>
        <v>#REF!</v>
      </c>
      <c r="J14" s="136">
        <v>420</v>
      </c>
      <c r="K14" s="13"/>
    </row>
    <row r="15" spans="1:12" ht="15" customHeight="1">
      <c r="A15" s="841"/>
      <c r="B15" s="810"/>
      <c r="C15" s="7">
        <v>420</v>
      </c>
      <c r="D15" s="9" t="s">
        <v>13</v>
      </c>
      <c r="E15" s="212">
        <v>800000</v>
      </c>
      <c r="G15" s="10">
        <v>420</v>
      </c>
      <c r="H15" s="11">
        <f t="shared" si="0"/>
        <v>0.88000000000000012</v>
      </c>
      <c r="I15" s="12" t="e">
        <f>ROUND(#REF!*1000000/G15/H15,-3)</f>
        <v>#REF!</v>
      </c>
      <c r="J15" s="136">
        <v>540</v>
      </c>
      <c r="K15" s="13"/>
    </row>
    <row r="16" spans="1:12" ht="15" customHeight="1">
      <c r="A16" s="841"/>
      <c r="B16" s="810"/>
      <c r="C16" s="14">
        <v>230</v>
      </c>
      <c r="D16" s="9" t="s">
        <v>14</v>
      </c>
      <c r="E16" s="212">
        <v>550000</v>
      </c>
      <c r="G16" s="10">
        <v>230</v>
      </c>
      <c r="H16" s="11">
        <f t="shared" si="0"/>
        <v>0.88000000000000012</v>
      </c>
      <c r="I16" s="12" t="e">
        <f>ROUND(#REF!*1000000/G16/H16,-3)</f>
        <v>#REF!</v>
      </c>
      <c r="J16" s="136">
        <v>300</v>
      </c>
      <c r="K16" s="13"/>
    </row>
    <row r="17" spans="1:11" ht="15" customHeight="1">
      <c r="A17" s="841"/>
      <c r="B17" s="810"/>
      <c r="C17" s="14">
        <v>310</v>
      </c>
      <c r="D17" s="9" t="s">
        <v>14</v>
      </c>
      <c r="E17" s="212">
        <v>705000</v>
      </c>
      <c r="G17" s="10">
        <v>310</v>
      </c>
      <c r="H17" s="11">
        <f t="shared" si="0"/>
        <v>0.88000000000000012</v>
      </c>
      <c r="I17" s="12" t="e">
        <f>ROUND(#REF!*1000000/G17/H17,-3)</f>
        <v>#REF!</v>
      </c>
      <c r="J17" s="136">
        <v>420</v>
      </c>
      <c r="K17" s="13"/>
    </row>
    <row r="18" spans="1:11" ht="15" customHeight="1">
      <c r="A18" s="841"/>
      <c r="B18" s="810"/>
      <c r="C18" s="14">
        <v>350</v>
      </c>
      <c r="D18" s="9" t="s">
        <v>14</v>
      </c>
      <c r="E18" s="212">
        <v>800000</v>
      </c>
      <c r="G18" s="10">
        <v>350</v>
      </c>
      <c r="H18" s="11">
        <f t="shared" si="0"/>
        <v>0.88000000000000012</v>
      </c>
      <c r="I18" s="12" t="e">
        <f>ROUND(#REF!*1000000/G18/H18,-3)</f>
        <v>#REF!</v>
      </c>
      <c r="J18" s="136">
        <v>470</v>
      </c>
      <c r="K18" s="13"/>
    </row>
    <row r="19" spans="1:11" ht="15" customHeight="1">
      <c r="A19" s="841"/>
      <c r="B19" s="810"/>
      <c r="C19" s="14">
        <v>450</v>
      </c>
      <c r="D19" s="9" t="s">
        <v>14</v>
      </c>
      <c r="E19" s="212">
        <v>1025000</v>
      </c>
      <c r="G19" s="10">
        <v>450</v>
      </c>
      <c r="H19" s="11">
        <f t="shared" si="0"/>
        <v>0.88000000000000012</v>
      </c>
      <c r="I19" s="12" t="e">
        <f>ROUND(#REF!*1000000/G19/H19,-3)</f>
        <v>#REF!</v>
      </c>
      <c r="J19" s="136">
        <v>610</v>
      </c>
      <c r="K19" s="13"/>
    </row>
    <row r="20" spans="1:11" ht="15" customHeight="1">
      <c r="A20" s="841"/>
      <c r="B20" s="810"/>
      <c r="C20" s="7">
        <v>230</v>
      </c>
      <c r="D20" s="9" t="s">
        <v>15</v>
      </c>
      <c r="E20" s="212">
        <v>480000</v>
      </c>
      <c r="G20" s="10">
        <v>230</v>
      </c>
      <c r="H20" s="11">
        <f t="shared" si="0"/>
        <v>0.88000000000000012</v>
      </c>
      <c r="I20" s="12" t="e">
        <f>ROUND(#REF!*1000000/G20/H20,-3)</f>
        <v>#REF!</v>
      </c>
      <c r="J20" s="136">
        <v>300</v>
      </c>
      <c r="K20" s="13"/>
    </row>
    <row r="21" spans="1:11" ht="15" customHeight="1">
      <c r="A21" s="841"/>
      <c r="B21" s="810"/>
      <c r="C21" s="7">
        <v>270</v>
      </c>
      <c r="D21" s="9" t="s">
        <v>16</v>
      </c>
      <c r="E21" s="212">
        <v>540000</v>
      </c>
      <c r="G21" s="10">
        <v>270</v>
      </c>
      <c r="H21" s="11">
        <f t="shared" si="0"/>
        <v>0.88000000000000012</v>
      </c>
      <c r="I21" s="12" t="e">
        <f>ROUND(#REF!*1000000/G21/H21,-3)</f>
        <v>#REF!</v>
      </c>
      <c r="J21" s="136">
        <v>360</v>
      </c>
      <c r="K21" s="13"/>
    </row>
    <row r="22" spans="1:11" ht="15" customHeight="1">
      <c r="A22" s="841"/>
      <c r="B22" s="810"/>
      <c r="C22" s="14">
        <v>310</v>
      </c>
      <c r="D22" s="9" t="s">
        <v>17</v>
      </c>
      <c r="E22" s="212">
        <v>480000</v>
      </c>
      <c r="G22" s="10">
        <v>310</v>
      </c>
      <c r="H22" s="11">
        <f t="shared" si="0"/>
        <v>0.88000000000000012</v>
      </c>
      <c r="I22" s="12" t="e">
        <f>ROUND(#REF!*1000000/G22/H22,-3)</f>
        <v>#REF!</v>
      </c>
      <c r="J22" s="136">
        <v>440</v>
      </c>
      <c r="K22" s="13"/>
    </row>
    <row r="23" spans="1:11" ht="15" customHeight="1">
      <c r="A23" s="841"/>
      <c r="B23" s="810"/>
      <c r="C23" s="7">
        <v>350</v>
      </c>
      <c r="D23" s="9" t="s">
        <v>18</v>
      </c>
      <c r="E23" s="212">
        <v>540000</v>
      </c>
      <c r="G23" s="10">
        <v>350</v>
      </c>
      <c r="H23" s="11">
        <f t="shared" si="0"/>
        <v>0.88000000000000012</v>
      </c>
      <c r="I23" s="12" t="e">
        <f>ROUND(#REF!*1000000/G23/H23,-3)</f>
        <v>#REF!</v>
      </c>
      <c r="J23" s="136">
        <v>500</v>
      </c>
      <c r="K23" s="13"/>
    </row>
    <row r="24" spans="1:11" ht="15" customHeight="1">
      <c r="A24" s="841"/>
      <c r="B24" s="810"/>
      <c r="C24" s="7">
        <v>450</v>
      </c>
      <c r="D24" s="9" t="s">
        <v>18</v>
      </c>
      <c r="E24" s="212">
        <v>695000</v>
      </c>
      <c r="G24" s="10">
        <v>450</v>
      </c>
      <c r="H24" s="11">
        <f t="shared" si="0"/>
        <v>0.88000000000000012</v>
      </c>
      <c r="I24" s="12" t="e">
        <f>ROUND(#REF!*1000000/G24/H24,-3)</f>
        <v>#REF!</v>
      </c>
      <c r="J24" s="136">
        <v>610</v>
      </c>
      <c r="K24" s="13"/>
    </row>
    <row r="25" spans="1:11" ht="15" customHeight="1">
      <c r="A25" s="841"/>
      <c r="B25" s="810"/>
      <c r="C25" s="7">
        <v>550</v>
      </c>
      <c r="D25" s="9" t="s">
        <v>17</v>
      </c>
      <c r="E25" s="212">
        <v>910000</v>
      </c>
      <c r="G25" s="10">
        <v>550</v>
      </c>
      <c r="H25" s="11">
        <f t="shared" si="0"/>
        <v>0.88000000000000012</v>
      </c>
      <c r="I25" s="12" t="e">
        <f>ROUND(#REF!*1000000/G25/H25,-3)</f>
        <v>#REF!</v>
      </c>
      <c r="J25" s="136">
        <v>800</v>
      </c>
      <c r="K25" s="13"/>
    </row>
    <row r="26" spans="1:11" ht="15" customHeight="1">
      <c r="A26" s="841"/>
      <c r="B26" s="810"/>
      <c r="C26" s="7">
        <v>650</v>
      </c>
      <c r="D26" s="9" t="s">
        <v>18</v>
      </c>
      <c r="E26" s="212">
        <v>1080000</v>
      </c>
      <c r="G26" s="10">
        <v>650</v>
      </c>
      <c r="H26" s="11">
        <f t="shared" si="0"/>
        <v>0.88000000000000012</v>
      </c>
      <c r="I26" s="12" t="e">
        <f>ROUND(#REF!*1000000/G26/H26,-3)</f>
        <v>#REF!</v>
      </c>
      <c r="J26" s="136">
        <v>960</v>
      </c>
      <c r="K26" s="13"/>
    </row>
    <row r="27" spans="1:11" ht="15" customHeight="1">
      <c r="A27" s="841"/>
      <c r="B27" s="810"/>
      <c r="C27" s="7">
        <v>750</v>
      </c>
      <c r="D27" s="9" t="s">
        <v>17</v>
      </c>
      <c r="E27" s="212">
        <v>1245000</v>
      </c>
      <c r="G27" s="10">
        <v>750</v>
      </c>
      <c r="H27" s="11">
        <f t="shared" si="0"/>
        <v>0.88000000000000012</v>
      </c>
      <c r="I27" s="12" t="e">
        <f>ROUND(#REF!*1000000/G27/H27,-3)</f>
        <v>#REF!</v>
      </c>
      <c r="J27" s="136">
        <v>1120</v>
      </c>
      <c r="K27" s="13"/>
    </row>
    <row r="28" spans="1:11" ht="15" customHeight="1">
      <c r="A28" s="841"/>
      <c r="B28" s="810"/>
      <c r="C28" s="7">
        <v>1000</v>
      </c>
      <c r="D28" s="9" t="s">
        <v>18</v>
      </c>
      <c r="E28" s="212">
        <v>2000000</v>
      </c>
      <c r="G28" s="10">
        <v>1000</v>
      </c>
      <c r="H28" s="11">
        <f t="shared" si="0"/>
        <v>0.88000000000000012</v>
      </c>
      <c r="I28" s="12" t="e">
        <f>ROUND(#REF!*1000000/G28/H28,-3)</f>
        <v>#REF!</v>
      </c>
      <c r="J28" s="136">
        <v>1440</v>
      </c>
      <c r="K28" s="13"/>
    </row>
    <row r="29" spans="1:11" ht="15" customHeight="1">
      <c r="A29" s="841"/>
      <c r="B29" s="810"/>
      <c r="C29" s="7">
        <v>1300</v>
      </c>
      <c r="D29" s="9" t="s">
        <v>18</v>
      </c>
      <c r="E29" s="212">
        <v>2600000</v>
      </c>
      <c r="G29" s="10">
        <v>1300</v>
      </c>
      <c r="H29" s="11">
        <f t="shared" si="0"/>
        <v>0.88000000000000012</v>
      </c>
      <c r="I29" s="12" t="e">
        <f>ROUND(#REF!*1000000/G29/H29,-3)</f>
        <v>#REF!</v>
      </c>
      <c r="J29" s="136">
        <v>1920</v>
      </c>
      <c r="K29" s="13"/>
    </row>
    <row r="30" spans="1:11" ht="15" customHeight="1">
      <c r="A30" s="818" t="s">
        <v>19</v>
      </c>
      <c r="B30" s="809" t="s">
        <v>20</v>
      </c>
      <c r="C30" s="7">
        <v>230</v>
      </c>
      <c r="D30" s="9" t="s">
        <v>2837</v>
      </c>
      <c r="E30" s="148">
        <v>510000</v>
      </c>
      <c r="G30" s="8">
        <v>230</v>
      </c>
      <c r="H30" s="11">
        <f>0.8*1.1</f>
        <v>0.88000000000000012</v>
      </c>
      <c r="I30" s="12" t="e">
        <f>ROUND(#REF!*1000000/G30/H30,-3)</f>
        <v>#REF!</v>
      </c>
      <c r="J30" s="136">
        <v>330</v>
      </c>
      <c r="K30" s="13"/>
    </row>
    <row r="31" spans="1:11" ht="15" customHeight="1">
      <c r="A31" s="816"/>
      <c r="B31" s="804"/>
      <c r="C31" s="7">
        <f>C30</f>
        <v>230</v>
      </c>
      <c r="D31" s="9" t="s">
        <v>2838</v>
      </c>
      <c r="E31" s="148">
        <v>565000</v>
      </c>
      <c r="G31" s="8"/>
      <c r="H31" s="11"/>
      <c r="I31" s="12"/>
      <c r="J31" s="136">
        <v>330</v>
      </c>
      <c r="K31" s="13"/>
    </row>
    <row r="32" spans="1:11" ht="15" customHeight="1">
      <c r="A32" s="816"/>
      <c r="B32" s="804"/>
      <c r="C32" s="7">
        <v>310</v>
      </c>
      <c r="D32" s="9" t="s">
        <v>2839</v>
      </c>
      <c r="E32" s="148">
        <v>685000</v>
      </c>
      <c r="G32" s="8">
        <v>310</v>
      </c>
      <c r="H32" s="11">
        <f t="shared" ref="H32:H34" si="2">0.8*1.1</f>
        <v>0.88000000000000012</v>
      </c>
      <c r="I32" s="12" t="e">
        <f>ROUND(#REF!*1000000/G32/H32,-3)</f>
        <v>#REF!</v>
      </c>
      <c r="J32" s="136">
        <v>420</v>
      </c>
      <c r="K32" s="13"/>
    </row>
    <row r="33" spans="1:11" ht="15" customHeight="1">
      <c r="A33" s="816"/>
      <c r="B33" s="804"/>
      <c r="C33" s="7">
        <f>C32</f>
        <v>310</v>
      </c>
      <c r="D33" s="9" t="s">
        <v>2840</v>
      </c>
      <c r="E33" s="148">
        <v>755000</v>
      </c>
      <c r="G33" s="8"/>
      <c r="H33" s="11"/>
      <c r="I33" s="12"/>
      <c r="J33" s="136">
        <v>420</v>
      </c>
      <c r="K33" s="13"/>
    </row>
    <row r="34" spans="1:11" ht="15" customHeight="1">
      <c r="A34" s="816"/>
      <c r="B34" s="804"/>
      <c r="C34" s="7">
        <v>350</v>
      </c>
      <c r="D34" s="9" t="s">
        <v>2841</v>
      </c>
      <c r="E34" s="148">
        <v>770000</v>
      </c>
      <c r="G34" s="8">
        <v>350</v>
      </c>
      <c r="H34" s="11">
        <f t="shared" si="2"/>
        <v>0.88000000000000012</v>
      </c>
      <c r="I34" s="12" t="e">
        <f>ROUND(#REF!*1000000/G34/H34,-3)</f>
        <v>#REF!</v>
      </c>
      <c r="J34" s="136">
        <v>470</v>
      </c>
      <c r="K34" s="13"/>
    </row>
    <row r="35" spans="1:11" ht="15" customHeight="1">
      <c r="A35" s="817"/>
      <c r="B35" s="805"/>
      <c r="C35" s="7">
        <f>C34</f>
        <v>350</v>
      </c>
      <c r="D35" s="9" t="s">
        <v>2842</v>
      </c>
      <c r="E35" s="148">
        <v>855000</v>
      </c>
      <c r="G35" s="8"/>
      <c r="H35" s="11"/>
      <c r="I35" s="12"/>
      <c r="J35" s="136">
        <v>470</v>
      </c>
      <c r="K35" s="13"/>
    </row>
    <row r="36" spans="1:11" ht="15" customHeight="1">
      <c r="A36" s="811" t="s">
        <v>21</v>
      </c>
      <c r="B36" s="810" t="s">
        <v>22</v>
      </c>
      <c r="C36" s="7">
        <v>360</v>
      </c>
      <c r="D36" s="9" t="s">
        <v>23</v>
      </c>
      <c r="E36" s="148">
        <v>1765000</v>
      </c>
      <c r="G36" s="8">
        <v>360</v>
      </c>
      <c r="H36" s="11">
        <f t="shared" ref="H36:H38" si="3">0.788*1.091</f>
        <v>0.85970800000000003</v>
      </c>
      <c r="I36" s="12" t="e">
        <f>ROUND(#REF!*1000000/G36/H36,-3)</f>
        <v>#REF!</v>
      </c>
      <c r="J36" s="136">
        <v>540</v>
      </c>
      <c r="K36" s="13"/>
    </row>
    <row r="37" spans="1:11" ht="15" customHeight="1">
      <c r="A37" s="811"/>
      <c r="B37" s="810"/>
      <c r="C37" s="7">
        <f t="shared" ref="C37:C38" si="4">C36</f>
        <v>360</v>
      </c>
      <c r="D37" s="9" t="s">
        <v>24</v>
      </c>
      <c r="E37" s="148">
        <v>2225000</v>
      </c>
      <c r="G37" s="8">
        <v>360</v>
      </c>
      <c r="H37" s="11">
        <f t="shared" si="3"/>
        <v>0.85970800000000003</v>
      </c>
      <c r="I37" s="12" t="e">
        <f>ROUND(#REF!*1000000/G37/H37,-3)</f>
        <v>#REF!</v>
      </c>
      <c r="J37" s="136">
        <v>540</v>
      </c>
      <c r="K37" s="13"/>
    </row>
    <row r="38" spans="1:11" ht="15" customHeight="1">
      <c r="A38" s="811"/>
      <c r="B38" s="810"/>
      <c r="C38" s="7">
        <f t="shared" si="4"/>
        <v>360</v>
      </c>
      <c r="D38" s="9" t="s">
        <v>25</v>
      </c>
      <c r="E38" s="148">
        <v>3150000</v>
      </c>
      <c r="G38" s="8">
        <v>360</v>
      </c>
      <c r="H38" s="11">
        <f t="shared" si="3"/>
        <v>0.85970800000000003</v>
      </c>
      <c r="I38" s="12" t="e">
        <f>ROUND(#REF!*1000000/G38/H38,-3)</f>
        <v>#REF!</v>
      </c>
      <c r="J38" s="136">
        <v>540</v>
      </c>
      <c r="K38" s="13"/>
    </row>
    <row r="39" spans="1:11" ht="15" customHeight="1">
      <c r="A39" s="811" t="s">
        <v>26</v>
      </c>
      <c r="B39" s="810" t="s">
        <v>27</v>
      </c>
      <c r="C39" s="7">
        <v>157</v>
      </c>
      <c r="D39" s="9"/>
      <c r="E39" s="148">
        <v>695000</v>
      </c>
      <c r="G39" s="8">
        <v>157</v>
      </c>
      <c r="H39" s="11">
        <f>0.788*1.091</f>
        <v>0.85970800000000003</v>
      </c>
      <c r="I39" s="12" t="e">
        <f>ROUND(#REF!*1000000/G39/H39,-3)</f>
        <v>#REF!</v>
      </c>
      <c r="J39" s="137"/>
      <c r="K39" s="13"/>
    </row>
    <row r="40" spans="1:11" ht="15" customHeight="1">
      <c r="A40" s="811"/>
      <c r="B40" s="810"/>
      <c r="C40" s="7">
        <v>209</v>
      </c>
      <c r="D40" s="9"/>
      <c r="E40" s="148">
        <v>925000</v>
      </c>
      <c r="G40" s="8">
        <v>209</v>
      </c>
      <c r="H40" s="11">
        <f t="shared" ref="H40:H41" si="5">0.788*1.091</f>
        <v>0.85970800000000003</v>
      </c>
      <c r="I40" s="12" t="e">
        <f>ROUND(#REF!*1000000/G40/H40,-3)</f>
        <v>#REF!</v>
      </c>
      <c r="J40" s="137"/>
      <c r="K40" s="13"/>
    </row>
    <row r="41" spans="1:11" ht="15" customHeight="1">
      <c r="A41" s="811"/>
      <c r="B41" s="810"/>
      <c r="C41" s="7">
        <v>256</v>
      </c>
      <c r="D41" s="9"/>
      <c r="E41" s="148">
        <v>1130000</v>
      </c>
      <c r="G41" s="8">
        <v>256</v>
      </c>
      <c r="H41" s="11">
        <f t="shared" si="5"/>
        <v>0.85970800000000003</v>
      </c>
      <c r="I41" s="12" t="e">
        <f>ROUND(#REF!*1000000/G41/H41,-3)</f>
        <v>#REF!</v>
      </c>
      <c r="J41" s="137"/>
      <c r="K41" s="13"/>
    </row>
    <row r="42" spans="1:11" s="1" customFormat="1" ht="15" customHeight="1">
      <c r="A42" s="811"/>
      <c r="B42" s="810" t="s">
        <v>28</v>
      </c>
      <c r="C42" s="7">
        <v>157</v>
      </c>
      <c r="D42" s="9"/>
      <c r="E42" s="148">
        <v>485000</v>
      </c>
      <c r="G42" s="8">
        <v>157</v>
      </c>
      <c r="H42" s="11">
        <f t="shared" ref="H42:H44" si="6">0.636*0.939</f>
        <v>0.59720399999999996</v>
      </c>
      <c r="I42" s="12" t="e">
        <f>ROUND(#REF!*1000000/G42/H42,-3)</f>
        <v>#REF!</v>
      </c>
      <c r="J42" s="137"/>
      <c r="K42" s="13"/>
    </row>
    <row r="43" spans="1:11" s="1" customFormat="1" ht="15" customHeight="1">
      <c r="A43" s="811"/>
      <c r="B43" s="810"/>
      <c r="C43" s="7">
        <v>209</v>
      </c>
      <c r="D43" s="9"/>
      <c r="E43" s="148">
        <v>640000</v>
      </c>
      <c r="G43" s="8">
        <v>209</v>
      </c>
      <c r="H43" s="11">
        <f t="shared" si="6"/>
        <v>0.59720399999999996</v>
      </c>
      <c r="I43" s="12" t="e">
        <f>ROUND(#REF!*1000000/G43/H43,-3)</f>
        <v>#REF!</v>
      </c>
      <c r="J43" s="137"/>
      <c r="K43" s="13"/>
    </row>
    <row r="44" spans="1:11" s="1" customFormat="1" ht="15" customHeight="1">
      <c r="A44" s="811"/>
      <c r="B44" s="810"/>
      <c r="C44" s="7">
        <v>256</v>
      </c>
      <c r="D44" s="9"/>
      <c r="E44" s="148">
        <v>785000</v>
      </c>
      <c r="G44" s="8">
        <v>256</v>
      </c>
      <c r="H44" s="11">
        <f t="shared" si="6"/>
        <v>0.59720399999999996</v>
      </c>
      <c r="I44" s="12" t="e">
        <f>ROUND(#REF!*1000000/G44/H44,-3)</f>
        <v>#REF!</v>
      </c>
      <c r="J44" s="137"/>
      <c r="K44" s="13"/>
    </row>
    <row r="45" spans="1:11" s="1" customFormat="1" ht="15" customHeight="1">
      <c r="A45" s="813" t="s">
        <v>29</v>
      </c>
      <c r="B45" s="814" t="s">
        <v>30</v>
      </c>
      <c r="C45" s="20">
        <v>110</v>
      </c>
      <c r="D45" s="21" t="s">
        <v>31</v>
      </c>
      <c r="E45" s="211" t="s">
        <v>2349</v>
      </c>
      <c r="G45" s="8">
        <v>110</v>
      </c>
      <c r="H45" s="11">
        <f>1.07*50</f>
        <v>53.5</v>
      </c>
      <c r="I45" s="12" t="e">
        <f>ROUND(#REF!*1000000/G45/H45,-3)</f>
        <v>#REF!</v>
      </c>
      <c r="J45" s="137"/>
      <c r="K45" s="13"/>
    </row>
    <row r="46" spans="1:11" s="1" customFormat="1" ht="15" customHeight="1">
      <c r="A46" s="817"/>
      <c r="B46" s="805"/>
      <c r="C46" s="33">
        <f>C45</f>
        <v>110</v>
      </c>
      <c r="D46" s="21" t="s">
        <v>32</v>
      </c>
      <c r="E46" s="211" t="s">
        <v>2349</v>
      </c>
      <c r="G46" s="8">
        <v>110</v>
      </c>
      <c r="H46" s="11">
        <f>1.07*50</f>
        <v>53.5</v>
      </c>
      <c r="I46" s="12" t="e">
        <f>ROUND(#REF!*1000000/G46/H46,-3)</f>
        <v>#REF!</v>
      </c>
      <c r="J46" s="137"/>
      <c r="K46" s="13"/>
    </row>
    <row r="47" spans="1:11" s="1" customFormat="1" ht="15" customHeight="1">
      <c r="A47" s="811" t="s">
        <v>33</v>
      </c>
      <c r="B47" s="810" t="s">
        <v>34</v>
      </c>
      <c r="C47" s="7">
        <v>300</v>
      </c>
      <c r="D47" s="9"/>
      <c r="E47" s="211">
        <v>575000</v>
      </c>
      <c r="G47" s="8">
        <v>300</v>
      </c>
      <c r="H47" s="11">
        <f t="shared" ref="H47:H49" si="7">0.6*0.8</f>
        <v>0.48</v>
      </c>
      <c r="I47" s="12" t="e">
        <f>ROUND(#REF!*1000000/G47/H47,-3)</f>
        <v>#REF!</v>
      </c>
      <c r="J47" s="136">
        <v>500</v>
      </c>
      <c r="K47" s="13"/>
    </row>
    <row r="48" spans="1:11" s="1" customFormat="1" ht="15" customHeight="1">
      <c r="A48" s="811"/>
      <c r="B48" s="810"/>
      <c r="C48" s="7">
        <v>480</v>
      </c>
      <c r="D48" s="9"/>
      <c r="E48" s="211">
        <v>920000</v>
      </c>
      <c r="G48" s="8">
        <v>480</v>
      </c>
      <c r="H48" s="11">
        <f t="shared" si="7"/>
        <v>0.48</v>
      </c>
      <c r="I48" s="12" t="e">
        <f>ROUND(#REF!*1000000/G48/H48,-3)</f>
        <v>#REF!</v>
      </c>
      <c r="J48" s="136">
        <v>800</v>
      </c>
      <c r="K48" s="13"/>
    </row>
    <row r="49" spans="1:11" s="1" customFormat="1" ht="15" customHeight="1">
      <c r="A49" s="811"/>
      <c r="B49" s="810"/>
      <c r="C49" s="7">
        <v>600</v>
      </c>
      <c r="D49" s="9"/>
      <c r="E49" s="211">
        <v>1150000</v>
      </c>
      <c r="G49" s="8">
        <v>600</v>
      </c>
      <c r="H49" s="11">
        <f t="shared" si="7"/>
        <v>0.48</v>
      </c>
      <c r="I49" s="12" t="e">
        <f>ROUND(#REF!*1000000/G49/H49,-3)</f>
        <v>#REF!</v>
      </c>
      <c r="J49" s="136">
        <v>1000</v>
      </c>
      <c r="K49" s="13"/>
    </row>
    <row r="50" spans="1:11" s="1" customFormat="1" ht="15" customHeight="1">
      <c r="A50" s="813" t="s">
        <v>35</v>
      </c>
      <c r="B50" s="814" t="s">
        <v>20</v>
      </c>
      <c r="C50" s="14">
        <v>350</v>
      </c>
      <c r="D50" s="9" t="s">
        <v>36</v>
      </c>
      <c r="E50" s="211">
        <v>470000</v>
      </c>
      <c r="G50" s="14">
        <v>350</v>
      </c>
      <c r="H50" s="11">
        <f>0.8*1.1</f>
        <v>0.88000000000000012</v>
      </c>
      <c r="I50" s="12" t="e">
        <f>ROUND(#REF!*1000000/G50/H50,-3)</f>
        <v>#REF!</v>
      </c>
      <c r="J50" s="136">
        <v>500</v>
      </c>
      <c r="K50" s="13"/>
    </row>
    <row r="51" spans="1:11" s="1" customFormat="1" ht="15" customHeight="1">
      <c r="A51" s="816"/>
      <c r="B51" s="804"/>
      <c r="C51" s="14">
        <v>400</v>
      </c>
      <c r="D51" s="9" t="s">
        <v>37</v>
      </c>
      <c r="E51" s="211">
        <v>535000</v>
      </c>
      <c r="G51" s="14">
        <v>400</v>
      </c>
      <c r="H51" s="11">
        <f t="shared" ref="H51:H73" si="8">0.8*1.1</f>
        <v>0.88000000000000012</v>
      </c>
      <c r="I51" s="12" t="e">
        <f>ROUND(#REF!*1000000/G51/H51,-3)</f>
        <v>#REF!</v>
      </c>
      <c r="J51" s="136">
        <v>560</v>
      </c>
      <c r="K51" s="13"/>
    </row>
    <row r="52" spans="1:11" s="1" customFormat="1" ht="15" customHeight="1">
      <c r="A52" s="816"/>
      <c r="B52" s="804"/>
      <c r="C52" s="14">
        <v>450</v>
      </c>
      <c r="D52" s="9" t="s">
        <v>38</v>
      </c>
      <c r="E52" s="211">
        <v>605000</v>
      </c>
      <c r="G52" s="14">
        <v>450</v>
      </c>
      <c r="H52" s="11">
        <f t="shared" si="8"/>
        <v>0.88000000000000012</v>
      </c>
      <c r="I52" s="12" t="e">
        <f>ROUND(#REF!*1000000/G52/H52,-3)</f>
        <v>#REF!</v>
      </c>
      <c r="J52" s="136">
        <v>640</v>
      </c>
      <c r="K52" s="13"/>
    </row>
    <row r="53" spans="1:11" s="1" customFormat="1" ht="15" customHeight="1">
      <c r="A53" s="816"/>
      <c r="B53" s="804"/>
      <c r="C53" s="14">
        <v>550</v>
      </c>
      <c r="D53" s="9" t="s">
        <v>39</v>
      </c>
      <c r="E53" s="211">
        <v>740000</v>
      </c>
      <c r="G53" s="14">
        <v>550</v>
      </c>
      <c r="H53" s="11">
        <f t="shared" si="8"/>
        <v>0.88000000000000012</v>
      </c>
      <c r="I53" s="12" t="e">
        <f>ROUND(#REF!*1000000/G53/H53,-3)</f>
        <v>#REF!</v>
      </c>
      <c r="J53" s="136">
        <v>800</v>
      </c>
      <c r="K53" s="13"/>
    </row>
    <row r="54" spans="1:11" s="1" customFormat="1" ht="15" customHeight="1">
      <c r="A54" s="816"/>
      <c r="B54" s="804"/>
      <c r="C54" s="14">
        <v>650</v>
      </c>
      <c r="D54" s="9" t="s">
        <v>40</v>
      </c>
      <c r="E54" s="211">
        <v>860000</v>
      </c>
      <c r="G54" s="14">
        <v>650</v>
      </c>
      <c r="H54" s="11">
        <f t="shared" si="8"/>
        <v>0.88000000000000012</v>
      </c>
      <c r="I54" s="12" t="e">
        <f>ROUND(#REF!*1000000/G54/H54,-3)</f>
        <v>#REF!</v>
      </c>
      <c r="J54" s="136">
        <v>960</v>
      </c>
      <c r="K54" s="13"/>
    </row>
    <row r="55" spans="1:11" s="1" customFormat="1" ht="15" customHeight="1">
      <c r="A55" s="816"/>
      <c r="B55" s="804"/>
      <c r="C55" s="14">
        <v>700</v>
      </c>
      <c r="D55" s="9" t="s">
        <v>41</v>
      </c>
      <c r="E55" s="211">
        <v>865000</v>
      </c>
      <c r="G55" s="14">
        <v>700</v>
      </c>
      <c r="H55" s="11">
        <f t="shared" si="8"/>
        <v>0.88000000000000012</v>
      </c>
      <c r="I55" s="12" t="e">
        <f>ROUND(#REF!*1000000/G55/H55,-3)</f>
        <v>#REF!</v>
      </c>
      <c r="J55" s="136">
        <v>1000</v>
      </c>
      <c r="K55" s="13"/>
    </row>
    <row r="56" spans="1:11" s="1" customFormat="1" ht="15" customHeight="1">
      <c r="A56" s="816"/>
      <c r="B56" s="804"/>
      <c r="C56" s="14">
        <v>750</v>
      </c>
      <c r="D56" s="9" t="s">
        <v>42</v>
      </c>
      <c r="E56" s="211">
        <v>1005000</v>
      </c>
      <c r="G56" s="14">
        <v>750</v>
      </c>
      <c r="H56" s="11">
        <f t="shared" si="8"/>
        <v>0.88000000000000012</v>
      </c>
      <c r="I56" s="12" t="e">
        <f>ROUND(#REF!*1000000/G56/H56,-3)</f>
        <v>#REF!</v>
      </c>
      <c r="J56" s="136">
        <v>1100</v>
      </c>
      <c r="K56" s="13"/>
    </row>
    <row r="57" spans="1:11" s="1" customFormat="1" ht="15" customHeight="1">
      <c r="A57" s="816"/>
      <c r="B57" s="804"/>
      <c r="C57" s="14">
        <v>850</v>
      </c>
      <c r="D57" s="9" t="s">
        <v>43</v>
      </c>
      <c r="E57" s="211">
        <v>1050000</v>
      </c>
      <c r="G57" s="14">
        <v>850</v>
      </c>
      <c r="H57" s="11">
        <f t="shared" si="8"/>
        <v>0.88000000000000012</v>
      </c>
      <c r="I57" s="12" t="e">
        <f>ROUND(#REF!*1000000/G57/H57,-3)</f>
        <v>#REF!</v>
      </c>
      <c r="J57" s="136">
        <v>1300</v>
      </c>
      <c r="K57" s="13"/>
    </row>
    <row r="58" spans="1:11" s="1" customFormat="1" ht="15" customHeight="1">
      <c r="A58" s="816"/>
      <c r="B58" s="804"/>
      <c r="C58" s="14">
        <v>950</v>
      </c>
      <c r="D58" s="9" t="s">
        <v>44</v>
      </c>
      <c r="E58" s="211">
        <v>1175000</v>
      </c>
      <c r="G58" s="14">
        <v>950</v>
      </c>
      <c r="H58" s="11">
        <f t="shared" si="8"/>
        <v>0.88000000000000012</v>
      </c>
      <c r="I58" s="12" t="e">
        <f>ROUND(#REF!*1000000/G58/H58,-3)</f>
        <v>#REF!</v>
      </c>
      <c r="J58" s="136">
        <v>1400</v>
      </c>
      <c r="K58" s="13"/>
    </row>
    <row r="59" spans="1:11" s="1" customFormat="1" ht="15" customHeight="1">
      <c r="A59" s="816"/>
      <c r="B59" s="804"/>
      <c r="C59" s="14">
        <v>350</v>
      </c>
      <c r="D59" s="9" t="s">
        <v>45</v>
      </c>
      <c r="E59" s="211"/>
      <c r="G59" s="14">
        <v>350</v>
      </c>
      <c r="H59" s="11">
        <f>0.8*1.1</f>
        <v>0.88000000000000012</v>
      </c>
      <c r="I59" s="12" t="e">
        <f>ROUND(#REF!/#REF!*1000000/G59/H59,-3)</f>
        <v>#REF!</v>
      </c>
      <c r="J59" s="136">
        <v>500</v>
      </c>
      <c r="K59" s="13"/>
    </row>
    <row r="60" spans="1:11" s="1" customFormat="1" ht="15" customHeight="1">
      <c r="A60" s="816"/>
      <c r="B60" s="804"/>
      <c r="C60" s="14">
        <v>400</v>
      </c>
      <c r="D60" s="9" t="s">
        <v>46</v>
      </c>
      <c r="E60" s="211"/>
      <c r="G60" s="14">
        <v>400</v>
      </c>
      <c r="H60" s="11">
        <f t="shared" ref="H60:H63" si="9">0.8*1.1</f>
        <v>0.88000000000000012</v>
      </c>
      <c r="I60" s="12" t="e">
        <f>ROUND(#REF!/#REF!*1000000/G60/H60,-3)</f>
        <v>#REF!</v>
      </c>
      <c r="J60" s="136">
        <v>560</v>
      </c>
      <c r="K60" s="13"/>
    </row>
    <row r="61" spans="1:11" s="1" customFormat="1" ht="15" customHeight="1">
      <c r="A61" s="816"/>
      <c r="B61" s="804"/>
      <c r="C61" s="14">
        <v>450</v>
      </c>
      <c r="D61" s="9" t="s">
        <v>47</v>
      </c>
      <c r="E61" s="211"/>
      <c r="G61" s="14">
        <v>450</v>
      </c>
      <c r="H61" s="11">
        <f t="shared" si="9"/>
        <v>0.88000000000000012</v>
      </c>
      <c r="I61" s="12" t="e">
        <f>ROUND(#REF!/#REF!*1000000/G61/H61,-3)</f>
        <v>#REF!</v>
      </c>
      <c r="J61" s="136">
        <v>640</v>
      </c>
      <c r="K61" s="13"/>
    </row>
    <row r="62" spans="1:11" s="1" customFormat="1" ht="15" customHeight="1">
      <c r="A62" s="816"/>
      <c r="B62" s="804"/>
      <c r="C62" s="14">
        <v>550</v>
      </c>
      <c r="D62" s="9" t="s">
        <v>48</v>
      </c>
      <c r="E62" s="211"/>
      <c r="G62" s="14">
        <v>550</v>
      </c>
      <c r="H62" s="11">
        <f t="shared" si="9"/>
        <v>0.88000000000000012</v>
      </c>
      <c r="I62" s="12" t="e">
        <f>ROUND(#REF!/#REF!*1000000/G62/H62,-3)</f>
        <v>#REF!</v>
      </c>
      <c r="J62" s="136">
        <v>800</v>
      </c>
      <c r="K62" s="13"/>
    </row>
    <row r="63" spans="1:11" s="1" customFormat="1" ht="15" customHeight="1">
      <c r="A63" s="816"/>
      <c r="B63" s="804"/>
      <c r="C63" s="14">
        <v>650</v>
      </c>
      <c r="D63" s="9" t="s">
        <v>49</v>
      </c>
      <c r="E63" s="211"/>
      <c r="G63" s="14">
        <v>650</v>
      </c>
      <c r="H63" s="11">
        <f t="shared" si="9"/>
        <v>0.88000000000000012</v>
      </c>
      <c r="I63" s="12" t="e">
        <f>ROUND(#REF!/#REF!*1000000/G63/H63,-3)</f>
        <v>#REF!</v>
      </c>
      <c r="J63" s="136">
        <v>960</v>
      </c>
      <c r="K63" s="13"/>
    </row>
    <row r="64" spans="1:11" s="1" customFormat="1" ht="15" customHeight="1">
      <c r="A64" s="816"/>
      <c r="B64" s="804"/>
      <c r="C64" s="14">
        <v>700</v>
      </c>
      <c r="D64" s="9" t="s">
        <v>50</v>
      </c>
      <c r="E64" s="211"/>
      <c r="G64" s="14">
        <v>700</v>
      </c>
      <c r="H64" s="11">
        <f>0.8*1.1</f>
        <v>0.88000000000000012</v>
      </c>
      <c r="I64" s="12" t="e">
        <f>ROUND(#REF!/#REF!*1000000/G64/H64,-3)</f>
        <v>#REF!</v>
      </c>
      <c r="J64" s="136">
        <v>1000</v>
      </c>
      <c r="K64" s="26"/>
    </row>
    <row r="65" spans="1:11" s="1" customFormat="1" ht="15" customHeight="1">
      <c r="A65" s="816"/>
      <c r="B65" s="804"/>
      <c r="C65" s="14">
        <v>750</v>
      </c>
      <c r="D65" s="9" t="s">
        <v>51</v>
      </c>
      <c r="E65" s="211"/>
      <c r="G65" s="14">
        <v>750</v>
      </c>
      <c r="H65" s="11">
        <f>0.8*1.1</f>
        <v>0.88000000000000012</v>
      </c>
      <c r="I65" s="12" t="e">
        <f>ROUND(#REF!/#REF!*1000000/G65/H65,-3)</f>
        <v>#REF!</v>
      </c>
      <c r="J65" s="136">
        <v>1100</v>
      </c>
      <c r="K65" s="26"/>
    </row>
    <row r="66" spans="1:11" s="1" customFormat="1" ht="15" customHeight="1">
      <c r="A66" s="816"/>
      <c r="B66" s="804"/>
      <c r="C66" s="14">
        <v>850</v>
      </c>
      <c r="D66" s="9" t="s">
        <v>52</v>
      </c>
      <c r="E66" s="211"/>
      <c r="G66" s="14">
        <v>850</v>
      </c>
      <c r="H66" s="11">
        <f t="shared" si="8"/>
        <v>0.88000000000000012</v>
      </c>
      <c r="I66" s="12" t="e">
        <f>ROUND(#REF!/#REF!*1000000/G66/H66,-3)</f>
        <v>#REF!</v>
      </c>
      <c r="J66" s="136">
        <v>1300</v>
      </c>
      <c r="K66" s="26"/>
    </row>
    <row r="67" spans="1:11" s="1" customFormat="1" ht="15" customHeight="1">
      <c r="A67" s="816"/>
      <c r="B67" s="805"/>
      <c r="C67" s="14">
        <v>950</v>
      </c>
      <c r="D67" s="9" t="s">
        <v>53</v>
      </c>
      <c r="E67" s="211"/>
      <c r="G67" s="14">
        <v>950</v>
      </c>
      <c r="H67" s="11">
        <f t="shared" si="8"/>
        <v>0.88000000000000012</v>
      </c>
      <c r="I67" s="12" t="e">
        <f>ROUND(#REF!/#REF!*1000000/G67/H67,-3)</f>
        <v>#REF!</v>
      </c>
      <c r="J67" s="136">
        <v>1400</v>
      </c>
      <c r="K67" s="26"/>
    </row>
    <row r="68" spans="1:11" s="1" customFormat="1" ht="15" customHeight="1">
      <c r="A68" s="816"/>
      <c r="B68" s="814" t="s">
        <v>20</v>
      </c>
      <c r="C68" s="14">
        <v>1100</v>
      </c>
      <c r="D68" s="9" t="s">
        <v>54</v>
      </c>
      <c r="E68" s="211">
        <v>1405000</v>
      </c>
      <c r="G68" s="14">
        <v>1100</v>
      </c>
      <c r="H68" s="11">
        <f t="shared" si="8"/>
        <v>0.88000000000000012</v>
      </c>
      <c r="I68" s="12" t="e">
        <f>ROUND(#REF!*1000000/G68/H68,-3)</f>
        <v>#REF!</v>
      </c>
      <c r="J68" s="136">
        <v>1600</v>
      </c>
      <c r="K68" s="13"/>
    </row>
    <row r="69" spans="1:11" s="1" customFormat="1" ht="15" customHeight="1">
      <c r="A69" s="816"/>
      <c r="B69" s="804"/>
      <c r="C69" s="14">
        <v>1200</v>
      </c>
      <c r="D69" s="9" t="s">
        <v>55</v>
      </c>
      <c r="E69" s="211">
        <v>1535000</v>
      </c>
      <c r="G69" s="14">
        <v>1200</v>
      </c>
      <c r="H69" s="11">
        <f t="shared" si="8"/>
        <v>0.88000000000000012</v>
      </c>
      <c r="I69" s="12" t="e">
        <f>ROUND(#REF!*1000000/G69/H69,-3)</f>
        <v>#REF!</v>
      </c>
      <c r="J69" s="136">
        <v>1800</v>
      </c>
      <c r="K69" s="13"/>
    </row>
    <row r="70" spans="1:11" s="1" customFormat="1" ht="15" customHeight="1">
      <c r="A70" s="816"/>
      <c r="B70" s="804"/>
      <c r="C70" s="14">
        <v>1400</v>
      </c>
      <c r="D70" s="9" t="s">
        <v>56</v>
      </c>
      <c r="E70" s="211">
        <v>1790000</v>
      </c>
      <c r="G70" s="14">
        <v>1400</v>
      </c>
      <c r="H70" s="11">
        <f t="shared" si="8"/>
        <v>0.88000000000000012</v>
      </c>
      <c r="I70" s="12" t="e">
        <f>ROUND(#REF!*1000000/G70/H70,-3)</f>
        <v>#REF!</v>
      </c>
      <c r="J70" s="136">
        <v>2100</v>
      </c>
      <c r="K70" s="13"/>
    </row>
    <row r="71" spans="1:11" s="1" customFormat="1" ht="15" customHeight="1">
      <c r="A71" s="816"/>
      <c r="B71" s="804"/>
      <c r="C71" s="14">
        <v>1100</v>
      </c>
      <c r="D71" s="9" t="s">
        <v>57</v>
      </c>
      <c r="E71" s="211"/>
      <c r="G71" s="14">
        <v>1100</v>
      </c>
      <c r="H71" s="11">
        <f t="shared" si="8"/>
        <v>0.88000000000000012</v>
      </c>
      <c r="I71" s="12" t="e">
        <f>ROUND(#REF!/#REF!*1000000/G71/H71,-3)</f>
        <v>#REF!</v>
      </c>
      <c r="J71" s="136">
        <v>1600</v>
      </c>
      <c r="K71" s="26"/>
    </row>
    <row r="72" spans="1:11" s="1" customFormat="1" ht="15" customHeight="1">
      <c r="A72" s="816"/>
      <c r="B72" s="804"/>
      <c r="C72" s="14">
        <v>1200</v>
      </c>
      <c r="D72" s="9" t="s">
        <v>58</v>
      </c>
      <c r="E72" s="211"/>
      <c r="G72" s="14">
        <v>1200</v>
      </c>
      <c r="H72" s="11">
        <f t="shared" si="8"/>
        <v>0.88000000000000012</v>
      </c>
      <c r="I72" s="12" t="e">
        <f>ROUND(#REF!/#REF!*1000000/G72/H72,-3)</f>
        <v>#REF!</v>
      </c>
      <c r="J72" s="136">
        <v>1800</v>
      </c>
      <c r="K72" s="26"/>
    </row>
    <row r="73" spans="1:11" s="1" customFormat="1" ht="15" customHeight="1">
      <c r="A73" s="817"/>
      <c r="B73" s="804"/>
      <c r="C73" s="14">
        <v>1400</v>
      </c>
      <c r="D73" s="9" t="s">
        <v>59</v>
      </c>
      <c r="E73" s="211"/>
      <c r="G73" s="14">
        <v>1400</v>
      </c>
      <c r="H73" s="11">
        <f t="shared" si="8"/>
        <v>0.88000000000000012</v>
      </c>
      <c r="I73" s="12" t="e">
        <f>ROUND(#REF!/#REF!*1000000/G73/H73,-3)</f>
        <v>#REF!</v>
      </c>
      <c r="J73" s="136">
        <v>2100</v>
      </c>
      <c r="K73" s="26"/>
    </row>
    <row r="74" spans="1:11" ht="15" customHeight="1">
      <c r="A74" s="811" t="s">
        <v>60</v>
      </c>
      <c r="B74" s="810" t="s">
        <v>61</v>
      </c>
      <c r="C74" s="7">
        <v>80</v>
      </c>
      <c r="D74" s="9" t="s">
        <v>62</v>
      </c>
      <c r="E74" s="25">
        <v>0</v>
      </c>
      <c r="G74" s="8"/>
      <c r="H74" s="11"/>
      <c r="I74" s="12"/>
      <c r="J74" s="137"/>
      <c r="K74" s="13"/>
    </row>
    <row r="75" spans="1:11" ht="15" customHeight="1">
      <c r="A75" s="810"/>
      <c r="B75" s="810"/>
      <c r="C75" s="7">
        <f t="shared" ref="C75:C82" si="10">C74</f>
        <v>80</v>
      </c>
      <c r="D75" s="9" t="s">
        <v>63</v>
      </c>
      <c r="E75" s="25">
        <v>0</v>
      </c>
      <c r="G75" s="8"/>
      <c r="H75" s="11"/>
      <c r="I75" s="12"/>
      <c r="J75" s="137"/>
      <c r="K75" s="13"/>
    </row>
    <row r="76" spans="1:11" ht="15" customHeight="1">
      <c r="A76" s="810"/>
      <c r="B76" s="810"/>
      <c r="C76" s="7">
        <f t="shared" si="10"/>
        <v>80</v>
      </c>
      <c r="D76" s="9" t="s">
        <v>64</v>
      </c>
      <c r="E76" s="25">
        <v>0</v>
      </c>
      <c r="G76" s="8"/>
      <c r="H76" s="11"/>
      <c r="I76" s="12"/>
      <c r="J76" s="137"/>
      <c r="K76" s="13"/>
    </row>
    <row r="77" spans="1:11" ht="15" customHeight="1">
      <c r="A77" s="810"/>
      <c r="B77" s="810"/>
      <c r="C77" s="7">
        <f t="shared" si="10"/>
        <v>80</v>
      </c>
      <c r="D77" s="9" t="s">
        <v>65</v>
      </c>
      <c r="E77" s="25">
        <v>0</v>
      </c>
      <c r="G77" s="8"/>
      <c r="H77" s="11"/>
      <c r="I77" s="12"/>
      <c r="J77" s="137"/>
      <c r="K77" s="13"/>
    </row>
    <row r="78" spans="1:11" ht="15" customHeight="1">
      <c r="A78" s="810"/>
      <c r="B78" s="810"/>
      <c r="C78" s="7">
        <f t="shared" si="10"/>
        <v>80</v>
      </c>
      <c r="D78" s="9" t="s">
        <v>66</v>
      </c>
      <c r="E78" s="25">
        <v>0</v>
      </c>
      <c r="G78" s="8"/>
      <c r="H78" s="11"/>
      <c r="I78" s="12"/>
      <c r="J78" s="137"/>
      <c r="K78" s="13"/>
    </row>
    <row r="79" spans="1:11" ht="15" customHeight="1">
      <c r="A79" s="810"/>
      <c r="B79" s="810"/>
      <c r="C79" s="7">
        <f t="shared" si="10"/>
        <v>80</v>
      </c>
      <c r="D79" s="9" t="s">
        <v>67</v>
      </c>
      <c r="E79" s="25">
        <v>0</v>
      </c>
      <c r="G79" s="8"/>
      <c r="H79" s="11"/>
      <c r="I79" s="12"/>
      <c r="J79" s="137"/>
      <c r="K79" s="13"/>
    </row>
    <row r="80" spans="1:11" ht="15" customHeight="1">
      <c r="A80" s="810"/>
      <c r="B80" s="810"/>
      <c r="C80" s="7">
        <f t="shared" si="10"/>
        <v>80</v>
      </c>
      <c r="D80" s="9" t="s">
        <v>68</v>
      </c>
      <c r="E80" s="25">
        <v>0</v>
      </c>
      <c r="G80" s="8"/>
      <c r="H80" s="11"/>
      <c r="I80" s="12"/>
      <c r="J80" s="137"/>
      <c r="K80" s="13"/>
    </row>
    <row r="81" spans="1:11" ht="15" customHeight="1">
      <c r="A81" s="810"/>
      <c r="B81" s="810"/>
      <c r="C81" s="7">
        <f t="shared" si="10"/>
        <v>80</v>
      </c>
      <c r="D81" s="9" t="s">
        <v>69</v>
      </c>
      <c r="E81" s="25">
        <v>0</v>
      </c>
      <c r="G81" s="8"/>
      <c r="H81" s="11"/>
      <c r="I81" s="12"/>
      <c r="J81" s="137"/>
      <c r="K81" s="13"/>
    </row>
    <row r="82" spans="1:11" ht="15" customHeight="1">
      <c r="A82" s="810"/>
      <c r="B82" s="810"/>
      <c r="C82" s="7">
        <f t="shared" si="10"/>
        <v>80</v>
      </c>
      <c r="D82" s="9" t="s">
        <v>70</v>
      </c>
      <c r="E82" s="25">
        <v>0</v>
      </c>
      <c r="G82" s="8"/>
      <c r="H82" s="11"/>
      <c r="I82" s="12"/>
      <c r="J82" s="137"/>
      <c r="K82" s="13"/>
    </row>
    <row r="83" spans="1:11" ht="15" customHeight="1">
      <c r="A83" s="810"/>
      <c r="B83" s="810"/>
      <c r="C83" s="7">
        <v>74</v>
      </c>
      <c r="D83" s="9" t="s">
        <v>71</v>
      </c>
      <c r="E83" s="25">
        <v>0</v>
      </c>
      <c r="G83" s="8"/>
      <c r="H83" s="11"/>
      <c r="I83" s="12"/>
      <c r="J83" s="137"/>
      <c r="K83" s="13"/>
    </row>
    <row r="84" spans="1:11" ht="15" customHeight="1">
      <c r="A84" s="810"/>
      <c r="B84" s="810"/>
      <c r="C84" s="7" t="s">
        <v>72</v>
      </c>
      <c r="D84" s="9" t="s">
        <v>73</v>
      </c>
      <c r="E84" s="25">
        <v>0</v>
      </c>
      <c r="G84" s="8"/>
      <c r="H84" s="11"/>
      <c r="I84" s="12"/>
      <c r="J84" s="137"/>
      <c r="K84" s="13"/>
    </row>
    <row r="85" spans="1:11" ht="15" customHeight="1">
      <c r="A85" s="810"/>
      <c r="B85" s="810"/>
      <c r="C85" s="7" t="str">
        <f t="shared" ref="C85:C89" si="11">C84</f>
        <v>75</v>
      </c>
      <c r="D85" s="9" t="s">
        <v>73</v>
      </c>
      <c r="E85" s="25">
        <v>0</v>
      </c>
      <c r="G85" s="8"/>
      <c r="H85" s="11"/>
      <c r="I85" s="12"/>
      <c r="J85" s="137"/>
      <c r="K85" s="13"/>
    </row>
    <row r="86" spans="1:11" ht="15" customHeight="1">
      <c r="A86" s="810"/>
      <c r="B86" s="810"/>
      <c r="C86" s="7" t="str">
        <f t="shared" si="11"/>
        <v>75</v>
      </c>
      <c r="D86" s="9" t="s">
        <v>73</v>
      </c>
      <c r="E86" s="25">
        <v>0</v>
      </c>
      <c r="G86" s="8"/>
      <c r="H86" s="11"/>
      <c r="I86" s="12"/>
      <c r="J86" s="137"/>
      <c r="K86" s="13"/>
    </row>
    <row r="87" spans="1:11" ht="15" customHeight="1">
      <c r="A87" s="810"/>
      <c r="B87" s="810"/>
      <c r="C87" s="7" t="str">
        <f t="shared" si="11"/>
        <v>75</v>
      </c>
      <c r="D87" s="9" t="s">
        <v>74</v>
      </c>
      <c r="E87" s="25">
        <v>0</v>
      </c>
      <c r="G87" s="8"/>
      <c r="H87" s="11"/>
      <c r="I87" s="12"/>
      <c r="J87" s="137"/>
      <c r="K87" s="13"/>
    </row>
    <row r="88" spans="1:11" ht="15" customHeight="1">
      <c r="A88" s="810"/>
      <c r="B88" s="810"/>
      <c r="C88" s="7" t="str">
        <f t="shared" si="11"/>
        <v>75</v>
      </c>
      <c r="D88" s="9" t="s">
        <v>74</v>
      </c>
      <c r="E88" s="25">
        <v>0</v>
      </c>
      <c r="G88" s="8"/>
      <c r="H88" s="11"/>
      <c r="I88" s="12"/>
      <c r="J88" s="137"/>
      <c r="K88" s="13"/>
    </row>
    <row r="89" spans="1:11" ht="15" customHeight="1">
      <c r="A89" s="810"/>
      <c r="B89" s="810"/>
      <c r="C89" s="7" t="str">
        <f t="shared" si="11"/>
        <v>75</v>
      </c>
      <c r="D89" s="9" t="s">
        <v>75</v>
      </c>
      <c r="E89" s="25">
        <v>0</v>
      </c>
      <c r="G89" s="8"/>
      <c r="H89" s="11"/>
      <c r="I89" s="12"/>
      <c r="J89" s="137"/>
      <c r="K89" s="13"/>
    </row>
    <row r="90" spans="1:11" ht="15" customHeight="1">
      <c r="A90" s="810"/>
      <c r="B90" s="810"/>
      <c r="C90" s="7">
        <v>120</v>
      </c>
      <c r="D90" s="9" t="s">
        <v>76</v>
      </c>
      <c r="E90" s="25">
        <v>0</v>
      </c>
      <c r="G90" s="8"/>
      <c r="H90" s="11"/>
      <c r="I90" s="12"/>
      <c r="J90" s="137"/>
      <c r="K90" s="13"/>
    </row>
    <row r="91" spans="1:11" ht="15" customHeight="1">
      <c r="A91" s="810"/>
      <c r="B91" s="810"/>
      <c r="C91" s="7">
        <f t="shared" ref="C91:C93" si="12">C90</f>
        <v>120</v>
      </c>
      <c r="D91" s="9" t="s">
        <v>77</v>
      </c>
      <c r="E91" s="25">
        <v>0</v>
      </c>
      <c r="G91" s="8"/>
      <c r="H91" s="11"/>
      <c r="I91" s="12"/>
      <c r="J91" s="137"/>
      <c r="K91" s="13"/>
    </row>
    <row r="92" spans="1:11" ht="15" customHeight="1">
      <c r="A92" s="810"/>
      <c r="B92" s="810"/>
      <c r="C92" s="7">
        <f t="shared" si="12"/>
        <v>120</v>
      </c>
      <c r="D92" s="9" t="s">
        <v>69</v>
      </c>
      <c r="E92" s="25">
        <v>0</v>
      </c>
      <c r="G92" s="8"/>
      <c r="H92" s="11"/>
      <c r="I92" s="12"/>
      <c r="J92" s="137"/>
      <c r="K92" s="13"/>
    </row>
    <row r="93" spans="1:11" ht="15" customHeight="1">
      <c r="A93" s="810"/>
      <c r="B93" s="810"/>
      <c r="C93" s="7">
        <f t="shared" si="12"/>
        <v>120</v>
      </c>
      <c r="D93" s="9" t="s">
        <v>78</v>
      </c>
      <c r="E93" s="25">
        <v>0</v>
      </c>
      <c r="G93" s="8"/>
      <c r="H93" s="11"/>
      <c r="I93" s="12"/>
      <c r="J93" s="137"/>
      <c r="K93" s="13"/>
    </row>
    <row r="94" spans="1:11" s="1" customFormat="1" ht="15" customHeight="1">
      <c r="A94" s="810"/>
      <c r="B94" s="810"/>
      <c r="C94" s="7">
        <v>180</v>
      </c>
      <c r="D94" s="9" t="s">
        <v>76</v>
      </c>
      <c r="E94" s="211">
        <v>0</v>
      </c>
      <c r="G94" s="8"/>
      <c r="H94" s="11"/>
      <c r="I94" s="12"/>
      <c r="J94" s="137"/>
      <c r="K94" s="13"/>
    </row>
    <row r="95" spans="1:11" s="1" customFormat="1" ht="15" customHeight="1">
      <c r="A95" s="810"/>
      <c r="B95" s="810"/>
      <c r="C95" s="7">
        <f t="shared" ref="C95:C97" si="13">C94</f>
        <v>180</v>
      </c>
      <c r="D95" s="9" t="s">
        <v>79</v>
      </c>
      <c r="E95" s="211">
        <v>0</v>
      </c>
      <c r="G95" s="8"/>
      <c r="H95" s="11"/>
      <c r="I95" s="12"/>
      <c r="J95" s="137"/>
      <c r="K95" s="13"/>
    </row>
    <row r="96" spans="1:11" ht="15" customHeight="1">
      <c r="A96" s="810"/>
      <c r="B96" s="810"/>
      <c r="C96" s="7">
        <f t="shared" si="13"/>
        <v>180</v>
      </c>
      <c r="D96" s="9" t="s">
        <v>69</v>
      </c>
      <c r="E96" s="25">
        <v>0</v>
      </c>
      <c r="G96" s="8"/>
      <c r="H96" s="11"/>
      <c r="I96" s="12"/>
      <c r="J96" s="137"/>
      <c r="K96" s="13"/>
    </row>
    <row r="97" spans="1:11" ht="15" customHeight="1">
      <c r="A97" s="810"/>
      <c r="B97" s="810"/>
      <c r="C97" s="7">
        <f t="shared" si="13"/>
        <v>180</v>
      </c>
      <c r="D97" s="9" t="s">
        <v>80</v>
      </c>
      <c r="E97" s="25">
        <v>0</v>
      </c>
      <c r="G97" s="8"/>
      <c r="H97" s="11"/>
      <c r="I97" s="12"/>
      <c r="J97" s="137"/>
      <c r="K97" s="13"/>
    </row>
    <row r="98" spans="1:11" ht="15" customHeight="1">
      <c r="A98" s="810"/>
      <c r="B98" s="810" t="s">
        <v>81</v>
      </c>
      <c r="C98" s="7">
        <v>120</v>
      </c>
      <c r="D98" s="9" t="s">
        <v>82</v>
      </c>
      <c r="E98" s="25">
        <v>0</v>
      </c>
      <c r="G98" s="8"/>
      <c r="H98" s="11"/>
      <c r="I98" s="12"/>
      <c r="J98" s="137"/>
      <c r="K98" s="13"/>
    </row>
    <row r="99" spans="1:11" ht="15" customHeight="1">
      <c r="A99" s="810"/>
      <c r="B99" s="810"/>
      <c r="C99" s="7">
        <f>C98</f>
        <v>120</v>
      </c>
      <c r="D99" s="9" t="s">
        <v>83</v>
      </c>
      <c r="E99" s="25">
        <v>0</v>
      </c>
      <c r="G99" s="8"/>
      <c r="H99" s="11"/>
      <c r="I99" s="12"/>
      <c r="J99" s="137"/>
      <c r="K99" s="13"/>
    </row>
    <row r="100" spans="1:11" ht="15" customHeight="1">
      <c r="A100" s="810"/>
      <c r="B100" s="810"/>
      <c r="C100" s="7">
        <v>180</v>
      </c>
      <c r="D100" s="9" t="s">
        <v>82</v>
      </c>
      <c r="E100" s="25">
        <v>0</v>
      </c>
      <c r="G100" s="8"/>
      <c r="H100" s="11"/>
      <c r="I100" s="12"/>
      <c r="J100" s="137"/>
      <c r="K100" s="13"/>
    </row>
    <row r="101" spans="1:11" ht="15" customHeight="1">
      <c r="A101" s="810"/>
      <c r="B101" s="810"/>
      <c r="C101" s="7">
        <f t="shared" ref="C101:C132" si="14">C100</f>
        <v>180</v>
      </c>
      <c r="D101" s="9" t="s">
        <v>84</v>
      </c>
      <c r="E101" s="25">
        <v>0</v>
      </c>
      <c r="G101" s="8"/>
      <c r="H101" s="11"/>
      <c r="I101" s="12"/>
      <c r="J101" s="137"/>
      <c r="K101" s="13"/>
    </row>
    <row r="102" spans="1:11" s="1" customFormat="1" ht="15" customHeight="1">
      <c r="A102" s="811" t="s">
        <v>85</v>
      </c>
      <c r="B102" s="7" t="s">
        <v>86</v>
      </c>
      <c r="C102" s="27">
        <f t="shared" si="14"/>
        <v>180</v>
      </c>
      <c r="D102" s="28" t="s">
        <v>87</v>
      </c>
      <c r="E102" s="211">
        <v>0</v>
      </c>
      <c r="G102" s="8"/>
      <c r="H102" s="11"/>
      <c r="I102" s="12"/>
      <c r="J102" s="137"/>
      <c r="K102" s="13"/>
    </row>
    <row r="103" spans="1:11" s="1" customFormat="1" ht="15" customHeight="1">
      <c r="A103" s="810"/>
      <c r="B103" s="7" t="s">
        <v>88</v>
      </c>
      <c r="C103" s="27">
        <f t="shared" si="14"/>
        <v>180</v>
      </c>
      <c r="D103" s="28" t="s">
        <v>89</v>
      </c>
      <c r="E103" s="211">
        <v>0</v>
      </c>
      <c r="G103" s="8"/>
      <c r="H103" s="11"/>
      <c r="I103" s="12"/>
      <c r="J103" s="137"/>
      <c r="K103" s="13"/>
    </row>
    <row r="104" spans="1:11" s="1" customFormat="1" ht="15" customHeight="1">
      <c r="A104" s="810"/>
      <c r="B104" s="7" t="s">
        <v>90</v>
      </c>
      <c r="C104" s="27">
        <f t="shared" si="14"/>
        <v>180</v>
      </c>
      <c r="D104" s="28" t="s">
        <v>91</v>
      </c>
      <c r="E104" s="211">
        <v>0</v>
      </c>
      <c r="G104" s="8"/>
      <c r="H104" s="11"/>
      <c r="I104" s="12"/>
      <c r="J104" s="137"/>
      <c r="K104" s="13"/>
    </row>
    <row r="105" spans="1:11" s="1" customFormat="1" ht="15" customHeight="1">
      <c r="A105" s="810"/>
      <c r="B105" s="7" t="s">
        <v>92</v>
      </c>
      <c r="C105" s="27">
        <f t="shared" si="14"/>
        <v>180</v>
      </c>
      <c r="D105" s="28" t="s">
        <v>93</v>
      </c>
      <c r="E105" s="211">
        <v>0</v>
      </c>
      <c r="G105" s="8"/>
      <c r="H105" s="11"/>
      <c r="I105" s="12"/>
      <c r="J105" s="137"/>
      <c r="K105" s="13"/>
    </row>
    <row r="106" spans="1:11" s="1" customFormat="1" ht="15" customHeight="1">
      <c r="A106" s="810"/>
      <c r="B106" s="7" t="s">
        <v>94</v>
      </c>
      <c r="C106" s="27">
        <f t="shared" si="14"/>
        <v>180</v>
      </c>
      <c r="D106" s="28" t="s">
        <v>95</v>
      </c>
      <c r="E106" s="211">
        <v>0</v>
      </c>
      <c r="G106" s="8"/>
      <c r="H106" s="11"/>
      <c r="I106" s="12"/>
      <c r="J106" s="137"/>
      <c r="K106" s="13"/>
    </row>
    <row r="107" spans="1:11" s="1" customFormat="1" ht="15" customHeight="1">
      <c r="A107" s="810"/>
      <c r="B107" s="7" t="s">
        <v>96</v>
      </c>
      <c r="C107" s="16">
        <f t="shared" si="14"/>
        <v>180</v>
      </c>
      <c r="D107" s="29" t="s">
        <v>97</v>
      </c>
      <c r="E107" s="211">
        <v>0</v>
      </c>
      <c r="G107" s="8"/>
      <c r="H107" s="11"/>
      <c r="I107" s="12"/>
      <c r="J107" s="137"/>
      <c r="K107" s="13"/>
    </row>
    <row r="108" spans="1:11" s="1" customFormat="1" ht="15" customHeight="1">
      <c r="A108" s="810"/>
      <c r="B108" s="814" t="s">
        <v>98</v>
      </c>
      <c r="C108" s="16">
        <f t="shared" si="14"/>
        <v>180</v>
      </c>
      <c r="D108" s="29" t="s">
        <v>99</v>
      </c>
      <c r="E108" s="211">
        <v>0</v>
      </c>
      <c r="G108" s="8"/>
      <c r="H108" s="11"/>
      <c r="I108" s="12"/>
      <c r="J108" s="137"/>
      <c r="K108" s="13"/>
    </row>
    <row r="109" spans="1:11" s="1" customFormat="1" ht="15" customHeight="1">
      <c r="A109" s="810"/>
      <c r="B109" s="805"/>
      <c r="C109" s="16">
        <f t="shared" si="14"/>
        <v>180</v>
      </c>
      <c r="D109" s="29" t="s">
        <v>100</v>
      </c>
      <c r="E109" s="211">
        <v>0</v>
      </c>
      <c r="G109" s="8"/>
      <c r="H109" s="11"/>
      <c r="I109" s="12"/>
      <c r="J109" s="137"/>
      <c r="K109" s="13"/>
    </row>
    <row r="110" spans="1:11" s="1" customFormat="1" ht="15" customHeight="1">
      <c r="A110" s="810"/>
      <c r="B110" s="24" t="s">
        <v>101</v>
      </c>
      <c r="C110" s="16">
        <f t="shared" si="14"/>
        <v>180</v>
      </c>
      <c r="D110" s="29" t="s">
        <v>102</v>
      </c>
      <c r="E110" s="211">
        <v>0</v>
      </c>
      <c r="G110" s="8"/>
      <c r="H110" s="11"/>
      <c r="I110" s="12"/>
      <c r="J110" s="137"/>
      <c r="K110" s="13"/>
    </row>
    <row r="111" spans="1:11" s="1" customFormat="1" ht="15" customHeight="1">
      <c r="A111" s="810"/>
      <c r="B111" s="810" t="s">
        <v>103</v>
      </c>
      <c r="C111" s="27">
        <f t="shared" si="14"/>
        <v>180</v>
      </c>
      <c r="D111" s="28" t="s">
        <v>104</v>
      </c>
      <c r="E111" s="211">
        <v>0</v>
      </c>
      <c r="G111" s="8"/>
      <c r="H111" s="11"/>
      <c r="I111" s="12"/>
      <c r="J111" s="137"/>
      <c r="K111" s="13"/>
    </row>
    <row r="112" spans="1:11" s="1" customFormat="1" ht="15" customHeight="1">
      <c r="A112" s="810"/>
      <c r="B112" s="810"/>
      <c r="C112" s="27">
        <f t="shared" si="14"/>
        <v>180</v>
      </c>
      <c r="D112" s="28" t="s">
        <v>105</v>
      </c>
      <c r="E112" s="211">
        <v>0</v>
      </c>
      <c r="G112" s="8"/>
      <c r="H112" s="11"/>
      <c r="I112" s="12"/>
      <c r="J112" s="137"/>
      <c r="K112" s="13"/>
    </row>
    <row r="113" spans="1:11" s="1" customFormat="1" ht="15" customHeight="1">
      <c r="A113" s="810"/>
      <c r="B113" s="810"/>
      <c r="C113" s="27">
        <f t="shared" si="14"/>
        <v>180</v>
      </c>
      <c r="D113" s="28" t="s">
        <v>106</v>
      </c>
      <c r="E113" s="211">
        <v>0</v>
      </c>
      <c r="G113" s="8"/>
      <c r="H113" s="11"/>
      <c r="I113" s="12"/>
      <c r="J113" s="137"/>
      <c r="K113" s="13"/>
    </row>
    <row r="114" spans="1:11" s="1" customFormat="1" ht="15" customHeight="1">
      <c r="A114" s="810"/>
      <c r="B114" s="810"/>
      <c r="C114" s="27">
        <f t="shared" si="14"/>
        <v>180</v>
      </c>
      <c r="D114" s="28" t="s">
        <v>107</v>
      </c>
      <c r="E114" s="211">
        <v>0</v>
      </c>
      <c r="G114" s="8"/>
      <c r="H114" s="11"/>
      <c r="I114" s="12"/>
      <c r="J114" s="137"/>
      <c r="K114" s="13"/>
    </row>
    <row r="115" spans="1:11" s="1" customFormat="1" ht="15" customHeight="1">
      <c r="A115" s="810"/>
      <c r="B115" s="810"/>
      <c r="C115" s="27">
        <f t="shared" si="14"/>
        <v>180</v>
      </c>
      <c r="D115" s="28" t="s">
        <v>108</v>
      </c>
      <c r="E115" s="211">
        <v>0</v>
      </c>
      <c r="G115" s="8"/>
      <c r="H115" s="11"/>
      <c r="I115" s="12"/>
      <c r="J115" s="137"/>
      <c r="K115" s="13"/>
    </row>
    <row r="116" spans="1:11" s="1" customFormat="1" ht="15" customHeight="1">
      <c r="A116" s="810"/>
      <c r="B116" s="814" t="s">
        <v>109</v>
      </c>
      <c r="C116" s="27">
        <f t="shared" si="14"/>
        <v>180</v>
      </c>
      <c r="D116" s="28" t="s">
        <v>110</v>
      </c>
      <c r="E116" s="211">
        <v>0</v>
      </c>
      <c r="G116" s="8"/>
      <c r="H116" s="11"/>
      <c r="I116" s="12"/>
      <c r="J116" s="137"/>
      <c r="K116" s="13"/>
    </row>
    <row r="117" spans="1:11" s="1" customFormat="1" ht="15" customHeight="1">
      <c r="A117" s="810"/>
      <c r="B117" s="804"/>
      <c r="C117" s="27">
        <f t="shared" si="14"/>
        <v>180</v>
      </c>
      <c r="D117" s="28" t="s">
        <v>111</v>
      </c>
      <c r="E117" s="211">
        <v>0</v>
      </c>
      <c r="G117" s="8"/>
      <c r="H117" s="11"/>
      <c r="I117" s="12"/>
      <c r="J117" s="137"/>
      <c r="K117" s="13"/>
    </row>
    <row r="118" spans="1:11" s="1" customFormat="1" ht="15" customHeight="1">
      <c r="A118" s="810"/>
      <c r="B118" s="804"/>
      <c r="C118" s="27">
        <f t="shared" si="14"/>
        <v>180</v>
      </c>
      <c r="D118" s="28" t="s">
        <v>112</v>
      </c>
      <c r="E118" s="211">
        <v>0</v>
      </c>
      <c r="G118" s="8"/>
      <c r="H118" s="11"/>
      <c r="I118" s="12"/>
      <c r="J118" s="137"/>
      <c r="K118" s="13"/>
    </row>
    <row r="119" spans="1:11" s="1" customFormat="1" ht="15" customHeight="1">
      <c r="A119" s="810"/>
      <c r="B119" s="804"/>
      <c r="C119" s="27">
        <f t="shared" si="14"/>
        <v>180</v>
      </c>
      <c r="D119" s="28" t="s">
        <v>113</v>
      </c>
      <c r="E119" s="211">
        <v>0</v>
      </c>
      <c r="G119" s="8"/>
      <c r="H119" s="11"/>
      <c r="I119" s="12"/>
      <c r="J119" s="137"/>
      <c r="K119" s="13"/>
    </row>
    <row r="120" spans="1:11" s="1" customFormat="1" ht="15" customHeight="1">
      <c r="A120" s="810"/>
      <c r="B120" s="804"/>
      <c r="C120" s="27">
        <f t="shared" si="14"/>
        <v>180</v>
      </c>
      <c r="D120" s="28" t="s">
        <v>114</v>
      </c>
      <c r="E120" s="211">
        <v>0</v>
      </c>
      <c r="G120" s="8"/>
      <c r="H120" s="11"/>
      <c r="I120" s="12"/>
      <c r="J120" s="137"/>
      <c r="K120" s="13"/>
    </row>
    <row r="121" spans="1:11" s="1" customFormat="1" ht="15" customHeight="1">
      <c r="A121" s="810"/>
      <c r="B121" s="805"/>
      <c r="C121" s="27">
        <f t="shared" si="14"/>
        <v>180</v>
      </c>
      <c r="D121" s="28" t="s">
        <v>115</v>
      </c>
      <c r="E121" s="211">
        <v>0</v>
      </c>
      <c r="G121" s="8"/>
      <c r="H121" s="11"/>
      <c r="I121" s="12"/>
      <c r="J121" s="137"/>
      <c r="K121" s="13"/>
    </row>
    <row r="122" spans="1:11" s="1" customFormat="1" ht="15" customHeight="1">
      <c r="A122" s="810"/>
      <c r="B122" s="810" t="s">
        <v>116</v>
      </c>
      <c r="C122" s="27">
        <f t="shared" si="14"/>
        <v>180</v>
      </c>
      <c r="D122" s="28" t="s">
        <v>117</v>
      </c>
      <c r="E122" s="211">
        <v>0</v>
      </c>
      <c r="G122" s="8"/>
      <c r="H122" s="11"/>
      <c r="I122" s="12"/>
      <c r="J122" s="137"/>
      <c r="K122" s="13"/>
    </row>
    <row r="123" spans="1:11" s="1" customFormat="1" ht="15" customHeight="1">
      <c r="A123" s="810"/>
      <c r="B123" s="810"/>
      <c r="C123" s="27">
        <f t="shared" si="14"/>
        <v>180</v>
      </c>
      <c r="D123" s="28" t="s">
        <v>118</v>
      </c>
      <c r="E123" s="211">
        <v>0</v>
      </c>
      <c r="G123" s="8"/>
      <c r="H123" s="11"/>
      <c r="I123" s="12"/>
      <c r="J123" s="137"/>
      <c r="K123" s="13"/>
    </row>
    <row r="124" spans="1:11" s="1" customFormat="1" ht="15" customHeight="1">
      <c r="A124" s="810"/>
      <c r="B124" s="810"/>
      <c r="C124" s="27">
        <f t="shared" si="14"/>
        <v>180</v>
      </c>
      <c r="D124" s="28" t="s">
        <v>119</v>
      </c>
      <c r="E124" s="211">
        <v>0</v>
      </c>
      <c r="G124" s="8"/>
      <c r="H124" s="11"/>
      <c r="I124" s="12"/>
      <c r="J124" s="137"/>
      <c r="K124" s="13"/>
    </row>
    <row r="125" spans="1:11" s="1" customFormat="1" ht="15" customHeight="1">
      <c r="A125" s="810"/>
      <c r="B125" s="810"/>
      <c r="C125" s="27">
        <f t="shared" si="14"/>
        <v>180</v>
      </c>
      <c r="D125" s="28" t="s">
        <v>120</v>
      </c>
      <c r="E125" s="211">
        <v>0</v>
      </c>
      <c r="G125" s="8"/>
      <c r="H125" s="11"/>
      <c r="I125" s="12"/>
      <c r="J125" s="137"/>
      <c r="K125" s="13"/>
    </row>
    <row r="126" spans="1:11" s="1" customFormat="1" ht="15" customHeight="1">
      <c r="A126" s="810"/>
      <c r="B126" s="810"/>
      <c r="C126" s="27">
        <f t="shared" si="14"/>
        <v>180</v>
      </c>
      <c r="D126" s="28" t="s">
        <v>121</v>
      </c>
      <c r="E126" s="211">
        <v>0</v>
      </c>
      <c r="G126" s="8"/>
      <c r="H126" s="11"/>
      <c r="I126" s="12"/>
      <c r="J126" s="137"/>
      <c r="K126" s="13"/>
    </row>
    <row r="127" spans="1:11" s="1" customFormat="1" ht="15" customHeight="1">
      <c r="A127" s="810"/>
      <c r="B127" s="810"/>
      <c r="C127" s="27">
        <f t="shared" si="14"/>
        <v>180</v>
      </c>
      <c r="D127" s="28" t="s">
        <v>122</v>
      </c>
      <c r="E127" s="211">
        <v>0</v>
      </c>
      <c r="G127" s="8"/>
      <c r="H127" s="11"/>
      <c r="I127" s="12"/>
      <c r="J127" s="137"/>
      <c r="K127" s="13"/>
    </row>
    <row r="128" spans="1:11" s="1" customFormat="1" ht="15" customHeight="1">
      <c r="A128" s="810"/>
      <c r="B128" s="814" t="s">
        <v>116</v>
      </c>
      <c r="C128" s="27">
        <f t="shared" si="14"/>
        <v>180</v>
      </c>
      <c r="D128" s="28" t="s">
        <v>123</v>
      </c>
      <c r="E128" s="211">
        <v>0</v>
      </c>
      <c r="G128" s="8"/>
      <c r="H128" s="11"/>
      <c r="I128" s="12"/>
      <c r="J128" s="137"/>
      <c r="K128" s="13"/>
    </row>
    <row r="129" spans="1:11" s="1" customFormat="1" ht="15" customHeight="1">
      <c r="A129" s="810"/>
      <c r="B129" s="805"/>
      <c r="C129" s="27">
        <f t="shared" si="14"/>
        <v>180</v>
      </c>
      <c r="D129" s="28" t="s">
        <v>124</v>
      </c>
      <c r="E129" s="211">
        <v>0</v>
      </c>
      <c r="G129" s="8"/>
      <c r="H129" s="11"/>
      <c r="I129" s="12"/>
      <c r="J129" s="137"/>
      <c r="K129" s="13"/>
    </row>
    <row r="130" spans="1:11" s="1" customFormat="1" ht="15" customHeight="1">
      <c r="A130" s="810"/>
      <c r="B130" s="7" t="s">
        <v>125</v>
      </c>
      <c r="C130" s="27">
        <f t="shared" si="14"/>
        <v>180</v>
      </c>
      <c r="D130" s="28" t="s">
        <v>126</v>
      </c>
      <c r="E130" s="211">
        <v>0</v>
      </c>
      <c r="G130" s="8"/>
      <c r="H130" s="11"/>
      <c r="I130" s="12"/>
      <c r="J130" s="137"/>
      <c r="K130" s="13"/>
    </row>
    <row r="131" spans="1:11" s="1" customFormat="1" ht="15" customHeight="1">
      <c r="A131" s="810"/>
      <c r="B131" s="814" t="s">
        <v>116</v>
      </c>
      <c r="C131" s="27">
        <f t="shared" si="14"/>
        <v>180</v>
      </c>
      <c r="D131" s="28" t="s">
        <v>127</v>
      </c>
      <c r="E131" s="211">
        <v>0</v>
      </c>
      <c r="G131" s="8"/>
      <c r="H131" s="11"/>
      <c r="I131" s="12"/>
      <c r="J131" s="137"/>
      <c r="K131" s="13"/>
    </row>
    <row r="132" spans="1:11" s="1" customFormat="1" ht="15" customHeight="1">
      <c r="A132" s="810"/>
      <c r="B132" s="804"/>
      <c r="C132" s="27">
        <f t="shared" si="14"/>
        <v>180</v>
      </c>
      <c r="D132" s="28" t="s">
        <v>128</v>
      </c>
      <c r="E132" s="211">
        <v>0</v>
      </c>
      <c r="G132" s="8"/>
      <c r="H132" s="11"/>
      <c r="I132" s="12"/>
      <c r="J132" s="137"/>
      <c r="K132" s="13"/>
    </row>
    <row r="133" spans="1:11" s="1" customFormat="1" ht="15" customHeight="1">
      <c r="A133" s="810"/>
      <c r="B133" s="804"/>
      <c r="C133" s="27">
        <f t="shared" ref="C133:C164" si="15">C132</f>
        <v>180</v>
      </c>
      <c r="D133" s="28" t="s">
        <v>129</v>
      </c>
      <c r="E133" s="211">
        <v>0</v>
      </c>
      <c r="G133" s="8"/>
      <c r="H133" s="11"/>
      <c r="I133" s="12"/>
      <c r="J133" s="137"/>
      <c r="K133" s="13"/>
    </row>
    <row r="134" spans="1:11" s="1" customFormat="1" ht="15" customHeight="1">
      <c r="A134" s="810"/>
      <c r="B134" s="805"/>
      <c r="C134" s="27">
        <f t="shared" si="15"/>
        <v>180</v>
      </c>
      <c r="D134" s="28" t="s">
        <v>130</v>
      </c>
      <c r="E134" s="211">
        <v>0</v>
      </c>
      <c r="G134" s="8"/>
      <c r="H134" s="11"/>
      <c r="I134" s="12"/>
      <c r="J134" s="137"/>
      <c r="K134" s="13"/>
    </row>
    <row r="135" spans="1:11" s="1" customFormat="1" ht="15" customHeight="1">
      <c r="A135" s="810"/>
      <c r="B135" s="810" t="s">
        <v>103</v>
      </c>
      <c r="C135" s="27">
        <f t="shared" si="15"/>
        <v>180</v>
      </c>
      <c r="D135" s="28" t="s">
        <v>131</v>
      </c>
      <c r="E135" s="211">
        <v>0</v>
      </c>
      <c r="G135" s="8"/>
      <c r="H135" s="11"/>
      <c r="I135" s="12"/>
      <c r="J135" s="137"/>
      <c r="K135" s="13"/>
    </row>
    <row r="136" spans="1:11" s="1" customFormat="1" ht="15" customHeight="1">
      <c r="A136" s="810"/>
      <c r="B136" s="810"/>
      <c r="C136" s="27">
        <f t="shared" si="15"/>
        <v>180</v>
      </c>
      <c r="D136" s="28" t="s">
        <v>132</v>
      </c>
      <c r="E136" s="211">
        <v>0</v>
      </c>
      <c r="G136" s="8"/>
      <c r="H136" s="11"/>
      <c r="I136" s="12"/>
      <c r="J136" s="137"/>
      <c r="K136" s="13"/>
    </row>
    <row r="137" spans="1:11" s="1" customFormat="1" ht="15" customHeight="1">
      <c r="A137" s="810"/>
      <c r="B137" s="15" t="s">
        <v>133</v>
      </c>
      <c r="C137" s="27">
        <f t="shared" si="15"/>
        <v>180</v>
      </c>
      <c r="D137" s="28" t="s">
        <v>134</v>
      </c>
      <c r="E137" s="211">
        <v>0</v>
      </c>
      <c r="G137" s="8"/>
      <c r="H137" s="11"/>
      <c r="I137" s="12"/>
      <c r="J137" s="137"/>
      <c r="K137" s="13"/>
    </row>
    <row r="138" spans="1:11" s="1" customFormat="1" ht="15" customHeight="1">
      <c r="A138" s="810"/>
      <c r="B138" s="15" t="s">
        <v>135</v>
      </c>
      <c r="C138" s="27">
        <f t="shared" si="15"/>
        <v>180</v>
      </c>
      <c r="D138" s="28" t="s">
        <v>136</v>
      </c>
      <c r="E138" s="211">
        <v>0</v>
      </c>
      <c r="G138" s="8"/>
      <c r="H138" s="11"/>
      <c r="I138" s="12"/>
      <c r="J138" s="137"/>
      <c r="K138" s="13"/>
    </row>
    <row r="139" spans="1:11" s="1" customFormat="1" ht="15" customHeight="1">
      <c r="A139" s="810"/>
      <c r="B139" s="19" t="s">
        <v>116</v>
      </c>
      <c r="C139" s="27">
        <f t="shared" si="15"/>
        <v>180</v>
      </c>
      <c r="D139" s="28" t="s">
        <v>137</v>
      </c>
      <c r="E139" s="211">
        <v>0</v>
      </c>
      <c r="G139" s="8"/>
      <c r="H139" s="11"/>
      <c r="I139" s="12"/>
      <c r="J139" s="137"/>
      <c r="K139" s="13"/>
    </row>
    <row r="140" spans="1:11" s="1" customFormat="1" ht="15" customHeight="1">
      <c r="A140" s="810"/>
      <c r="B140" s="7" t="s">
        <v>138</v>
      </c>
      <c r="C140" s="27">
        <f t="shared" si="15"/>
        <v>180</v>
      </c>
      <c r="D140" s="28" t="s">
        <v>139</v>
      </c>
      <c r="E140" s="211">
        <v>0</v>
      </c>
      <c r="G140" s="8"/>
      <c r="H140" s="11"/>
      <c r="I140" s="12"/>
      <c r="J140" s="137"/>
      <c r="K140" s="13"/>
    </row>
    <row r="141" spans="1:11" s="1" customFormat="1" ht="15" customHeight="1">
      <c r="A141" s="810"/>
      <c r="B141" s="7" t="s">
        <v>140</v>
      </c>
      <c r="C141" s="27">
        <f t="shared" si="15"/>
        <v>180</v>
      </c>
      <c r="D141" s="28" t="s">
        <v>141</v>
      </c>
      <c r="E141" s="211">
        <v>0</v>
      </c>
      <c r="G141" s="8"/>
      <c r="H141" s="11"/>
      <c r="I141" s="12"/>
      <c r="J141" s="137"/>
      <c r="K141" s="13"/>
    </row>
    <row r="142" spans="1:11" s="1" customFormat="1" ht="15" customHeight="1">
      <c r="A142" s="810"/>
      <c r="B142" s="14" t="s">
        <v>142</v>
      </c>
      <c r="C142" s="27">
        <f t="shared" si="15"/>
        <v>180</v>
      </c>
      <c r="D142" s="28" t="s">
        <v>143</v>
      </c>
      <c r="E142" s="211">
        <v>0</v>
      </c>
      <c r="G142" s="8"/>
      <c r="H142" s="11"/>
      <c r="I142" s="12"/>
      <c r="J142" s="137"/>
      <c r="K142" s="13"/>
    </row>
    <row r="143" spans="1:11" s="1" customFormat="1" ht="15" customHeight="1">
      <c r="A143" s="810"/>
      <c r="B143" s="14" t="s">
        <v>144</v>
      </c>
      <c r="C143" s="27">
        <f t="shared" si="15"/>
        <v>180</v>
      </c>
      <c r="D143" s="28" t="s">
        <v>145</v>
      </c>
      <c r="E143" s="211">
        <v>0</v>
      </c>
      <c r="G143" s="8"/>
      <c r="H143" s="11"/>
      <c r="I143" s="12"/>
      <c r="J143" s="137"/>
      <c r="K143" s="13"/>
    </row>
    <row r="144" spans="1:11" s="1" customFormat="1" ht="15" customHeight="1">
      <c r="A144" s="810"/>
      <c r="B144" s="814" t="s">
        <v>146</v>
      </c>
      <c r="C144" s="27">
        <f t="shared" si="15"/>
        <v>180</v>
      </c>
      <c r="D144" s="28" t="s">
        <v>147</v>
      </c>
      <c r="E144" s="211">
        <v>0</v>
      </c>
      <c r="G144" s="8"/>
      <c r="H144" s="11"/>
      <c r="I144" s="12"/>
      <c r="J144" s="137"/>
      <c r="K144" s="13"/>
    </row>
    <row r="145" spans="1:11" s="1" customFormat="1" ht="15" customHeight="1">
      <c r="A145" s="810"/>
      <c r="B145" s="805"/>
      <c r="C145" s="27">
        <f t="shared" si="15"/>
        <v>180</v>
      </c>
      <c r="D145" s="28" t="s">
        <v>148</v>
      </c>
      <c r="E145" s="211">
        <v>0</v>
      </c>
      <c r="G145" s="8"/>
      <c r="H145" s="11"/>
      <c r="I145" s="12"/>
      <c r="J145" s="137"/>
      <c r="K145" s="13"/>
    </row>
    <row r="146" spans="1:11" s="1" customFormat="1" ht="15" customHeight="1">
      <c r="A146" s="810"/>
      <c r="B146" s="7" t="s">
        <v>149</v>
      </c>
      <c r="C146" s="27">
        <f t="shared" si="15"/>
        <v>180</v>
      </c>
      <c r="D146" s="28" t="s">
        <v>150</v>
      </c>
      <c r="E146" s="211">
        <v>0</v>
      </c>
      <c r="G146" s="8"/>
      <c r="H146" s="11"/>
      <c r="I146" s="12"/>
      <c r="J146" s="137"/>
      <c r="K146" s="13"/>
    </row>
    <row r="147" spans="1:11" s="1" customFormat="1" ht="15" customHeight="1">
      <c r="A147" s="810"/>
      <c r="B147" s="814" t="s">
        <v>116</v>
      </c>
      <c r="C147" s="27">
        <f t="shared" si="15"/>
        <v>180</v>
      </c>
      <c r="D147" s="28" t="s">
        <v>151</v>
      </c>
      <c r="E147" s="211">
        <v>0</v>
      </c>
      <c r="G147" s="8"/>
      <c r="H147" s="11"/>
      <c r="I147" s="12"/>
      <c r="J147" s="137"/>
      <c r="K147" s="13"/>
    </row>
    <row r="148" spans="1:11" s="1" customFormat="1" ht="15" customHeight="1">
      <c r="A148" s="810"/>
      <c r="B148" s="804"/>
      <c r="C148" s="27">
        <f t="shared" si="15"/>
        <v>180</v>
      </c>
      <c r="D148" s="28" t="s">
        <v>152</v>
      </c>
      <c r="E148" s="211">
        <v>0</v>
      </c>
      <c r="G148" s="8"/>
      <c r="H148" s="11"/>
      <c r="I148" s="12"/>
      <c r="J148" s="137"/>
      <c r="K148" s="13"/>
    </row>
    <row r="149" spans="1:11" s="1" customFormat="1" ht="15" customHeight="1">
      <c r="A149" s="810"/>
      <c r="B149" s="804"/>
      <c r="C149" s="27">
        <f t="shared" si="15"/>
        <v>180</v>
      </c>
      <c r="D149" s="28" t="s">
        <v>153</v>
      </c>
      <c r="E149" s="211">
        <v>0</v>
      </c>
      <c r="G149" s="8"/>
      <c r="H149" s="11"/>
      <c r="I149" s="12"/>
      <c r="J149" s="137"/>
      <c r="K149" s="13"/>
    </row>
    <row r="150" spans="1:11" s="1" customFormat="1" ht="15" customHeight="1">
      <c r="A150" s="810"/>
      <c r="B150" s="804"/>
      <c r="C150" s="27">
        <f t="shared" si="15"/>
        <v>180</v>
      </c>
      <c r="D150" s="28" t="s">
        <v>154</v>
      </c>
      <c r="E150" s="211">
        <v>0</v>
      </c>
      <c r="G150" s="8"/>
      <c r="H150" s="11"/>
      <c r="I150" s="12"/>
      <c r="J150" s="137"/>
      <c r="K150" s="13"/>
    </row>
    <row r="151" spans="1:11" s="1" customFormat="1" ht="15" customHeight="1">
      <c r="A151" s="810"/>
      <c r="B151" s="804"/>
      <c r="C151" s="31">
        <f t="shared" si="15"/>
        <v>180</v>
      </c>
      <c r="D151" s="32" t="s">
        <v>155</v>
      </c>
      <c r="E151" s="211">
        <v>0</v>
      </c>
      <c r="G151" s="8"/>
      <c r="H151" s="11"/>
      <c r="I151" s="12"/>
      <c r="J151" s="137"/>
      <c r="K151" s="13"/>
    </row>
    <row r="152" spans="1:11" s="1" customFormat="1" ht="15" customHeight="1">
      <c r="A152" s="810"/>
      <c r="B152" s="814" t="s">
        <v>103</v>
      </c>
      <c r="C152" s="27">
        <f t="shared" si="15"/>
        <v>180</v>
      </c>
      <c r="D152" s="28" t="s">
        <v>156</v>
      </c>
      <c r="E152" s="211">
        <v>0</v>
      </c>
      <c r="G152" s="8"/>
      <c r="H152" s="11"/>
      <c r="I152" s="12"/>
      <c r="J152" s="137"/>
      <c r="K152" s="13"/>
    </row>
    <row r="153" spans="1:11" s="1" customFormat="1" ht="15" customHeight="1">
      <c r="A153" s="810"/>
      <c r="B153" s="804"/>
      <c r="C153" s="27">
        <f t="shared" si="15"/>
        <v>180</v>
      </c>
      <c r="D153" s="28" t="s">
        <v>157</v>
      </c>
      <c r="E153" s="211">
        <v>0</v>
      </c>
      <c r="G153" s="8"/>
      <c r="H153" s="11"/>
      <c r="I153" s="12"/>
      <c r="J153" s="137"/>
      <c r="K153" s="13"/>
    </row>
    <row r="154" spans="1:11" s="1" customFormat="1" ht="15" customHeight="1">
      <c r="A154" s="810"/>
      <c r="B154" s="804"/>
      <c r="C154" s="27">
        <f t="shared" si="15"/>
        <v>180</v>
      </c>
      <c r="D154" s="28" t="s">
        <v>158</v>
      </c>
      <c r="E154" s="211">
        <v>0</v>
      </c>
      <c r="G154" s="8"/>
      <c r="H154" s="11"/>
      <c r="I154" s="12"/>
      <c r="J154" s="137"/>
      <c r="K154" s="13"/>
    </row>
    <row r="155" spans="1:11" s="1" customFormat="1" ht="15" customHeight="1">
      <c r="A155" s="810"/>
      <c r="B155" s="804"/>
      <c r="C155" s="27">
        <f t="shared" si="15"/>
        <v>180</v>
      </c>
      <c r="D155" s="28" t="s">
        <v>159</v>
      </c>
      <c r="E155" s="211">
        <v>0</v>
      </c>
      <c r="G155" s="8"/>
      <c r="H155" s="11"/>
      <c r="I155" s="12"/>
      <c r="J155" s="137"/>
      <c r="K155" s="13"/>
    </row>
    <row r="156" spans="1:11" s="1" customFormat="1" ht="15" customHeight="1">
      <c r="A156" s="810"/>
      <c r="B156" s="804"/>
      <c r="C156" s="31">
        <f t="shared" si="15"/>
        <v>180</v>
      </c>
      <c r="D156" s="32" t="s">
        <v>160</v>
      </c>
      <c r="E156" s="211">
        <v>0</v>
      </c>
      <c r="G156" s="8"/>
      <c r="H156" s="11"/>
      <c r="I156" s="12"/>
      <c r="J156" s="137"/>
      <c r="K156" s="13"/>
    </row>
    <row r="157" spans="1:11" s="1" customFormat="1" ht="15" customHeight="1">
      <c r="A157" s="810"/>
      <c r="B157" s="810" t="s">
        <v>103</v>
      </c>
      <c r="C157" s="27">
        <f t="shared" si="15"/>
        <v>180</v>
      </c>
      <c r="D157" s="28" t="s">
        <v>161</v>
      </c>
      <c r="E157" s="211">
        <v>0</v>
      </c>
      <c r="G157" s="8"/>
      <c r="H157" s="11"/>
      <c r="I157" s="12"/>
      <c r="J157" s="137"/>
      <c r="K157" s="13"/>
    </row>
    <row r="158" spans="1:11" s="1" customFormat="1" ht="15" customHeight="1">
      <c r="A158" s="810"/>
      <c r="B158" s="810"/>
      <c r="C158" s="27">
        <f t="shared" si="15"/>
        <v>180</v>
      </c>
      <c r="D158" s="28" t="s">
        <v>162</v>
      </c>
      <c r="E158" s="211">
        <v>0</v>
      </c>
      <c r="G158" s="8"/>
      <c r="H158" s="11"/>
      <c r="I158" s="12"/>
      <c r="J158" s="137"/>
      <c r="K158" s="13"/>
    </row>
    <row r="159" spans="1:11" s="1" customFormat="1" ht="15" customHeight="1">
      <c r="A159" s="810"/>
      <c r="B159" s="7" t="s">
        <v>116</v>
      </c>
      <c r="C159" s="27">
        <f t="shared" si="15"/>
        <v>180</v>
      </c>
      <c r="D159" s="28" t="s">
        <v>163</v>
      </c>
      <c r="E159" s="211">
        <v>0</v>
      </c>
      <c r="G159" s="8"/>
      <c r="H159" s="11"/>
      <c r="I159" s="12"/>
      <c r="J159" s="137"/>
      <c r="K159" s="13"/>
    </row>
    <row r="160" spans="1:11" s="1" customFormat="1" ht="15" customHeight="1">
      <c r="A160" s="810"/>
      <c r="B160" s="814" t="s">
        <v>116</v>
      </c>
      <c r="C160" s="27">
        <f t="shared" si="15"/>
        <v>180</v>
      </c>
      <c r="D160" s="28" t="s">
        <v>164</v>
      </c>
      <c r="E160" s="211">
        <v>0</v>
      </c>
      <c r="G160" s="8"/>
      <c r="H160" s="11"/>
      <c r="I160" s="12"/>
      <c r="J160" s="137"/>
      <c r="K160" s="13"/>
    </row>
    <row r="161" spans="1:11" s="1" customFormat="1" ht="15" customHeight="1">
      <c r="A161" s="810"/>
      <c r="B161" s="805"/>
      <c r="C161" s="27">
        <f t="shared" si="15"/>
        <v>180</v>
      </c>
      <c r="D161" s="28" t="s">
        <v>165</v>
      </c>
      <c r="E161" s="211">
        <v>0</v>
      </c>
      <c r="G161" s="8"/>
      <c r="H161" s="11"/>
      <c r="I161" s="12"/>
      <c r="J161" s="137"/>
      <c r="K161" s="13"/>
    </row>
    <row r="162" spans="1:11" s="1" customFormat="1" ht="15" customHeight="1">
      <c r="A162" s="810"/>
      <c r="B162" s="814" t="s">
        <v>103</v>
      </c>
      <c r="C162" s="27">
        <f t="shared" si="15"/>
        <v>180</v>
      </c>
      <c r="D162" s="28" t="s">
        <v>166</v>
      </c>
      <c r="E162" s="211">
        <v>0</v>
      </c>
      <c r="G162" s="8"/>
      <c r="H162" s="11"/>
      <c r="I162" s="12"/>
      <c r="J162" s="137"/>
      <c r="K162" s="13"/>
    </row>
    <row r="163" spans="1:11" s="1" customFormat="1" ht="15" customHeight="1">
      <c r="A163" s="810"/>
      <c r="B163" s="804"/>
      <c r="C163" s="27">
        <f t="shared" si="15"/>
        <v>180</v>
      </c>
      <c r="D163" s="28" t="s">
        <v>167</v>
      </c>
      <c r="E163" s="211">
        <v>0</v>
      </c>
      <c r="G163" s="8"/>
      <c r="H163" s="11"/>
      <c r="I163" s="12"/>
      <c r="J163" s="137"/>
      <c r="K163" s="13"/>
    </row>
    <row r="164" spans="1:11" s="1" customFormat="1" ht="15" customHeight="1">
      <c r="A164" s="810"/>
      <c r="B164" s="805"/>
      <c r="C164" s="27">
        <f t="shared" si="15"/>
        <v>180</v>
      </c>
      <c r="D164" s="28" t="s">
        <v>168</v>
      </c>
      <c r="E164" s="211">
        <v>0</v>
      </c>
      <c r="G164" s="8"/>
      <c r="H164" s="11"/>
      <c r="I164" s="12"/>
      <c r="J164" s="137"/>
      <c r="K164" s="13"/>
    </row>
    <row r="165" spans="1:11" s="1" customFormat="1" ht="15" customHeight="1">
      <c r="A165" s="810"/>
      <c r="B165" s="7" t="s">
        <v>169</v>
      </c>
      <c r="C165" s="27">
        <f t="shared" ref="C165:C189" si="16">C164</f>
        <v>180</v>
      </c>
      <c r="D165" s="28" t="s">
        <v>170</v>
      </c>
      <c r="E165" s="211">
        <v>0</v>
      </c>
      <c r="G165" s="8"/>
      <c r="H165" s="11"/>
      <c r="I165" s="12"/>
      <c r="J165" s="137"/>
      <c r="K165" s="13"/>
    </row>
    <row r="166" spans="1:11" s="1" customFormat="1" ht="15" customHeight="1">
      <c r="A166" s="810"/>
      <c r="B166" s="7" t="s">
        <v>171</v>
      </c>
      <c r="C166" s="27">
        <f t="shared" si="16"/>
        <v>180</v>
      </c>
      <c r="D166" s="28" t="s">
        <v>172</v>
      </c>
      <c r="E166" s="211">
        <v>0</v>
      </c>
      <c r="G166" s="8"/>
      <c r="H166" s="11"/>
      <c r="I166" s="12"/>
      <c r="J166" s="137"/>
      <c r="K166" s="13"/>
    </row>
    <row r="167" spans="1:11" s="1" customFormat="1" ht="15" customHeight="1">
      <c r="A167" s="810"/>
      <c r="B167" s="7" t="s">
        <v>169</v>
      </c>
      <c r="C167" s="27">
        <f t="shared" si="16"/>
        <v>180</v>
      </c>
      <c r="D167" s="28" t="s">
        <v>173</v>
      </c>
      <c r="E167" s="211">
        <v>0</v>
      </c>
      <c r="G167" s="8"/>
      <c r="H167" s="11"/>
      <c r="I167" s="12"/>
      <c r="J167" s="137"/>
      <c r="K167" s="13"/>
    </row>
    <row r="168" spans="1:11" s="1" customFormat="1" ht="15" customHeight="1">
      <c r="A168" s="810"/>
      <c r="B168" s="7" t="s">
        <v>174</v>
      </c>
      <c r="C168" s="27">
        <f t="shared" si="16"/>
        <v>180</v>
      </c>
      <c r="D168" s="28" t="s">
        <v>175</v>
      </c>
      <c r="E168" s="211">
        <v>0</v>
      </c>
      <c r="G168" s="8"/>
      <c r="H168" s="11"/>
      <c r="I168" s="12"/>
      <c r="J168" s="137"/>
      <c r="K168" s="13"/>
    </row>
    <row r="169" spans="1:11" s="1" customFormat="1" ht="15" customHeight="1">
      <c r="A169" s="810"/>
      <c r="B169" s="7" t="s">
        <v>176</v>
      </c>
      <c r="C169" s="27">
        <f t="shared" si="16"/>
        <v>180</v>
      </c>
      <c r="D169" s="28" t="s">
        <v>177</v>
      </c>
      <c r="E169" s="211">
        <v>0</v>
      </c>
      <c r="G169" s="8"/>
      <c r="H169" s="11"/>
      <c r="I169" s="12"/>
      <c r="J169" s="137"/>
      <c r="K169" s="13"/>
    </row>
    <row r="170" spans="1:11" s="1" customFormat="1" ht="15" customHeight="1">
      <c r="A170" s="810"/>
      <c r="B170" s="7" t="s">
        <v>178</v>
      </c>
      <c r="C170" s="27">
        <f t="shared" si="16"/>
        <v>180</v>
      </c>
      <c r="D170" s="28" t="s">
        <v>179</v>
      </c>
      <c r="E170" s="211">
        <v>0</v>
      </c>
      <c r="G170" s="8"/>
      <c r="H170" s="11"/>
      <c r="I170" s="12"/>
      <c r="J170" s="137"/>
      <c r="K170" s="13"/>
    </row>
    <row r="171" spans="1:11" s="1" customFormat="1" ht="15" customHeight="1">
      <c r="A171" s="810"/>
      <c r="B171" s="7" t="s">
        <v>180</v>
      </c>
      <c r="C171" s="27">
        <f t="shared" si="16"/>
        <v>180</v>
      </c>
      <c r="D171" s="28" t="s">
        <v>181</v>
      </c>
      <c r="E171" s="211">
        <v>0</v>
      </c>
      <c r="G171" s="8"/>
      <c r="H171" s="11"/>
      <c r="I171" s="12"/>
      <c r="J171" s="137"/>
      <c r="K171" s="13"/>
    </row>
    <row r="172" spans="1:11" s="1" customFormat="1" ht="15" customHeight="1">
      <c r="A172" s="810"/>
      <c r="B172" s="7" t="s">
        <v>182</v>
      </c>
      <c r="C172" s="27">
        <f t="shared" si="16"/>
        <v>180</v>
      </c>
      <c r="D172" s="28" t="s">
        <v>183</v>
      </c>
      <c r="E172" s="211">
        <v>0</v>
      </c>
      <c r="G172" s="8"/>
      <c r="H172" s="11"/>
      <c r="I172" s="12"/>
      <c r="J172" s="137"/>
      <c r="K172" s="13"/>
    </row>
    <row r="173" spans="1:11" s="1" customFormat="1" ht="15" customHeight="1">
      <c r="A173" s="810"/>
      <c r="B173" s="7" t="s">
        <v>116</v>
      </c>
      <c r="C173" s="27">
        <f t="shared" si="16"/>
        <v>180</v>
      </c>
      <c r="D173" s="28" t="s">
        <v>184</v>
      </c>
      <c r="E173" s="211">
        <v>0</v>
      </c>
      <c r="G173" s="8"/>
      <c r="H173" s="11"/>
      <c r="I173" s="12"/>
      <c r="J173" s="137"/>
      <c r="K173" s="13"/>
    </row>
    <row r="174" spans="1:11" s="1" customFormat="1" ht="15" customHeight="1">
      <c r="A174" s="810"/>
      <c r="B174" s="814" t="s">
        <v>103</v>
      </c>
      <c r="C174" s="27">
        <f t="shared" si="16"/>
        <v>180</v>
      </c>
      <c r="D174" s="28" t="s">
        <v>185</v>
      </c>
      <c r="E174" s="211">
        <v>0</v>
      </c>
      <c r="G174" s="8"/>
      <c r="H174" s="11"/>
      <c r="I174" s="12"/>
      <c r="J174" s="137"/>
      <c r="K174" s="13"/>
    </row>
    <row r="175" spans="1:11" s="1" customFormat="1" ht="15" customHeight="1">
      <c r="A175" s="810"/>
      <c r="B175" s="805"/>
      <c r="C175" s="27">
        <f t="shared" si="16"/>
        <v>180</v>
      </c>
      <c r="D175" s="28" t="s">
        <v>186</v>
      </c>
      <c r="E175" s="211">
        <v>0</v>
      </c>
      <c r="G175" s="8"/>
      <c r="H175" s="11"/>
      <c r="I175" s="12"/>
      <c r="J175" s="137"/>
      <c r="K175" s="13"/>
    </row>
    <row r="176" spans="1:11" s="1" customFormat="1" ht="15" customHeight="1">
      <c r="A176" s="810"/>
      <c r="B176" s="7" t="s">
        <v>109</v>
      </c>
      <c r="C176" s="27">
        <f t="shared" si="16"/>
        <v>180</v>
      </c>
      <c r="D176" s="28" t="s">
        <v>187</v>
      </c>
      <c r="E176" s="211">
        <v>0</v>
      </c>
      <c r="G176" s="8"/>
      <c r="H176" s="11"/>
      <c r="I176" s="12"/>
      <c r="J176" s="137"/>
      <c r="K176" s="13"/>
    </row>
    <row r="177" spans="1:11" s="1" customFormat="1" ht="15" customHeight="1">
      <c r="A177" s="810"/>
      <c r="B177" s="7" t="s">
        <v>116</v>
      </c>
      <c r="C177" s="27">
        <f t="shared" si="16"/>
        <v>180</v>
      </c>
      <c r="D177" s="28" t="s">
        <v>188</v>
      </c>
      <c r="E177" s="211">
        <v>0</v>
      </c>
      <c r="G177" s="8"/>
      <c r="H177" s="11"/>
      <c r="I177" s="12"/>
      <c r="J177" s="137"/>
      <c r="K177" s="13"/>
    </row>
    <row r="178" spans="1:11" s="1" customFormat="1" ht="15" customHeight="1">
      <c r="A178" s="810"/>
      <c r="B178" s="7" t="s">
        <v>103</v>
      </c>
      <c r="C178" s="27">
        <f t="shared" si="16"/>
        <v>180</v>
      </c>
      <c r="D178" s="28" t="s">
        <v>189</v>
      </c>
      <c r="E178" s="211">
        <v>0</v>
      </c>
      <c r="G178" s="8"/>
      <c r="H178" s="11"/>
      <c r="I178" s="12"/>
      <c r="J178" s="137"/>
      <c r="K178" s="13"/>
    </row>
    <row r="179" spans="1:11" s="1" customFormat="1" ht="15" customHeight="1">
      <c r="A179" s="810"/>
      <c r="B179" s="19" t="s">
        <v>190</v>
      </c>
      <c r="C179" s="27">
        <f t="shared" si="16"/>
        <v>180</v>
      </c>
      <c r="D179" s="28" t="s">
        <v>191</v>
      </c>
      <c r="E179" s="211">
        <v>0</v>
      </c>
      <c r="G179" s="8"/>
      <c r="H179" s="11"/>
      <c r="I179" s="12"/>
      <c r="J179" s="137"/>
      <c r="K179" s="13"/>
    </row>
    <row r="180" spans="1:11" s="1" customFormat="1" ht="15" customHeight="1">
      <c r="A180" s="810"/>
      <c r="B180" s="19" t="s">
        <v>192</v>
      </c>
      <c r="C180" s="27">
        <f t="shared" si="16"/>
        <v>180</v>
      </c>
      <c r="D180" s="28" t="s">
        <v>193</v>
      </c>
      <c r="E180" s="211">
        <v>0</v>
      </c>
      <c r="G180" s="8"/>
      <c r="H180" s="11"/>
      <c r="I180" s="12"/>
      <c r="J180" s="137"/>
      <c r="K180" s="13"/>
    </row>
    <row r="181" spans="1:11" s="1" customFormat="1" ht="15" customHeight="1">
      <c r="A181" s="810"/>
      <c r="B181" s="19" t="s">
        <v>194</v>
      </c>
      <c r="C181" s="27">
        <f t="shared" si="16"/>
        <v>180</v>
      </c>
      <c r="D181" s="28" t="s">
        <v>195</v>
      </c>
      <c r="E181" s="211">
        <v>0</v>
      </c>
      <c r="G181" s="8"/>
      <c r="H181" s="11"/>
      <c r="I181" s="12"/>
      <c r="J181" s="137"/>
      <c r="K181" s="13"/>
    </row>
    <row r="182" spans="1:11" s="1" customFormat="1" ht="15" customHeight="1">
      <c r="A182" s="810"/>
      <c r="B182" s="814" t="s">
        <v>196</v>
      </c>
      <c r="C182" s="27">
        <f t="shared" si="16"/>
        <v>180</v>
      </c>
      <c r="D182" s="28" t="s">
        <v>197</v>
      </c>
      <c r="E182" s="211">
        <v>0</v>
      </c>
      <c r="G182" s="8"/>
      <c r="H182" s="11"/>
      <c r="I182" s="12"/>
      <c r="J182" s="137"/>
      <c r="K182" s="13"/>
    </row>
    <row r="183" spans="1:11" s="1" customFormat="1" ht="15" customHeight="1">
      <c r="A183" s="810"/>
      <c r="B183" s="804"/>
      <c r="C183" s="27">
        <f t="shared" si="16"/>
        <v>180</v>
      </c>
      <c r="D183" s="28" t="s">
        <v>198</v>
      </c>
      <c r="E183" s="211">
        <v>0</v>
      </c>
      <c r="G183" s="8"/>
      <c r="H183" s="11"/>
      <c r="I183" s="12"/>
      <c r="J183" s="137"/>
      <c r="K183" s="13"/>
    </row>
    <row r="184" spans="1:11" s="1" customFormat="1" ht="15" customHeight="1">
      <c r="A184" s="810"/>
      <c r="B184" s="19" t="s">
        <v>199</v>
      </c>
      <c r="C184" s="27">
        <f t="shared" si="16"/>
        <v>180</v>
      </c>
      <c r="D184" s="28" t="s">
        <v>200</v>
      </c>
      <c r="E184" s="211">
        <v>0</v>
      </c>
      <c r="G184" s="8"/>
      <c r="H184" s="11"/>
      <c r="I184" s="12"/>
      <c r="J184" s="137"/>
      <c r="K184" s="13"/>
    </row>
    <row r="185" spans="1:11" s="1" customFormat="1" ht="15" customHeight="1">
      <c r="A185" s="810"/>
      <c r="B185" s="19" t="s">
        <v>201</v>
      </c>
      <c r="C185" s="27">
        <f t="shared" si="16"/>
        <v>180</v>
      </c>
      <c r="D185" s="28" t="s">
        <v>202</v>
      </c>
      <c r="E185" s="211">
        <v>0</v>
      </c>
      <c r="G185" s="8"/>
      <c r="H185" s="11"/>
      <c r="I185" s="12"/>
      <c r="J185" s="137"/>
      <c r="K185" s="13"/>
    </row>
    <row r="186" spans="1:11" s="1" customFormat="1" ht="15" customHeight="1">
      <c r="A186" s="810"/>
      <c r="B186" s="7" t="s">
        <v>203</v>
      </c>
      <c r="C186" s="27">
        <f t="shared" si="16"/>
        <v>180</v>
      </c>
      <c r="D186" s="28" t="s">
        <v>204</v>
      </c>
      <c r="E186" s="211">
        <v>0</v>
      </c>
      <c r="G186" s="8"/>
      <c r="H186" s="11"/>
      <c r="I186" s="12"/>
      <c r="J186" s="137"/>
      <c r="K186" s="13"/>
    </row>
    <row r="187" spans="1:11" s="1" customFormat="1" ht="15" customHeight="1">
      <c r="A187" s="810"/>
      <c r="B187" s="7" t="s">
        <v>205</v>
      </c>
      <c r="C187" s="27">
        <f t="shared" si="16"/>
        <v>180</v>
      </c>
      <c r="D187" s="28" t="s">
        <v>206</v>
      </c>
      <c r="E187" s="211">
        <v>0</v>
      </c>
      <c r="G187" s="8"/>
      <c r="H187" s="11"/>
      <c r="I187" s="12"/>
      <c r="J187" s="137"/>
      <c r="K187" s="13"/>
    </row>
    <row r="188" spans="1:11" s="1" customFormat="1" ht="15" customHeight="1">
      <c r="A188" s="810"/>
      <c r="B188" s="7" t="s">
        <v>207</v>
      </c>
      <c r="C188" s="27">
        <f t="shared" si="16"/>
        <v>180</v>
      </c>
      <c r="D188" s="28" t="s">
        <v>208</v>
      </c>
      <c r="E188" s="211">
        <v>0</v>
      </c>
      <c r="G188" s="8"/>
      <c r="H188" s="11"/>
      <c r="I188" s="12"/>
      <c r="J188" s="137"/>
      <c r="K188" s="13"/>
    </row>
    <row r="189" spans="1:11" s="1" customFormat="1" ht="15" customHeight="1">
      <c r="A189" s="810"/>
      <c r="B189" s="7" t="s">
        <v>209</v>
      </c>
      <c r="C189" s="27">
        <f t="shared" si="16"/>
        <v>180</v>
      </c>
      <c r="D189" s="28" t="s">
        <v>210</v>
      </c>
      <c r="E189" s="211">
        <v>0</v>
      </c>
      <c r="G189" s="8"/>
      <c r="H189" s="11"/>
      <c r="I189" s="12"/>
      <c r="J189" s="137"/>
      <c r="K189" s="13"/>
    </row>
    <row r="190" spans="1:11" ht="15" customHeight="1">
      <c r="A190" s="811" t="s">
        <v>211</v>
      </c>
      <c r="B190" s="810" t="s">
        <v>27</v>
      </c>
      <c r="C190" s="7">
        <v>128</v>
      </c>
      <c r="D190" s="9"/>
      <c r="E190" s="25">
        <v>200000</v>
      </c>
      <c r="G190" s="8">
        <v>128</v>
      </c>
      <c r="H190" s="11">
        <f t="shared" ref="H190:H193" si="17">0.788*1.091</f>
        <v>0.85970800000000003</v>
      </c>
      <c r="I190" s="12" t="e">
        <f>ROUND(#REF!*1000000/G190/H190,-3)</f>
        <v>#REF!</v>
      </c>
      <c r="J190" s="136">
        <v>100</v>
      </c>
      <c r="K190" s="13"/>
    </row>
    <row r="191" spans="1:11" ht="15" customHeight="1">
      <c r="A191" s="811"/>
      <c r="B191" s="810"/>
      <c r="C191" s="7">
        <v>157</v>
      </c>
      <c r="D191" s="9"/>
      <c r="E191" s="25">
        <v>245000</v>
      </c>
      <c r="G191" s="8">
        <v>157</v>
      </c>
      <c r="H191" s="11">
        <f t="shared" si="17"/>
        <v>0.85970800000000003</v>
      </c>
      <c r="I191" s="12" t="e">
        <f>ROUND(#REF!*1000000/G191/H191,-3)</f>
        <v>#REF!</v>
      </c>
      <c r="J191" s="136">
        <v>127</v>
      </c>
      <c r="K191" s="13"/>
    </row>
    <row r="192" spans="1:11" ht="15" customHeight="1">
      <c r="A192" s="811"/>
      <c r="B192" s="810"/>
      <c r="C192" s="7">
        <v>186</v>
      </c>
      <c r="D192" s="9"/>
      <c r="E192" s="25">
        <v>290000</v>
      </c>
      <c r="G192" s="8">
        <v>186</v>
      </c>
      <c r="H192" s="11">
        <f t="shared" si="17"/>
        <v>0.85970800000000003</v>
      </c>
      <c r="I192" s="12" t="e">
        <f>ROUND(#REF!*1000000/G192/H192,-3)</f>
        <v>#REF!</v>
      </c>
      <c r="J192" s="136">
        <v>157</v>
      </c>
      <c r="K192" s="13"/>
    </row>
    <row r="193" spans="1:11" ht="15" customHeight="1">
      <c r="A193" s="811"/>
      <c r="B193" s="810"/>
      <c r="C193" s="7">
        <v>210</v>
      </c>
      <c r="D193" s="9"/>
      <c r="E193" s="25">
        <v>330000</v>
      </c>
      <c r="G193" s="8">
        <v>210</v>
      </c>
      <c r="H193" s="11">
        <f t="shared" si="17"/>
        <v>0.85970800000000003</v>
      </c>
      <c r="I193" s="12" t="e">
        <f>ROUND(#REF!*1000000/G193/H193,-3)</f>
        <v>#REF!</v>
      </c>
      <c r="J193" s="136">
        <v>182</v>
      </c>
      <c r="K193" s="13"/>
    </row>
    <row r="194" spans="1:11" ht="15" customHeight="1">
      <c r="A194" s="811"/>
      <c r="B194" s="810" t="s">
        <v>28</v>
      </c>
      <c r="C194" s="7">
        <v>128</v>
      </c>
      <c r="D194" s="9"/>
      <c r="E194" s="25">
        <v>140000</v>
      </c>
      <c r="G194" s="8">
        <v>128</v>
      </c>
      <c r="H194" s="11">
        <f t="shared" ref="H194:H197" si="18">0.636*0.939</f>
        <v>0.59720399999999996</v>
      </c>
      <c r="I194" s="12" t="e">
        <f>ROUND(#REF!*1000000/G194/H194,-3)</f>
        <v>#REF!</v>
      </c>
      <c r="J194" s="136">
        <v>100</v>
      </c>
      <c r="K194" s="13"/>
    </row>
    <row r="195" spans="1:11" ht="15" customHeight="1">
      <c r="A195" s="811"/>
      <c r="B195" s="810"/>
      <c r="C195" s="7">
        <v>157</v>
      </c>
      <c r="D195" s="9"/>
      <c r="E195" s="25">
        <v>170000</v>
      </c>
      <c r="G195" s="8">
        <v>157</v>
      </c>
      <c r="H195" s="11">
        <f t="shared" si="18"/>
        <v>0.59720399999999996</v>
      </c>
      <c r="I195" s="12" t="e">
        <f>ROUND(#REF!*1000000/G195/H195,-3)</f>
        <v>#REF!</v>
      </c>
      <c r="J195" s="136">
        <v>127</v>
      </c>
      <c r="K195" s="13"/>
    </row>
    <row r="196" spans="1:11" ht="15" customHeight="1">
      <c r="A196" s="811"/>
      <c r="B196" s="810"/>
      <c r="C196" s="7">
        <v>186</v>
      </c>
      <c r="D196" s="9"/>
      <c r="E196" s="25">
        <v>200000</v>
      </c>
      <c r="G196" s="8">
        <v>186</v>
      </c>
      <c r="H196" s="11">
        <f t="shared" si="18"/>
        <v>0.59720399999999996</v>
      </c>
      <c r="I196" s="12" t="e">
        <f>ROUND(#REF!*1000000/G196/H196,-3)</f>
        <v>#REF!</v>
      </c>
      <c r="J196" s="136">
        <v>157</v>
      </c>
      <c r="K196" s="13"/>
    </row>
    <row r="197" spans="1:11" ht="15" customHeight="1">
      <c r="A197" s="811"/>
      <c r="B197" s="810"/>
      <c r="C197" s="7">
        <v>210</v>
      </c>
      <c r="D197" s="9"/>
      <c r="E197" s="25">
        <v>230000</v>
      </c>
      <c r="G197" s="8">
        <v>210</v>
      </c>
      <c r="H197" s="11">
        <f t="shared" si="18"/>
        <v>0.59720399999999996</v>
      </c>
      <c r="I197" s="12" t="e">
        <f>ROUND(#REF!*1000000/G197/H197,-3)</f>
        <v>#REF!</v>
      </c>
      <c r="J197" s="136">
        <v>182</v>
      </c>
      <c r="K197" s="13"/>
    </row>
    <row r="198" spans="1:11" ht="15" customHeight="1">
      <c r="A198" s="814" t="s">
        <v>212</v>
      </c>
      <c r="B198" s="814" t="s">
        <v>213</v>
      </c>
      <c r="C198" s="30">
        <v>110</v>
      </c>
      <c r="D198" s="29" t="s">
        <v>214</v>
      </c>
      <c r="E198" s="25">
        <v>500000</v>
      </c>
      <c r="G198" s="8">
        <v>110</v>
      </c>
      <c r="H198" s="11">
        <f t="shared" ref="H198:H199" si="19">0.788*1.091</f>
        <v>0.85970800000000003</v>
      </c>
      <c r="I198" s="12" t="e">
        <f>ROUND(#REF!*1000000/G198/H198,-3)</f>
        <v>#REF!</v>
      </c>
      <c r="J198" s="137">
        <v>0</v>
      </c>
      <c r="K198" s="13"/>
    </row>
    <row r="199" spans="1:11" ht="15" customHeight="1">
      <c r="A199" s="804"/>
      <c r="B199" s="805"/>
      <c r="C199" s="33">
        <f>C198</f>
        <v>110</v>
      </c>
      <c r="D199" s="21" t="s">
        <v>215</v>
      </c>
      <c r="E199" s="25">
        <v>430000</v>
      </c>
      <c r="G199" s="8">
        <v>110</v>
      </c>
      <c r="H199" s="11">
        <f t="shared" si="19"/>
        <v>0.85970800000000003</v>
      </c>
      <c r="I199" s="12" t="e">
        <f>ROUND(#REF!*1000000/G199/H199,-3)</f>
        <v>#REF!</v>
      </c>
      <c r="J199" s="137"/>
      <c r="K199" s="13"/>
    </row>
    <row r="200" spans="1:11" ht="15" customHeight="1">
      <c r="A200" s="804"/>
      <c r="B200" s="814" t="s">
        <v>216</v>
      </c>
      <c r="C200" s="30">
        <v>110</v>
      </c>
      <c r="D200" s="29" t="s">
        <v>214</v>
      </c>
      <c r="E200" s="25">
        <v>0</v>
      </c>
      <c r="G200" s="8"/>
      <c r="H200" s="11"/>
      <c r="I200" s="12"/>
      <c r="J200" s="137"/>
      <c r="K200" s="13"/>
    </row>
    <row r="201" spans="1:11" ht="15" customHeight="1">
      <c r="A201" s="805"/>
      <c r="B201" s="805"/>
      <c r="C201" s="33">
        <f>C200</f>
        <v>110</v>
      </c>
      <c r="D201" s="21" t="s">
        <v>215</v>
      </c>
      <c r="E201" s="25">
        <v>0</v>
      </c>
      <c r="G201" s="8"/>
      <c r="H201" s="11"/>
      <c r="I201" s="12"/>
      <c r="J201" s="137"/>
      <c r="K201" s="13"/>
    </row>
    <row r="202" spans="1:11" ht="15" customHeight="1">
      <c r="A202" s="813" t="s">
        <v>217</v>
      </c>
      <c r="B202" s="814" t="s">
        <v>218</v>
      </c>
      <c r="C202" s="30">
        <v>128</v>
      </c>
      <c r="D202" s="29" t="s">
        <v>219</v>
      </c>
      <c r="E202" s="25">
        <v>780000</v>
      </c>
      <c r="G202" s="8">
        <v>128</v>
      </c>
      <c r="H202" s="11">
        <f t="shared" ref="H202:H208" si="20">0.788*1.091</f>
        <v>0.85970800000000003</v>
      </c>
      <c r="I202" s="12" t="e">
        <f>ROUND(#REF!*1000000/G202/H202,-3)</f>
        <v>#REF!</v>
      </c>
      <c r="J202" s="137"/>
      <c r="K202" s="13"/>
    </row>
    <row r="203" spans="1:11" ht="15" customHeight="1">
      <c r="A203" s="816"/>
      <c r="B203" s="804"/>
      <c r="C203" s="16">
        <f t="shared" ref="C203:C206" si="21">C202</f>
        <v>128</v>
      </c>
      <c r="D203" s="29" t="s">
        <v>220</v>
      </c>
      <c r="E203" s="25">
        <v>815000</v>
      </c>
      <c r="G203" s="8">
        <v>128</v>
      </c>
      <c r="H203" s="11">
        <f t="shared" si="20"/>
        <v>0.85970800000000003</v>
      </c>
      <c r="I203" s="12" t="e">
        <f>ROUND(#REF!*1000000/G203/H203,-3)</f>
        <v>#REF!</v>
      </c>
      <c r="J203" s="137"/>
      <c r="K203" s="13"/>
    </row>
    <row r="204" spans="1:11" ht="15" customHeight="1">
      <c r="A204" s="816"/>
      <c r="B204" s="804"/>
      <c r="C204" s="16">
        <f t="shared" si="21"/>
        <v>128</v>
      </c>
      <c r="D204" s="29" t="s">
        <v>221</v>
      </c>
      <c r="E204" s="25">
        <v>890000</v>
      </c>
      <c r="G204" s="8">
        <v>128</v>
      </c>
      <c r="H204" s="11">
        <f t="shared" si="20"/>
        <v>0.85970800000000003</v>
      </c>
      <c r="I204" s="12" t="e">
        <f>ROUND(#REF!*1000000/G204/H204,-3)</f>
        <v>#REF!</v>
      </c>
      <c r="J204" s="137"/>
      <c r="K204" s="13"/>
    </row>
    <row r="205" spans="1:11" ht="15" customHeight="1">
      <c r="A205" s="816"/>
      <c r="B205" s="804"/>
      <c r="C205" s="33">
        <f t="shared" si="21"/>
        <v>128</v>
      </c>
      <c r="D205" s="21" t="s">
        <v>222</v>
      </c>
      <c r="E205" s="25">
        <v>700000</v>
      </c>
      <c r="G205" s="8">
        <v>128</v>
      </c>
      <c r="H205" s="11">
        <f t="shared" si="20"/>
        <v>0.85970800000000003</v>
      </c>
      <c r="I205" s="12" t="e">
        <f>ROUND(#REF!*1000000/G205/H205,-3)</f>
        <v>#REF!</v>
      </c>
      <c r="J205" s="137"/>
      <c r="K205" s="13"/>
    </row>
    <row r="206" spans="1:11" ht="15" customHeight="1">
      <c r="A206" s="817"/>
      <c r="B206" s="805"/>
      <c r="C206" s="33">
        <f t="shared" si="21"/>
        <v>128</v>
      </c>
      <c r="D206" s="21" t="s">
        <v>223</v>
      </c>
      <c r="E206" s="25">
        <v>730000</v>
      </c>
      <c r="G206" s="8">
        <v>128</v>
      </c>
      <c r="H206" s="11">
        <f t="shared" si="20"/>
        <v>0.85970800000000003</v>
      </c>
      <c r="I206" s="12" t="e">
        <f>ROUND(#REF!*1000000/G206/H206,-3)</f>
        <v>#REF!</v>
      </c>
      <c r="J206" s="137"/>
      <c r="K206" s="13"/>
    </row>
    <row r="207" spans="1:11" ht="15" customHeight="1">
      <c r="A207" s="810" t="s">
        <v>224</v>
      </c>
      <c r="B207" s="814" t="s">
        <v>213</v>
      </c>
      <c r="C207" s="30">
        <v>110</v>
      </c>
      <c r="D207" s="29" t="s">
        <v>225</v>
      </c>
      <c r="E207" s="148">
        <v>675000</v>
      </c>
      <c r="G207" s="8">
        <v>110</v>
      </c>
      <c r="H207" s="11">
        <f t="shared" si="20"/>
        <v>0.85970800000000003</v>
      </c>
      <c r="I207" s="12" t="e">
        <f>ROUND(#REF!*1000000/G207/H207,-3)</f>
        <v>#REF!</v>
      </c>
      <c r="J207" s="137"/>
      <c r="K207" s="13"/>
    </row>
    <row r="208" spans="1:11" ht="15" customHeight="1">
      <c r="A208" s="810"/>
      <c r="B208" s="805"/>
      <c r="C208" s="33">
        <f>C207</f>
        <v>110</v>
      </c>
      <c r="D208" s="21" t="s">
        <v>226</v>
      </c>
      <c r="E208" s="25">
        <v>585000</v>
      </c>
      <c r="G208" s="8">
        <v>110</v>
      </c>
      <c r="H208" s="11">
        <f t="shared" si="20"/>
        <v>0.85970800000000003</v>
      </c>
      <c r="I208" s="12" t="e">
        <f>ROUND(#REF!*1000000/G208/H208,-3)</f>
        <v>#REF!</v>
      </c>
      <c r="J208" s="137"/>
      <c r="K208" s="13"/>
    </row>
    <row r="209" spans="1:11" ht="15" customHeight="1">
      <c r="A209" s="810"/>
      <c r="B209" s="814" t="s">
        <v>216</v>
      </c>
      <c r="C209" s="30">
        <v>110</v>
      </c>
      <c r="D209" s="29" t="s">
        <v>225</v>
      </c>
      <c r="E209" s="25">
        <v>0</v>
      </c>
      <c r="G209" s="8"/>
      <c r="H209" s="11"/>
      <c r="I209" s="12"/>
      <c r="J209" s="137"/>
      <c r="K209" s="13"/>
    </row>
    <row r="210" spans="1:11" ht="15" customHeight="1">
      <c r="A210" s="810"/>
      <c r="B210" s="805"/>
      <c r="C210" s="33">
        <f>C209</f>
        <v>110</v>
      </c>
      <c r="D210" s="21" t="s">
        <v>226</v>
      </c>
      <c r="E210" s="25">
        <v>0</v>
      </c>
      <c r="G210" s="8"/>
      <c r="H210" s="11"/>
      <c r="I210" s="12"/>
      <c r="J210" s="137"/>
      <c r="K210" s="13"/>
    </row>
    <row r="211" spans="1:11" ht="15" customHeight="1">
      <c r="A211" s="810" t="s">
        <v>227</v>
      </c>
      <c r="B211" s="814" t="s">
        <v>218</v>
      </c>
      <c r="C211" s="20">
        <v>116</v>
      </c>
      <c r="D211" s="21" t="s">
        <v>228</v>
      </c>
      <c r="E211" s="25">
        <v>425000</v>
      </c>
      <c r="G211" s="8">
        <v>116</v>
      </c>
      <c r="H211" s="11">
        <f>1.091*0.788</f>
        <v>0.85970800000000003</v>
      </c>
      <c r="I211" s="12" t="e">
        <f>ROUND(#REF!*1000000/G211/H211,-3)</f>
        <v>#REF!</v>
      </c>
      <c r="J211" s="137"/>
      <c r="K211" s="13"/>
    </row>
    <row r="212" spans="1:11" ht="15" customHeight="1">
      <c r="A212" s="810"/>
      <c r="B212" s="804"/>
      <c r="C212" s="33">
        <f t="shared" ref="C212:C213" si="22">C211</f>
        <v>116</v>
      </c>
      <c r="D212" s="21" t="s">
        <v>229</v>
      </c>
      <c r="E212" s="25">
        <v>460000</v>
      </c>
      <c r="G212" s="8">
        <v>116</v>
      </c>
      <c r="H212" s="11">
        <f>1.091*0.788</f>
        <v>0.85970800000000003</v>
      </c>
      <c r="I212" s="12" t="e">
        <f>ROUND(#REF!*1000000/G212/H212,-3)</f>
        <v>#REF!</v>
      </c>
      <c r="J212" s="137"/>
      <c r="K212" s="13"/>
    </row>
    <row r="213" spans="1:11" ht="15" customHeight="1">
      <c r="A213" s="810"/>
      <c r="B213" s="804"/>
      <c r="C213" s="33">
        <f t="shared" si="22"/>
        <v>116</v>
      </c>
      <c r="D213" s="21" t="s">
        <v>230</v>
      </c>
      <c r="E213" s="25">
        <v>505000</v>
      </c>
      <c r="G213" s="8">
        <v>116</v>
      </c>
      <c r="H213" s="11">
        <f>1.091*0.788</f>
        <v>0.85970800000000003</v>
      </c>
      <c r="I213" s="12" t="e">
        <f>ROUND(#REF!*1000000/G213/H213,-3)</f>
        <v>#REF!</v>
      </c>
      <c r="J213" s="137"/>
      <c r="K213" s="13"/>
    </row>
    <row r="214" spans="1:11" ht="15" customHeight="1">
      <c r="A214" s="811" t="s">
        <v>231</v>
      </c>
      <c r="B214" s="810" t="s">
        <v>232</v>
      </c>
      <c r="C214" s="7">
        <v>290</v>
      </c>
      <c r="D214" s="9" t="s">
        <v>233</v>
      </c>
      <c r="E214" s="148">
        <v>4350000</v>
      </c>
      <c r="G214" s="8">
        <v>290</v>
      </c>
      <c r="H214" s="11">
        <f t="shared" ref="H214:H216" si="23">0.68</f>
        <v>0.68</v>
      </c>
      <c r="I214" s="12" t="e">
        <f>ROUND(#REF!*1000000/G214/H214,-3)</f>
        <v>#REF!</v>
      </c>
      <c r="J214" s="137"/>
      <c r="K214" s="13"/>
    </row>
    <row r="215" spans="1:11" ht="15" customHeight="1">
      <c r="A215" s="811"/>
      <c r="B215" s="810"/>
      <c r="C215" s="7">
        <f t="shared" ref="C215:C216" si="24">C214</f>
        <v>290</v>
      </c>
      <c r="D215" s="9" t="s">
        <v>234</v>
      </c>
      <c r="E215" s="148">
        <v>3600000</v>
      </c>
      <c r="G215" s="8">
        <v>290</v>
      </c>
      <c r="H215" s="11">
        <f t="shared" si="23"/>
        <v>0.68</v>
      </c>
      <c r="I215" s="12" t="e">
        <f>ROUND(#REF!*1000000/G215/H215,-3)</f>
        <v>#REF!</v>
      </c>
      <c r="J215" s="137"/>
      <c r="K215" s="13"/>
    </row>
    <row r="216" spans="1:11" ht="15" customHeight="1">
      <c r="A216" s="811"/>
      <c r="B216" s="810"/>
      <c r="C216" s="7">
        <f t="shared" si="24"/>
        <v>290</v>
      </c>
      <c r="D216" s="9" t="s">
        <v>235</v>
      </c>
      <c r="E216" s="148">
        <v>4500000</v>
      </c>
      <c r="G216" s="8">
        <v>290</v>
      </c>
      <c r="H216" s="11">
        <f t="shared" si="23"/>
        <v>0.68</v>
      </c>
      <c r="I216" s="12" t="e">
        <f>ROUND(#REF!*1000000/G216/H216,-3)</f>
        <v>#REF!</v>
      </c>
      <c r="J216" s="137"/>
      <c r="K216" s="13"/>
    </row>
    <row r="217" spans="1:11" ht="15" customHeight="1">
      <c r="A217" s="811"/>
      <c r="B217" s="810" t="s">
        <v>236</v>
      </c>
      <c r="C217" s="7">
        <v>310</v>
      </c>
      <c r="D217" s="9" t="s">
        <v>237</v>
      </c>
      <c r="E217" s="148">
        <v>2350000</v>
      </c>
      <c r="G217" s="8">
        <v>310</v>
      </c>
      <c r="H217" s="11">
        <v>0.7</v>
      </c>
      <c r="I217" s="12" t="e">
        <f>ROUND(#REF!*1000000/G217/H217,-3)</f>
        <v>#REF!</v>
      </c>
      <c r="J217" s="137"/>
      <c r="K217" s="13"/>
    </row>
    <row r="218" spans="1:11" ht="15" customHeight="1">
      <c r="A218" s="811"/>
      <c r="B218" s="810"/>
      <c r="C218" s="7">
        <f t="shared" ref="C218:C221" si="25">C217</f>
        <v>310</v>
      </c>
      <c r="D218" s="9" t="s">
        <v>238</v>
      </c>
      <c r="E218" s="148">
        <v>2750000</v>
      </c>
      <c r="G218" s="8">
        <v>310</v>
      </c>
      <c r="H218" s="11">
        <v>0.7</v>
      </c>
      <c r="I218" s="12" t="e">
        <f>ROUND(#REF!*1000000/G218/H218,-3)</f>
        <v>#REF!</v>
      </c>
      <c r="J218" s="137"/>
      <c r="K218" s="13"/>
    </row>
    <row r="219" spans="1:11" ht="15" customHeight="1">
      <c r="A219" s="811"/>
      <c r="B219" s="810"/>
      <c r="C219" s="7">
        <f t="shared" si="25"/>
        <v>310</v>
      </c>
      <c r="D219" s="9" t="s">
        <v>239</v>
      </c>
      <c r="E219" s="148">
        <v>3200000</v>
      </c>
      <c r="G219" s="8">
        <v>310</v>
      </c>
      <c r="H219" s="11">
        <v>0.7</v>
      </c>
      <c r="I219" s="12" t="e">
        <f>ROUND(#REF!*1000000/G219/H219,-3)</f>
        <v>#REF!</v>
      </c>
      <c r="J219" s="137"/>
      <c r="K219" s="13"/>
    </row>
    <row r="220" spans="1:11" ht="15" customHeight="1">
      <c r="A220" s="811"/>
      <c r="B220" s="810"/>
      <c r="C220" s="7">
        <f t="shared" si="25"/>
        <v>310</v>
      </c>
      <c r="D220" s="9" t="s">
        <v>240</v>
      </c>
      <c r="E220" s="148">
        <v>4450000</v>
      </c>
      <c r="G220" s="8">
        <v>310</v>
      </c>
      <c r="H220" s="11">
        <v>0.7</v>
      </c>
      <c r="I220" s="12" t="e">
        <f>ROUND(#REF!*1000000/G220/H220,-3)</f>
        <v>#REF!</v>
      </c>
      <c r="J220" s="137"/>
      <c r="K220" s="13"/>
    </row>
    <row r="221" spans="1:11" ht="15" customHeight="1">
      <c r="A221" s="811"/>
      <c r="B221" s="810"/>
      <c r="C221" s="7">
        <f t="shared" si="25"/>
        <v>310</v>
      </c>
      <c r="D221" s="9" t="s">
        <v>241</v>
      </c>
      <c r="E221" s="148">
        <v>3900000</v>
      </c>
      <c r="G221" s="8">
        <v>310</v>
      </c>
      <c r="H221" s="11">
        <v>0.7</v>
      </c>
      <c r="I221" s="12" t="e">
        <f>ROUND(#REF!*1000000/G221/H221,-3)</f>
        <v>#REF!</v>
      </c>
      <c r="J221" s="137"/>
      <c r="K221" s="13"/>
    </row>
    <row r="222" spans="1:11" ht="15" customHeight="1">
      <c r="A222" s="813" t="s">
        <v>242</v>
      </c>
      <c r="B222" s="810" t="s">
        <v>232</v>
      </c>
      <c r="C222" s="7">
        <v>100</v>
      </c>
      <c r="D222" s="9" t="s">
        <v>243</v>
      </c>
      <c r="E222" s="148">
        <v>2400000</v>
      </c>
      <c r="G222" s="8">
        <v>100</v>
      </c>
      <c r="H222" s="11">
        <f t="shared" ref="H222:H228" si="26">0.68</f>
        <v>0.68</v>
      </c>
      <c r="I222" s="12" t="e">
        <f>ROUND(#REF!*1000000/G222/H222,-3)</f>
        <v>#REF!</v>
      </c>
      <c r="J222" s="137"/>
      <c r="K222" s="13"/>
    </row>
    <row r="223" spans="1:11" ht="15" customHeight="1">
      <c r="A223" s="816"/>
      <c r="B223" s="810"/>
      <c r="C223" s="7">
        <f>C222</f>
        <v>100</v>
      </c>
      <c r="D223" s="9" t="s">
        <v>2844</v>
      </c>
      <c r="E223" s="148">
        <v>2600000</v>
      </c>
      <c r="G223" s="8">
        <v>100</v>
      </c>
      <c r="H223" s="11">
        <f t="shared" si="26"/>
        <v>0.68</v>
      </c>
      <c r="I223" s="12" t="e">
        <f>ROUND(#REF!*1000000/G223/H223,-3)</f>
        <v>#REF!</v>
      </c>
      <c r="J223" s="137"/>
      <c r="K223" s="13"/>
    </row>
    <row r="224" spans="1:11" ht="15" customHeight="1">
      <c r="A224" s="816"/>
      <c r="B224" s="810"/>
      <c r="C224" s="7">
        <v>110</v>
      </c>
      <c r="D224" s="9" t="s">
        <v>244</v>
      </c>
      <c r="E224" s="148">
        <v>3150000</v>
      </c>
      <c r="G224" s="8">
        <v>110</v>
      </c>
      <c r="H224" s="11">
        <f t="shared" si="26"/>
        <v>0.68</v>
      </c>
      <c r="I224" s="12" t="e">
        <f>ROUND(#REF!*1000000/G224/H224,-3)</f>
        <v>#REF!</v>
      </c>
      <c r="J224" s="137"/>
      <c r="K224" s="13"/>
    </row>
    <row r="225" spans="1:11" ht="15" customHeight="1">
      <c r="A225" s="816"/>
      <c r="B225" s="810"/>
      <c r="C225" s="7">
        <f t="shared" ref="C225:C228" si="27">C224</f>
        <v>110</v>
      </c>
      <c r="D225" s="9" t="s">
        <v>245</v>
      </c>
      <c r="E225" s="148">
        <v>3500000</v>
      </c>
      <c r="G225" s="8">
        <v>110</v>
      </c>
      <c r="H225" s="11">
        <f t="shared" si="26"/>
        <v>0.68</v>
      </c>
      <c r="I225" s="12" t="e">
        <f>ROUND(#REF!*1000000/G225/H225,-3)</f>
        <v>#REF!</v>
      </c>
      <c r="J225" s="137"/>
      <c r="K225" s="13"/>
    </row>
    <row r="226" spans="1:11" ht="15" customHeight="1">
      <c r="A226" s="816"/>
      <c r="B226" s="810"/>
      <c r="C226" s="7">
        <f t="shared" si="27"/>
        <v>110</v>
      </c>
      <c r="D226" s="9" t="s">
        <v>246</v>
      </c>
      <c r="E226" s="148">
        <v>3800000</v>
      </c>
      <c r="G226" s="8">
        <v>110</v>
      </c>
      <c r="H226" s="11">
        <f t="shared" si="26"/>
        <v>0.68</v>
      </c>
      <c r="I226" s="12" t="e">
        <f>ROUND(#REF!*1000000/G226/H226,-3)</f>
        <v>#REF!</v>
      </c>
      <c r="J226" s="137"/>
      <c r="K226" s="13"/>
    </row>
    <row r="227" spans="1:11" ht="15" customHeight="1">
      <c r="A227" s="816"/>
      <c r="B227" s="810"/>
      <c r="C227" s="7">
        <f t="shared" si="27"/>
        <v>110</v>
      </c>
      <c r="D227" s="9" t="s">
        <v>2843</v>
      </c>
      <c r="E227" s="148">
        <v>4250000</v>
      </c>
      <c r="G227" s="8">
        <v>110</v>
      </c>
      <c r="H227" s="11">
        <f t="shared" si="26"/>
        <v>0.68</v>
      </c>
      <c r="I227" s="12" t="e">
        <f>ROUND(#REF!*1000000/G227/H227,-3)</f>
        <v>#REF!</v>
      </c>
      <c r="J227" s="137"/>
      <c r="K227" s="13"/>
    </row>
    <row r="228" spans="1:11" ht="15" customHeight="1">
      <c r="A228" s="816"/>
      <c r="B228" s="810"/>
      <c r="C228" s="7">
        <f t="shared" si="27"/>
        <v>110</v>
      </c>
      <c r="D228" s="9" t="s">
        <v>247</v>
      </c>
      <c r="E228" s="148">
        <v>5000000</v>
      </c>
      <c r="G228" s="8">
        <v>110</v>
      </c>
      <c r="H228" s="11">
        <f t="shared" si="26"/>
        <v>0.68</v>
      </c>
      <c r="I228" s="12" t="e">
        <f>ROUND(#REF!*1000000/G228/H228,-3)</f>
        <v>#REF!</v>
      </c>
      <c r="J228" s="137"/>
      <c r="K228" s="13"/>
    </row>
    <row r="229" spans="1:11" ht="15" customHeight="1">
      <c r="A229" s="816"/>
      <c r="B229" s="810"/>
      <c r="C229" s="7">
        <v>120</v>
      </c>
      <c r="D229" s="9" t="s">
        <v>44</v>
      </c>
      <c r="E229" s="148">
        <v>3150000</v>
      </c>
      <c r="G229" s="8">
        <v>120</v>
      </c>
      <c r="H229" s="11">
        <v>0.68</v>
      </c>
      <c r="I229" s="12" t="e">
        <f>ROUND(#REF!*1000000/G229/H229,-3)</f>
        <v>#REF!</v>
      </c>
      <c r="J229" s="137"/>
      <c r="K229" s="13"/>
    </row>
    <row r="230" spans="1:11" ht="15" customHeight="1">
      <c r="A230" s="817"/>
      <c r="B230" s="7" t="s">
        <v>248</v>
      </c>
      <c r="C230" s="7">
        <v>100</v>
      </c>
      <c r="D230" s="9" t="s">
        <v>249</v>
      </c>
      <c r="E230" s="213">
        <v>2400000</v>
      </c>
      <c r="G230" s="8">
        <v>100</v>
      </c>
      <c r="H230" s="11">
        <v>0.7</v>
      </c>
      <c r="I230" s="12" t="e">
        <f>ROUND(#REF!*1000000/G230/H230,-3)</f>
        <v>#REF!</v>
      </c>
      <c r="J230" s="137"/>
      <c r="K230" s="13"/>
    </row>
    <row r="231" spans="1:11" ht="15" customHeight="1">
      <c r="A231" s="813" t="s">
        <v>250</v>
      </c>
      <c r="B231" s="814" t="s">
        <v>236</v>
      </c>
      <c r="C231" s="7">
        <v>250</v>
      </c>
      <c r="D231" s="9" t="s">
        <v>251</v>
      </c>
      <c r="E231" s="148">
        <v>2475000</v>
      </c>
      <c r="G231" s="8">
        <v>250</v>
      </c>
      <c r="H231" s="11">
        <v>0.7</v>
      </c>
      <c r="I231" s="12" t="e">
        <f>ROUND(#REF!*1000000/G231/H231,-3)</f>
        <v>#REF!</v>
      </c>
      <c r="J231" s="137"/>
      <c r="K231" s="13"/>
    </row>
    <row r="232" spans="1:11" ht="15" customHeight="1">
      <c r="A232" s="816"/>
      <c r="B232" s="804"/>
      <c r="C232" s="7">
        <v>310</v>
      </c>
      <c r="D232" s="9" t="s">
        <v>2845</v>
      </c>
      <c r="E232" s="148">
        <v>2550000</v>
      </c>
      <c r="G232" s="8">
        <v>310</v>
      </c>
      <c r="H232" s="11">
        <v>0.7</v>
      </c>
      <c r="I232" s="12" t="e">
        <f>ROUND(#REF!*1000000/G232/H232,-3)</f>
        <v>#REF!</v>
      </c>
      <c r="J232" s="137"/>
      <c r="K232" s="13"/>
    </row>
    <row r="233" spans="1:11" ht="15" customHeight="1">
      <c r="A233" s="816"/>
      <c r="B233" s="804"/>
      <c r="C233" s="7">
        <f t="shared" ref="C233:C234" si="28">C232</f>
        <v>310</v>
      </c>
      <c r="D233" s="9" t="s">
        <v>4854</v>
      </c>
      <c r="E233" s="148">
        <v>2650000</v>
      </c>
      <c r="G233" s="8">
        <v>310</v>
      </c>
      <c r="H233" s="11">
        <v>0.7</v>
      </c>
      <c r="I233" s="12" t="e">
        <f>ROUND(#REF!*1000000/G233/H233,-3)</f>
        <v>#REF!</v>
      </c>
      <c r="J233" s="137"/>
      <c r="K233" s="13"/>
    </row>
    <row r="234" spans="1:11" ht="15" customHeight="1">
      <c r="A234" s="816"/>
      <c r="B234" s="804"/>
      <c r="C234" s="7">
        <f t="shared" si="28"/>
        <v>310</v>
      </c>
      <c r="D234" s="9" t="s">
        <v>4855</v>
      </c>
      <c r="E234" s="148">
        <v>3050000</v>
      </c>
      <c r="G234" s="8"/>
      <c r="H234" s="11"/>
      <c r="I234" s="12"/>
      <c r="J234" s="137"/>
      <c r="K234" s="13"/>
    </row>
    <row r="235" spans="1:11" ht="15" customHeight="1">
      <c r="A235" s="816"/>
      <c r="B235" s="804"/>
      <c r="C235" s="7">
        <f>C233</f>
        <v>310</v>
      </c>
      <c r="D235" s="9" t="s">
        <v>252</v>
      </c>
      <c r="E235" s="148">
        <v>3250000</v>
      </c>
      <c r="G235" s="8">
        <v>310</v>
      </c>
      <c r="H235" s="11">
        <v>0.7</v>
      </c>
      <c r="I235" s="12" t="e">
        <f>ROUND(#REF!*1000000/G235/H235,-3)</f>
        <v>#REF!</v>
      </c>
      <c r="J235" s="137"/>
      <c r="K235" s="13"/>
    </row>
    <row r="236" spans="1:11" ht="15" customHeight="1">
      <c r="A236" s="816"/>
      <c r="B236" s="804"/>
      <c r="C236" s="7">
        <v>360</v>
      </c>
      <c r="D236" s="9" t="s">
        <v>253</v>
      </c>
      <c r="E236" s="148">
        <v>3775000</v>
      </c>
      <c r="G236" s="8">
        <v>360</v>
      </c>
      <c r="H236" s="11">
        <v>0.7</v>
      </c>
      <c r="I236" s="12" t="e">
        <f>ROUND(#REF!*1000000/G236/H236,-3)</f>
        <v>#REF!</v>
      </c>
      <c r="J236" s="137"/>
      <c r="K236" s="13"/>
    </row>
    <row r="237" spans="1:11" ht="15" customHeight="1">
      <c r="A237" s="811" t="s">
        <v>254</v>
      </c>
      <c r="B237" s="809" t="s">
        <v>255</v>
      </c>
      <c r="C237" s="7">
        <v>100</v>
      </c>
      <c r="D237" s="9" t="s">
        <v>2846</v>
      </c>
      <c r="E237" s="148">
        <v>600000</v>
      </c>
      <c r="G237" s="8">
        <v>100</v>
      </c>
      <c r="H237" s="11">
        <v>0.7</v>
      </c>
      <c r="I237" s="12" t="e">
        <f>ROUND(#REF!*1000000/G237/H237,-3)</f>
        <v>#REF!</v>
      </c>
      <c r="J237" s="137"/>
      <c r="K237" s="13"/>
    </row>
    <row r="238" spans="1:11" ht="15" customHeight="1">
      <c r="A238" s="811"/>
      <c r="B238" s="804"/>
      <c r="C238" s="7">
        <f>C237</f>
        <v>100</v>
      </c>
      <c r="D238" s="9" t="s">
        <v>2847</v>
      </c>
      <c r="E238" s="148">
        <v>650000</v>
      </c>
      <c r="G238" s="8"/>
      <c r="H238" s="11"/>
      <c r="I238" s="12"/>
      <c r="J238" s="137"/>
      <c r="K238" s="13"/>
    </row>
    <row r="239" spans="1:11" ht="15" customHeight="1">
      <c r="A239" s="811"/>
      <c r="B239" s="804"/>
      <c r="C239" s="7">
        <v>120</v>
      </c>
      <c r="D239" s="9" t="s">
        <v>256</v>
      </c>
      <c r="E239" s="148">
        <v>625000</v>
      </c>
      <c r="G239" s="8">
        <v>120</v>
      </c>
      <c r="H239" s="11">
        <v>0.7</v>
      </c>
      <c r="I239" s="12" t="e">
        <f>ROUND(#REF!*1000000/G239/H239,-3)</f>
        <v>#REF!</v>
      </c>
      <c r="J239" s="137"/>
      <c r="K239" s="13"/>
    </row>
    <row r="240" spans="1:11" ht="15" customHeight="1">
      <c r="A240" s="811"/>
      <c r="B240" s="804"/>
      <c r="C240" s="7">
        <f t="shared" ref="C240:C241" si="29">C239</f>
        <v>120</v>
      </c>
      <c r="D240" s="9" t="s">
        <v>257</v>
      </c>
      <c r="E240" s="148">
        <v>280000</v>
      </c>
      <c r="G240" s="8">
        <v>120</v>
      </c>
      <c r="H240" s="11">
        <v>0.7</v>
      </c>
      <c r="I240" s="12" t="e">
        <f>ROUND(#REF!*1000000/G240/H240,-3)</f>
        <v>#REF!</v>
      </c>
      <c r="J240" s="137"/>
      <c r="K240" s="13"/>
    </row>
    <row r="241" spans="1:11" ht="15" customHeight="1">
      <c r="A241" s="811"/>
      <c r="B241" s="804"/>
      <c r="C241" s="7">
        <f t="shared" si="29"/>
        <v>120</v>
      </c>
      <c r="D241" s="9" t="s">
        <v>258</v>
      </c>
      <c r="E241" s="148">
        <v>815000</v>
      </c>
      <c r="G241" s="8">
        <v>120</v>
      </c>
      <c r="H241" s="11">
        <v>0.7</v>
      </c>
      <c r="I241" s="12" t="e">
        <f>ROUND(#REF!*1000000/G241/H241,-3)</f>
        <v>#REF!</v>
      </c>
      <c r="J241" s="137"/>
      <c r="K241" s="13"/>
    </row>
    <row r="242" spans="1:11" ht="15" customHeight="1">
      <c r="A242" s="811"/>
      <c r="B242" s="804"/>
      <c r="C242" s="7">
        <v>300</v>
      </c>
      <c r="D242" s="9" t="s">
        <v>259</v>
      </c>
      <c r="E242" s="148">
        <v>1780000</v>
      </c>
      <c r="G242" s="8">
        <v>300</v>
      </c>
      <c r="H242" s="11">
        <v>0.7</v>
      </c>
      <c r="I242" s="12" t="e">
        <f>ROUND(#REF!*1000000/G242/H242,-3)</f>
        <v>#REF!</v>
      </c>
      <c r="J242" s="137"/>
      <c r="K242" s="13"/>
    </row>
    <row r="243" spans="1:11" ht="15" customHeight="1">
      <c r="A243" s="811"/>
      <c r="B243" s="804"/>
      <c r="C243" s="7">
        <f>C242</f>
        <v>300</v>
      </c>
      <c r="D243" s="9" t="s">
        <v>260</v>
      </c>
      <c r="E243" s="148">
        <v>2265000</v>
      </c>
      <c r="G243" s="8">
        <v>300</v>
      </c>
      <c r="H243" s="11">
        <v>0.7</v>
      </c>
      <c r="I243" s="12" t="e">
        <f>ROUND(#REF!*1000000/G243/H243,-3)</f>
        <v>#REF!</v>
      </c>
      <c r="J243" s="137"/>
      <c r="K243" s="13"/>
    </row>
    <row r="244" spans="1:11" ht="15" customHeight="1">
      <c r="A244" s="811"/>
      <c r="B244" s="804"/>
      <c r="C244" s="7">
        <v>350</v>
      </c>
      <c r="D244" s="9" t="s">
        <v>2848</v>
      </c>
      <c r="E244" s="148">
        <v>2470000</v>
      </c>
      <c r="G244" s="8">
        <v>350</v>
      </c>
      <c r="H244" s="11">
        <v>0.7</v>
      </c>
      <c r="I244" s="12" t="e">
        <f>ROUND(#REF!*1000000/G244/H244,-3)</f>
        <v>#REF!</v>
      </c>
      <c r="J244" s="137"/>
      <c r="K244" s="13"/>
    </row>
    <row r="245" spans="1:11" ht="15" customHeight="1">
      <c r="A245" s="811"/>
      <c r="B245" s="804"/>
      <c r="C245" s="7">
        <v>100</v>
      </c>
      <c r="D245" s="9" t="s">
        <v>2849</v>
      </c>
      <c r="E245" s="148">
        <v>2640000</v>
      </c>
      <c r="G245" s="8">
        <v>100</v>
      </c>
      <c r="H245" s="11">
        <v>0.7</v>
      </c>
      <c r="I245" s="12" t="e">
        <f>ROUND(#REF!*1000000/G245/H245,-3)</f>
        <v>#REF!</v>
      </c>
      <c r="J245" s="137"/>
      <c r="K245" s="13"/>
    </row>
    <row r="246" spans="1:11" ht="15" customHeight="1">
      <c r="A246" s="811"/>
      <c r="B246" s="804"/>
      <c r="C246" s="7">
        <f>C245</f>
        <v>100</v>
      </c>
      <c r="D246" s="9" t="s">
        <v>2850</v>
      </c>
      <c r="E246" s="148">
        <v>875000</v>
      </c>
      <c r="G246" s="8"/>
      <c r="H246" s="11"/>
      <c r="I246" s="12"/>
      <c r="J246" s="137"/>
      <c r="K246" s="13"/>
    </row>
    <row r="247" spans="1:11" ht="15" customHeight="1">
      <c r="A247" s="811"/>
      <c r="B247" s="804"/>
      <c r="C247" s="7">
        <v>120</v>
      </c>
      <c r="D247" s="9" t="s">
        <v>2851</v>
      </c>
      <c r="E247" s="148">
        <v>915000</v>
      </c>
      <c r="G247" s="8">
        <v>120</v>
      </c>
      <c r="H247" s="11">
        <v>0.7</v>
      </c>
      <c r="I247" s="12" t="e">
        <f>ROUND(#REF!*1000000/G247/H247,-3)</f>
        <v>#REF!</v>
      </c>
      <c r="J247" s="137"/>
      <c r="K247" s="13"/>
    </row>
    <row r="248" spans="1:11" ht="15" customHeight="1">
      <c r="A248" s="811"/>
      <c r="B248" s="804"/>
      <c r="C248" s="7">
        <f t="shared" ref="C248:C250" si="30">C247</f>
        <v>120</v>
      </c>
      <c r="D248" s="9" t="s">
        <v>261</v>
      </c>
      <c r="E248" s="148">
        <v>935000</v>
      </c>
      <c r="G248" s="8">
        <v>120</v>
      </c>
      <c r="H248" s="11">
        <v>0.7</v>
      </c>
      <c r="I248" s="12" t="e">
        <f>ROUND(#REF!*1000000/G248/H248,-3)</f>
        <v>#REF!</v>
      </c>
      <c r="J248" s="137"/>
      <c r="K248" s="13"/>
    </row>
    <row r="249" spans="1:11" ht="15" customHeight="1">
      <c r="A249" s="811"/>
      <c r="B249" s="804"/>
      <c r="C249" s="7">
        <f t="shared" si="30"/>
        <v>120</v>
      </c>
      <c r="D249" s="9" t="s">
        <v>262</v>
      </c>
      <c r="E249" s="148">
        <v>1025000</v>
      </c>
      <c r="G249" s="8"/>
      <c r="H249" s="11"/>
      <c r="I249" s="12"/>
      <c r="J249" s="137"/>
      <c r="K249" s="13"/>
    </row>
    <row r="250" spans="1:11" ht="15" customHeight="1">
      <c r="A250" s="811"/>
      <c r="B250" s="804"/>
      <c r="C250" s="7">
        <f t="shared" si="30"/>
        <v>120</v>
      </c>
      <c r="D250" s="9" t="s">
        <v>263</v>
      </c>
      <c r="E250" s="148">
        <v>1155000</v>
      </c>
      <c r="G250" s="8">
        <v>120</v>
      </c>
      <c r="H250" s="11">
        <v>0.7</v>
      </c>
      <c r="I250" s="12" t="e">
        <f>ROUND(#REF!*1000000/G250/H250,-3)</f>
        <v>#REF!</v>
      </c>
      <c r="J250" s="137"/>
      <c r="K250" s="13"/>
    </row>
    <row r="251" spans="1:11" ht="15" customHeight="1">
      <c r="A251" s="811"/>
      <c r="B251" s="804"/>
      <c r="C251" s="7">
        <v>300</v>
      </c>
      <c r="D251" s="9" t="s">
        <v>264</v>
      </c>
      <c r="E251" s="148">
        <v>2100000</v>
      </c>
      <c r="G251" s="8">
        <v>300</v>
      </c>
      <c r="H251" s="11">
        <v>0.7</v>
      </c>
      <c r="I251" s="12" t="e">
        <f>ROUND(#REF!*1000000/G251/H251,-3)</f>
        <v>#REF!</v>
      </c>
      <c r="J251" s="137"/>
      <c r="K251" s="13"/>
    </row>
    <row r="252" spans="1:11" ht="15" customHeight="1">
      <c r="A252" s="811"/>
      <c r="B252" s="804"/>
      <c r="C252" s="7">
        <f>C251</f>
        <v>300</v>
      </c>
      <c r="D252" s="9" t="s">
        <v>265</v>
      </c>
      <c r="E252" s="148">
        <v>2570000</v>
      </c>
      <c r="G252" s="8">
        <v>300</v>
      </c>
      <c r="H252" s="11">
        <v>0.7</v>
      </c>
      <c r="I252" s="12" t="e">
        <f>ROUND(#REF!*1000000/G252/H252,-3)</f>
        <v>#REF!</v>
      </c>
      <c r="J252" s="137"/>
      <c r="K252" s="13"/>
    </row>
    <row r="253" spans="1:11" ht="15" customHeight="1">
      <c r="A253" s="811"/>
      <c r="B253" s="804"/>
      <c r="C253" s="7">
        <v>350</v>
      </c>
      <c r="D253" s="9" t="s">
        <v>2852</v>
      </c>
      <c r="E253" s="148">
        <v>2810000</v>
      </c>
      <c r="G253" s="8">
        <v>350</v>
      </c>
      <c r="H253" s="11">
        <v>0.7</v>
      </c>
      <c r="I253" s="12" t="e">
        <f>ROUND(#REF!*1000000/G253/H253,-3)</f>
        <v>#REF!</v>
      </c>
      <c r="J253" s="137"/>
      <c r="K253" s="13"/>
    </row>
    <row r="254" spans="1:11" ht="15" customHeight="1">
      <c r="A254" s="811"/>
      <c r="B254" s="805"/>
      <c r="C254" s="7">
        <f>C253</f>
        <v>350</v>
      </c>
      <c r="D254" s="9" t="s">
        <v>2853</v>
      </c>
      <c r="E254" s="148">
        <v>3000000</v>
      </c>
      <c r="G254" s="8"/>
      <c r="H254" s="11"/>
      <c r="I254" s="12"/>
      <c r="J254" s="137"/>
      <c r="K254" s="13"/>
    </row>
    <row r="255" spans="1:11" ht="15" customHeight="1">
      <c r="A255" s="811"/>
      <c r="B255" s="810" t="s">
        <v>232</v>
      </c>
      <c r="C255" s="7">
        <v>500</v>
      </c>
      <c r="D255" s="9" t="s">
        <v>266</v>
      </c>
      <c r="E255" s="148">
        <v>3725000</v>
      </c>
      <c r="G255" s="8">
        <v>500</v>
      </c>
      <c r="H255" s="11">
        <v>0.68</v>
      </c>
      <c r="I255" s="12" t="e">
        <f>ROUND(#REF!*1000000/G255/H255,-3)</f>
        <v>#REF!</v>
      </c>
      <c r="J255" s="137"/>
      <c r="K255" s="13"/>
    </row>
    <row r="256" spans="1:11" ht="15" customHeight="1">
      <c r="A256" s="811"/>
      <c r="B256" s="810"/>
      <c r="C256" s="7">
        <f>C255</f>
        <v>500</v>
      </c>
      <c r="D256" s="9" t="s">
        <v>267</v>
      </c>
      <c r="E256" s="148">
        <v>4020000</v>
      </c>
      <c r="G256" s="8">
        <v>500</v>
      </c>
      <c r="H256" s="11">
        <v>0.68</v>
      </c>
      <c r="I256" s="12" t="e">
        <f>ROUND(#REF!*1000000/G256/H256,-3)</f>
        <v>#REF!</v>
      </c>
      <c r="J256" s="137"/>
      <c r="K256" s="13"/>
    </row>
    <row r="257" spans="1:11" ht="15" customHeight="1">
      <c r="A257" s="811" t="s">
        <v>268</v>
      </c>
      <c r="B257" s="810" t="s">
        <v>255</v>
      </c>
      <c r="C257" s="7">
        <v>300</v>
      </c>
      <c r="D257" s="9" t="s">
        <v>269</v>
      </c>
      <c r="E257" s="148">
        <v>1850000</v>
      </c>
      <c r="G257" s="8">
        <v>300</v>
      </c>
      <c r="H257" s="11">
        <v>0.7</v>
      </c>
      <c r="I257" s="12" t="e">
        <f>ROUND(#REF!*1000000/G257/H257,-3)</f>
        <v>#REF!</v>
      </c>
      <c r="J257" s="138">
        <v>450</v>
      </c>
      <c r="K257" s="13"/>
    </row>
    <row r="258" spans="1:11" ht="15" customHeight="1">
      <c r="A258" s="811"/>
      <c r="B258" s="810"/>
      <c r="C258" s="7">
        <f t="shared" ref="C258:C259" si="31">C257</f>
        <v>300</v>
      </c>
      <c r="D258" s="9" t="s">
        <v>270</v>
      </c>
      <c r="E258" s="148">
        <v>2215000</v>
      </c>
      <c r="G258" s="8">
        <v>300</v>
      </c>
      <c r="H258" s="11">
        <v>0.7</v>
      </c>
      <c r="I258" s="12" t="e">
        <f>ROUND(#REF!*1000000/G258/H258,-3)</f>
        <v>#REF!</v>
      </c>
      <c r="J258" s="138">
        <v>450</v>
      </c>
      <c r="K258" s="13"/>
    </row>
    <row r="259" spans="1:11" ht="15" customHeight="1">
      <c r="A259" s="811"/>
      <c r="B259" s="810"/>
      <c r="C259" s="7">
        <f t="shared" si="31"/>
        <v>300</v>
      </c>
      <c r="D259" s="9" t="s">
        <v>271</v>
      </c>
      <c r="E259" s="148">
        <v>2350000</v>
      </c>
      <c r="G259" s="8">
        <v>300</v>
      </c>
      <c r="H259" s="11">
        <v>0.7</v>
      </c>
      <c r="I259" s="12" t="e">
        <f>ROUND(#REF!*1000000/G259/H259,-3)</f>
        <v>#REF!</v>
      </c>
      <c r="J259" s="138">
        <v>450</v>
      </c>
      <c r="K259" s="13"/>
    </row>
    <row r="260" spans="1:11" ht="15" customHeight="1">
      <c r="A260" s="813" t="s">
        <v>272</v>
      </c>
      <c r="B260" s="810" t="s">
        <v>273</v>
      </c>
      <c r="C260" s="7">
        <v>125</v>
      </c>
      <c r="D260" s="9" t="s">
        <v>2854</v>
      </c>
      <c r="E260" s="148">
        <v>1375000</v>
      </c>
      <c r="G260" s="8">
        <v>125</v>
      </c>
      <c r="H260" s="11">
        <f t="shared" ref="H260" si="32">0.7*1.02</f>
        <v>0.71399999999999997</v>
      </c>
      <c r="I260" s="12" t="e">
        <f>ROUND(#REF!*1000000/G260/H260,-3)</f>
        <v>#REF!</v>
      </c>
      <c r="J260" s="137"/>
      <c r="K260" s="13"/>
    </row>
    <row r="261" spans="1:11" ht="15" customHeight="1">
      <c r="A261" s="816"/>
      <c r="B261" s="810"/>
      <c r="C261" s="7" t="s">
        <v>2856</v>
      </c>
      <c r="D261" s="9" t="s">
        <v>2855</v>
      </c>
      <c r="E261" s="148">
        <v>1600000</v>
      </c>
      <c r="G261" s="8"/>
      <c r="H261" s="11"/>
      <c r="I261" s="12"/>
      <c r="J261" s="137"/>
      <c r="K261" s="13"/>
    </row>
    <row r="262" spans="1:11" ht="15" customHeight="1">
      <c r="A262" s="816"/>
      <c r="B262" s="810" t="s">
        <v>274</v>
      </c>
      <c r="C262" s="7">
        <v>130</v>
      </c>
      <c r="D262" s="9" t="s">
        <v>2857</v>
      </c>
      <c r="E262" s="148">
        <v>1500000</v>
      </c>
      <c r="G262" s="8">
        <v>130</v>
      </c>
      <c r="H262" s="11">
        <v>0.72</v>
      </c>
      <c r="I262" s="12" t="e">
        <f>ROUND(#REF!*1000000/G262/H262,-3)</f>
        <v>#REF!</v>
      </c>
      <c r="J262" s="137"/>
      <c r="K262" s="13"/>
    </row>
    <row r="263" spans="1:11" ht="15" customHeight="1">
      <c r="A263" s="816"/>
      <c r="B263" s="810"/>
      <c r="C263" s="7">
        <f t="shared" ref="C263:C264" si="33">C262</f>
        <v>130</v>
      </c>
      <c r="D263" s="9" t="s">
        <v>275</v>
      </c>
      <c r="E263" s="148">
        <v>1650000</v>
      </c>
      <c r="G263" s="8">
        <v>130</v>
      </c>
      <c r="H263" s="11">
        <v>0.72</v>
      </c>
      <c r="I263" s="12" t="e">
        <f>ROUND(#REF!*1000000/G263/H263,-3)</f>
        <v>#REF!</v>
      </c>
      <c r="J263" s="137"/>
      <c r="K263" s="13"/>
    </row>
    <row r="264" spans="1:11" ht="15" customHeight="1">
      <c r="A264" s="816"/>
      <c r="B264" s="810"/>
      <c r="C264" s="7">
        <f t="shared" si="33"/>
        <v>130</v>
      </c>
      <c r="D264" s="9" t="s">
        <v>2858</v>
      </c>
      <c r="E264" s="148">
        <v>1775000</v>
      </c>
      <c r="G264" s="8">
        <v>130</v>
      </c>
      <c r="H264" s="11">
        <v>0.72</v>
      </c>
      <c r="I264" s="12" t="e">
        <f>ROUND(#REF!*1000000/G264/H264,-3)</f>
        <v>#REF!</v>
      </c>
      <c r="J264" s="137"/>
      <c r="K264" s="13"/>
    </row>
    <row r="265" spans="1:11" ht="15" customHeight="1">
      <c r="A265" s="816"/>
      <c r="B265" s="810"/>
      <c r="C265" s="7">
        <v>130</v>
      </c>
      <c r="D265" s="9" t="s">
        <v>2859</v>
      </c>
      <c r="E265" s="148">
        <v>1550000</v>
      </c>
      <c r="G265" s="8">
        <v>130</v>
      </c>
      <c r="H265" s="11">
        <v>0.72</v>
      </c>
      <c r="I265" s="12" t="e">
        <f>ROUND(#REF!*1000000/G265/H265,-3)</f>
        <v>#REF!</v>
      </c>
      <c r="J265" s="137"/>
      <c r="K265" s="13"/>
    </row>
    <row r="266" spans="1:11" ht="15" customHeight="1">
      <c r="A266" s="816"/>
      <c r="B266" s="810"/>
      <c r="C266" s="7">
        <f t="shared" ref="C266:C267" si="34">C265</f>
        <v>130</v>
      </c>
      <c r="D266" s="9" t="s">
        <v>276</v>
      </c>
      <c r="E266" s="148">
        <v>1750000</v>
      </c>
      <c r="G266" s="8">
        <v>130</v>
      </c>
      <c r="H266" s="11">
        <v>0.72</v>
      </c>
      <c r="I266" s="12" t="e">
        <f>ROUND(#REF!*1000000/G266/H266,-3)</f>
        <v>#REF!</v>
      </c>
      <c r="J266" s="137"/>
      <c r="K266" s="13"/>
    </row>
    <row r="267" spans="1:11" ht="15" customHeight="1">
      <c r="A267" s="816"/>
      <c r="B267" s="810"/>
      <c r="C267" s="7">
        <f t="shared" si="34"/>
        <v>130</v>
      </c>
      <c r="D267" s="9" t="s">
        <v>2860</v>
      </c>
      <c r="E267" s="148">
        <v>1850000</v>
      </c>
      <c r="G267" s="8">
        <v>130</v>
      </c>
      <c r="H267" s="11">
        <v>0.72</v>
      </c>
      <c r="I267" s="12" t="e">
        <f>ROUND(#REF!*1000000/G267/H267,-3)</f>
        <v>#REF!</v>
      </c>
      <c r="J267" s="137"/>
      <c r="K267" s="13"/>
    </row>
    <row r="268" spans="1:11" ht="15" customHeight="1">
      <c r="A268" s="810" t="s">
        <v>277</v>
      </c>
      <c r="B268" s="810" t="s">
        <v>236</v>
      </c>
      <c r="C268" s="7">
        <v>100</v>
      </c>
      <c r="D268" s="9" t="s">
        <v>278</v>
      </c>
      <c r="E268" s="148">
        <v>485000</v>
      </c>
      <c r="G268" s="8">
        <v>100</v>
      </c>
      <c r="H268" s="11">
        <v>0.7</v>
      </c>
      <c r="I268" s="12" t="e">
        <f>ROUND(#REF!*1000000/G268/H268,-3)</f>
        <v>#REF!</v>
      </c>
      <c r="J268" s="136">
        <v>140</v>
      </c>
      <c r="K268" s="13"/>
    </row>
    <row r="269" spans="1:11" ht="15" customHeight="1">
      <c r="A269" s="810"/>
      <c r="B269" s="810"/>
      <c r="C269" s="7">
        <f t="shared" ref="C269:C272" si="35">C268</f>
        <v>100</v>
      </c>
      <c r="D269" s="9" t="s">
        <v>279</v>
      </c>
      <c r="E269" s="148">
        <v>510000</v>
      </c>
      <c r="G269" s="8">
        <v>100</v>
      </c>
      <c r="H269" s="11">
        <v>0.7</v>
      </c>
      <c r="I269" s="12" t="e">
        <f>ROUND(#REF!*1000000/G269/H269,-3)</f>
        <v>#REF!</v>
      </c>
      <c r="J269" s="136">
        <v>140</v>
      </c>
      <c r="K269" s="13"/>
    </row>
    <row r="270" spans="1:11" ht="15" customHeight="1">
      <c r="A270" s="810"/>
      <c r="B270" s="810"/>
      <c r="C270" s="7">
        <f t="shared" si="35"/>
        <v>100</v>
      </c>
      <c r="D270" s="9" t="s">
        <v>280</v>
      </c>
      <c r="E270" s="148">
        <v>535000</v>
      </c>
      <c r="G270" s="8">
        <v>100</v>
      </c>
      <c r="H270" s="11">
        <v>0.7</v>
      </c>
      <c r="I270" s="12" t="e">
        <f>ROUND(#REF!*1000000/G270/H270,-3)</f>
        <v>#REF!</v>
      </c>
      <c r="J270" s="136">
        <v>140</v>
      </c>
      <c r="K270" s="13"/>
    </row>
    <row r="271" spans="1:11" ht="15" customHeight="1">
      <c r="A271" s="810"/>
      <c r="B271" s="810"/>
      <c r="C271" s="7">
        <f t="shared" si="35"/>
        <v>100</v>
      </c>
      <c r="D271" s="9" t="s">
        <v>281</v>
      </c>
      <c r="E271" s="148">
        <v>565000</v>
      </c>
      <c r="G271" s="8">
        <v>100</v>
      </c>
      <c r="H271" s="11">
        <v>0.7</v>
      </c>
      <c r="I271" s="12" t="e">
        <f>ROUND(#REF!*1000000/G271/H271,-3)</f>
        <v>#REF!</v>
      </c>
      <c r="J271" s="136">
        <v>140</v>
      </c>
      <c r="K271" s="13"/>
    </row>
    <row r="272" spans="1:11" ht="15" customHeight="1">
      <c r="A272" s="810"/>
      <c r="B272" s="810"/>
      <c r="C272" s="7">
        <f t="shared" si="35"/>
        <v>100</v>
      </c>
      <c r="D272" s="9" t="s">
        <v>282</v>
      </c>
      <c r="E272" s="148">
        <v>660000</v>
      </c>
      <c r="G272" s="8">
        <v>100</v>
      </c>
      <c r="H272" s="11">
        <v>0.7</v>
      </c>
      <c r="I272" s="12" t="e">
        <f>ROUND(#REF!*1000000/G272/H272,-3)</f>
        <v>#REF!</v>
      </c>
      <c r="J272" s="136">
        <v>140</v>
      </c>
      <c r="K272" s="13"/>
    </row>
    <row r="273" spans="1:11" ht="15" customHeight="1">
      <c r="A273" s="810"/>
      <c r="B273" s="810"/>
      <c r="C273" s="7">
        <v>120</v>
      </c>
      <c r="D273" s="9" t="s">
        <v>4856</v>
      </c>
      <c r="E273" s="148">
        <v>630000</v>
      </c>
      <c r="G273" s="8">
        <v>120</v>
      </c>
      <c r="H273" s="11">
        <v>0.7</v>
      </c>
      <c r="I273" s="12" t="e">
        <f>ROUND(#REF!*1000000/G273/H273,-3)</f>
        <v>#REF!</v>
      </c>
      <c r="J273" s="136">
        <v>175</v>
      </c>
      <c r="K273" s="13"/>
    </row>
    <row r="274" spans="1:11" ht="15" customHeight="1">
      <c r="A274" s="810"/>
      <c r="B274" s="810"/>
      <c r="C274" s="7">
        <v>120</v>
      </c>
      <c r="D274" s="9" t="s">
        <v>4857</v>
      </c>
      <c r="E274" s="148">
        <v>645000</v>
      </c>
      <c r="G274" s="8"/>
      <c r="H274" s="11"/>
      <c r="I274" s="12"/>
      <c r="J274" s="136"/>
      <c r="K274" s="13"/>
    </row>
    <row r="275" spans="1:11" ht="15" customHeight="1">
      <c r="A275" s="810"/>
      <c r="B275" s="810"/>
      <c r="C275" s="7">
        <v>120</v>
      </c>
      <c r="D275" s="9" t="s">
        <v>4858</v>
      </c>
      <c r="E275" s="148">
        <v>660000</v>
      </c>
      <c r="G275" s="8"/>
      <c r="H275" s="11"/>
      <c r="I275" s="12"/>
      <c r="J275" s="136"/>
      <c r="K275" s="13"/>
    </row>
    <row r="276" spans="1:11" ht="15" customHeight="1">
      <c r="A276" s="810"/>
      <c r="B276" s="810"/>
      <c r="C276" s="7">
        <v>120</v>
      </c>
      <c r="D276" s="9" t="s">
        <v>4859</v>
      </c>
      <c r="E276" s="148">
        <v>680000</v>
      </c>
      <c r="G276" s="8"/>
      <c r="H276" s="11"/>
      <c r="I276" s="12"/>
      <c r="J276" s="136"/>
      <c r="K276" s="13"/>
    </row>
    <row r="277" spans="1:11" ht="13.2">
      <c r="A277" s="810"/>
      <c r="B277" s="810"/>
      <c r="C277" s="7">
        <f>C273</f>
        <v>120</v>
      </c>
      <c r="D277" s="9" t="s">
        <v>4860</v>
      </c>
      <c r="E277" s="148">
        <v>700000</v>
      </c>
      <c r="G277" s="8">
        <v>120</v>
      </c>
      <c r="H277" s="11">
        <v>0.7</v>
      </c>
      <c r="I277" s="12" t="e">
        <f>ROUND(#REF!*1000000/G277/H277,-3)</f>
        <v>#REF!</v>
      </c>
      <c r="J277" s="136">
        <v>175</v>
      </c>
      <c r="K277" s="13"/>
    </row>
    <row r="278" spans="1:11" ht="15" customHeight="1">
      <c r="A278" s="810"/>
      <c r="B278" s="810"/>
      <c r="C278" s="7">
        <f t="shared" ref="C278:C279" si="36">C277</f>
        <v>120</v>
      </c>
      <c r="D278" s="9" t="s">
        <v>4861</v>
      </c>
      <c r="E278" s="148">
        <v>770000</v>
      </c>
      <c r="G278" s="8">
        <v>120</v>
      </c>
      <c r="H278" s="11">
        <v>0.7</v>
      </c>
      <c r="I278" s="12" t="e">
        <f>ROUND(#REF!*1000000/G278/H278,-3)</f>
        <v>#REF!</v>
      </c>
      <c r="J278" s="136">
        <v>175</v>
      </c>
      <c r="K278" s="13"/>
    </row>
    <row r="279" spans="1:11" ht="15" customHeight="1">
      <c r="A279" s="810"/>
      <c r="B279" s="810"/>
      <c r="C279" s="7">
        <f t="shared" si="36"/>
        <v>120</v>
      </c>
      <c r="D279" s="9" t="s">
        <v>4862</v>
      </c>
      <c r="E279" s="148">
        <v>790000</v>
      </c>
      <c r="G279" s="8">
        <v>120</v>
      </c>
      <c r="H279" s="11">
        <v>0.7</v>
      </c>
      <c r="I279" s="12" t="e">
        <f>ROUND(#REF!*1000000/G279/H279,-3)</f>
        <v>#REF!</v>
      </c>
      <c r="J279" s="136">
        <v>175</v>
      </c>
      <c r="K279" s="13"/>
    </row>
    <row r="280" spans="1:11" ht="15" customHeight="1">
      <c r="A280" s="810"/>
      <c r="B280" s="810"/>
      <c r="C280" s="7">
        <v>240</v>
      </c>
      <c r="D280" s="9" t="s">
        <v>284</v>
      </c>
      <c r="E280" s="148">
        <v>1195000</v>
      </c>
      <c r="G280" s="8">
        <v>240</v>
      </c>
      <c r="H280" s="11">
        <v>0.7</v>
      </c>
      <c r="I280" s="12" t="e">
        <f>ROUND(#REF!*1000000/G280/H280,-3)</f>
        <v>#REF!</v>
      </c>
      <c r="J280" s="136">
        <v>345</v>
      </c>
      <c r="K280" s="13"/>
    </row>
    <row r="281" spans="1:11" ht="15" customHeight="1">
      <c r="A281" s="810"/>
      <c r="B281" s="810"/>
      <c r="C281" s="7">
        <f t="shared" ref="C281:C283" si="37">C280</f>
        <v>240</v>
      </c>
      <c r="D281" s="9" t="s">
        <v>285</v>
      </c>
      <c r="E281" s="148">
        <v>1260000</v>
      </c>
      <c r="G281" s="8">
        <v>240</v>
      </c>
      <c r="H281" s="11">
        <v>0.7</v>
      </c>
      <c r="I281" s="12" t="e">
        <f>ROUND(#REF!*1000000/G281/H281,-3)</f>
        <v>#REF!</v>
      </c>
      <c r="J281" s="136">
        <v>345</v>
      </c>
      <c r="K281" s="13"/>
    </row>
    <row r="282" spans="1:11" ht="15" customHeight="1">
      <c r="A282" s="810"/>
      <c r="B282" s="810"/>
      <c r="C282" s="7">
        <f t="shared" si="37"/>
        <v>240</v>
      </c>
      <c r="D282" s="9" t="s">
        <v>283</v>
      </c>
      <c r="E282" s="148">
        <v>1340000</v>
      </c>
      <c r="G282" s="8">
        <v>240</v>
      </c>
      <c r="H282" s="11">
        <v>0.7</v>
      </c>
      <c r="I282" s="12" t="e">
        <f>ROUND(#REF!*1000000/G282/H282,-3)</f>
        <v>#REF!</v>
      </c>
      <c r="J282" s="136">
        <v>345</v>
      </c>
      <c r="K282" s="13"/>
    </row>
    <row r="283" spans="1:11" ht="15" customHeight="1">
      <c r="A283" s="810"/>
      <c r="B283" s="810"/>
      <c r="C283" s="7">
        <f t="shared" si="37"/>
        <v>240</v>
      </c>
      <c r="D283" s="9" t="s">
        <v>286</v>
      </c>
      <c r="E283" s="148">
        <v>1475000</v>
      </c>
      <c r="G283" s="8">
        <v>240</v>
      </c>
      <c r="H283" s="11">
        <v>0.7</v>
      </c>
      <c r="I283" s="12" t="e">
        <f>ROUND(#REF!*1000000/G283/H283,-3)</f>
        <v>#REF!</v>
      </c>
      <c r="J283" s="136">
        <v>345</v>
      </c>
      <c r="K283" s="13"/>
    </row>
    <row r="284" spans="1:11" ht="15" customHeight="1">
      <c r="A284" s="810"/>
      <c r="B284" s="810"/>
      <c r="C284" s="7">
        <v>300</v>
      </c>
      <c r="D284" s="9" t="s">
        <v>4863</v>
      </c>
      <c r="E284" s="148">
        <v>1290000</v>
      </c>
      <c r="G284" s="8">
        <v>300</v>
      </c>
      <c r="H284" s="11">
        <v>0.7</v>
      </c>
      <c r="I284" s="12" t="e">
        <f>ROUND(#REF!*1000000/G284/H284,-3)</f>
        <v>#REF!</v>
      </c>
      <c r="J284" s="136">
        <v>440</v>
      </c>
      <c r="K284" s="13"/>
    </row>
    <row r="285" spans="1:11" ht="15" customHeight="1">
      <c r="A285" s="810"/>
      <c r="B285" s="810"/>
      <c r="C285" s="7">
        <v>300</v>
      </c>
      <c r="D285" s="9" t="s">
        <v>4864</v>
      </c>
      <c r="E285" s="148">
        <v>1350000</v>
      </c>
      <c r="G285" s="8"/>
      <c r="H285" s="11"/>
      <c r="I285" s="12"/>
      <c r="J285" s="136"/>
      <c r="K285" s="13"/>
    </row>
    <row r="286" spans="1:11" ht="15" customHeight="1">
      <c r="A286" s="810"/>
      <c r="B286" s="810"/>
      <c r="C286" s="7">
        <v>300</v>
      </c>
      <c r="D286" s="9" t="s">
        <v>4865</v>
      </c>
      <c r="E286" s="148">
        <v>1390000</v>
      </c>
      <c r="G286" s="8"/>
      <c r="H286" s="11"/>
      <c r="I286" s="12"/>
      <c r="J286" s="136"/>
      <c r="K286" s="13"/>
    </row>
    <row r="287" spans="1:11" ht="15" customHeight="1">
      <c r="A287" s="810"/>
      <c r="B287" s="810"/>
      <c r="C287" s="7">
        <v>300</v>
      </c>
      <c r="D287" s="9" t="s">
        <v>4866</v>
      </c>
      <c r="E287" s="148">
        <v>1420000</v>
      </c>
      <c r="G287" s="8"/>
      <c r="H287" s="11"/>
      <c r="I287" s="12"/>
      <c r="J287" s="136"/>
      <c r="K287" s="13"/>
    </row>
    <row r="288" spans="1:11" ht="15" customHeight="1">
      <c r="A288" s="810"/>
      <c r="B288" s="810"/>
      <c r="C288" s="7">
        <v>300</v>
      </c>
      <c r="D288" s="9" t="s">
        <v>4857</v>
      </c>
      <c r="E288" s="148">
        <v>1455000</v>
      </c>
      <c r="G288" s="8"/>
      <c r="H288" s="11"/>
      <c r="I288" s="12"/>
      <c r="J288" s="136"/>
      <c r="K288" s="13"/>
    </row>
    <row r="289" spans="1:11" ht="15" customHeight="1">
      <c r="A289" s="810"/>
      <c r="B289" s="810"/>
      <c r="C289" s="7">
        <f>C284</f>
        <v>300</v>
      </c>
      <c r="D289" s="9" t="s">
        <v>4867</v>
      </c>
      <c r="E289" s="148">
        <v>1505000</v>
      </c>
      <c r="G289" s="8">
        <v>300</v>
      </c>
      <c r="H289" s="11">
        <v>0.7</v>
      </c>
      <c r="I289" s="12" t="e">
        <f>ROUND(#REF!*1000000/G289/H289,-3)</f>
        <v>#REF!</v>
      </c>
      <c r="J289" s="136">
        <v>440</v>
      </c>
      <c r="K289" s="13"/>
    </row>
    <row r="290" spans="1:11" ht="15" customHeight="1">
      <c r="A290" s="810"/>
      <c r="B290" s="810"/>
      <c r="C290" s="7">
        <f t="shared" ref="C290:C293" si="38">C289</f>
        <v>300</v>
      </c>
      <c r="D290" s="9" t="s">
        <v>4859</v>
      </c>
      <c r="E290" s="148">
        <v>1545000</v>
      </c>
      <c r="G290" s="8">
        <v>300</v>
      </c>
      <c r="H290" s="11">
        <v>0.7</v>
      </c>
      <c r="I290" s="12" t="e">
        <f>ROUND(#REF!*1000000/G290/H290,-3)</f>
        <v>#REF!</v>
      </c>
      <c r="J290" s="136">
        <v>440</v>
      </c>
      <c r="K290" s="13"/>
    </row>
    <row r="291" spans="1:11" ht="15" customHeight="1">
      <c r="A291" s="810"/>
      <c r="B291" s="810"/>
      <c r="C291" s="7">
        <f t="shared" si="38"/>
        <v>300</v>
      </c>
      <c r="D291" s="9" t="s">
        <v>4860</v>
      </c>
      <c r="E291" s="148">
        <v>1590000</v>
      </c>
      <c r="G291" s="8">
        <v>300</v>
      </c>
      <c r="H291" s="11">
        <v>0.7</v>
      </c>
      <c r="I291" s="12" t="e">
        <f>ROUND(#REF!*1000000/G291/H291,-3)</f>
        <v>#REF!</v>
      </c>
      <c r="J291" s="136">
        <v>440</v>
      </c>
      <c r="K291" s="13"/>
    </row>
    <row r="292" spans="1:11" ht="15" customHeight="1">
      <c r="A292" s="810"/>
      <c r="B292" s="810"/>
      <c r="C292" s="7">
        <f t="shared" si="38"/>
        <v>300</v>
      </c>
      <c r="D292" s="9" t="s">
        <v>4868</v>
      </c>
      <c r="E292" s="148">
        <v>1750000</v>
      </c>
      <c r="G292" s="8">
        <v>300</v>
      </c>
      <c r="H292" s="11">
        <v>0.7</v>
      </c>
      <c r="I292" s="12" t="e">
        <f>ROUND(#REF!*1000000/G292/H292,-3)</f>
        <v>#REF!</v>
      </c>
      <c r="J292" s="136">
        <v>440</v>
      </c>
      <c r="K292" s="13"/>
    </row>
    <row r="293" spans="1:11" ht="15" customHeight="1">
      <c r="A293" s="810"/>
      <c r="B293" s="810"/>
      <c r="C293" s="7">
        <f t="shared" si="38"/>
        <v>300</v>
      </c>
      <c r="D293" s="9" t="s">
        <v>4862</v>
      </c>
      <c r="E293" s="148">
        <v>1800000</v>
      </c>
      <c r="G293" s="8">
        <v>300</v>
      </c>
      <c r="H293" s="11">
        <v>0.7</v>
      </c>
      <c r="I293" s="12" t="e">
        <f>ROUND(#REF!*1000000/G293/H293,-3)</f>
        <v>#REF!</v>
      </c>
      <c r="J293" s="136">
        <v>440</v>
      </c>
      <c r="K293" s="13"/>
    </row>
    <row r="294" spans="1:11" ht="15" customHeight="1">
      <c r="A294" s="810"/>
      <c r="B294" s="810"/>
      <c r="C294" s="7">
        <v>350</v>
      </c>
      <c r="D294" s="9" t="s">
        <v>287</v>
      </c>
      <c r="E294" s="148">
        <v>1575000</v>
      </c>
      <c r="G294" s="8">
        <v>350</v>
      </c>
      <c r="H294" s="11">
        <v>0.7</v>
      </c>
      <c r="I294" s="12" t="e">
        <f>ROUND(#REF!*1000000/G294/H294,-3)</f>
        <v>#REF!</v>
      </c>
      <c r="J294" s="136">
        <v>515</v>
      </c>
      <c r="K294" s="13"/>
    </row>
    <row r="295" spans="1:11" ht="15" customHeight="1">
      <c r="A295" s="810"/>
      <c r="B295" s="810"/>
      <c r="C295" s="7">
        <v>350</v>
      </c>
      <c r="D295" s="9" t="s">
        <v>288</v>
      </c>
      <c r="E295" s="148">
        <v>1665000</v>
      </c>
      <c r="G295" s="8"/>
      <c r="H295" s="11"/>
      <c r="I295" s="12"/>
      <c r="J295" s="136"/>
      <c r="K295" s="13"/>
    </row>
    <row r="296" spans="1:11" ht="15" customHeight="1">
      <c r="A296" s="810"/>
      <c r="B296" s="810"/>
      <c r="C296" s="7">
        <f>C294</f>
        <v>350</v>
      </c>
      <c r="D296" s="9" t="s">
        <v>4870</v>
      </c>
      <c r="E296" s="148">
        <v>1940000</v>
      </c>
      <c r="G296" s="8">
        <v>350</v>
      </c>
      <c r="H296" s="11">
        <v>0.7</v>
      </c>
      <c r="I296" s="12" t="e">
        <f>ROUND(#REF!*1000000/G296/H296,-3)</f>
        <v>#REF!</v>
      </c>
      <c r="J296" s="136">
        <v>515</v>
      </c>
      <c r="K296" s="13"/>
    </row>
    <row r="297" spans="1:11" ht="15" customHeight="1">
      <c r="A297" s="810"/>
      <c r="B297" s="810"/>
      <c r="C297" s="7">
        <f t="shared" ref="C297" si="39">C296</f>
        <v>350</v>
      </c>
      <c r="D297" s="9" t="s">
        <v>4869</v>
      </c>
      <c r="E297" s="148">
        <v>1990000</v>
      </c>
      <c r="G297" s="8">
        <v>350</v>
      </c>
      <c r="H297" s="11">
        <v>0.7</v>
      </c>
      <c r="I297" s="12" t="e">
        <f>ROUND(#REF!*1000000/G297/H297,-3)</f>
        <v>#REF!</v>
      </c>
      <c r="J297" s="136">
        <v>515</v>
      </c>
      <c r="K297" s="13"/>
    </row>
    <row r="298" spans="1:11" ht="15" customHeight="1">
      <c r="A298" s="810"/>
      <c r="B298" s="810" t="s">
        <v>289</v>
      </c>
      <c r="C298" s="7">
        <v>120</v>
      </c>
      <c r="D298" s="9" t="s">
        <v>290</v>
      </c>
      <c r="E298" s="25">
        <v>525000</v>
      </c>
      <c r="G298" s="8">
        <v>120</v>
      </c>
      <c r="H298" s="11">
        <v>0.7</v>
      </c>
      <c r="I298" s="12" t="e">
        <f>ROUND(#REF!*1000000/G298/H298,-3)</f>
        <v>#REF!</v>
      </c>
      <c r="J298" s="136">
        <v>180</v>
      </c>
      <c r="K298" s="13"/>
    </row>
    <row r="299" spans="1:11" ht="15" customHeight="1">
      <c r="A299" s="810"/>
      <c r="B299" s="810"/>
      <c r="C299" s="7">
        <f>C298</f>
        <v>120</v>
      </c>
      <c r="D299" s="9" t="s">
        <v>291</v>
      </c>
      <c r="E299" s="25">
        <v>595000</v>
      </c>
      <c r="G299" s="8">
        <v>120</v>
      </c>
      <c r="H299" s="11">
        <v>0.7</v>
      </c>
      <c r="I299" s="12" t="e">
        <f>ROUND(#REF!*1000000/G299/H299,-3)</f>
        <v>#REF!</v>
      </c>
      <c r="J299" s="136">
        <v>180</v>
      </c>
      <c r="K299" s="13"/>
    </row>
    <row r="300" spans="1:11" ht="15" customHeight="1">
      <c r="A300" s="810"/>
      <c r="B300" s="810"/>
      <c r="C300" s="7">
        <v>240</v>
      </c>
      <c r="D300" s="9" t="s">
        <v>290</v>
      </c>
      <c r="E300" s="25">
        <v>1000000</v>
      </c>
      <c r="G300" s="8">
        <v>240</v>
      </c>
      <c r="H300" s="11">
        <v>0.7</v>
      </c>
      <c r="I300" s="12" t="e">
        <f>ROUND(#REF!*1000000/G300/H300,-3)</f>
        <v>#REF!</v>
      </c>
      <c r="J300" s="136">
        <v>350</v>
      </c>
      <c r="K300" s="13"/>
    </row>
    <row r="301" spans="1:11" ht="15" customHeight="1">
      <c r="A301" s="810"/>
      <c r="B301" s="810"/>
      <c r="C301" s="7">
        <f>C300</f>
        <v>240</v>
      </c>
      <c r="D301" s="9" t="s">
        <v>291</v>
      </c>
      <c r="E301" s="25">
        <v>1135000</v>
      </c>
      <c r="G301" s="8">
        <v>240</v>
      </c>
      <c r="H301" s="11">
        <v>0.7</v>
      </c>
      <c r="I301" s="12" t="e">
        <f>ROUND(#REF!*1000000/G301/H301,-3)</f>
        <v>#REF!</v>
      </c>
      <c r="J301" s="136">
        <v>350</v>
      </c>
      <c r="K301" s="13"/>
    </row>
    <row r="302" spans="1:11" ht="15" customHeight="1">
      <c r="A302" s="810"/>
      <c r="B302" s="810"/>
      <c r="C302" s="7">
        <v>300</v>
      </c>
      <c r="D302" s="9" t="s">
        <v>290</v>
      </c>
      <c r="E302" s="25">
        <v>1185000</v>
      </c>
      <c r="G302" s="8"/>
      <c r="H302" s="11"/>
      <c r="I302" s="12"/>
      <c r="J302" s="136"/>
      <c r="K302" s="13"/>
    </row>
    <row r="303" spans="1:11" ht="15" customHeight="1">
      <c r="A303" s="810"/>
      <c r="B303" s="810"/>
      <c r="C303" s="7" t="s">
        <v>4871</v>
      </c>
      <c r="D303" s="9" t="s">
        <v>4872</v>
      </c>
      <c r="E303" s="25">
        <v>1405000</v>
      </c>
      <c r="G303" s="8"/>
      <c r="H303" s="11"/>
      <c r="I303" s="12"/>
      <c r="J303" s="136"/>
      <c r="K303" s="13"/>
    </row>
    <row r="304" spans="1:11" ht="15" customHeight="1">
      <c r="A304" s="810"/>
      <c r="B304" s="810"/>
      <c r="C304" s="4" t="s">
        <v>4871</v>
      </c>
      <c r="D304" s="5" t="s">
        <v>4873</v>
      </c>
      <c r="E304" s="25">
        <v>1485000</v>
      </c>
      <c r="G304" s="8">
        <v>300</v>
      </c>
      <c r="H304" s="11">
        <v>0.7</v>
      </c>
      <c r="I304" s="12" t="e">
        <f>ROUND(#REF!*1000000/G304/H304,-3)</f>
        <v>#REF!</v>
      </c>
      <c r="J304" s="136">
        <v>440</v>
      </c>
      <c r="K304" s="13"/>
    </row>
    <row r="305" spans="1:11" s="1" customFormat="1" ht="15" customHeight="1">
      <c r="A305" s="811" t="s">
        <v>292</v>
      </c>
      <c r="B305" s="810" t="s">
        <v>255</v>
      </c>
      <c r="C305" s="7">
        <v>300</v>
      </c>
      <c r="D305" s="9" t="s">
        <v>293</v>
      </c>
      <c r="E305" s="148">
        <v>2250000</v>
      </c>
      <c r="G305" s="8">
        <v>300</v>
      </c>
      <c r="H305" s="11">
        <v>0.7</v>
      </c>
      <c r="I305" s="12" t="e">
        <f>ROUND(#REF!*1000000/G305/H305,-3)</f>
        <v>#REF!</v>
      </c>
      <c r="J305" s="137"/>
      <c r="K305" s="13"/>
    </row>
    <row r="306" spans="1:11" s="1" customFormat="1" ht="15" customHeight="1">
      <c r="A306" s="810"/>
      <c r="B306" s="810"/>
      <c r="C306" s="7">
        <f t="shared" ref="C306:C308" si="40">C305</f>
        <v>300</v>
      </c>
      <c r="D306" s="9" t="s">
        <v>2861</v>
      </c>
      <c r="E306" s="148">
        <v>2400000</v>
      </c>
      <c r="G306" s="8">
        <v>300</v>
      </c>
      <c r="H306" s="11">
        <v>0.7</v>
      </c>
      <c r="I306" s="12" t="e">
        <f>ROUND(#REF!*1000000/G306/H306,-3)</f>
        <v>#REF!</v>
      </c>
      <c r="J306" s="137"/>
      <c r="K306" s="13"/>
    </row>
    <row r="307" spans="1:11" s="1" customFormat="1" ht="15" customHeight="1">
      <c r="A307" s="810"/>
      <c r="B307" s="810"/>
      <c r="C307" s="7">
        <f t="shared" si="40"/>
        <v>300</v>
      </c>
      <c r="D307" s="9" t="s">
        <v>294</v>
      </c>
      <c r="E307" s="148">
        <v>2500000</v>
      </c>
      <c r="G307" s="8">
        <v>300</v>
      </c>
      <c r="H307" s="11">
        <v>0.7</v>
      </c>
      <c r="I307" s="12" t="e">
        <f>ROUND(#REF!*1000000/G307/H307,-3)</f>
        <v>#REF!</v>
      </c>
      <c r="J307" s="137"/>
      <c r="K307" s="13"/>
    </row>
    <row r="308" spans="1:11" s="1" customFormat="1" ht="15" customHeight="1">
      <c r="A308" s="810"/>
      <c r="B308" s="810"/>
      <c r="C308" s="7">
        <f t="shared" si="40"/>
        <v>300</v>
      </c>
      <c r="D308" s="9" t="s">
        <v>295</v>
      </c>
      <c r="E308" s="148">
        <v>2900000</v>
      </c>
      <c r="G308" s="8">
        <v>300</v>
      </c>
      <c r="H308" s="11">
        <v>0.7</v>
      </c>
      <c r="I308" s="12" t="e">
        <f>ROUND(#REF!*1000000/G308/H308,-3)</f>
        <v>#REF!</v>
      </c>
      <c r="J308" s="137"/>
      <c r="K308" s="13"/>
    </row>
    <row r="309" spans="1:11" s="1" customFormat="1" ht="15" customHeight="1">
      <c r="A309" s="811" t="s">
        <v>296</v>
      </c>
      <c r="B309" s="810" t="s">
        <v>297</v>
      </c>
      <c r="C309" s="33">
        <v>600</v>
      </c>
      <c r="D309" s="21" t="s">
        <v>298</v>
      </c>
      <c r="E309" s="211">
        <v>6530000</v>
      </c>
      <c r="G309" s="8">
        <v>600</v>
      </c>
      <c r="H309" s="11">
        <f t="shared" ref="H309:H313" si="41">0.68*0.98</f>
        <v>0.66639999999999999</v>
      </c>
      <c r="I309" s="12" t="e">
        <f>ROUND(#REF!*1000000/G309/H309,-3)</f>
        <v>#REF!</v>
      </c>
      <c r="J309" s="137"/>
      <c r="K309" s="13"/>
    </row>
    <row r="310" spans="1:11" s="1" customFormat="1" ht="15" customHeight="1">
      <c r="A310" s="811"/>
      <c r="B310" s="810"/>
      <c r="C310" s="33">
        <f t="shared" ref="C310:C313" si="42">C309</f>
        <v>600</v>
      </c>
      <c r="D310" s="21" t="s">
        <v>299</v>
      </c>
      <c r="E310" s="211">
        <v>6920000</v>
      </c>
      <c r="G310" s="8">
        <v>600</v>
      </c>
      <c r="H310" s="11">
        <f t="shared" si="41"/>
        <v>0.66639999999999999</v>
      </c>
      <c r="I310" s="12" t="e">
        <f>ROUND(#REF!*1000000/G310/H310,-3)</f>
        <v>#REF!</v>
      </c>
      <c r="J310" s="137"/>
      <c r="K310" s="13"/>
    </row>
    <row r="311" spans="1:11" s="1" customFormat="1" ht="15" customHeight="1">
      <c r="A311" s="811"/>
      <c r="B311" s="810"/>
      <c r="C311" s="33">
        <f t="shared" si="42"/>
        <v>600</v>
      </c>
      <c r="D311" s="21" t="s">
        <v>2862</v>
      </c>
      <c r="E311" s="211">
        <v>7370000</v>
      </c>
      <c r="G311" s="8">
        <v>600</v>
      </c>
      <c r="H311" s="11">
        <f t="shared" si="41"/>
        <v>0.66639999999999999</v>
      </c>
      <c r="I311" s="12" t="e">
        <f>ROUND(#REF!*1000000/G311/H311,-3)</f>
        <v>#REF!</v>
      </c>
      <c r="J311" s="137"/>
      <c r="K311" s="13"/>
    </row>
    <row r="312" spans="1:11" s="1" customFormat="1" ht="15" customHeight="1">
      <c r="A312" s="811"/>
      <c r="B312" s="810"/>
      <c r="C312" s="33">
        <f t="shared" si="42"/>
        <v>600</v>
      </c>
      <c r="D312" s="21" t="s">
        <v>2863</v>
      </c>
      <c r="E312" s="211">
        <v>7650000</v>
      </c>
      <c r="G312" s="8">
        <v>600</v>
      </c>
      <c r="H312" s="11">
        <f t="shared" si="41"/>
        <v>0.66639999999999999</v>
      </c>
      <c r="I312" s="12" t="e">
        <f>ROUND(#REF!*1000000/G312/H312,-3)</f>
        <v>#REF!</v>
      </c>
      <c r="J312" s="137"/>
      <c r="K312" s="13"/>
    </row>
    <row r="313" spans="1:11" s="1" customFormat="1" ht="15" customHeight="1">
      <c r="A313" s="811"/>
      <c r="B313" s="810"/>
      <c r="C313" s="33">
        <f t="shared" si="42"/>
        <v>600</v>
      </c>
      <c r="D313" s="21" t="s">
        <v>2864</v>
      </c>
      <c r="E313" s="211">
        <v>8550000</v>
      </c>
      <c r="G313" s="8">
        <v>600</v>
      </c>
      <c r="H313" s="11">
        <f t="shared" si="41"/>
        <v>0.66639999999999999</v>
      </c>
      <c r="I313" s="12" t="e">
        <f>ROUND(#REF!*1000000/G313/H313,-3)</f>
        <v>#REF!</v>
      </c>
      <c r="J313" s="137"/>
      <c r="K313" s="13"/>
    </row>
    <row r="314" spans="1:11" s="1" customFormat="1" ht="15" customHeight="1">
      <c r="A314" s="811"/>
      <c r="B314" s="7" t="s">
        <v>300</v>
      </c>
      <c r="C314" s="33">
        <v>600</v>
      </c>
      <c r="D314" s="21" t="s">
        <v>301</v>
      </c>
      <c r="E314" s="211">
        <v>5970000</v>
      </c>
      <c r="G314" s="8">
        <v>600</v>
      </c>
      <c r="H314" s="11">
        <f t="shared" ref="H314" si="43">0.98*0.68</f>
        <v>0.66639999999999999</v>
      </c>
      <c r="I314" s="12" t="e">
        <f>ROUND(#REF!*1000000/G314/H314,-3)</f>
        <v>#REF!</v>
      </c>
      <c r="J314" s="137"/>
      <c r="K314" s="13"/>
    </row>
    <row r="315" spans="1:11" ht="15" customHeight="1">
      <c r="A315" s="810" t="s">
        <v>302</v>
      </c>
      <c r="B315" s="810" t="s">
        <v>248</v>
      </c>
      <c r="C315" s="7">
        <v>110</v>
      </c>
      <c r="D315" s="9" t="s">
        <v>303</v>
      </c>
      <c r="E315" s="148">
        <v>1060000</v>
      </c>
      <c r="G315" s="8">
        <v>110</v>
      </c>
      <c r="H315" s="11">
        <v>0.7</v>
      </c>
      <c r="I315" s="12" t="e">
        <f>ROUND(#REF!*1000000/G315/H315,-3)</f>
        <v>#REF!</v>
      </c>
      <c r="J315" s="136">
        <v>185</v>
      </c>
      <c r="K315" s="13"/>
    </row>
    <row r="316" spans="1:11" ht="15" customHeight="1">
      <c r="A316" s="810"/>
      <c r="B316" s="810"/>
      <c r="C316" s="7">
        <v>300</v>
      </c>
      <c r="D316" s="9" t="s">
        <v>303</v>
      </c>
      <c r="E316" s="148">
        <v>1600000</v>
      </c>
      <c r="G316" s="8">
        <v>300</v>
      </c>
      <c r="H316" s="11">
        <v>0.7</v>
      </c>
      <c r="I316" s="12" t="e">
        <f>ROUND(#REF!*1000000/G316/H316,-3)</f>
        <v>#REF!</v>
      </c>
      <c r="J316" s="136">
        <v>550</v>
      </c>
      <c r="K316" s="13"/>
    </row>
    <row r="317" spans="1:11" ht="15" customHeight="1">
      <c r="A317" s="810"/>
      <c r="B317" s="810"/>
      <c r="C317" s="7">
        <v>600</v>
      </c>
      <c r="D317" s="9" t="s">
        <v>303</v>
      </c>
      <c r="E317" s="148">
        <v>6250000</v>
      </c>
      <c r="G317" s="8">
        <v>600</v>
      </c>
      <c r="H317" s="11">
        <v>0.7</v>
      </c>
      <c r="I317" s="12" t="e">
        <f>ROUND(#REF!*1000000/G317/H317,-3)</f>
        <v>#REF!</v>
      </c>
      <c r="J317" s="136">
        <v>1000</v>
      </c>
      <c r="K317" s="13"/>
    </row>
    <row r="318" spans="1:11" ht="15" customHeight="1">
      <c r="A318" s="810"/>
      <c r="B318" s="810"/>
      <c r="C318" s="7">
        <v>900</v>
      </c>
      <c r="D318" s="9" t="s">
        <v>303</v>
      </c>
      <c r="E318" s="148">
        <v>10000000</v>
      </c>
      <c r="G318" s="8">
        <v>900</v>
      </c>
      <c r="H318" s="11">
        <v>0.7</v>
      </c>
      <c r="I318" s="12" t="e">
        <f>ROUND(#REF!*1000000/G318/H318,-3)</f>
        <v>#REF!</v>
      </c>
      <c r="J318" s="136">
        <v>1550</v>
      </c>
      <c r="K318" s="13"/>
    </row>
    <row r="319" spans="1:11" ht="15" customHeight="1">
      <c r="A319" s="810"/>
      <c r="B319" s="810" t="s">
        <v>236</v>
      </c>
      <c r="C319" s="7">
        <v>110</v>
      </c>
      <c r="D319" s="9" t="s">
        <v>304</v>
      </c>
      <c r="E319" s="148">
        <v>1100000</v>
      </c>
      <c r="G319" s="8">
        <v>110</v>
      </c>
      <c r="H319" s="11">
        <v>0.7</v>
      </c>
      <c r="I319" s="12" t="e">
        <f>ROUND(#REF!*1000000/G319/H319,-3)</f>
        <v>#REF!</v>
      </c>
      <c r="J319" s="136">
        <v>185</v>
      </c>
      <c r="K319" s="13"/>
    </row>
    <row r="320" spans="1:11" ht="15" customHeight="1">
      <c r="A320" s="810"/>
      <c r="B320" s="810"/>
      <c r="C320" s="7">
        <v>300</v>
      </c>
      <c r="D320" s="9" t="s">
        <v>304</v>
      </c>
      <c r="E320" s="148">
        <v>2700000</v>
      </c>
      <c r="G320" s="8">
        <v>300</v>
      </c>
      <c r="H320" s="11">
        <v>0.7</v>
      </c>
      <c r="I320" s="12" t="e">
        <f>ROUND(#REF!*1000000/G320/H320,-3)</f>
        <v>#REF!</v>
      </c>
      <c r="J320" s="136">
        <v>550</v>
      </c>
      <c r="K320" s="13"/>
    </row>
    <row r="321" spans="1:11" ht="15" customHeight="1">
      <c r="A321" s="810"/>
      <c r="B321" s="810"/>
      <c r="C321" s="7">
        <v>600</v>
      </c>
      <c r="D321" s="9" t="s">
        <v>304</v>
      </c>
      <c r="E321" s="148">
        <v>6500000</v>
      </c>
      <c r="G321" s="8">
        <v>600</v>
      </c>
      <c r="H321" s="11">
        <v>0.7</v>
      </c>
      <c r="I321" s="12" t="e">
        <f>ROUND(#REF!*1000000/G321/H321,-3)</f>
        <v>#REF!</v>
      </c>
      <c r="J321" s="136">
        <v>1000</v>
      </c>
      <c r="K321" s="13"/>
    </row>
    <row r="322" spans="1:11" ht="15" customHeight="1">
      <c r="A322" s="810"/>
      <c r="B322" s="810"/>
      <c r="C322" s="7">
        <v>900</v>
      </c>
      <c r="D322" s="9" t="s">
        <v>304</v>
      </c>
      <c r="E322" s="148">
        <v>10250000</v>
      </c>
      <c r="G322" s="8">
        <v>900</v>
      </c>
      <c r="H322" s="11">
        <v>0.7</v>
      </c>
      <c r="I322" s="12" t="e">
        <f>ROUND(#REF!*1000000/G322/H322,-3)</f>
        <v>#REF!</v>
      </c>
      <c r="J322" s="136">
        <v>1550</v>
      </c>
      <c r="K322" s="13"/>
    </row>
    <row r="323" spans="1:11" ht="15" customHeight="1">
      <c r="A323" s="810"/>
      <c r="B323" s="810"/>
      <c r="C323" s="7">
        <v>300</v>
      </c>
      <c r="D323" s="9" t="s">
        <v>305</v>
      </c>
      <c r="E323" s="148">
        <v>3350000</v>
      </c>
      <c r="G323" s="8">
        <v>300</v>
      </c>
      <c r="H323" s="11">
        <v>0.7</v>
      </c>
      <c r="I323" s="12" t="e">
        <f>ROUND(#REF!*1000000/G323/H323,-3)</f>
        <v>#REF!</v>
      </c>
      <c r="J323" s="136">
        <v>550</v>
      </c>
      <c r="K323" s="13"/>
    </row>
    <row r="324" spans="1:11" ht="15" customHeight="1">
      <c r="A324" s="810"/>
      <c r="B324" s="810"/>
      <c r="C324" s="7">
        <v>600</v>
      </c>
      <c r="D324" s="9" t="s">
        <v>305</v>
      </c>
      <c r="E324" s="148">
        <v>7250000</v>
      </c>
      <c r="G324" s="8">
        <v>600</v>
      </c>
      <c r="H324" s="11">
        <v>0.7</v>
      </c>
      <c r="I324" s="12" t="e">
        <f>ROUND(#REF!*1000000/G324/H324,-3)</f>
        <v>#REF!</v>
      </c>
      <c r="J324" s="136">
        <v>1000</v>
      </c>
      <c r="K324" s="13"/>
    </row>
    <row r="325" spans="1:11" ht="15" customHeight="1">
      <c r="A325" s="810"/>
      <c r="B325" s="810"/>
      <c r="C325" s="7">
        <v>900</v>
      </c>
      <c r="D325" s="9" t="s">
        <v>305</v>
      </c>
      <c r="E325" s="148">
        <v>12000000</v>
      </c>
      <c r="G325" s="8">
        <v>900</v>
      </c>
      <c r="H325" s="11">
        <v>0.7</v>
      </c>
      <c r="I325" s="12" t="e">
        <f>ROUND(#REF!*1000000/G325/H325,-3)</f>
        <v>#REF!</v>
      </c>
      <c r="J325" s="136">
        <v>1550</v>
      </c>
      <c r="K325" s="13"/>
    </row>
    <row r="326" spans="1:11" ht="15" customHeight="1">
      <c r="A326" s="810"/>
      <c r="B326" s="810"/>
      <c r="C326" s="7">
        <v>310</v>
      </c>
      <c r="D326" s="9" t="s">
        <v>306</v>
      </c>
      <c r="E326" s="148">
        <v>3550000</v>
      </c>
      <c r="G326" s="8">
        <v>310</v>
      </c>
      <c r="H326" s="11">
        <v>0.7</v>
      </c>
      <c r="I326" s="12" t="e">
        <f>ROUND(#REF!*1000000/G326/H326,-3)</f>
        <v>#REF!</v>
      </c>
      <c r="J326" s="136">
        <v>530</v>
      </c>
      <c r="K326" s="13"/>
    </row>
    <row r="327" spans="1:11" ht="15" customHeight="1">
      <c r="A327" s="810"/>
      <c r="B327" s="810"/>
      <c r="C327" s="7">
        <v>610</v>
      </c>
      <c r="D327" s="9" t="s">
        <v>306</v>
      </c>
      <c r="E327" s="148">
        <v>8000000</v>
      </c>
      <c r="G327" s="8">
        <v>610</v>
      </c>
      <c r="H327" s="11">
        <v>0.7</v>
      </c>
      <c r="I327" s="12" t="e">
        <f>ROUND(#REF!*1000000/G327/H327,-3)</f>
        <v>#REF!</v>
      </c>
      <c r="J327" s="136">
        <v>1000</v>
      </c>
      <c r="K327" s="13"/>
    </row>
    <row r="328" spans="1:11" ht="15" customHeight="1">
      <c r="A328" s="810"/>
      <c r="B328" s="810"/>
      <c r="C328" s="7">
        <v>910</v>
      </c>
      <c r="D328" s="9" t="s">
        <v>306</v>
      </c>
      <c r="E328" s="148">
        <v>12500000</v>
      </c>
      <c r="G328" s="8">
        <v>910</v>
      </c>
      <c r="H328" s="11">
        <v>0.7</v>
      </c>
      <c r="I328" s="12" t="e">
        <f>ROUND(#REF!*1000000/G328/H328,-3)</f>
        <v>#REF!</v>
      </c>
      <c r="J328" s="136">
        <v>1550</v>
      </c>
      <c r="K328" s="13"/>
    </row>
    <row r="329" spans="1:11" ht="15" customHeight="1">
      <c r="A329" s="811" t="s">
        <v>307</v>
      </c>
      <c r="B329" s="810" t="s">
        <v>236</v>
      </c>
      <c r="C329" s="33">
        <v>300</v>
      </c>
      <c r="D329" s="21" t="s">
        <v>308</v>
      </c>
      <c r="E329" s="214">
        <v>1325000</v>
      </c>
      <c r="G329" s="8">
        <v>300</v>
      </c>
      <c r="H329" s="11">
        <v>0.7</v>
      </c>
      <c r="I329" s="12" t="e">
        <f>ROUND(#REF!*1000000/G329/H329,-3)</f>
        <v>#REF!</v>
      </c>
      <c r="J329" s="137"/>
      <c r="K329" s="13"/>
    </row>
    <row r="330" spans="1:11" ht="15" customHeight="1">
      <c r="A330" s="810"/>
      <c r="B330" s="810"/>
      <c r="C330" s="33">
        <f t="shared" ref="C330:C333" si="44">C329</f>
        <v>300</v>
      </c>
      <c r="D330" s="21" t="s">
        <v>240</v>
      </c>
      <c r="E330" s="214">
        <v>1270000</v>
      </c>
      <c r="G330" s="8">
        <v>300</v>
      </c>
      <c r="H330" s="11">
        <v>0.7</v>
      </c>
      <c r="I330" s="12" t="e">
        <f>ROUND(#REF!*1000000/G330/H330,-3)</f>
        <v>#REF!</v>
      </c>
      <c r="J330" s="137"/>
      <c r="K330" s="13"/>
    </row>
    <row r="331" spans="1:11" ht="15" customHeight="1">
      <c r="A331" s="810"/>
      <c r="B331" s="810"/>
      <c r="C331" s="33">
        <f t="shared" si="44"/>
        <v>300</v>
      </c>
      <c r="D331" s="21" t="s">
        <v>309</v>
      </c>
      <c r="E331" s="214">
        <v>1460000</v>
      </c>
      <c r="G331" s="8">
        <v>300</v>
      </c>
      <c r="H331" s="11">
        <v>0.7</v>
      </c>
      <c r="I331" s="12" t="e">
        <f>ROUND(#REF!*1000000/G331/H331,-3)</f>
        <v>#REF!</v>
      </c>
      <c r="J331" s="137"/>
      <c r="K331" s="13"/>
    </row>
    <row r="332" spans="1:11" ht="15" customHeight="1">
      <c r="A332" s="810"/>
      <c r="B332" s="810"/>
      <c r="C332" s="33">
        <f t="shared" si="44"/>
        <v>300</v>
      </c>
      <c r="D332" s="21" t="s">
        <v>310</v>
      </c>
      <c r="E332" s="214">
        <v>1570000</v>
      </c>
      <c r="G332" s="8">
        <v>300</v>
      </c>
      <c r="H332" s="11">
        <v>0.7</v>
      </c>
      <c r="I332" s="12" t="e">
        <f>ROUND(#REF!*1000000/G332/H332,-3)</f>
        <v>#REF!</v>
      </c>
      <c r="J332" s="137"/>
      <c r="K332" s="13"/>
    </row>
    <row r="333" spans="1:11" ht="15" customHeight="1">
      <c r="A333" s="810"/>
      <c r="B333" s="810"/>
      <c r="C333" s="33">
        <f t="shared" si="44"/>
        <v>300</v>
      </c>
      <c r="D333" s="21" t="s">
        <v>311</v>
      </c>
      <c r="E333" s="214">
        <v>1710000</v>
      </c>
      <c r="G333" s="8">
        <v>300</v>
      </c>
      <c r="H333" s="11">
        <v>0.7</v>
      </c>
      <c r="I333" s="12" t="e">
        <f>ROUND(#REF!*1000000/G333/H333,-3)</f>
        <v>#REF!</v>
      </c>
      <c r="J333" s="137"/>
      <c r="K333" s="13"/>
    </row>
    <row r="334" spans="1:11" ht="15" customHeight="1">
      <c r="A334" s="810"/>
      <c r="B334" s="810"/>
      <c r="C334" s="33">
        <v>310</v>
      </c>
      <c r="D334" s="21" t="s">
        <v>312</v>
      </c>
      <c r="E334" s="214">
        <v>2280000</v>
      </c>
      <c r="G334" s="8">
        <v>310</v>
      </c>
      <c r="H334" s="11">
        <v>0.7</v>
      </c>
      <c r="I334" s="12" t="e">
        <f>ROUND(#REF!*1000000/G334/H334,-3)</f>
        <v>#REF!</v>
      </c>
      <c r="J334" s="137"/>
      <c r="K334" s="13"/>
    </row>
    <row r="335" spans="1:11" ht="15" customHeight="1">
      <c r="A335" s="7" t="s">
        <v>313</v>
      </c>
      <c r="B335" s="7" t="s">
        <v>314</v>
      </c>
      <c r="C335" s="20">
        <v>35</v>
      </c>
      <c r="D335" s="21" t="s">
        <v>315</v>
      </c>
      <c r="E335" s="25">
        <v>190000</v>
      </c>
      <c r="G335" s="8">
        <v>35</v>
      </c>
      <c r="H335" s="11">
        <f>0.94*0.636</f>
        <v>0.59783999999999993</v>
      </c>
      <c r="I335" s="12" t="e">
        <f>ROUND(#REF!*1000000/G335/H335,-3)</f>
        <v>#REF!</v>
      </c>
      <c r="J335" s="137"/>
      <c r="K335" s="13"/>
    </row>
    <row r="336" spans="1:11" ht="15" customHeight="1">
      <c r="A336" s="814" t="s">
        <v>316</v>
      </c>
      <c r="B336" s="814" t="s">
        <v>317</v>
      </c>
      <c r="C336" s="7">
        <v>245</v>
      </c>
      <c r="D336" s="9" t="s">
        <v>318</v>
      </c>
      <c r="E336" s="148">
        <v>1000000</v>
      </c>
      <c r="G336" s="8">
        <v>245</v>
      </c>
      <c r="H336" s="11">
        <f t="shared" ref="H336:H344" si="45">0.88</f>
        <v>0.88</v>
      </c>
      <c r="I336" s="12" t="e">
        <f>ROUND(#REF!*1000000/G336/H336,-3)</f>
        <v>#REF!</v>
      </c>
      <c r="J336" s="136">
        <v>350</v>
      </c>
      <c r="K336" s="13"/>
    </row>
    <row r="337" spans="1:11" ht="15" customHeight="1">
      <c r="A337" s="804"/>
      <c r="B337" s="804"/>
      <c r="C337" s="7">
        <f t="shared" ref="C337:C338" si="46">C336</f>
        <v>245</v>
      </c>
      <c r="D337" s="9" t="s">
        <v>319</v>
      </c>
      <c r="E337" s="148">
        <v>1000000</v>
      </c>
      <c r="G337" s="8">
        <v>245</v>
      </c>
      <c r="H337" s="11">
        <f t="shared" si="45"/>
        <v>0.88</v>
      </c>
      <c r="I337" s="12" t="e">
        <f>ROUND(#REF!*1000000/G337/H337,-3)</f>
        <v>#REF!</v>
      </c>
      <c r="J337" s="136">
        <v>280</v>
      </c>
      <c r="K337" s="13"/>
    </row>
    <row r="338" spans="1:11" ht="15" customHeight="1">
      <c r="A338" s="804"/>
      <c r="B338" s="804"/>
      <c r="C338" s="7">
        <f t="shared" si="46"/>
        <v>245</v>
      </c>
      <c r="D338" s="9" t="s">
        <v>320</v>
      </c>
      <c r="E338" s="148">
        <v>1000000</v>
      </c>
      <c r="G338" s="8">
        <v>245</v>
      </c>
      <c r="H338" s="11">
        <f t="shared" si="45"/>
        <v>0.88</v>
      </c>
      <c r="I338" s="12" t="e">
        <f>ROUND(#REF!*1000000/G338/H338,-3)</f>
        <v>#REF!</v>
      </c>
      <c r="J338" s="136">
        <v>330</v>
      </c>
      <c r="K338" s="13"/>
    </row>
    <row r="339" spans="1:11" ht="15" customHeight="1">
      <c r="A339" s="804"/>
      <c r="B339" s="804"/>
      <c r="C339" s="7">
        <v>290</v>
      </c>
      <c r="D339" s="9" t="s">
        <v>318</v>
      </c>
      <c r="E339" s="148">
        <v>1180000</v>
      </c>
      <c r="G339" s="8">
        <v>290</v>
      </c>
      <c r="H339" s="11">
        <f t="shared" si="45"/>
        <v>0.88</v>
      </c>
      <c r="I339" s="12" t="e">
        <f>ROUND(#REF!*1000000/G339/H339,-3)</f>
        <v>#REF!</v>
      </c>
      <c r="J339" s="136">
        <v>400</v>
      </c>
      <c r="K339" s="13"/>
    </row>
    <row r="340" spans="1:11" ht="15" customHeight="1">
      <c r="A340" s="804"/>
      <c r="B340" s="804"/>
      <c r="C340" s="7">
        <f t="shared" ref="C340:C341" si="47">C339</f>
        <v>290</v>
      </c>
      <c r="D340" s="9" t="s">
        <v>319</v>
      </c>
      <c r="E340" s="148">
        <v>1180000</v>
      </c>
      <c r="G340" s="8">
        <v>290</v>
      </c>
      <c r="H340" s="11">
        <f t="shared" si="45"/>
        <v>0.88</v>
      </c>
      <c r="I340" s="12" t="e">
        <f>ROUND(#REF!*1000000/G340/H340,-3)</f>
        <v>#REF!</v>
      </c>
      <c r="J340" s="136">
        <v>350</v>
      </c>
      <c r="K340" s="13"/>
    </row>
    <row r="341" spans="1:11" ht="15" customHeight="1">
      <c r="A341" s="804"/>
      <c r="B341" s="804"/>
      <c r="C341" s="7">
        <f t="shared" si="47"/>
        <v>290</v>
      </c>
      <c r="D341" s="9" t="s">
        <v>320</v>
      </c>
      <c r="E341" s="148">
        <v>1180000</v>
      </c>
      <c r="G341" s="8">
        <v>290</v>
      </c>
      <c r="H341" s="11">
        <f t="shared" si="45"/>
        <v>0.88</v>
      </c>
      <c r="I341" s="12" t="e">
        <f>ROUND(#REF!*1000000/G341/H341,-3)</f>
        <v>#REF!</v>
      </c>
      <c r="J341" s="136">
        <v>380</v>
      </c>
      <c r="K341" s="13"/>
    </row>
    <row r="342" spans="1:11" ht="15" customHeight="1">
      <c r="A342" s="804"/>
      <c r="B342" s="804"/>
      <c r="C342" s="7">
        <v>335</v>
      </c>
      <c r="D342" s="9" t="s">
        <v>318</v>
      </c>
      <c r="E342" s="148">
        <v>1365000</v>
      </c>
      <c r="G342" s="8">
        <v>335</v>
      </c>
      <c r="H342" s="11">
        <f t="shared" si="45"/>
        <v>0.88</v>
      </c>
      <c r="I342" s="12" t="e">
        <f>ROUND(#REF!*1000000/G342/H342,-3)</f>
        <v>#REF!</v>
      </c>
      <c r="J342" s="136">
        <v>480</v>
      </c>
      <c r="K342" s="13"/>
    </row>
    <row r="343" spans="1:11" ht="15" customHeight="1">
      <c r="A343" s="804"/>
      <c r="B343" s="804"/>
      <c r="C343" s="7">
        <f t="shared" ref="C343:C344" si="48">C342</f>
        <v>335</v>
      </c>
      <c r="D343" s="9" t="s">
        <v>319</v>
      </c>
      <c r="E343" s="148">
        <v>1365000</v>
      </c>
      <c r="G343" s="8">
        <v>335</v>
      </c>
      <c r="H343" s="11">
        <f t="shared" si="45"/>
        <v>0.88</v>
      </c>
      <c r="I343" s="12" t="e">
        <f>ROUND(#REF!*1000000/G343/H343,-3)</f>
        <v>#REF!</v>
      </c>
      <c r="J343" s="136">
        <v>400</v>
      </c>
      <c r="K343" s="13"/>
    </row>
    <row r="344" spans="1:11" ht="15" customHeight="1">
      <c r="A344" s="804"/>
      <c r="B344" s="805"/>
      <c r="C344" s="7">
        <f t="shared" si="48"/>
        <v>335</v>
      </c>
      <c r="D344" s="9" t="s">
        <v>320</v>
      </c>
      <c r="E344" s="148">
        <v>1365000</v>
      </c>
      <c r="G344" s="8">
        <v>335</v>
      </c>
      <c r="H344" s="11">
        <f t="shared" si="45"/>
        <v>0.88</v>
      </c>
      <c r="I344" s="12" t="e">
        <f>ROUND(#REF!*1000000/G344/H344,-3)</f>
        <v>#REF!</v>
      </c>
      <c r="J344" s="136">
        <v>450</v>
      </c>
      <c r="K344" s="13"/>
    </row>
    <row r="345" spans="1:11" ht="15" customHeight="1">
      <c r="A345" s="804"/>
      <c r="B345" s="814" t="s">
        <v>321</v>
      </c>
      <c r="C345" s="7">
        <v>245</v>
      </c>
      <c r="D345" s="9" t="s">
        <v>318</v>
      </c>
      <c r="E345" s="148">
        <v>680000</v>
      </c>
      <c r="G345" s="8">
        <v>245</v>
      </c>
      <c r="H345" s="11">
        <f t="shared" ref="H345:H353" si="49">0.64*0.94</f>
        <v>0.60160000000000002</v>
      </c>
      <c r="I345" s="12" t="e">
        <f>ROUND(#REF!*1000000/G345/H345,-3)</f>
        <v>#REF!</v>
      </c>
      <c r="J345" s="136">
        <v>350</v>
      </c>
      <c r="K345" s="13"/>
    </row>
    <row r="346" spans="1:11" ht="15" customHeight="1">
      <c r="A346" s="804"/>
      <c r="B346" s="804"/>
      <c r="C346" s="7">
        <f t="shared" ref="C346:C347" si="50">C345</f>
        <v>245</v>
      </c>
      <c r="D346" s="9" t="s">
        <v>319</v>
      </c>
      <c r="E346" s="148">
        <v>680000</v>
      </c>
      <c r="G346" s="8">
        <v>245</v>
      </c>
      <c r="H346" s="11">
        <f t="shared" si="49"/>
        <v>0.60160000000000002</v>
      </c>
      <c r="I346" s="12" t="e">
        <f>ROUND(#REF!*1000000/G346/H346,-3)</f>
        <v>#REF!</v>
      </c>
      <c r="J346" s="136">
        <v>280</v>
      </c>
      <c r="K346" s="13"/>
    </row>
    <row r="347" spans="1:11" ht="15" customHeight="1">
      <c r="A347" s="804"/>
      <c r="B347" s="804"/>
      <c r="C347" s="7">
        <f t="shared" si="50"/>
        <v>245</v>
      </c>
      <c r="D347" s="9" t="s">
        <v>320</v>
      </c>
      <c r="E347" s="148">
        <v>680000</v>
      </c>
      <c r="G347" s="8">
        <v>245</v>
      </c>
      <c r="H347" s="11">
        <f t="shared" si="49"/>
        <v>0.60160000000000002</v>
      </c>
      <c r="I347" s="12" t="e">
        <f>ROUND(#REF!*1000000/G347/H347,-3)</f>
        <v>#REF!</v>
      </c>
      <c r="J347" s="136">
        <v>330</v>
      </c>
      <c r="K347" s="13"/>
    </row>
    <row r="348" spans="1:11" ht="15" customHeight="1">
      <c r="A348" s="804"/>
      <c r="B348" s="804"/>
      <c r="C348" s="7">
        <v>290</v>
      </c>
      <c r="D348" s="9" t="s">
        <v>318</v>
      </c>
      <c r="E348" s="148">
        <v>805000</v>
      </c>
      <c r="G348" s="8">
        <v>290</v>
      </c>
      <c r="H348" s="11">
        <f t="shared" si="49"/>
        <v>0.60160000000000002</v>
      </c>
      <c r="I348" s="12" t="e">
        <f>ROUND(#REF!*1000000/G348/H348,-3)</f>
        <v>#REF!</v>
      </c>
      <c r="J348" s="136">
        <v>400</v>
      </c>
      <c r="K348" s="13"/>
    </row>
    <row r="349" spans="1:11" ht="15" customHeight="1">
      <c r="A349" s="804"/>
      <c r="B349" s="804"/>
      <c r="C349" s="7">
        <f t="shared" ref="C349:C350" si="51">C348</f>
        <v>290</v>
      </c>
      <c r="D349" s="9" t="s">
        <v>319</v>
      </c>
      <c r="E349" s="148">
        <v>805000</v>
      </c>
      <c r="G349" s="8">
        <v>290</v>
      </c>
      <c r="H349" s="11">
        <f t="shared" si="49"/>
        <v>0.60160000000000002</v>
      </c>
      <c r="I349" s="12" t="e">
        <f>ROUND(#REF!*1000000/G349/H349,-3)</f>
        <v>#REF!</v>
      </c>
      <c r="J349" s="136">
        <v>350</v>
      </c>
      <c r="K349" s="13"/>
    </row>
    <row r="350" spans="1:11" ht="15" customHeight="1">
      <c r="A350" s="804"/>
      <c r="B350" s="804"/>
      <c r="C350" s="7">
        <f t="shared" si="51"/>
        <v>290</v>
      </c>
      <c r="D350" s="9" t="s">
        <v>320</v>
      </c>
      <c r="E350" s="148">
        <v>805000</v>
      </c>
      <c r="G350" s="8">
        <v>290</v>
      </c>
      <c r="H350" s="11">
        <f t="shared" si="49"/>
        <v>0.60160000000000002</v>
      </c>
      <c r="I350" s="12" t="e">
        <f>ROUND(#REF!*1000000/G350/H350,-3)</f>
        <v>#REF!</v>
      </c>
      <c r="J350" s="136">
        <v>380</v>
      </c>
      <c r="K350" s="13"/>
    </row>
    <row r="351" spans="1:11" ht="15" customHeight="1">
      <c r="A351" s="804"/>
      <c r="B351" s="804"/>
      <c r="C351" s="7">
        <v>335</v>
      </c>
      <c r="D351" s="9" t="s">
        <v>318</v>
      </c>
      <c r="E351" s="148">
        <v>930000</v>
      </c>
      <c r="G351" s="8">
        <v>335</v>
      </c>
      <c r="H351" s="11">
        <f t="shared" si="49"/>
        <v>0.60160000000000002</v>
      </c>
      <c r="I351" s="12" t="e">
        <f>ROUND(#REF!*1000000/G351/H351,-3)</f>
        <v>#REF!</v>
      </c>
      <c r="J351" s="136">
        <v>480</v>
      </c>
      <c r="K351" s="13"/>
    </row>
    <row r="352" spans="1:11" ht="15" customHeight="1">
      <c r="A352" s="804"/>
      <c r="B352" s="804"/>
      <c r="C352" s="7">
        <f t="shared" ref="C352:C353" si="52">C351</f>
        <v>335</v>
      </c>
      <c r="D352" s="9" t="s">
        <v>319</v>
      </c>
      <c r="E352" s="148">
        <v>930000</v>
      </c>
      <c r="G352" s="8">
        <v>335</v>
      </c>
      <c r="H352" s="11">
        <f t="shared" si="49"/>
        <v>0.60160000000000002</v>
      </c>
      <c r="I352" s="12" t="e">
        <f>ROUND(#REF!*1000000/G352/H352,-3)</f>
        <v>#REF!</v>
      </c>
      <c r="J352" s="136">
        <v>400</v>
      </c>
      <c r="K352" s="13"/>
    </row>
    <row r="353" spans="1:11" ht="15" customHeight="1">
      <c r="A353" s="804"/>
      <c r="B353" s="805"/>
      <c r="C353" s="7">
        <f t="shared" si="52"/>
        <v>335</v>
      </c>
      <c r="D353" s="9" t="s">
        <v>320</v>
      </c>
      <c r="E353" s="148">
        <v>930000</v>
      </c>
      <c r="G353" s="8">
        <v>335</v>
      </c>
      <c r="H353" s="11">
        <f t="shared" si="49"/>
        <v>0.60160000000000002</v>
      </c>
      <c r="I353" s="12" t="e">
        <f>ROUND(#REF!*1000000/G353/H353,-3)</f>
        <v>#REF!</v>
      </c>
      <c r="J353" s="136">
        <v>450</v>
      </c>
      <c r="K353" s="13"/>
    </row>
    <row r="354" spans="1:11" ht="15" customHeight="1">
      <c r="A354" s="804"/>
      <c r="B354" s="814" t="s">
        <v>322</v>
      </c>
      <c r="C354" s="7">
        <v>245</v>
      </c>
      <c r="D354" s="9" t="s">
        <v>323</v>
      </c>
      <c r="E354" s="148">
        <v>2585000</v>
      </c>
      <c r="G354" s="8">
        <v>245</v>
      </c>
      <c r="H354" s="11">
        <f t="shared" ref="H354:H359" si="53">0.88</f>
        <v>0.88</v>
      </c>
      <c r="I354" s="12" t="e">
        <f>ROUND(#REF!*1000000/G354/H354,-3)</f>
        <v>#REF!</v>
      </c>
      <c r="J354" s="136">
        <v>340</v>
      </c>
      <c r="K354" s="13"/>
    </row>
    <row r="355" spans="1:11" ht="15" customHeight="1">
      <c r="A355" s="804"/>
      <c r="B355" s="804"/>
      <c r="C355" s="7">
        <v>290</v>
      </c>
      <c r="D355" s="9" t="s">
        <v>323</v>
      </c>
      <c r="E355" s="148">
        <v>3050000</v>
      </c>
      <c r="G355" s="8">
        <v>290</v>
      </c>
      <c r="H355" s="11">
        <f t="shared" si="53"/>
        <v>0.88</v>
      </c>
      <c r="I355" s="12" t="e">
        <f>ROUND(#REF!*1000000/G355/H355,-3)</f>
        <v>#REF!</v>
      </c>
      <c r="J355" s="136">
        <v>390</v>
      </c>
      <c r="K355" s="13"/>
    </row>
    <row r="356" spans="1:11" ht="15" customHeight="1">
      <c r="A356" s="804"/>
      <c r="B356" s="804"/>
      <c r="C356" s="7">
        <v>335</v>
      </c>
      <c r="D356" s="9" t="s">
        <v>323</v>
      </c>
      <c r="E356" s="148">
        <v>3450000</v>
      </c>
      <c r="G356" s="8">
        <v>335</v>
      </c>
      <c r="H356" s="11">
        <f t="shared" si="53"/>
        <v>0.88</v>
      </c>
      <c r="I356" s="12" t="e">
        <f>ROUND(#REF!*1000000/G356/H356,-3)</f>
        <v>#REF!</v>
      </c>
      <c r="J356" s="136">
        <v>450</v>
      </c>
      <c r="K356" s="13"/>
    </row>
    <row r="357" spans="1:11" ht="15" customHeight="1">
      <c r="A357" s="804"/>
      <c r="B357" s="804"/>
      <c r="C357" s="14">
        <v>245</v>
      </c>
      <c r="D357" s="9" t="s">
        <v>324</v>
      </c>
      <c r="E357" s="148">
        <v>1370000</v>
      </c>
      <c r="G357" s="8">
        <v>245</v>
      </c>
      <c r="H357" s="11">
        <f t="shared" si="53"/>
        <v>0.88</v>
      </c>
      <c r="I357" s="12" t="e">
        <f>ROUND(#REF!*1000000/G357/H357,-3)</f>
        <v>#REF!</v>
      </c>
      <c r="J357" s="136">
        <v>340</v>
      </c>
      <c r="K357" s="13"/>
    </row>
    <row r="358" spans="1:11" ht="15" customHeight="1">
      <c r="A358" s="804"/>
      <c r="B358" s="804"/>
      <c r="C358" s="14">
        <v>290</v>
      </c>
      <c r="D358" s="9" t="s">
        <v>324</v>
      </c>
      <c r="E358" s="148">
        <v>1625000</v>
      </c>
      <c r="G358" s="8">
        <v>290</v>
      </c>
      <c r="H358" s="11">
        <f t="shared" si="53"/>
        <v>0.88</v>
      </c>
      <c r="I358" s="12" t="e">
        <f>ROUND(#REF!*1000000/G358/H358,-3)</f>
        <v>#REF!</v>
      </c>
      <c r="J358" s="136">
        <v>420</v>
      </c>
      <c r="K358" s="13"/>
    </row>
    <row r="359" spans="1:11" ht="15" customHeight="1">
      <c r="A359" s="804"/>
      <c r="B359" s="805"/>
      <c r="C359" s="14">
        <v>335</v>
      </c>
      <c r="D359" s="9" t="s">
        <v>324</v>
      </c>
      <c r="E359" s="148">
        <v>1880000</v>
      </c>
      <c r="G359" s="8">
        <v>335</v>
      </c>
      <c r="H359" s="11">
        <f t="shared" si="53"/>
        <v>0.88</v>
      </c>
      <c r="I359" s="12" t="e">
        <f>ROUND(#REF!*1000000/G359/H359,-3)</f>
        <v>#REF!</v>
      </c>
      <c r="J359" s="136">
        <v>500</v>
      </c>
      <c r="K359" s="13"/>
    </row>
    <row r="360" spans="1:11" ht="15" customHeight="1">
      <c r="A360" s="804"/>
      <c r="B360" s="810" t="s">
        <v>325</v>
      </c>
      <c r="C360" s="7">
        <v>245</v>
      </c>
      <c r="D360" s="9" t="s">
        <v>324</v>
      </c>
      <c r="E360" s="148">
        <v>940000</v>
      </c>
      <c r="G360" s="8">
        <v>245</v>
      </c>
      <c r="H360" s="11">
        <f t="shared" ref="H360:H362" si="54">0.64*0.94</f>
        <v>0.60160000000000002</v>
      </c>
      <c r="I360" s="12" t="e">
        <f>ROUND(#REF!*1000000/G360/H360,-3)</f>
        <v>#REF!</v>
      </c>
      <c r="J360" s="136">
        <v>340</v>
      </c>
      <c r="K360" s="13"/>
    </row>
    <row r="361" spans="1:11" ht="15" customHeight="1">
      <c r="A361" s="804"/>
      <c r="B361" s="810"/>
      <c r="C361" s="7">
        <v>290</v>
      </c>
      <c r="D361" s="9" t="s">
        <v>324</v>
      </c>
      <c r="E361" s="148">
        <v>1110000</v>
      </c>
      <c r="G361" s="8">
        <v>290</v>
      </c>
      <c r="H361" s="11">
        <f t="shared" si="54"/>
        <v>0.60160000000000002</v>
      </c>
      <c r="I361" s="12" t="e">
        <f>ROUND(#REF!*1000000/G361/H361,-3)</f>
        <v>#REF!</v>
      </c>
      <c r="J361" s="136">
        <v>420</v>
      </c>
      <c r="K361" s="13"/>
    </row>
    <row r="362" spans="1:11" ht="15" customHeight="1">
      <c r="A362" s="805"/>
      <c r="B362" s="810"/>
      <c r="C362" s="7">
        <v>335</v>
      </c>
      <c r="D362" s="9" t="s">
        <v>324</v>
      </c>
      <c r="E362" s="148">
        <v>1285000</v>
      </c>
      <c r="G362" s="8">
        <v>335</v>
      </c>
      <c r="H362" s="11">
        <f t="shared" si="54"/>
        <v>0.60160000000000002</v>
      </c>
      <c r="I362" s="12" t="e">
        <f>ROUND(#REF!*1000000/G362/H362,-3)</f>
        <v>#REF!</v>
      </c>
      <c r="J362" s="136">
        <v>500</v>
      </c>
      <c r="K362" s="13"/>
    </row>
    <row r="363" spans="1:11" ht="15" customHeight="1">
      <c r="A363" s="810" t="s">
        <v>326</v>
      </c>
      <c r="B363" s="810" t="s">
        <v>20</v>
      </c>
      <c r="C363" s="20">
        <v>310</v>
      </c>
      <c r="D363" s="21" t="s">
        <v>327</v>
      </c>
      <c r="E363" s="25">
        <v>525000</v>
      </c>
      <c r="G363" s="8">
        <v>310</v>
      </c>
      <c r="H363" s="11">
        <f>0.8*1</f>
        <v>0.8</v>
      </c>
      <c r="I363" s="12" t="e">
        <f>ROUND(#REF!*1000000/G363/H363,-3)</f>
        <v>#REF!</v>
      </c>
      <c r="J363" s="137"/>
      <c r="K363" s="13"/>
    </row>
    <row r="364" spans="1:11" ht="15" customHeight="1">
      <c r="A364" s="810"/>
      <c r="B364" s="810"/>
      <c r="C364" s="20">
        <v>350</v>
      </c>
      <c r="D364" s="21" t="s">
        <v>328</v>
      </c>
      <c r="E364" s="25">
        <v>575000</v>
      </c>
      <c r="G364" s="8">
        <v>350</v>
      </c>
      <c r="H364" s="11">
        <f t="shared" ref="H364:H367" si="55">0.8*1</f>
        <v>0.8</v>
      </c>
      <c r="I364" s="12" t="e">
        <f>ROUND(#REF!*1000000/G364/H364,-3)</f>
        <v>#REF!</v>
      </c>
      <c r="J364" s="137"/>
      <c r="K364" s="13"/>
    </row>
    <row r="365" spans="1:11" ht="15" customHeight="1">
      <c r="A365" s="810"/>
      <c r="B365" s="810"/>
      <c r="C365" s="33">
        <f>C364</f>
        <v>350</v>
      </c>
      <c r="D365" s="21" t="s">
        <v>329</v>
      </c>
      <c r="E365" s="25">
        <v>615000</v>
      </c>
      <c r="G365" s="8">
        <v>350</v>
      </c>
      <c r="H365" s="11">
        <f t="shared" si="55"/>
        <v>0.8</v>
      </c>
      <c r="I365" s="12" t="e">
        <f>ROUND(#REF!*1000000/G365/H365,-3)</f>
        <v>#REF!</v>
      </c>
      <c r="J365" s="137"/>
      <c r="K365" s="13"/>
    </row>
    <row r="366" spans="1:11" ht="15" customHeight="1">
      <c r="A366" s="810"/>
      <c r="B366" s="810"/>
      <c r="C366" s="20">
        <v>400</v>
      </c>
      <c r="D366" s="21" t="s">
        <v>330</v>
      </c>
      <c r="E366" s="25">
        <v>840000</v>
      </c>
      <c r="G366" s="8">
        <v>400</v>
      </c>
      <c r="H366" s="11">
        <f t="shared" si="55"/>
        <v>0.8</v>
      </c>
      <c r="I366" s="12" t="e">
        <f>ROUND(#REF!*1000000/G366/H366,-3)</f>
        <v>#REF!</v>
      </c>
      <c r="J366" s="137"/>
      <c r="K366" s="13"/>
    </row>
    <row r="367" spans="1:11" ht="15" customHeight="1">
      <c r="A367" s="810"/>
      <c r="B367" s="810"/>
      <c r="C367" s="33">
        <f>C366</f>
        <v>400</v>
      </c>
      <c r="D367" s="21" t="s">
        <v>331</v>
      </c>
      <c r="E367" s="25">
        <v>650000</v>
      </c>
      <c r="G367" s="8">
        <v>400</v>
      </c>
      <c r="H367" s="11">
        <f t="shared" si="55"/>
        <v>0.8</v>
      </c>
      <c r="I367" s="12" t="e">
        <f>ROUND(#REF!*1000000/G367/H367,-3)</f>
        <v>#REF!</v>
      </c>
      <c r="J367" s="137"/>
      <c r="K367" s="13"/>
    </row>
    <row r="368" spans="1:11" ht="15" customHeight="1">
      <c r="A368" s="813" t="s">
        <v>332</v>
      </c>
      <c r="B368" s="814" t="s">
        <v>333</v>
      </c>
      <c r="C368" s="7">
        <v>150</v>
      </c>
      <c r="D368" s="9" t="s">
        <v>334</v>
      </c>
      <c r="E368" s="25">
        <v>215000</v>
      </c>
      <c r="G368" s="10">
        <v>150</v>
      </c>
      <c r="H368" s="11">
        <f t="shared" ref="H368:H376" si="56">0.79*1.092</f>
        <v>0.86268000000000011</v>
      </c>
      <c r="I368" s="12" t="e">
        <f>ROUND(#REF!*1000000/G368/H368,-3)</f>
        <v>#REF!</v>
      </c>
      <c r="J368" s="136">
        <v>233</v>
      </c>
      <c r="K368" s="13"/>
    </row>
    <row r="369" spans="1:11" ht="15" customHeight="1">
      <c r="A369" s="816"/>
      <c r="B369" s="804"/>
      <c r="C369" s="7">
        <v>190</v>
      </c>
      <c r="D369" s="9" t="s">
        <v>334</v>
      </c>
      <c r="E369" s="25">
        <v>275000</v>
      </c>
      <c r="G369" s="10">
        <v>190</v>
      </c>
      <c r="H369" s="11">
        <f t="shared" si="56"/>
        <v>0.86268000000000011</v>
      </c>
      <c r="I369" s="12" t="e">
        <f>ROUND(#REF!*1000000/G369/H369,-3)</f>
        <v>#REF!</v>
      </c>
      <c r="J369" s="136">
        <v>295</v>
      </c>
      <c r="K369" s="13"/>
    </row>
    <row r="370" spans="1:11" ht="15" customHeight="1">
      <c r="A370" s="816"/>
      <c r="B370" s="804"/>
      <c r="C370" s="7">
        <v>250</v>
      </c>
      <c r="D370" s="9" t="s">
        <v>334</v>
      </c>
      <c r="E370" s="25">
        <v>360000</v>
      </c>
      <c r="G370" s="10">
        <v>250</v>
      </c>
      <c r="H370" s="11">
        <f t="shared" si="56"/>
        <v>0.86268000000000011</v>
      </c>
      <c r="I370" s="12" t="e">
        <f>ROUND(#REF!*1000000/G370/H370,-3)</f>
        <v>#REF!</v>
      </c>
      <c r="J370" s="136">
        <v>365</v>
      </c>
      <c r="K370" s="13"/>
    </row>
    <row r="371" spans="1:11" ht="15" customHeight="1">
      <c r="A371" s="816"/>
      <c r="B371" s="804"/>
      <c r="C371" s="7">
        <v>300</v>
      </c>
      <c r="D371" s="9" t="s">
        <v>334</v>
      </c>
      <c r="E371" s="25">
        <v>435000</v>
      </c>
      <c r="G371" s="10">
        <v>300</v>
      </c>
      <c r="H371" s="11">
        <f t="shared" si="56"/>
        <v>0.86268000000000011</v>
      </c>
      <c r="I371" s="12" t="e">
        <f>ROUND(#REF!*1000000/G371/H371,-3)</f>
        <v>#REF!</v>
      </c>
      <c r="J371" s="136">
        <v>423</v>
      </c>
      <c r="K371" s="13"/>
    </row>
    <row r="372" spans="1:11" ht="15" customHeight="1">
      <c r="A372" s="816"/>
      <c r="B372" s="804"/>
      <c r="C372" s="7">
        <v>350</v>
      </c>
      <c r="D372" s="9" t="s">
        <v>334</v>
      </c>
      <c r="E372" s="25">
        <v>500000</v>
      </c>
      <c r="G372" s="10">
        <v>350</v>
      </c>
      <c r="H372" s="11">
        <f t="shared" si="56"/>
        <v>0.86268000000000011</v>
      </c>
      <c r="I372" s="12" t="e">
        <f>ROUND(#REF!*1000000/G372/H372,-3)</f>
        <v>#REF!</v>
      </c>
      <c r="J372" s="136">
        <v>494</v>
      </c>
      <c r="K372" s="13"/>
    </row>
    <row r="373" spans="1:11" ht="15" customHeight="1">
      <c r="A373" s="816"/>
      <c r="B373" s="804"/>
      <c r="C373" s="7">
        <v>190</v>
      </c>
      <c r="D373" s="9" t="s">
        <v>335</v>
      </c>
      <c r="E373" s="25">
        <v>275000</v>
      </c>
      <c r="G373" s="10">
        <v>190</v>
      </c>
      <c r="H373" s="11">
        <f t="shared" si="56"/>
        <v>0.86268000000000011</v>
      </c>
      <c r="I373" s="12" t="e">
        <f>ROUND(#REF!*1000000/G373/H373,-3)</f>
        <v>#REF!</v>
      </c>
      <c r="J373" s="136">
        <v>250</v>
      </c>
      <c r="K373" s="13"/>
    </row>
    <row r="374" spans="1:11" ht="15" customHeight="1">
      <c r="A374" s="816"/>
      <c r="B374" s="804"/>
      <c r="C374" s="7">
        <v>250</v>
      </c>
      <c r="D374" s="9" t="s">
        <v>335</v>
      </c>
      <c r="E374" s="25">
        <v>360000</v>
      </c>
      <c r="G374" s="10">
        <v>250</v>
      </c>
      <c r="H374" s="11">
        <f t="shared" si="56"/>
        <v>0.86268000000000011</v>
      </c>
      <c r="I374" s="12" t="e">
        <f>ROUND(#REF!*1000000/G374/H374,-3)</f>
        <v>#REF!</v>
      </c>
      <c r="J374" s="136">
        <v>325</v>
      </c>
      <c r="K374" s="13"/>
    </row>
    <row r="375" spans="1:11" ht="15" customHeight="1">
      <c r="A375" s="816"/>
      <c r="B375" s="804"/>
      <c r="C375" s="7">
        <v>300</v>
      </c>
      <c r="D375" s="9" t="s">
        <v>335</v>
      </c>
      <c r="E375" s="25">
        <v>435000</v>
      </c>
      <c r="G375" s="10">
        <v>300</v>
      </c>
      <c r="H375" s="11">
        <f t="shared" si="56"/>
        <v>0.86268000000000011</v>
      </c>
      <c r="I375" s="12" t="e">
        <f>ROUND(#REF!*1000000/G375/H375,-3)</f>
        <v>#REF!</v>
      </c>
      <c r="J375" s="136">
        <v>375</v>
      </c>
      <c r="K375" s="13"/>
    </row>
    <row r="376" spans="1:11" ht="15" customHeight="1">
      <c r="A376" s="816"/>
      <c r="B376" s="805"/>
      <c r="C376" s="7">
        <v>350</v>
      </c>
      <c r="D376" s="9" t="s">
        <v>335</v>
      </c>
      <c r="E376" s="25">
        <v>500000</v>
      </c>
      <c r="G376" s="10">
        <v>350</v>
      </c>
      <c r="H376" s="11">
        <f t="shared" si="56"/>
        <v>0.86268000000000011</v>
      </c>
      <c r="I376" s="12" t="e">
        <f>ROUND(#REF!*1000000/G376/H376,-3)</f>
        <v>#REF!</v>
      </c>
      <c r="J376" s="136">
        <v>425</v>
      </c>
      <c r="K376" s="13"/>
    </row>
    <row r="377" spans="1:11" ht="15" customHeight="1">
      <c r="A377" s="816"/>
      <c r="B377" s="814" t="s">
        <v>336</v>
      </c>
      <c r="C377" s="7">
        <v>150</v>
      </c>
      <c r="D377" s="9" t="s">
        <v>334</v>
      </c>
      <c r="E377" s="25">
        <v>150000</v>
      </c>
      <c r="G377" s="10">
        <v>150</v>
      </c>
      <c r="H377" s="11">
        <f t="shared" ref="H377:H385" si="57">0.939*0.636</f>
        <v>0.59720399999999996</v>
      </c>
      <c r="I377" s="12" t="e">
        <f>ROUND(#REF!*1000000/G377/H377,-3)</f>
        <v>#REF!</v>
      </c>
      <c r="J377" s="136">
        <v>233</v>
      </c>
      <c r="K377" s="13"/>
    </row>
    <row r="378" spans="1:11" ht="15" customHeight="1">
      <c r="A378" s="816"/>
      <c r="B378" s="804"/>
      <c r="C378" s="7">
        <v>190</v>
      </c>
      <c r="D378" s="9" t="s">
        <v>334</v>
      </c>
      <c r="E378" s="25">
        <v>190000</v>
      </c>
      <c r="G378" s="10">
        <v>190</v>
      </c>
      <c r="H378" s="11">
        <f t="shared" si="57"/>
        <v>0.59720399999999996</v>
      </c>
      <c r="I378" s="12" t="e">
        <f>ROUND(#REF!*1000000/G378/H378,-3)</f>
        <v>#REF!</v>
      </c>
      <c r="J378" s="136">
        <v>295</v>
      </c>
      <c r="K378" s="13"/>
    </row>
    <row r="379" spans="1:11" ht="15" customHeight="1">
      <c r="A379" s="816"/>
      <c r="B379" s="804"/>
      <c r="C379" s="7">
        <v>250</v>
      </c>
      <c r="D379" s="9" t="s">
        <v>334</v>
      </c>
      <c r="E379" s="25">
        <v>250000</v>
      </c>
      <c r="G379" s="10">
        <v>250</v>
      </c>
      <c r="H379" s="11">
        <f t="shared" si="57"/>
        <v>0.59720399999999996</v>
      </c>
      <c r="I379" s="12" t="e">
        <f>ROUND(#REF!*1000000/G379/H379,-3)</f>
        <v>#REF!</v>
      </c>
      <c r="J379" s="136">
        <v>365</v>
      </c>
      <c r="K379" s="13"/>
    </row>
    <row r="380" spans="1:11" ht="15" customHeight="1">
      <c r="A380" s="816"/>
      <c r="B380" s="804"/>
      <c r="C380" s="7">
        <v>300</v>
      </c>
      <c r="D380" s="9" t="s">
        <v>334</v>
      </c>
      <c r="E380" s="25">
        <v>300000</v>
      </c>
      <c r="G380" s="10">
        <v>300</v>
      </c>
      <c r="H380" s="11">
        <f t="shared" si="57"/>
        <v>0.59720399999999996</v>
      </c>
      <c r="I380" s="12" t="e">
        <f>ROUND(#REF!*1000000/G380/H380,-3)</f>
        <v>#REF!</v>
      </c>
      <c r="J380" s="136">
        <v>423</v>
      </c>
      <c r="K380" s="13"/>
    </row>
    <row r="381" spans="1:11" ht="15" customHeight="1">
      <c r="A381" s="816"/>
      <c r="B381" s="804"/>
      <c r="C381" s="7">
        <v>350</v>
      </c>
      <c r="D381" s="9" t="s">
        <v>334</v>
      </c>
      <c r="E381" s="25">
        <v>350000</v>
      </c>
      <c r="G381" s="10">
        <v>350</v>
      </c>
      <c r="H381" s="11">
        <f t="shared" si="57"/>
        <v>0.59720399999999996</v>
      </c>
      <c r="I381" s="12" t="e">
        <f>ROUND(#REF!*1000000/G381/H381,-3)</f>
        <v>#REF!</v>
      </c>
      <c r="J381" s="136">
        <v>494</v>
      </c>
      <c r="K381" s="13"/>
    </row>
    <row r="382" spans="1:11" ht="15" customHeight="1">
      <c r="A382" s="816"/>
      <c r="B382" s="804"/>
      <c r="C382" s="7">
        <v>190</v>
      </c>
      <c r="D382" s="9" t="s">
        <v>335</v>
      </c>
      <c r="E382" s="25">
        <v>190000</v>
      </c>
      <c r="G382" s="10">
        <v>190</v>
      </c>
      <c r="H382" s="11">
        <f t="shared" si="57"/>
        <v>0.59720399999999996</v>
      </c>
      <c r="I382" s="12" t="e">
        <f>ROUND(#REF!*1000000/G382/H382,-3)</f>
        <v>#REF!</v>
      </c>
      <c r="J382" s="136">
        <v>250</v>
      </c>
      <c r="K382" s="13"/>
    </row>
    <row r="383" spans="1:11" ht="15" customHeight="1">
      <c r="A383" s="816"/>
      <c r="B383" s="804"/>
      <c r="C383" s="7">
        <v>250</v>
      </c>
      <c r="D383" s="9" t="s">
        <v>335</v>
      </c>
      <c r="E383" s="25">
        <v>250000</v>
      </c>
      <c r="G383" s="10">
        <v>250</v>
      </c>
      <c r="H383" s="11">
        <f t="shared" si="57"/>
        <v>0.59720399999999996</v>
      </c>
      <c r="I383" s="12" t="e">
        <f>ROUND(#REF!*1000000/G383/H383,-3)</f>
        <v>#REF!</v>
      </c>
      <c r="J383" s="136">
        <v>325</v>
      </c>
      <c r="K383" s="13"/>
    </row>
    <row r="384" spans="1:11" ht="15" customHeight="1">
      <c r="A384" s="816"/>
      <c r="B384" s="804"/>
      <c r="C384" s="7">
        <v>300</v>
      </c>
      <c r="D384" s="9" t="s">
        <v>335</v>
      </c>
      <c r="E384" s="25">
        <v>300000</v>
      </c>
      <c r="G384" s="10">
        <v>300</v>
      </c>
      <c r="H384" s="11">
        <f t="shared" si="57"/>
        <v>0.59720399999999996</v>
      </c>
      <c r="I384" s="12" t="e">
        <f>ROUND(#REF!*1000000/G384/H384,-3)</f>
        <v>#REF!</v>
      </c>
      <c r="J384" s="136">
        <v>375</v>
      </c>
      <c r="K384" s="13"/>
    </row>
    <row r="385" spans="1:11" ht="15" customHeight="1">
      <c r="A385" s="816"/>
      <c r="B385" s="805"/>
      <c r="C385" s="7">
        <v>350</v>
      </c>
      <c r="D385" s="9" t="s">
        <v>335</v>
      </c>
      <c r="E385" s="25">
        <v>350000</v>
      </c>
      <c r="G385" s="10">
        <v>350</v>
      </c>
      <c r="H385" s="11">
        <f t="shared" si="57"/>
        <v>0.59720399999999996</v>
      </c>
      <c r="I385" s="12" t="e">
        <f>ROUND(#REF!*1000000/G385/H385,-3)</f>
        <v>#REF!</v>
      </c>
      <c r="J385" s="136">
        <v>425</v>
      </c>
      <c r="K385" s="13"/>
    </row>
    <row r="386" spans="1:11" ht="15" customHeight="1">
      <c r="A386" s="816"/>
      <c r="B386" s="810" t="s">
        <v>337</v>
      </c>
      <c r="C386" s="33">
        <v>150</v>
      </c>
      <c r="D386" s="21" t="s">
        <v>338</v>
      </c>
      <c r="E386" s="25">
        <v>215000</v>
      </c>
      <c r="G386" s="10">
        <v>150</v>
      </c>
      <c r="H386" s="11">
        <f t="shared" ref="H386:H387" si="58">0.787*1.092</f>
        <v>0.85940400000000006</v>
      </c>
      <c r="I386" s="12" t="e">
        <f>ROUND(#REF!*1000000/G386/H386,-3)</f>
        <v>#REF!</v>
      </c>
      <c r="J386" s="137"/>
      <c r="K386" s="13"/>
    </row>
    <row r="387" spans="1:11" ht="15" customHeight="1">
      <c r="A387" s="816"/>
      <c r="B387" s="810"/>
      <c r="C387" s="33">
        <v>250</v>
      </c>
      <c r="D387" s="21" t="s">
        <v>338</v>
      </c>
      <c r="E387" s="25">
        <v>360000</v>
      </c>
      <c r="G387" s="10">
        <v>250</v>
      </c>
      <c r="H387" s="11">
        <f t="shared" si="58"/>
        <v>0.85940400000000006</v>
      </c>
      <c r="I387" s="12" t="e">
        <f>ROUND(#REF!*1000000/G387/H387,-3)</f>
        <v>#REF!</v>
      </c>
      <c r="J387" s="137"/>
      <c r="K387" s="13"/>
    </row>
    <row r="388" spans="1:11" ht="15" customHeight="1">
      <c r="A388" s="810" t="s">
        <v>339</v>
      </c>
      <c r="B388" s="810" t="s">
        <v>248</v>
      </c>
      <c r="C388" s="33">
        <v>220</v>
      </c>
      <c r="D388" s="21" t="s">
        <v>340</v>
      </c>
      <c r="E388" s="214">
        <v>905000</v>
      </c>
      <c r="G388" s="8">
        <v>220</v>
      </c>
      <c r="H388" s="11">
        <v>0.7</v>
      </c>
      <c r="I388" s="12" t="e">
        <f>ROUND(#REF!*1000000/G388/H388,-3)</f>
        <v>#REF!</v>
      </c>
      <c r="J388" s="137"/>
      <c r="K388" s="13"/>
    </row>
    <row r="389" spans="1:11" ht="15" customHeight="1">
      <c r="A389" s="810"/>
      <c r="B389" s="810"/>
      <c r="C389" s="33">
        <v>300</v>
      </c>
      <c r="D389" s="21" t="s">
        <v>237</v>
      </c>
      <c r="E389" s="214">
        <v>1155000</v>
      </c>
      <c r="G389" s="8">
        <v>300</v>
      </c>
      <c r="H389" s="11">
        <v>0.7</v>
      </c>
      <c r="I389" s="12" t="e">
        <f>ROUND(#REF!*1000000/G389/H389,-3)</f>
        <v>#REF!</v>
      </c>
      <c r="J389" s="137"/>
      <c r="K389" s="13"/>
    </row>
    <row r="390" spans="1:11" ht="15" customHeight="1">
      <c r="A390" s="810"/>
      <c r="B390" s="810"/>
      <c r="C390" s="33">
        <f>C389</f>
        <v>300</v>
      </c>
      <c r="D390" s="21" t="s">
        <v>341</v>
      </c>
      <c r="E390" s="214">
        <v>1230000</v>
      </c>
      <c r="G390" s="8">
        <v>300</v>
      </c>
      <c r="H390" s="11">
        <v>0.7</v>
      </c>
      <c r="I390" s="12" t="e">
        <f>ROUND(#REF!*1000000/G390/H390,-3)</f>
        <v>#REF!</v>
      </c>
      <c r="J390" s="137"/>
      <c r="K390" s="13"/>
    </row>
    <row r="391" spans="1:11" ht="15" customHeight="1">
      <c r="A391" s="810"/>
      <c r="B391" s="7" t="s">
        <v>236</v>
      </c>
      <c r="C391" s="33">
        <v>310</v>
      </c>
      <c r="D391" s="21" t="s">
        <v>342</v>
      </c>
      <c r="E391" s="214">
        <v>1865000</v>
      </c>
      <c r="G391" s="8">
        <v>310</v>
      </c>
      <c r="H391" s="11">
        <v>0.7</v>
      </c>
      <c r="I391" s="12" t="e">
        <f>ROUND(#REF!*1000000/G391/H391,-3)</f>
        <v>#REF!</v>
      </c>
      <c r="J391" s="137"/>
      <c r="K391" s="13"/>
    </row>
    <row r="392" spans="1:11" ht="15" customHeight="1">
      <c r="A392" s="24" t="s">
        <v>2865</v>
      </c>
      <c r="B392" s="7" t="s">
        <v>344</v>
      </c>
      <c r="C392" s="33">
        <v>81.400000000000006</v>
      </c>
      <c r="D392" s="21"/>
      <c r="E392" s="25">
        <v>52500</v>
      </c>
      <c r="G392" s="34">
        <v>81.400000000000006</v>
      </c>
      <c r="H392" s="11">
        <f t="shared" ref="H392" si="59">0.636*0.939</f>
        <v>0.59720399999999996</v>
      </c>
      <c r="I392" s="12" t="e">
        <f>ROUND(#REF!*1000000/G392/H392,-3)</f>
        <v>#REF!</v>
      </c>
      <c r="J392" s="137">
        <v>85</v>
      </c>
      <c r="K392" s="13"/>
    </row>
    <row r="393" spans="1:11" s="35" customFormat="1" ht="15" customHeight="1">
      <c r="A393" s="811" t="s">
        <v>345</v>
      </c>
      <c r="B393" s="810" t="s">
        <v>343</v>
      </c>
      <c r="C393" s="7">
        <v>105</v>
      </c>
      <c r="D393" s="9" t="s">
        <v>346</v>
      </c>
      <c r="E393" s="215">
        <v>335000</v>
      </c>
      <c r="F393" s="1"/>
      <c r="G393" s="8">
        <v>105</v>
      </c>
      <c r="H393" s="11">
        <f t="shared" ref="H393:H398" si="60">0.788*1.091</f>
        <v>0.85970800000000003</v>
      </c>
      <c r="I393" s="12" t="e">
        <f>ROUND(#REF!*1000000/G393/H393,-3)</f>
        <v>#REF!</v>
      </c>
      <c r="J393" s="136">
        <v>130</v>
      </c>
      <c r="K393" s="13"/>
    </row>
    <row r="394" spans="1:11" s="35" customFormat="1" ht="15" customHeight="1">
      <c r="A394" s="811"/>
      <c r="B394" s="810"/>
      <c r="C394" s="7">
        <v>129</v>
      </c>
      <c r="D394" s="9" t="s">
        <v>346</v>
      </c>
      <c r="E394" s="215">
        <v>370000</v>
      </c>
      <c r="F394" s="1"/>
      <c r="G394" s="8">
        <v>129</v>
      </c>
      <c r="H394" s="11">
        <f t="shared" si="60"/>
        <v>0.85970800000000003</v>
      </c>
      <c r="I394" s="12" t="e">
        <f>ROUND(#REF!*1000000/G394/H394,-3)</f>
        <v>#REF!</v>
      </c>
      <c r="J394" s="136">
        <v>165</v>
      </c>
      <c r="K394" s="13"/>
    </row>
    <row r="395" spans="1:11" s="35" customFormat="1" ht="15" customHeight="1">
      <c r="A395" s="811"/>
      <c r="B395" s="810"/>
      <c r="C395" s="7">
        <v>151</v>
      </c>
      <c r="D395" s="9" t="s">
        <v>346</v>
      </c>
      <c r="E395" s="215">
        <v>430000</v>
      </c>
      <c r="F395" s="1"/>
      <c r="G395" s="8">
        <v>151</v>
      </c>
      <c r="H395" s="11">
        <f t="shared" si="60"/>
        <v>0.85970800000000003</v>
      </c>
      <c r="I395" s="12" t="e">
        <f>ROUND(#REF!*1000000/G395/H395,-3)</f>
        <v>#REF!</v>
      </c>
      <c r="J395" s="136">
        <v>205</v>
      </c>
      <c r="K395" s="13"/>
    </row>
    <row r="396" spans="1:11" s="35" customFormat="1" ht="15" customHeight="1">
      <c r="A396" s="811"/>
      <c r="B396" s="810"/>
      <c r="C396" s="7">
        <v>175</v>
      </c>
      <c r="D396" s="9" t="s">
        <v>346</v>
      </c>
      <c r="E396" s="215">
        <v>500000</v>
      </c>
      <c r="F396" s="1"/>
      <c r="G396" s="8">
        <v>175</v>
      </c>
      <c r="H396" s="11">
        <f t="shared" si="60"/>
        <v>0.85970800000000003</v>
      </c>
      <c r="I396" s="12" t="e">
        <f>ROUND(#REF!*1000000/G396/H396,-3)</f>
        <v>#REF!</v>
      </c>
      <c r="J396" s="136">
        <v>240</v>
      </c>
      <c r="K396" s="13"/>
    </row>
    <row r="397" spans="1:11" s="35" customFormat="1" ht="15" customHeight="1">
      <c r="A397" s="811"/>
      <c r="B397" s="810"/>
      <c r="C397" s="7">
        <v>221</v>
      </c>
      <c r="D397" s="9" t="s">
        <v>346</v>
      </c>
      <c r="E397" s="215">
        <v>635000</v>
      </c>
      <c r="F397" s="1"/>
      <c r="G397" s="8">
        <v>221</v>
      </c>
      <c r="H397" s="11">
        <f t="shared" si="60"/>
        <v>0.85970800000000003</v>
      </c>
      <c r="I397" s="12" t="e">
        <f>ROUND(#REF!*1000000/G397/H397,-3)</f>
        <v>#REF!</v>
      </c>
      <c r="J397" s="136">
        <v>305</v>
      </c>
      <c r="K397" s="13"/>
    </row>
    <row r="398" spans="1:11" s="35" customFormat="1" ht="15" customHeight="1">
      <c r="A398" s="811"/>
      <c r="B398" s="810"/>
      <c r="C398" s="7">
        <v>250</v>
      </c>
      <c r="D398" s="9" t="s">
        <v>346</v>
      </c>
      <c r="E398" s="215">
        <v>720000</v>
      </c>
      <c r="F398" s="1"/>
      <c r="G398" s="8">
        <v>250</v>
      </c>
      <c r="H398" s="11">
        <f t="shared" si="60"/>
        <v>0.85970800000000003</v>
      </c>
      <c r="I398" s="12" t="e">
        <f>ROUND(#REF!*1000000/G398/H398,-3)</f>
        <v>#REF!</v>
      </c>
      <c r="J398" s="136">
        <v>340</v>
      </c>
      <c r="K398" s="13"/>
    </row>
    <row r="399" spans="1:11" s="35" customFormat="1" ht="15" customHeight="1">
      <c r="A399" s="811"/>
      <c r="B399" s="810" t="s">
        <v>347</v>
      </c>
      <c r="C399" s="7">
        <v>105</v>
      </c>
      <c r="D399" s="9" t="s">
        <v>346</v>
      </c>
      <c r="E399" s="215">
        <v>235000</v>
      </c>
      <c r="F399" s="1"/>
      <c r="G399" s="8">
        <v>105</v>
      </c>
      <c r="H399" s="11">
        <f t="shared" ref="H399:H404" si="61">0.636*0.939</f>
        <v>0.59720399999999996</v>
      </c>
      <c r="I399" s="12" t="e">
        <f>ROUND(#REF!*1000000/G399/H399,-3)</f>
        <v>#REF!</v>
      </c>
      <c r="J399" s="136">
        <v>130</v>
      </c>
      <c r="K399" s="13"/>
    </row>
    <row r="400" spans="1:11" s="35" customFormat="1" ht="15" customHeight="1">
      <c r="A400" s="811"/>
      <c r="B400" s="810"/>
      <c r="C400" s="7">
        <v>129</v>
      </c>
      <c r="D400" s="9" t="s">
        <v>346</v>
      </c>
      <c r="E400" s="215">
        <v>255000</v>
      </c>
      <c r="F400" s="1"/>
      <c r="G400" s="8">
        <v>129</v>
      </c>
      <c r="H400" s="11">
        <f t="shared" si="61"/>
        <v>0.59720399999999996</v>
      </c>
      <c r="I400" s="12" t="e">
        <f>ROUND(#REF!*1000000/G400/H400,-3)</f>
        <v>#REF!</v>
      </c>
      <c r="J400" s="136">
        <v>165</v>
      </c>
      <c r="K400" s="13"/>
    </row>
    <row r="401" spans="1:11" s="35" customFormat="1" ht="15" customHeight="1">
      <c r="A401" s="811"/>
      <c r="B401" s="810"/>
      <c r="C401" s="7">
        <v>151</v>
      </c>
      <c r="D401" s="9" t="s">
        <v>346</v>
      </c>
      <c r="E401" s="215">
        <v>300000</v>
      </c>
      <c r="F401" s="1"/>
      <c r="G401" s="8">
        <v>151</v>
      </c>
      <c r="H401" s="11">
        <f t="shared" si="61"/>
        <v>0.59720399999999996</v>
      </c>
      <c r="I401" s="12" t="e">
        <f>ROUND(#REF!*1000000/G401/H401,-3)</f>
        <v>#REF!</v>
      </c>
      <c r="J401" s="136">
        <v>205</v>
      </c>
      <c r="K401" s="13"/>
    </row>
    <row r="402" spans="1:11" s="35" customFormat="1" ht="15" customHeight="1">
      <c r="A402" s="811"/>
      <c r="B402" s="810"/>
      <c r="C402" s="7">
        <v>175</v>
      </c>
      <c r="D402" s="9" t="s">
        <v>346</v>
      </c>
      <c r="E402" s="215">
        <v>350000</v>
      </c>
      <c r="F402" s="1"/>
      <c r="G402" s="8">
        <v>175</v>
      </c>
      <c r="H402" s="11">
        <f t="shared" si="61"/>
        <v>0.59720399999999996</v>
      </c>
      <c r="I402" s="12" t="e">
        <f>ROUND(#REF!*1000000/G402/H402,-3)</f>
        <v>#REF!</v>
      </c>
      <c r="J402" s="136">
        <v>240</v>
      </c>
      <c r="K402" s="13"/>
    </row>
    <row r="403" spans="1:11" s="35" customFormat="1" ht="15" customHeight="1">
      <c r="A403" s="811"/>
      <c r="B403" s="810"/>
      <c r="C403" s="7">
        <v>221</v>
      </c>
      <c r="D403" s="9" t="s">
        <v>346</v>
      </c>
      <c r="E403" s="215">
        <v>440000</v>
      </c>
      <c r="F403" s="1"/>
      <c r="G403" s="8">
        <v>221</v>
      </c>
      <c r="H403" s="11">
        <f t="shared" si="61"/>
        <v>0.59720399999999996</v>
      </c>
      <c r="I403" s="12" t="e">
        <f>ROUND(#REF!*1000000/G403/H403,-3)</f>
        <v>#REF!</v>
      </c>
      <c r="J403" s="136">
        <v>305</v>
      </c>
      <c r="K403" s="13"/>
    </row>
    <row r="404" spans="1:11" s="35" customFormat="1" ht="15" customHeight="1">
      <c r="A404" s="811"/>
      <c r="B404" s="810"/>
      <c r="C404" s="7">
        <v>250</v>
      </c>
      <c r="D404" s="9" t="s">
        <v>346</v>
      </c>
      <c r="E404" s="215">
        <v>500000</v>
      </c>
      <c r="F404" s="1"/>
      <c r="G404" s="8">
        <v>250</v>
      </c>
      <c r="H404" s="11">
        <f t="shared" si="61"/>
        <v>0.59720399999999996</v>
      </c>
      <c r="I404" s="12" t="e">
        <f>ROUND(#REF!*1000000/G404/H404,-3)</f>
        <v>#REF!</v>
      </c>
      <c r="J404" s="136">
        <v>340</v>
      </c>
      <c r="K404" s="13"/>
    </row>
    <row r="405" spans="1:11" ht="15" customHeight="1">
      <c r="A405" s="811" t="s">
        <v>348</v>
      </c>
      <c r="B405" s="810" t="s">
        <v>343</v>
      </c>
      <c r="C405" s="33">
        <v>245</v>
      </c>
      <c r="D405" s="21" t="s">
        <v>349</v>
      </c>
      <c r="E405" s="214">
        <v>715000</v>
      </c>
      <c r="G405" s="8">
        <v>245</v>
      </c>
      <c r="H405" s="11">
        <f>1.01*0.788</f>
        <v>0.79588000000000003</v>
      </c>
      <c r="I405" s="12" t="e">
        <f>ROUND(#REF!*1000000/G405/H405,-3)</f>
        <v>#REF!</v>
      </c>
      <c r="J405" s="137"/>
      <c r="K405" s="13"/>
    </row>
    <row r="406" spans="1:11" ht="15" customHeight="1">
      <c r="A406" s="810"/>
      <c r="B406" s="810"/>
      <c r="C406" s="33">
        <v>300</v>
      </c>
      <c r="D406" s="21" t="s">
        <v>350</v>
      </c>
      <c r="E406" s="214">
        <v>875000</v>
      </c>
      <c r="G406" s="8">
        <v>300</v>
      </c>
      <c r="H406" s="11">
        <f t="shared" ref="H406:H407" si="62">1.01*0.788</f>
        <v>0.79588000000000003</v>
      </c>
      <c r="I406" s="12" t="e">
        <f>ROUND(#REF!*1000000/G406/H406,-3)</f>
        <v>#REF!</v>
      </c>
      <c r="J406" s="137"/>
      <c r="K406" s="13"/>
    </row>
    <row r="407" spans="1:11" ht="15" customHeight="1">
      <c r="A407" s="810"/>
      <c r="B407" s="810"/>
      <c r="C407" s="33">
        <v>360</v>
      </c>
      <c r="D407" s="21" t="s">
        <v>351</v>
      </c>
      <c r="E407" s="214">
        <v>1050000</v>
      </c>
      <c r="G407" s="8">
        <v>360</v>
      </c>
      <c r="H407" s="11">
        <f t="shared" si="62"/>
        <v>0.79588000000000003</v>
      </c>
      <c r="I407" s="12" t="e">
        <f>ROUND(#REF!*1000000/G407/H407,-3)</f>
        <v>#REF!</v>
      </c>
      <c r="J407" s="137"/>
      <c r="K407" s="13"/>
    </row>
    <row r="408" spans="1:11" ht="15" customHeight="1">
      <c r="A408" s="811" t="s">
        <v>352</v>
      </c>
      <c r="B408" s="814" t="s">
        <v>213</v>
      </c>
      <c r="C408" s="16">
        <v>128</v>
      </c>
      <c r="D408" s="29" t="s">
        <v>353</v>
      </c>
      <c r="E408" s="148">
        <v>445000</v>
      </c>
      <c r="G408" s="8">
        <v>128</v>
      </c>
      <c r="H408" s="11">
        <f t="shared" ref="H408:H410" si="63">0.788*1.091</f>
        <v>0.85970800000000003</v>
      </c>
      <c r="I408" s="12" t="e">
        <f>ROUND(#REF!*1000000/G408/H408,-3)</f>
        <v>#REF!</v>
      </c>
      <c r="J408" s="137"/>
      <c r="K408" s="13"/>
    </row>
    <row r="409" spans="1:11" ht="15" customHeight="1">
      <c r="A409" s="810"/>
      <c r="B409" s="804"/>
      <c r="C409" s="16">
        <f>C408</f>
        <v>128</v>
      </c>
      <c r="D409" s="29" t="s">
        <v>354</v>
      </c>
      <c r="E409" s="148">
        <v>480000</v>
      </c>
      <c r="G409" s="8">
        <v>128</v>
      </c>
      <c r="H409" s="11">
        <f t="shared" si="63"/>
        <v>0.85970800000000003</v>
      </c>
      <c r="I409" s="12" t="e">
        <f>ROUND(#REF!*1000000/G409/H409,-3)</f>
        <v>#REF!</v>
      </c>
      <c r="J409" s="137"/>
      <c r="K409" s="13"/>
    </row>
    <row r="410" spans="1:11" ht="15" customHeight="1">
      <c r="A410" s="810"/>
      <c r="B410" s="804"/>
      <c r="C410" s="16">
        <v>120</v>
      </c>
      <c r="D410" s="29" t="s">
        <v>355</v>
      </c>
      <c r="E410" s="148">
        <v>595000</v>
      </c>
      <c r="G410" s="8">
        <v>120</v>
      </c>
      <c r="H410" s="11">
        <f t="shared" si="63"/>
        <v>0.85970800000000003</v>
      </c>
      <c r="I410" s="12" t="e">
        <f>ROUND(#REF!*1000000/G410/H410,-3)</f>
        <v>#REF!</v>
      </c>
      <c r="J410" s="137"/>
      <c r="K410" s="13"/>
    </row>
    <row r="411" spans="1:11" ht="15" customHeight="1">
      <c r="A411" s="810"/>
      <c r="B411" s="810" t="s">
        <v>216</v>
      </c>
      <c r="C411" s="16">
        <v>128</v>
      </c>
      <c r="D411" s="29" t="s">
        <v>356</v>
      </c>
      <c r="E411" s="148">
        <v>0</v>
      </c>
      <c r="G411" s="8"/>
      <c r="H411" s="11"/>
      <c r="I411" s="12"/>
      <c r="J411" s="137"/>
      <c r="K411" s="13"/>
    </row>
    <row r="412" spans="1:11" ht="15" customHeight="1">
      <c r="A412" s="810"/>
      <c r="B412" s="810"/>
      <c r="C412" s="16">
        <v>120</v>
      </c>
      <c r="D412" s="29" t="s">
        <v>355</v>
      </c>
      <c r="E412" s="148">
        <v>0</v>
      </c>
      <c r="G412" s="8"/>
      <c r="H412" s="11"/>
      <c r="I412" s="12"/>
      <c r="J412" s="137"/>
      <c r="K412" s="13"/>
    </row>
    <row r="413" spans="1:11" ht="15" customHeight="1">
      <c r="A413" s="810"/>
      <c r="B413" s="810" t="s">
        <v>357</v>
      </c>
      <c r="C413" s="16">
        <v>128</v>
      </c>
      <c r="D413" s="29" t="s">
        <v>358</v>
      </c>
      <c r="E413" s="148">
        <v>0</v>
      </c>
      <c r="G413" s="8"/>
      <c r="H413" s="11"/>
      <c r="I413" s="12"/>
      <c r="J413" s="137"/>
      <c r="K413" s="13"/>
    </row>
    <row r="414" spans="1:11" ht="15" customHeight="1">
      <c r="A414" s="810"/>
      <c r="B414" s="810"/>
      <c r="C414" s="16">
        <v>120</v>
      </c>
      <c r="D414" s="29" t="s">
        <v>355</v>
      </c>
      <c r="E414" s="148">
        <v>0</v>
      </c>
      <c r="G414" s="8"/>
      <c r="H414" s="11"/>
      <c r="I414" s="12"/>
      <c r="J414" s="137"/>
      <c r="K414" s="13"/>
    </row>
    <row r="415" spans="1:11" ht="15" customHeight="1">
      <c r="A415" s="813" t="s">
        <v>359</v>
      </c>
      <c r="B415" s="123" t="s">
        <v>27</v>
      </c>
      <c r="C415" s="7">
        <v>110</v>
      </c>
      <c r="D415" s="9"/>
      <c r="E415" s="148">
        <v>122500</v>
      </c>
      <c r="G415" s="8">
        <v>110</v>
      </c>
      <c r="H415" s="11">
        <f t="shared" ref="H415:H427" si="64">0.788*1.091</f>
        <v>0.85970800000000003</v>
      </c>
      <c r="I415" s="12" t="e">
        <f>ROUND(#REF!*1000000/G415/H415,-3)</f>
        <v>#REF!</v>
      </c>
      <c r="J415" s="137"/>
      <c r="K415" s="13"/>
    </row>
    <row r="416" spans="1:11" ht="15" customHeight="1">
      <c r="A416" s="816"/>
      <c r="B416" s="123" t="s">
        <v>27</v>
      </c>
      <c r="C416" s="7">
        <v>127</v>
      </c>
      <c r="D416" s="9"/>
      <c r="E416" s="148">
        <v>140000</v>
      </c>
      <c r="G416" s="8">
        <v>127</v>
      </c>
      <c r="H416" s="11">
        <f t="shared" si="64"/>
        <v>0.85970800000000003</v>
      </c>
      <c r="I416" s="12" t="e">
        <f>ROUND(#REF!*1000000/G416/H416,-3)</f>
        <v>#REF!</v>
      </c>
      <c r="J416" s="137"/>
      <c r="K416" s="13"/>
    </row>
    <row r="417" spans="1:11" ht="15" customHeight="1">
      <c r="A417" s="816"/>
      <c r="B417" s="123" t="s">
        <v>27</v>
      </c>
      <c r="C417" s="7">
        <v>150</v>
      </c>
      <c r="D417" s="9"/>
      <c r="E417" s="148">
        <v>165000</v>
      </c>
      <c r="G417" s="8">
        <v>150</v>
      </c>
      <c r="H417" s="11">
        <f t="shared" si="64"/>
        <v>0.85970800000000003</v>
      </c>
      <c r="I417" s="12" t="e">
        <f>ROUND(#REF!*1000000/G417/H417,-3)</f>
        <v>#REF!</v>
      </c>
      <c r="J417" s="137"/>
      <c r="K417" s="13"/>
    </row>
    <row r="418" spans="1:11" ht="15" customHeight="1">
      <c r="A418" s="816"/>
      <c r="B418" s="123" t="s">
        <v>27</v>
      </c>
      <c r="C418" s="7">
        <v>161</v>
      </c>
      <c r="D418" s="9"/>
      <c r="E418" s="148">
        <v>177500</v>
      </c>
      <c r="G418" s="8">
        <v>161</v>
      </c>
      <c r="H418" s="11">
        <f t="shared" si="64"/>
        <v>0.85970800000000003</v>
      </c>
      <c r="I418" s="12" t="e">
        <f>ROUND(#REF!*1000000/G418/H418,-3)</f>
        <v>#REF!</v>
      </c>
      <c r="J418" s="137"/>
      <c r="K418" s="13"/>
    </row>
    <row r="419" spans="1:11" ht="15" customHeight="1">
      <c r="A419" s="816"/>
      <c r="B419" s="123" t="s">
        <v>27</v>
      </c>
      <c r="C419" s="7">
        <v>175</v>
      </c>
      <c r="D419" s="36"/>
      <c r="E419" s="148">
        <v>192500</v>
      </c>
      <c r="G419" s="8">
        <v>175</v>
      </c>
      <c r="H419" s="11">
        <f t="shared" si="64"/>
        <v>0.85970800000000003</v>
      </c>
      <c r="I419" s="12" t="e">
        <f>ROUND(#REF!*1000000/G419/H419,-3)</f>
        <v>#REF!</v>
      </c>
      <c r="J419" s="137"/>
      <c r="K419" s="13"/>
    </row>
    <row r="420" spans="1:11" ht="15" customHeight="1">
      <c r="A420" s="816"/>
      <c r="B420" s="123" t="s">
        <v>27</v>
      </c>
      <c r="C420" s="7">
        <v>200</v>
      </c>
      <c r="D420" s="36"/>
      <c r="E420" s="148">
        <v>220000</v>
      </c>
      <c r="G420" s="8">
        <v>200</v>
      </c>
      <c r="H420" s="11">
        <f t="shared" si="64"/>
        <v>0.85970800000000003</v>
      </c>
      <c r="I420" s="12" t="e">
        <f>ROUND(#REF!*1000000/G420/H420,-3)</f>
        <v>#REF!</v>
      </c>
      <c r="J420" s="137"/>
      <c r="K420" s="13"/>
    </row>
    <row r="421" spans="1:11" ht="15" customHeight="1">
      <c r="A421" s="816"/>
      <c r="B421" s="123" t="s">
        <v>27</v>
      </c>
      <c r="C421" s="7">
        <v>225</v>
      </c>
      <c r="D421" s="36"/>
      <c r="E421" s="148">
        <v>247500</v>
      </c>
      <c r="G421" s="8">
        <v>225</v>
      </c>
      <c r="H421" s="11">
        <f t="shared" si="64"/>
        <v>0.85970800000000003</v>
      </c>
      <c r="I421" s="12" t="e">
        <f>ROUND(#REF!*1000000/G421/H421,-3)</f>
        <v>#REF!</v>
      </c>
      <c r="J421" s="137"/>
      <c r="K421" s="13"/>
    </row>
    <row r="422" spans="1:11" ht="15" customHeight="1">
      <c r="A422" s="816"/>
      <c r="B422" s="123" t="s">
        <v>27</v>
      </c>
      <c r="C422" s="7">
        <v>250</v>
      </c>
      <c r="D422" s="36"/>
      <c r="E422" s="148">
        <v>275000</v>
      </c>
      <c r="G422" s="8">
        <v>250</v>
      </c>
      <c r="H422" s="11">
        <f t="shared" si="64"/>
        <v>0.85970800000000003</v>
      </c>
      <c r="I422" s="12" t="e">
        <f>ROUND(#REF!*1000000/G422/H422,-3)</f>
        <v>#REF!</v>
      </c>
      <c r="J422" s="137"/>
      <c r="K422" s="13"/>
    </row>
    <row r="423" spans="1:11" ht="15" customHeight="1">
      <c r="A423" s="816"/>
      <c r="B423" s="123" t="s">
        <v>27</v>
      </c>
      <c r="C423" s="7">
        <v>280</v>
      </c>
      <c r="D423" s="36"/>
      <c r="E423" s="148">
        <v>307500</v>
      </c>
      <c r="G423" s="8">
        <v>280</v>
      </c>
      <c r="H423" s="11">
        <f t="shared" si="64"/>
        <v>0.85970800000000003</v>
      </c>
      <c r="I423" s="12" t="e">
        <f>ROUND(#REF!*1000000/G423/H423,-3)</f>
        <v>#REF!</v>
      </c>
      <c r="J423" s="137"/>
      <c r="K423" s="13"/>
    </row>
    <row r="424" spans="1:11" ht="15" customHeight="1">
      <c r="A424" s="816"/>
      <c r="B424" s="123" t="s">
        <v>27</v>
      </c>
      <c r="C424" s="7">
        <v>300</v>
      </c>
      <c r="D424" s="36"/>
      <c r="E424" s="148">
        <v>330000</v>
      </c>
      <c r="G424" s="8">
        <v>300</v>
      </c>
      <c r="H424" s="11">
        <f t="shared" si="64"/>
        <v>0.85970800000000003</v>
      </c>
      <c r="I424" s="12" t="e">
        <f>ROUND(#REF!*1000000/G424/H424,-3)</f>
        <v>#REF!</v>
      </c>
      <c r="J424" s="137"/>
      <c r="K424" s="13"/>
    </row>
    <row r="425" spans="1:11" ht="15" customHeight="1">
      <c r="A425" s="816"/>
      <c r="B425" s="123" t="s">
        <v>27</v>
      </c>
      <c r="C425" s="7">
        <v>337</v>
      </c>
      <c r="D425" s="36"/>
      <c r="E425" s="148">
        <v>370000</v>
      </c>
      <c r="G425" s="8">
        <v>337</v>
      </c>
      <c r="H425" s="11">
        <f t="shared" si="64"/>
        <v>0.85970800000000003</v>
      </c>
      <c r="I425" s="12" t="e">
        <f>ROUND(#REF!*1000000/G425/H425,-3)</f>
        <v>#REF!</v>
      </c>
      <c r="J425" s="137"/>
      <c r="K425" s="13"/>
    </row>
    <row r="426" spans="1:11" ht="15" customHeight="1">
      <c r="A426" s="816"/>
      <c r="B426" s="123" t="s">
        <v>27</v>
      </c>
      <c r="C426" s="7">
        <v>440</v>
      </c>
      <c r="D426" s="36"/>
      <c r="E426" s="148">
        <v>485000</v>
      </c>
      <c r="G426" s="8">
        <v>440</v>
      </c>
      <c r="H426" s="11">
        <f t="shared" si="64"/>
        <v>0.85970800000000003</v>
      </c>
      <c r="I426" s="12" t="e">
        <f>ROUND(#REF!*1000000/G426/H426,-3)</f>
        <v>#REF!</v>
      </c>
      <c r="J426" s="137"/>
      <c r="K426" s="13"/>
    </row>
    <row r="427" spans="1:11" ht="15" customHeight="1">
      <c r="A427" s="816"/>
      <c r="B427" s="123" t="s">
        <v>27</v>
      </c>
      <c r="C427" s="7">
        <v>469</v>
      </c>
      <c r="D427" s="36"/>
      <c r="E427" s="148">
        <v>515000</v>
      </c>
      <c r="G427" s="8">
        <v>469</v>
      </c>
      <c r="H427" s="11">
        <f t="shared" si="64"/>
        <v>0.85970800000000003</v>
      </c>
      <c r="I427" s="12" t="e">
        <f>ROUND(#REF!*1000000/G427/H427,-3)</f>
        <v>#REF!</v>
      </c>
      <c r="J427" s="137"/>
      <c r="K427" s="13"/>
    </row>
    <row r="428" spans="1:11" ht="15" customHeight="1">
      <c r="A428" s="816"/>
      <c r="B428" s="123" t="s">
        <v>344</v>
      </c>
      <c r="C428" s="7">
        <v>161</v>
      </c>
      <c r="D428" s="36"/>
      <c r="E428" s="148">
        <v>122500</v>
      </c>
      <c r="G428" s="8">
        <v>161</v>
      </c>
      <c r="H428" s="11">
        <f t="shared" ref="H428:H437" si="65">0.636*0.939</f>
        <v>0.59720399999999996</v>
      </c>
      <c r="I428" s="12" t="e">
        <f>ROUND(#REF!*1000000/G428/H428,-3)</f>
        <v>#REF!</v>
      </c>
      <c r="J428" s="137"/>
      <c r="K428" s="13"/>
    </row>
    <row r="429" spans="1:11" ht="15" customHeight="1">
      <c r="A429" s="816"/>
      <c r="B429" s="123" t="s">
        <v>344</v>
      </c>
      <c r="C429" s="7">
        <v>175</v>
      </c>
      <c r="D429" s="36"/>
      <c r="E429" s="148" t="s">
        <v>4874</v>
      </c>
      <c r="G429" s="8">
        <v>175</v>
      </c>
      <c r="H429" s="11">
        <f t="shared" si="65"/>
        <v>0.59720399999999996</v>
      </c>
      <c r="I429" s="12" t="e">
        <f>ROUND(#REF!*1000000/G429/H429,-3)</f>
        <v>#REF!</v>
      </c>
      <c r="J429" s="137"/>
      <c r="K429" s="13"/>
    </row>
    <row r="430" spans="1:11" ht="15" customHeight="1">
      <c r="A430" s="816"/>
      <c r="B430" s="123" t="s">
        <v>344</v>
      </c>
      <c r="C430" s="7">
        <v>200</v>
      </c>
      <c r="D430" s="36"/>
      <c r="E430" s="148">
        <v>152500</v>
      </c>
      <c r="G430" s="8">
        <v>200</v>
      </c>
      <c r="H430" s="11">
        <f t="shared" si="65"/>
        <v>0.59720399999999996</v>
      </c>
      <c r="I430" s="12" t="e">
        <f>ROUND(#REF!*1000000/G430/H430,-3)</f>
        <v>#REF!</v>
      </c>
      <c r="J430" s="137"/>
      <c r="K430" s="13"/>
    </row>
    <row r="431" spans="1:11" ht="15" customHeight="1">
      <c r="A431" s="816"/>
      <c r="B431" s="123" t="s">
        <v>344</v>
      </c>
      <c r="C431" s="7">
        <v>225</v>
      </c>
      <c r="D431" s="36"/>
      <c r="E431" s="148">
        <v>172500</v>
      </c>
      <c r="G431" s="8">
        <v>225</v>
      </c>
      <c r="H431" s="11">
        <f t="shared" si="65"/>
        <v>0.59720399999999996</v>
      </c>
      <c r="I431" s="12" t="e">
        <f>ROUND(#REF!*1000000/G431/H431,-3)</f>
        <v>#REF!</v>
      </c>
      <c r="J431" s="137"/>
      <c r="K431" s="13"/>
    </row>
    <row r="432" spans="1:11" ht="15" customHeight="1">
      <c r="A432" s="816"/>
      <c r="B432" s="123" t="s">
        <v>344</v>
      </c>
      <c r="C432" s="7">
        <v>250</v>
      </c>
      <c r="D432" s="36"/>
      <c r="E432" s="148">
        <v>192500</v>
      </c>
      <c r="G432" s="8">
        <v>250</v>
      </c>
      <c r="H432" s="11">
        <f t="shared" si="65"/>
        <v>0.59720399999999996</v>
      </c>
      <c r="I432" s="12" t="e">
        <f>ROUND(#REF!*1000000/G432/H432,-3)</f>
        <v>#REF!</v>
      </c>
      <c r="J432" s="137"/>
      <c r="K432" s="13"/>
    </row>
    <row r="433" spans="1:11" ht="15" customHeight="1">
      <c r="A433" s="816"/>
      <c r="B433" s="123" t="s">
        <v>344</v>
      </c>
      <c r="C433" s="14">
        <v>280</v>
      </c>
      <c r="D433" s="36"/>
      <c r="E433" s="148" t="s">
        <v>4875</v>
      </c>
      <c r="G433" s="8">
        <v>280</v>
      </c>
      <c r="H433" s="11">
        <f t="shared" si="65"/>
        <v>0.59720399999999996</v>
      </c>
      <c r="I433" s="12" t="e">
        <f>ROUND(#REF!*1000000/G433/H433,-3)</f>
        <v>#REF!</v>
      </c>
      <c r="J433" s="137"/>
      <c r="K433" s="13"/>
    </row>
    <row r="434" spans="1:11" ht="15" customHeight="1">
      <c r="A434" s="816"/>
      <c r="B434" s="123" t="s">
        <v>344</v>
      </c>
      <c r="C434" s="7">
        <v>300</v>
      </c>
      <c r="D434" s="36"/>
      <c r="E434" s="148" t="s">
        <v>4876</v>
      </c>
      <c r="G434" s="8">
        <v>300</v>
      </c>
      <c r="H434" s="11">
        <f t="shared" si="65"/>
        <v>0.59720399999999996</v>
      </c>
      <c r="I434" s="12" t="e">
        <f>ROUND(#REF!*1000000/G434/H434,-3)</f>
        <v>#REF!</v>
      </c>
      <c r="J434" s="137"/>
      <c r="K434" s="13"/>
    </row>
    <row r="435" spans="1:11" ht="15" customHeight="1">
      <c r="A435" s="816"/>
      <c r="B435" s="123" t="s">
        <v>344</v>
      </c>
      <c r="C435" s="7">
        <v>337</v>
      </c>
      <c r="D435" s="36"/>
      <c r="E435" s="148">
        <v>257500</v>
      </c>
      <c r="G435" s="8">
        <v>337</v>
      </c>
      <c r="H435" s="11">
        <f t="shared" si="65"/>
        <v>0.59720399999999996</v>
      </c>
      <c r="I435" s="12" t="e">
        <f>ROUND(#REF!*1000000/G435/H435,-3)</f>
        <v>#REF!</v>
      </c>
      <c r="J435" s="137"/>
      <c r="K435" s="13"/>
    </row>
    <row r="436" spans="1:11" ht="15" customHeight="1">
      <c r="A436" s="816"/>
      <c r="B436" s="123" t="s">
        <v>344</v>
      </c>
      <c r="C436" s="7">
        <v>440</v>
      </c>
      <c r="D436" s="36"/>
      <c r="E436" s="148">
        <v>337500</v>
      </c>
      <c r="G436" s="8">
        <v>440</v>
      </c>
      <c r="H436" s="11">
        <f t="shared" si="65"/>
        <v>0.59720399999999996</v>
      </c>
      <c r="I436" s="12" t="e">
        <f>ROUND(#REF!*1000000/G436/H436,-3)</f>
        <v>#REF!</v>
      </c>
      <c r="J436" s="137"/>
      <c r="K436" s="13"/>
    </row>
    <row r="437" spans="1:11" ht="15" customHeight="1">
      <c r="A437" s="816"/>
      <c r="B437" s="123" t="s">
        <v>344</v>
      </c>
      <c r="C437" s="7">
        <v>469</v>
      </c>
      <c r="D437" s="36"/>
      <c r="E437" s="148">
        <v>360000</v>
      </c>
      <c r="G437" s="8">
        <v>469</v>
      </c>
      <c r="H437" s="11">
        <f t="shared" si="65"/>
        <v>0.59720399999999996</v>
      </c>
      <c r="I437" s="12" t="e">
        <f>ROUND(#REF!*1000000/G437/H437,-3)</f>
        <v>#REF!</v>
      </c>
      <c r="J437" s="137"/>
      <c r="K437" s="13"/>
    </row>
    <row r="438" spans="1:11" ht="15" customHeight="1">
      <c r="A438" s="7" t="s">
        <v>360</v>
      </c>
      <c r="B438" s="7" t="s">
        <v>361</v>
      </c>
      <c r="C438" s="33">
        <v>120</v>
      </c>
      <c r="D438" s="37" t="s">
        <v>362</v>
      </c>
      <c r="E438" s="25">
        <v>595000</v>
      </c>
      <c r="G438" s="8">
        <v>120</v>
      </c>
      <c r="H438" s="11">
        <f>0.77*1.091</f>
        <v>0.84006999999999998</v>
      </c>
      <c r="I438" s="12" t="e">
        <f>ROUNDDOWN(#REF!/H438,-2)</f>
        <v>#REF!</v>
      </c>
      <c r="J438" s="137"/>
      <c r="K438" s="13"/>
    </row>
    <row r="439" spans="1:11" ht="15" customHeight="1">
      <c r="A439" s="810" t="s">
        <v>363</v>
      </c>
      <c r="B439" s="7" t="s">
        <v>364</v>
      </c>
      <c r="C439" s="7">
        <v>240</v>
      </c>
      <c r="D439" s="9"/>
      <c r="E439" s="25">
        <v>0</v>
      </c>
      <c r="G439" s="8">
        <v>240</v>
      </c>
      <c r="H439" s="11">
        <f>1.04*100</f>
        <v>104</v>
      </c>
      <c r="I439" s="12" t="e">
        <f>ROUNDDOWN(#REF!/H439,-2)</f>
        <v>#REF!</v>
      </c>
      <c r="J439" s="137"/>
      <c r="K439" s="13"/>
    </row>
    <row r="440" spans="1:11" ht="15" customHeight="1">
      <c r="A440" s="810"/>
      <c r="B440" s="7" t="s">
        <v>365</v>
      </c>
      <c r="C440" s="14">
        <v>240</v>
      </c>
      <c r="D440" s="9"/>
      <c r="E440" s="25">
        <v>3255000</v>
      </c>
      <c r="G440" s="8">
        <v>240</v>
      </c>
      <c r="H440" s="11">
        <f>1.04*0.7</f>
        <v>0.72799999999999998</v>
      </c>
      <c r="I440" s="12" t="e">
        <f>ROUNDDOWN(#REF!/H440,-2)</f>
        <v>#REF!</v>
      </c>
      <c r="J440" s="137"/>
      <c r="K440" s="13"/>
    </row>
    <row r="441" spans="1:11" ht="15" customHeight="1">
      <c r="A441" s="803" t="s">
        <v>4877</v>
      </c>
      <c r="B441" s="798" t="s">
        <v>4878</v>
      </c>
      <c r="C441" s="14">
        <v>120</v>
      </c>
      <c r="D441" s="9" t="s">
        <v>4879</v>
      </c>
      <c r="E441" s="25">
        <v>275000</v>
      </c>
      <c r="G441" s="8"/>
      <c r="H441" s="11"/>
      <c r="I441" s="12"/>
      <c r="J441" s="137"/>
      <c r="K441" s="13"/>
    </row>
    <row r="442" spans="1:11" ht="15" customHeight="1">
      <c r="A442" s="804"/>
      <c r="B442" s="798" t="s">
        <v>4878</v>
      </c>
      <c r="C442" s="14">
        <v>200</v>
      </c>
      <c r="D442" s="9" t="s">
        <v>4880</v>
      </c>
      <c r="E442" s="25">
        <v>465000</v>
      </c>
      <c r="G442" s="8"/>
      <c r="H442" s="11"/>
      <c r="I442" s="12"/>
      <c r="J442" s="137"/>
      <c r="K442" s="13"/>
    </row>
    <row r="443" spans="1:11" ht="15" customHeight="1">
      <c r="A443" s="804"/>
      <c r="B443" s="798" t="s">
        <v>4878</v>
      </c>
      <c r="C443" s="14">
        <v>240</v>
      </c>
      <c r="D443" s="9" t="s">
        <v>4881</v>
      </c>
      <c r="E443" s="25">
        <v>555000</v>
      </c>
      <c r="G443" s="8"/>
      <c r="H443" s="11"/>
      <c r="I443" s="12"/>
      <c r="J443" s="137"/>
      <c r="K443" s="13"/>
    </row>
    <row r="444" spans="1:11" ht="15" customHeight="1">
      <c r="A444" s="804"/>
      <c r="B444" s="798" t="s">
        <v>4878</v>
      </c>
      <c r="C444" s="14">
        <v>285</v>
      </c>
      <c r="D444" s="9" t="s">
        <v>4882</v>
      </c>
      <c r="E444" s="25">
        <v>660000</v>
      </c>
      <c r="G444" s="8"/>
      <c r="H444" s="11"/>
      <c r="I444" s="12"/>
      <c r="J444" s="137"/>
      <c r="K444" s="13"/>
    </row>
    <row r="445" spans="1:11" ht="15" customHeight="1">
      <c r="A445" s="805"/>
      <c r="B445" s="798" t="s">
        <v>4878</v>
      </c>
      <c r="C445" s="14">
        <v>320</v>
      </c>
      <c r="D445" s="9" t="s">
        <v>4883</v>
      </c>
      <c r="E445" s="25">
        <v>740000</v>
      </c>
      <c r="G445" s="8"/>
      <c r="H445" s="11"/>
      <c r="I445" s="12"/>
      <c r="J445" s="137"/>
      <c r="K445" s="13"/>
    </row>
    <row r="446" spans="1:11" ht="15" customHeight="1">
      <c r="A446" s="814" t="s">
        <v>366</v>
      </c>
      <c r="B446" s="19" t="s">
        <v>367</v>
      </c>
      <c r="C446" s="33">
        <f>C440</f>
        <v>240</v>
      </c>
      <c r="D446" s="21" t="s">
        <v>368</v>
      </c>
      <c r="G446" s="8"/>
      <c r="H446" s="11"/>
      <c r="I446" s="12"/>
      <c r="J446" s="137"/>
      <c r="K446" s="13"/>
    </row>
    <row r="447" spans="1:11" ht="15" customHeight="1">
      <c r="A447" s="805"/>
      <c r="B447" s="19" t="s">
        <v>369</v>
      </c>
      <c r="C447" s="33">
        <f t="shared" ref="C447" si="66">C446</f>
        <v>240</v>
      </c>
      <c r="D447" s="21" t="s">
        <v>370</v>
      </c>
      <c r="G447" s="8"/>
      <c r="H447" s="11"/>
      <c r="I447" s="12"/>
      <c r="J447" s="137"/>
      <c r="K447" s="13"/>
    </row>
    <row r="448" spans="1:11" ht="15" customHeight="1">
      <c r="A448" s="810" t="s">
        <v>371</v>
      </c>
      <c r="B448" s="814" t="s">
        <v>213</v>
      </c>
      <c r="C448" s="14">
        <v>70</v>
      </c>
      <c r="D448" s="9" t="s">
        <v>372</v>
      </c>
      <c r="E448" s="148">
        <v>355000</v>
      </c>
      <c r="G448" s="8">
        <v>70</v>
      </c>
      <c r="H448" s="11">
        <f t="shared" ref="H448:H454" si="67">0.788*1.091</f>
        <v>0.85970800000000003</v>
      </c>
      <c r="I448" s="12" t="e">
        <f>ROUND(#REF!*1000000/G448/H448,-3)</f>
        <v>#REF!</v>
      </c>
      <c r="J448" s="137"/>
      <c r="K448" s="13"/>
    </row>
    <row r="449" spans="1:11" ht="15" customHeight="1">
      <c r="A449" s="810"/>
      <c r="B449" s="804"/>
      <c r="C449" s="7">
        <v>90</v>
      </c>
      <c r="D449" s="9" t="s">
        <v>373</v>
      </c>
      <c r="E449" s="148">
        <v>455000</v>
      </c>
      <c r="G449" s="8">
        <v>90</v>
      </c>
      <c r="H449" s="11">
        <f t="shared" si="67"/>
        <v>0.85970800000000003</v>
      </c>
      <c r="I449" s="12" t="e">
        <f>ROUND(#REF!*1000000/G449/H449,-3)</f>
        <v>#REF!</v>
      </c>
      <c r="J449" s="137"/>
      <c r="K449" s="13"/>
    </row>
    <row r="450" spans="1:11" ht="15" customHeight="1">
      <c r="A450" s="810"/>
      <c r="B450" s="804"/>
      <c r="C450" s="7">
        <v>105</v>
      </c>
      <c r="D450" s="9" t="s">
        <v>374</v>
      </c>
      <c r="E450" s="148">
        <v>530000</v>
      </c>
      <c r="G450" s="8">
        <v>105</v>
      </c>
      <c r="H450" s="11">
        <f t="shared" si="67"/>
        <v>0.85970800000000003</v>
      </c>
      <c r="I450" s="12" t="e">
        <f>ROUND(#REF!*1000000/G450/H450,-3)</f>
        <v>#REF!</v>
      </c>
      <c r="J450" s="137"/>
      <c r="K450" s="13"/>
    </row>
    <row r="451" spans="1:11" ht="15" customHeight="1">
      <c r="A451" s="810"/>
      <c r="B451" s="804"/>
      <c r="C451" s="7">
        <v>157</v>
      </c>
      <c r="D451" s="9" t="s">
        <v>375</v>
      </c>
      <c r="E451" s="148">
        <v>640000</v>
      </c>
      <c r="G451" s="8">
        <v>157</v>
      </c>
      <c r="H451" s="11">
        <f t="shared" si="67"/>
        <v>0.85970800000000003</v>
      </c>
      <c r="I451" s="12" t="e">
        <f>ROUND(#REF!*1000000/G451/H451,-3)</f>
        <v>#REF!</v>
      </c>
      <c r="J451" s="137"/>
      <c r="K451" s="13"/>
    </row>
    <row r="452" spans="1:11" ht="15" customHeight="1">
      <c r="A452" s="810"/>
      <c r="B452" s="804"/>
      <c r="C452" s="7">
        <v>209</v>
      </c>
      <c r="D452" s="9" t="s">
        <v>376</v>
      </c>
      <c r="E452" s="148">
        <v>850000</v>
      </c>
      <c r="G452" s="8">
        <v>209</v>
      </c>
      <c r="H452" s="11">
        <f t="shared" si="67"/>
        <v>0.85970800000000003</v>
      </c>
      <c r="I452" s="12" t="e">
        <f>ROUND(#REF!*1000000/G452/H452,-3)</f>
        <v>#REF!</v>
      </c>
      <c r="J452" s="137"/>
      <c r="K452" s="13"/>
    </row>
    <row r="453" spans="1:11" ht="15" customHeight="1">
      <c r="A453" s="810"/>
      <c r="B453" s="804"/>
      <c r="C453" s="33">
        <v>90</v>
      </c>
      <c r="D453" s="21" t="s">
        <v>377</v>
      </c>
      <c r="E453" s="25">
        <v>430000</v>
      </c>
      <c r="G453" s="8">
        <v>90</v>
      </c>
      <c r="H453" s="11">
        <f t="shared" si="67"/>
        <v>0.85970800000000003</v>
      </c>
      <c r="I453" s="12" t="e">
        <f>ROUND(#REF!*1000000/G453/H453,-3)</f>
        <v>#REF!</v>
      </c>
      <c r="J453" s="137"/>
      <c r="K453" s="13"/>
    </row>
    <row r="454" spans="1:11" ht="15" customHeight="1">
      <c r="A454" s="810"/>
      <c r="B454" s="804"/>
      <c r="C454" s="33">
        <v>105</v>
      </c>
      <c r="D454" s="21" t="s">
        <v>378</v>
      </c>
      <c r="E454" s="25">
        <v>500000</v>
      </c>
      <c r="G454" s="8">
        <v>105</v>
      </c>
      <c r="H454" s="11">
        <f t="shared" si="67"/>
        <v>0.85970800000000003</v>
      </c>
      <c r="I454" s="12" t="e">
        <f>ROUND(#REF!*1000000/G454/H454,-3)</f>
        <v>#REF!</v>
      </c>
      <c r="J454" s="137"/>
      <c r="K454" s="13"/>
    </row>
    <row r="455" spans="1:11" ht="15" customHeight="1">
      <c r="A455" s="810"/>
      <c r="B455" s="7" t="s">
        <v>347</v>
      </c>
      <c r="C455" s="33">
        <v>90</v>
      </c>
      <c r="D455" s="21" t="s">
        <v>379</v>
      </c>
      <c r="E455" s="25">
        <v>220000</v>
      </c>
      <c r="G455" s="8">
        <v>90</v>
      </c>
      <c r="H455" s="11">
        <f t="shared" ref="H455" si="68">0.636*0.939</f>
        <v>0.59720399999999996</v>
      </c>
      <c r="I455" s="12" t="e">
        <f>ROUND(#REF!*1000000/G455/H455,-3)</f>
        <v>#REF!</v>
      </c>
      <c r="J455" s="137"/>
      <c r="K455" s="13"/>
    </row>
    <row r="456" spans="1:11" ht="15" customHeight="1">
      <c r="A456" s="811" t="s">
        <v>380</v>
      </c>
      <c r="B456" s="810" t="s">
        <v>255</v>
      </c>
      <c r="C456" s="7">
        <v>330</v>
      </c>
      <c r="D456" s="9" t="s">
        <v>381</v>
      </c>
      <c r="E456" s="148">
        <v>1590000</v>
      </c>
      <c r="G456" s="8">
        <v>330</v>
      </c>
      <c r="H456" s="11">
        <v>0.7</v>
      </c>
      <c r="I456" s="12" t="e">
        <f>ROUND(#REF!*1000000/G456/H456,-3)</f>
        <v>#REF!</v>
      </c>
      <c r="J456" s="136">
        <v>500</v>
      </c>
      <c r="K456" s="13"/>
    </row>
    <row r="457" spans="1:11" ht="15" customHeight="1">
      <c r="A457" s="810"/>
      <c r="B457" s="810"/>
      <c r="C457" s="7">
        <f>C456</f>
        <v>330</v>
      </c>
      <c r="D457" s="9" t="s">
        <v>382</v>
      </c>
      <c r="E457" s="148">
        <v>1855000</v>
      </c>
      <c r="G457" s="8">
        <v>330</v>
      </c>
      <c r="H457" s="11">
        <v>0.7</v>
      </c>
      <c r="I457" s="12" t="e">
        <f>ROUND(#REF!*1000000/G457/H457,-3)</f>
        <v>#REF!</v>
      </c>
      <c r="J457" s="136">
        <v>500</v>
      </c>
      <c r="K457" s="13"/>
    </row>
    <row r="458" spans="1:11" ht="15" customHeight="1">
      <c r="A458" s="810"/>
      <c r="B458" s="810"/>
      <c r="C458" s="7">
        <v>430</v>
      </c>
      <c r="D458" s="9" t="s">
        <v>383</v>
      </c>
      <c r="E458" s="148">
        <v>2075000</v>
      </c>
      <c r="G458" s="8">
        <v>430</v>
      </c>
      <c r="H458" s="11">
        <v>0.7</v>
      </c>
      <c r="I458" s="12" t="e">
        <f>ROUND(#REF!*1000000/G458/H458,-3)</f>
        <v>#REF!</v>
      </c>
      <c r="J458" s="136">
        <v>700</v>
      </c>
      <c r="K458" s="13"/>
    </row>
    <row r="459" spans="1:11" ht="15" customHeight="1">
      <c r="A459" s="810"/>
      <c r="B459" s="810"/>
      <c r="C459" s="7">
        <f>C458</f>
        <v>430</v>
      </c>
      <c r="D459" s="9" t="s">
        <v>384</v>
      </c>
      <c r="E459" s="148">
        <v>2420000</v>
      </c>
      <c r="G459" s="8">
        <v>430</v>
      </c>
      <c r="H459" s="11">
        <v>0.7</v>
      </c>
      <c r="I459" s="12" t="e">
        <f>ROUND(#REF!*1000000/G459/H459,-3)</f>
        <v>#REF!</v>
      </c>
      <c r="J459" s="136">
        <v>700</v>
      </c>
      <c r="K459" s="13"/>
    </row>
    <row r="460" spans="1:11" ht="15" customHeight="1">
      <c r="A460" s="810"/>
      <c r="B460" s="810"/>
      <c r="C460" s="7">
        <v>600</v>
      </c>
      <c r="D460" s="9" t="s">
        <v>385</v>
      </c>
      <c r="E460" s="148">
        <v>2890000</v>
      </c>
      <c r="G460" s="8">
        <v>600</v>
      </c>
      <c r="H460" s="11">
        <v>0.7</v>
      </c>
      <c r="I460" s="12" t="e">
        <f>ROUND(#REF!*1000000/G460/H460,-3)</f>
        <v>#REF!</v>
      </c>
      <c r="J460" s="136">
        <v>950</v>
      </c>
      <c r="K460" s="13"/>
    </row>
    <row r="461" spans="1:11" ht="15" customHeight="1">
      <c r="A461" s="810"/>
      <c r="B461" s="810"/>
      <c r="C461" s="7">
        <f>C460</f>
        <v>600</v>
      </c>
      <c r="D461" s="9" t="s">
        <v>382</v>
      </c>
      <c r="E461" s="148">
        <v>3380000</v>
      </c>
      <c r="G461" s="8">
        <v>600</v>
      </c>
      <c r="H461" s="11">
        <v>0.7</v>
      </c>
      <c r="I461" s="12" t="e">
        <f>ROUND(#REF!*1000000/G461/H461,-3)</f>
        <v>#REF!</v>
      </c>
      <c r="J461" s="136">
        <v>950</v>
      </c>
      <c r="K461" s="13"/>
    </row>
    <row r="462" spans="1:11" ht="15" customHeight="1">
      <c r="A462" s="810" t="s">
        <v>386</v>
      </c>
      <c r="B462" s="810" t="s">
        <v>236</v>
      </c>
      <c r="C462" s="33">
        <v>100</v>
      </c>
      <c r="D462" s="21" t="s">
        <v>387</v>
      </c>
      <c r="E462" s="214">
        <v>490000</v>
      </c>
      <c r="G462" s="8">
        <v>100</v>
      </c>
      <c r="H462" s="11">
        <v>0.7</v>
      </c>
      <c r="I462" s="12" t="e">
        <f>ROUND(#REF!*1000000/G462/H462,-3)</f>
        <v>#REF!</v>
      </c>
      <c r="J462" s="137"/>
      <c r="K462" s="13"/>
    </row>
    <row r="463" spans="1:11" ht="15" customHeight="1">
      <c r="A463" s="810"/>
      <c r="B463" s="810"/>
      <c r="C463" s="33">
        <f>C462</f>
        <v>100</v>
      </c>
      <c r="D463" s="21" t="s">
        <v>388</v>
      </c>
      <c r="E463" s="214">
        <v>685000</v>
      </c>
      <c r="G463" s="8">
        <v>100</v>
      </c>
      <c r="H463" s="11">
        <v>0.7</v>
      </c>
      <c r="I463" s="12" t="e">
        <f>ROUND(#REF!*1000000/G463/H463,-3)</f>
        <v>#REF!</v>
      </c>
      <c r="J463" s="137"/>
      <c r="K463" s="13"/>
    </row>
    <row r="464" spans="1:11" ht="15" customHeight="1">
      <c r="A464" s="810"/>
      <c r="B464" s="810"/>
      <c r="C464" s="33">
        <v>300</v>
      </c>
      <c r="D464" s="21" t="s">
        <v>389</v>
      </c>
      <c r="E464" s="214">
        <v>1285000</v>
      </c>
      <c r="G464" s="8">
        <v>300</v>
      </c>
      <c r="H464" s="11">
        <v>0.7</v>
      </c>
      <c r="I464" s="12" t="e">
        <f>ROUND(#REF!*1000000/G464/H464,-3)</f>
        <v>#REF!</v>
      </c>
      <c r="J464" s="137"/>
      <c r="K464" s="13"/>
    </row>
    <row r="465" spans="1:11" ht="15" customHeight="1">
      <c r="A465" s="810"/>
      <c r="B465" s="810"/>
      <c r="C465" s="33">
        <f t="shared" ref="C465:C467" si="69">C464</f>
        <v>300</v>
      </c>
      <c r="D465" s="21" t="s">
        <v>390</v>
      </c>
      <c r="E465" s="214">
        <v>1495000</v>
      </c>
      <c r="G465" s="8">
        <v>300</v>
      </c>
      <c r="H465" s="11">
        <v>0.7</v>
      </c>
      <c r="I465" s="12" t="e">
        <f>ROUND(#REF!*1000000/G465/H465,-3)</f>
        <v>#REF!</v>
      </c>
      <c r="J465" s="137"/>
      <c r="K465" s="13"/>
    </row>
    <row r="466" spans="1:11" ht="15" customHeight="1">
      <c r="A466" s="810"/>
      <c r="B466" s="810"/>
      <c r="C466" s="33">
        <f t="shared" si="69"/>
        <v>300</v>
      </c>
      <c r="D466" s="21" t="s">
        <v>391</v>
      </c>
      <c r="E466" s="214">
        <v>1765000</v>
      </c>
      <c r="G466" s="8">
        <v>300</v>
      </c>
      <c r="H466" s="11">
        <v>0.7</v>
      </c>
      <c r="I466" s="12" t="e">
        <f>ROUND(#REF!*1000000/G466/H466,-3)</f>
        <v>#REF!</v>
      </c>
      <c r="J466" s="137"/>
      <c r="K466" s="13"/>
    </row>
    <row r="467" spans="1:11" ht="15" customHeight="1">
      <c r="A467" s="810"/>
      <c r="B467" s="810"/>
      <c r="C467" s="33">
        <f t="shared" si="69"/>
        <v>300</v>
      </c>
      <c r="D467" s="21" t="s">
        <v>392</v>
      </c>
      <c r="E467" s="214">
        <v>1855000</v>
      </c>
      <c r="G467" s="8">
        <v>300</v>
      </c>
      <c r="H467" s="11">
        <v>0.7</v>
      </c>
      <c r="I467" s="12" t="e">
        <f>ROUND(#REF!*1000000/G467/H467,-3)</f>
        <v>#REF!</v>
      </c>
      <c r="J467" s="137"/>
      <c r="K467" s="13"/>
    </row>
    <row r="468" spans="1:11" ht="15" customHeight="1">
      <c r="A468" s="810"/>
      <c r="B468" s="810"/>
      <c r="C468" s="33">
        <v>400</v>
      </c>
      <c r="D468" s="21" t="s">
        <v>393</v>
      </c>
      <c r="E468" s="214">
        <v>1710000</v>
      </c>
      <c r="G468" s="8">
        <v>400</v>
      </c>
      <c r="H468" s="11">
        <v>0.7</v>
      </c>
      <c r="I468" s="12" t="e">
        <f>ROUND(#REF!*1000000/G468/H468,-3)</f>
        <v>#REF!</v>
      </c>
      <c r="J468" s="137"/>
      <c r="K468" s="13"/>
    </row>
    <row r="469" spans="1:11" ht="15" customHeight="1">
      <c r="A469" s="810"/>
      <c r="B469" s="810"/>
      <c r="C469" s="33">
        <f>C468</f>
        <v>400</v>
      </c>
      <c r="D469" s="21" t="s">
        <v>394</v>
      </c>
      <c r="E469" s="214">
        <v>2470000</v>
      </c>
      <c r="G469" s="8">
        <v>400</v>
      </c>
      <c r="H469" s="11">
        <v>0.7</v>
      </c>
      <c r="I469" s="12" t="e">
        <f>ROUND(#REF!*1000000/G469/H469,-3)</f>
        <v>#REF!</v>
      </c>
      <c r="J469" s="137"/>
      <c r="K469" s="13"/>
    </row>
    <row r="470" spans="1:11" ht="15" customHeight="1">
      <c r="A470" s="811" t="s">
        <v>395</v>
      </c>
      <c r="B470" s="810" t="s">
        <v>22</v>
      </c>
      <c r="C470" s="33">
        <v>174</v>
      </c>
      <c r="D470" s="21" t="s">
        <v>396</v>
      </c>
      <c r="E470" s="214">
        <v>1175000</v>
      </c>
      <c r="G470" s="8">
        <v>174</v>
      </c>
      <c r="H470" s="11">
        <f t="shared" ref="H470:H476" si="70">0.788*1.091</f>
        <v>0.85970800000000003</v>
      </c>
      <c r="I470" s="12" t="e">
        <f>ROUND(#REF!*1000000/G470/H470,-3)</f>
        <v>#REF!</v>
      </c>
      <c r="J470" s="137"/>
      <c r="K470" s="13"/>
    </row>
    <row r="471" spans="1:11" ht="15" customHeight="1">
      <c r="A471" s="811"/>
      <c r="B471" s="810"/>
      <c r="C471" s="33">
        <v>209</v>
      </c>
      <c r="D471" s="21" t="s">
        <v>397</v>
      </c>
      <c r="E471" s="214">
        <v>1465000</v>
      </c>
      <c r="G471" s="8">
        <v>209</v>
      </c>
      <c r="H471" s="11">
        <f t="shared" si="70"/>
        <v>0.85970800000000003</v>
      </c>
      <c r="I471" s="12" t="e">
        <f>ROUND(#REF!*1000000/G471/H471,-3)</f>
        <v>#REF!</v>
      </c>
      <c r="J471" s="137"/>
      <c r="K471" s="13"/>
    </row>
    <row r="472" spans="1:11" ht="15" customHeight="1">
      <c r="A472" s="811"/>
      <c r="B472" s="810"/>
      <c r="C472" s="33">
        <f t="shared" ref="C472:C473" si="71">C471</f>
        <v>209</v>
      </c>
      <c r="D472" s="21" t="s">
        <v>398</v>
      </c>
      <c r="E472" s="214">
        <v>840000</v>
      </c>
      <c r="G472" s="8">
        <v>209</v>
      </c>
      <c r="H472" s="11">
        <f t="shared" si="70"/>
        <v>0.85970800000000003</v>
      </c>
      <c r="I472" s="12" t="e">
        <f>ROUND(#REF!*1000000/G472/H472,-3)</f>
        <v>#REF!</v>
      </c>
      <c r="J472" s="137"/>
      <c r="K472" s="13"/>
    </row>
    <row r="473" spans="1:11" ht="15" customHeight="1">
      <c r="A473" s="811"/>
      <c r="B473" s="810"/>
      <c r="C473" s="33">
        <f t="shared" si="71"/>
        <v>209</v>
      </c>
      <c r="D473" s="21" t="s">
        <v>399</v>
      </c>
      <c r="E473" s="214">
        <v>955000</v>
      </c>
      <c r="G473" s="8">
        <v>209</v>
      </c>
      <c r="H473" s="11">
        <f t="shared" si="70"/>
        <v>0.85970800000000003</v>
      </c>
      <c r="I473" s="12" t="e">
        <f>ROUND(#REF!*1000000/G473/H473,-3)</f>
        <v>#REF!</v>
      </c>
      <c r="J473" s="137"/>
      <c r="K473" s="13"/>
    </row>
    <row r="474" spans="1:11" ht="15" customHeight="1">
      <c r="A474" s="811"/>
      <c r="B474" s="810"/>
      <c r="C474" s="20">
        <v>221</v>
      </c>
      <c r="D474" s="21" t="s">
        <v>400</v>
      </c>
      <c r="E474" s="214">
        <v>1340000</v>
      </c>
      <c r="G474" s="8">
        <v>221</v>
      </c>
      <c r="H474" s="11">
        <f t="shared" si="70"/>
        <v>0.85970800000000003</v>
      </c>
      <c r="I474" s="12" t="e">
        <f>ROUND(#REF!*1000000/G474/H474,-3)</f>
        <v>#REF!</v>
      </c>
      <c r="J474" s="137"/>
      <c r="K474" s="13"/>
    </row>
    <row r="475" spans="1:11" ht="15" customHeight="1">
      <c r="A475" s="811"/>
      <c r="B475" s="810"/>
      <c r="C475" s="33">
        <v>244</v>
      </c>
      <c r="D475" s="21" t="s">
        <v>401</v>
      </c>
      <c r="E475" s="214">
        <v>1495000</v>
      </c>
      <c r="G475" s="8">
        <v>244</v>
      </c>
      <c r="H475" s="11">
        <f t="shared" si="70"/>
        <v>0.85970800000000003</v>
      </c>
      <c r="I475" s="12" t="e">
        <f>ROUND(#REF!*1000000/G475/H475,-3)</f>
        <v>#REF!</v>
      </c>
      <c r="J475" s="137"/>
      <c r="K475" s="13"/>
    </row>
    <row r="476" spans="1:11" ht="15" customHeight="1">
      <c r="A476" s="811"/>
      <c r="B476" s="810"/>
      <c r="C476" s="33">
        <v>250</v>
      </c>
      <c r="D476" s="21" t="s">
        <v>402</v>
      </c>
      <c r="E476" s="214">
        <v>1550000</v>
      </c>
      <c r="G476" s="8">
        <v>250</v>
      </c>
      <c r="H476" s="11">
        <f t="shared" si="70"/>
        <v>0.85970800000000003</v>
      </c>
      <c r="I476" s="12" t="e">
        <f>ROUND(#REF!*1000000/G476/H476,-3)</f>
        <v>#REF!</v>
      </c>
      <c r="J476" s="137"/>
      <c r="K476" s="13"/>
    </row>
    <row r="477" spans="1:11" ht="15" customHeight="1">
      <c r="A477" s="813" t="s">
        <v>403</v>
      </c>
      <c r="B477" s="38" t="s">
        <v>404</v>
      </c>
      <c r="C477" s="39">
        <v>240</v>
      </c>
      <c r="D477" s="40" t="s">
        <v>405</v>
      </c>
      <c r="E477" s="148">
        <v>0</v>
      </c>
      <c r="G477" s="41"/>
      <c r="H477" s="11"/>
      <c r="I477" s="12"/>
      <c r="J477" s="137"/>
      <c r="K477" s="13"/>
    </row>
    <row r="478" spans="1:11" ht="15" customHeight="1">
      <c r="A478" s="816"/>
      <c r="B478" s="837" t="s">
        <v>404</v>
      </c>
      <c r="C478" s="42">
        <f t="shared" ref="C478:C485" si="72">C477</f>
        <v>240</v>
      </c>
      <c r="D478" s="43" t="s">
        <v>406</v>
      </c>
      <c r="E478" s="148">
        <v>0</v>
      </c>
      <c r="G478" s="41"/>
      <c r="H478" s="11"/>
      <c r="I478" s="12"/>
      <c r="J478" s="139">
        <v>150</v>
      </c>
      <c r="K478" s="13"/>
    </row>
    <row r="479" spans="1:11" ht="15" customHeight="1">
      <c r="A479" s="816"/>
      <c r="B479" s="840"/>
      <c r="C479" s="42">
        <f t="shared" si="72"/>
        <v>240</v>
      </c>
      <c r="D479" s="43" t="s">
        <v>406</v>
      </c>
      <c r="E479" s="148">
        <v>0</v>
      </c>
      <c r="G479" s="41"/>
      <c r="H479" s="11"/>
      <c r="I479" s="12"/>
      <c r="J479" s="139">
        <v>200</v>
      </c>
      <c r="K479" s="13"/>
    </row>
    <row r="480" spans="1:11" ht="15" customHeight="1">
      <c r="A480" s="816"/>
      <c r="B480" s="840"/>
      <c r="C480" s="42">
        <f t="shared" si="72"/>
        <v>240</v>
      </c>
      <c r="D480" s="43" t="s">
        <v>406</v>
      </c>
      <c r="E480" s="148">
        <v>0</v>
      </c>
      <c r="G480" s="41"/>
      <c r="H480" s="11"/>
      <c r="I480" s="12"/>
      <c r="J480" s="139">
        <v>250</v>
      </c>
      <c r="K480" s="13"/>
    </row>
    <row r="481" spans="1:11" ht="15" customHeight="1">
      <c r="A481" s="816"/>
      <c r="B481" s="840"/>
      <c r="C481" s="42">
        <f t="shared" si="72"/>
        <v>240</v>
      </c>
      <c r="D481" s="43" t="s">
        <v>406</v>
      </c>
      <c r="E481" s="148">
        <v>0</v>
      </c>
      <c r="G481" s="41"/>
      <c r="H481" s="11"/>
      <c r="I481" s="12"/>
      <c r="J481" s="139">
        <v>300</v>
      </c>
      <c r="K481" s="13"/>
    </row>
    <row r="482" spans="1:11" ht="15" customHeight="1">
      <c r="A482" s="816"/>
      <c r="B482" s="839" t="s">
        <v>408</v>
      </c>
      <c r="C482" s="42">
        <f t="shared" si="72"/>
        <v>240</v>
      </c>
      <c r="D482" s="44" t="s">
        <v>407</v>
      </c>
      <c r="E482" s="213">
        <v>0</v>
      </c>
      <c r="G482" s="41"/>
      <c r="H482" s="11"/>
      <c r="I482" s="12"/>
      <c r="J482" s="139">
        <v>150</v>
      </c>
      <c r="K482" s="13"/>
    </row>
    <row r="483" spans="1:11" ht="15" customHeight="1">
      <c r="A483" s="816"/>
      <c r="B483" s="839"/>
      <c r="C483" s="42">
        <f t="shared" si="72"/>
        <v>240</v>
      </c>
      <c r="D483" s="43" t="s">
        <v>406</v>
      </c>
      <c r="E483" s="148">
        <v>0</v>
      </c>
      <c r="G483" s="41"/>
      <c r="H483" s="11"/>
      <c r="I483" s="12"/>
      <c r="J483" s="139">
        <v>200</v>
      </c>
      <c r="K483" s="13"/>
    </row>
    <row r="484" spans="1:11" ht="15" customHeight="1">
      <c r="A484" s="816"/>
      <c r="B484" s="839"/>
      <c r="C484" s="42">
        <f t="shared" si="72"/>
        <v>240</v>
      </c>
      <c r="D484" s="43" t="s">
        <v>406</v>
      </c>
      <c r="E484" s="148">
        <v>0</v>
      </c>
      <c r="G484" s="41"/>
      <c r="H484" s="11"/>
      <c r="I484" s="12"/>
      <c r="J484" s="139">
        <v>250</v>
      </c>
      <c r="K484" s="13"/>
    </row>
    <row r="485" spans="1:11" ht="15" customHeight="1">
      <c r="A485" s="816"/>
      <c r="B485" s="839"/>
      <c r="C485" s="42">
        <f t="shared" si="72"/>
        <v>240</v>
      </c>
      <c r="D485" s="43" t="s">
        <v>406</v>
      </c>
      <c r="E485" s="148">
        <v>0</v>
      </c>
      <c r="G485" s="41"/>
      <c r="H485" s="11"/>
      <c r="I485" s="12"/>
      <c r="J485" s="139">
        <v>300</v>
      </c>
      <c r="K485" s="13"/>
    </row>
    <row r="486" spans="1:11" s="48" customFormat="1" ht="15" customHeight="1">
      <c r="A486" s="816"/>
      <c r="B486" s="837" t="s">
        <v>409</v>
      </c>
      <c r="C486" s="45">
        <v>256</v>
      </c>
      <c r="D486" s="43" t="s">
        <v>406</v>
      </c>
      <c r="E486" s="148">
        <v>0</v>
      </c>
      <c r="F486" s="1"/>
      <c r="G486" s="41"/>
      <c r="H486" s="11"/>
      <c r="I486" s="12"/>
      <c r="J486" s="137"/>
      <c r="K486" s="13"/>
    </row>
    <row r="487" spans="1:11" ht="15" customHeight="1">
      <c r="A487" s="816"/>
      <c r="B487" s="840"/>
      <c r="C487" s="45">
        <v>128</v>
      </c>
      <c r="D487" s="46" t="s">
        <v>410</v>
      </c>
      <c r="E487" s="214">
        <v>0</v>
      </c>
      <c r="G487" s="41"/>
      <c r="H487" s="11"/>
      <c r="I487" s="12"/>
      <c r="J487" s="137"/>
      <c r="K487" s="13"/>
    </row>
    <row r="488" spans="1:11" ht="15" customHeight="1">
      <c r="A488" s="816"/>
      <c r="B488" s="838"/>
      <c r="C488" s="45">
        <v>157</v>
      </c>
      <c r="D488" s="46" t="s">
        <v>411</v>
      </c>
      <c r="E488" s="214">
        <v>0</v>
      </c>
      <c r="G488" s="41"/>
      <c r="H488" s="11"/>
      <c r="I488" s="12"/>
      <c r="J488" s="137"/>
      <c r="K488" s="13"/>
    </row>
    <row r="489" spans="1:11" s="1" customFormat="1" ht="15" customHeight="1">
      <c r="A489" s="816"/>
      <c r="B489" s="38" t="s">
        <v>412</v>
      </c>
      <c r="C489" s="49">
        <v>150</v>
      </c>
      <c r="D489" s="46" t="s">
        <v>411</v>
      </c>
      <c r="E489" s="214">
        <v>0</v>
      </c>
      <c r="G489" s="41"/>
      <c r="H489" s="11"/>
      <c r="I489" s="12"/>
      <c r="J489" s="137"/>
      <c r="K489" s="13"/>
    </row>
    <row r="490" spans="1:11" s="1" customFormat="1" ht="15" customHeight="1">
      <c r="A490" s="816"/>
      <c r="B490" s="839" t="s">
        <v>414</v>
      </c>
      <c r="C490" s="49">
        <v>200</v>
      </c>
      <c r="D490" s="50" t="s">
        <v>413</v>
      </c>
      <c r="E490" s="214">
        <v>0</v>
      </c>
      <c r="G490" s="41"/>
      <c r="H490" s="11"/>
      <c r="I490" s="12"/>
      <c r="J490" s="137"/>
      <c r="K490" s="13"/>
    </row>
    <row r="491" spans="1:11" s="1" customFormat="1" ht="15" customHeight="1">
      <c r="A491" s="816"/>
      <c r="B491" s="839"/>
      <c r="C491" s="49">
        <v>275</v>
      </c>
      <c r="D491" s="50" t="s">
        <v>415</v>
      </c>
      <c r="E491" s="214">
        <v>0</v>
      </c>
      <c r="G491" s="41"/>
      <c r="H491" s="11"/>
      <c r="I491" s="12"/>
      <c r="J491" s="137"/>
      <c r="K491" s="13"/>
    </row>
    <row r="492" spans="1:11" ht="15" customHeight="1">
      <c r="A492" s="816"/>
      <c r="B492" s="839"/>
      <c r="C492" s="49">
        <f t="shared" ref="C492:C493" si="73">C491</f>
        <v>275</v>
      </c>
      <c r="D492" s="50" t="s">
        <v>416</v>
      </c>
      <c r="E492" s="214">
        <v>0</v>
      </c>
      <c r="G492" s="41"/>
      <c r="H492" s="11"/>
      <c r="I492" s="12"/>
      <c r="J492" s="137"/>
      <c r="K492" s="13"/>
    </row>
    <row r="493" spans="1:11" ht="15" customHeight="1">
      <c r="A493" s="816"/>
      <c r="B493" s="839"/>
      <c r="C493" s="49">
        <f t="shared" si="73"/>
        <v>275</v>
      </c>
      <c r="D493" s="52" t="s">
        <v>417</v>
      </c>
      <c r="E493" s="214">
        <v>0</v>
      </c>
      <c r="G493" s="41"/>
      <c r="H493" s="11"/>
      <c r="I493" s="12"/>
      <c r="J493" s="137"/>
      <c r="K493" s="13"/>
    </row>
    <row r="494" spans="1:11" ht="15" customHeight="1">
      <c r="A494" s="816"/>
      <c r="B494" s="38" t="s">
        <v>419</v>
      </c>
      <c r="C494" s="49">
        <v>157</v>
      </c>
      <c r="D494" s="52" t="s">
        <v>418</v>
      </c>
      <c r="E494" s="214">
        <v>0</v>
      </c>
      <c r="G494" s="41"/>
      <c r="H494" s="11"/>
      <c r="I494" s="12"/>
      <c r="J494" s="137"/>
      <c r="K494" s="13"/>
    </row>
    <row r="495" spans="1:11" ht="15" customHeight="1">
      <c r="A495" s="816"/>
      <c r="B495" s="839" t="s">
        <v>421</v>
      </c>
      <c r="C495" s="49">
        <v>118</v>
      </c>
      <c r="D495" s="53" t="s">
        <v>420</v>
      </c>
      <c r="E495" s="214">
        <v>0</v>
      </c>
      <c r="G495" s="41"/>
      <c r="H495" s="11"/>
      <c r="I495" s="12"/>
      <c r="J495" s="137"/>
      <c r="K495" s="13"/>
    </row>
    <row r="496" spans="1:11" ht="15" customHeight="1">
      <c r="A496" s="816"/>
      <c r="B496" s="839"/>
      <c r="C496" s="49">
        <v>216</v>
      </c>
      <c r="D496" s="52" t="s">
        <v>422</v>
      </c>
      <c r="E496" s="214">
        <v>0</v>
      </c>
      <c r="G496" s="41"/>
      <c r="H496" s="11"/>
      <c r="I496" s="12"/>
      <c r="J496" s="137"/>
      <c r="K496" s="13"/>
    </row>
    <row r="497" spans="1:11" s="1" customFormat="1" ht="15" customHeight="1">
      <c r="A497" s="816"/>
      <c r="B497" s="839"/>
      <c r="C497" s="49">
        <v>298</v>
      </c>
      <c r="D497" s="52" t="s">
        <v>422</v>
      </c>
      <c r="E497" s="214">
        <v>0</v>
      </c>
      <c r="G497" s="41"/>
      <c r="H497" s="11"/>
      <c r="I497" s="12"/>
      <c r="J497" s="137"/>
      <c r="K497" s="13"/>
    </row>
    <row r="498" spans="1:11" s="1" customFormat="1" ht="15" customHeight="1">
      <c r="A498" s="816"/>
      <c r="B498" s="839"/>
      <c r="C498" s="49">
        <f>C497</f>
        <v>298</v>
      </c>
      <c r="D498" s="52" t="s">
        <v>423</v>
      </c>
      <c r="E498" s="214">
        <v>0</v>
      </c>
      <c r="G498" s="41"/>
      <c r="H498" s="11"/>
      <c r="I498" s="12"/>
      <c r="J498" s="137"/>
      <c r="K498" s="13"/>
    </row>
    <row r="499" spans="1:11" ht="15" customHeight="1">
      <c r="A499" s="816"/>
      <c r="B499" s="837" t="s">
        <v>409</v>
      </c>
      <c r="C499" s="49">
        <v>128</v>
      </c>
      <c r="D499" s="52" t="s">
        <v>424</v>
      </c>
      <c r="E499" s="214">
        <v>0</v>
      </c>
      <c r="G499" s="41"/>
      <c r="H499" s="11"/>
      <c r="I499" s="12"/>
      <c r="J499" s="137"/>
      <c r="K499" s="13"/>
    </row>
    <row r="500" spans="1:11" ht="15" customHeight="1">
      <c r="A500" s="816"/>
      <c r="B500" s="840"/>
      <c r="C500" s="49">
        <v>157</v>
      </c>
      <c r="D500" s="52" t="s">
        <v>424</v>
      </c>
      <c r="E500" s="214">
        <v>0</v>
      </c>
      <c r="G500" s="41"/>
      <c r="H500" s="11"/>
      <c r="I500" s="12"/>
      <c r="J500" s="137"/>
      <c r="K500" s="13"/>
    </row>
    <row r="501" spans="1:11" ht="15" customHeight="1">
      <c r="A501" s="816"/>
      <c r="B501" s="840"/>
      <c r="C501" s="49">
        <v>209</v>
      </c>
      <c r="D501" s="52" t="s">
        <v>424</v>
      </c>
      <c r="E501" s="214">
        <v>0</v>
      </c>
      <c r="G501" s="41"/>
      <c r="H501" s="11"/>
      <c r="I501" s="12"/>
      <c r="J501" s="137"/>
      <c r="K501" s="13"/>
    </row>
    <row r="502" spans="1:11" s="1" customFormat="1" ht="15" customHeight="1">
      <c r="A502" s="816"/>
      <c r="B502" s="840"/>
      <c r="C502" s="49">
        <v>128</v>
      </c>
      <c r="D502" s="52" t="s">
        <v>425</v>
      </c>
      <c r="E502" s="214">
        <v>0</v>
      </c>
      <c r="G502" s="41"/>
      <c r="H502" s="11"/>
      <c r="I502" s="12"/>
      <c r="J502" s="137"/>
      <c r="K502" s="13"/>
    </row>
    <row r="503" spans="1:11" ht="15" customHeight="1">
      <c r="A503" s="816"/>
      <c r="B503" s="840"/>
      <c r="C503" s="49">
        <v>157</v>
      </c>
      <c r="D503" s="52" t="s">
        <v>425</v>
      </c>
      <c r="E503" s="214">
        <v>0</v>
      </c>
      <c r="G503" s="41"/>
      <c r="H503" s="11"/>
      <c r="I503" s="12"/>
      <c r="J503" s="137"/>
      <c r="K503" s="13"/>
    </row>
    <row r="504" spans="1:11" ht="15" customHeight="1">
      <c r="A504" s="816"/>
      <c r="B504" s="840"/>
      <c r="C504" s="49">
        <v>209</v>
      </c>
      <c r="D504" s="52" t="s">
        <v>425</v>
      </c>
      <c r="E504" s="214">
        <v>0</v>
      </c>
      <c r="G504" s="41"/>
      <c r="H504" s="11"/>
      <c r="I504" s="12"/>
      <c r="J504" s="137"/>
      <c r="K504" s="13"/>
    </row>
    <row r="505" spans="1:11" ht="15" customHeight="1">
      <c r="A505" s="816"/>
      <c r="B505" s="840"/>
      <c r="C505" s="49">
        <v>128</v>
      </c>
      <c r="D505" s="52" t="s">
        <v>426</v>
      </c>
      <c r="E505" s="214">
        <v>0</v>
      </c>
      <c r="G505" s="41"/>
      <c r="H505" s="11"/>
      <c r="I505" s="12"/>
      <c r="J505" s="137"/>
      <c r="K505" s="13"/>
    </row>
    <row r="506" spans="1:11" ht="15" customHeight="1">
      <c r="A506" s="816"/>
      <c r="B506" s="838"/>
      <c r="C506" s="49">
        <v>157</v>
      </c>
      <c r="D506" s="52" t="s">
        <v>426</v>
      </c>
      <c r="E506" s="214">
        <v>0</v>
      </c>
      <c r="G506" s="41"/>
      <c r="H506" s="11"/>
      <c r="I506" s="12"/>
      <c r="J506" s="137"/>
      <c r="K506" s="13"/>
    </row>
    <row r="507" spans="1:11" ht="15" customHeight="1">
      <c r="A507" s="816"/>
      <c r="B507" s="839" t="s">
        <v>427</v>
      </c>
      <c r="C507" s="49">
        <v>120</v>
      </c>
      <c r="D507" s="52" t="s">
        <v>428</v>
      </c>
      <c r="E507" s="214">
        <v>0</v>
      </c>
      <c r="G507" s="41"/>
      <c r="H507" s="11"/>
      <c r="I507" s="12"/>
      <c r="J507" s="137"/>
      <c r="K507" s="13"/>
    </row>
    <row r="508" spans="1:11" ht="15" customHeight="1">
      <c r="A508" s="816"/>
      <c r="B508" s="839"/>
      <c r="C508" s="49">
        <v>200</v>
      </c>
      <c r="D508" s="52" t="s">
        <v>428</v>
      </c>
      <c r="E508" s="214">
        <v>0</v>
      </c>
      <c r="G508" s="41"/>
      <c r="H508" s="11"/>
      <c r="I508" s="12"/>
      <c r="J508" s="137"/>
      <c r="K508" s="13"/>
    </row>
    <row r="509" spans="1:11" ht="15" customHeight="1">
      <c r="A509" s="816"/>
      <c r="B509" s="839"/>
      <c r="C509" s="49">
        <v>260</v>
      </c>
      <c r="D509" s="52" t="s">
        <v>428</v>
      </c>
      <c r="E509" s="214">
        <v>0</v>
      </c>
      <c r="G509" s="41"/>
      <c r="H509" s="11"/>
      <c r="I509" s="12"/>
      <c r="J509" s="137"/>
      <c r="K509" s="13"/>
    </row>
    <row r="510" spans="1:11" ht="15" customHeight="1">
      <c r="A510" s="816"/>
      <c r="B510" s="839"/>
      <c r="C510" s="49">
        <v>100</v>
      </c>
      <c r="D510" s="52" t="s">
        <v>429</v>
      </c>
      <c r="E510" s="214">
        <v>0</v>
      </c>
      <c r="G510" s="41"/>
      <c r="H510" s="11"/>
      <c r="I510" s="12"/>
      <c r="J510" s="137"/>
      <c r="K510" s="13"/>
    </row>
    <row r="511" spans="1:11" ht="15" customHeight="1">
      <c r="A511" s="816"/>
      <c r="B511" s="839"/>
      <c r="C511" s="49">
        <v>120</v>
      </c>
      <c r="D511" s="52" t="s">
        <v>429</v>
      </c>
      <c r="E511" s="214">
        <v>0</v>
      </c>
      <c r="G511" s="41"/>
      <c r="H511" s="11"/>
      <c r="I511" s="12"/>
      <c r="J511" s="137"/>
      <c r="K511" s="13"/>
    </row>
    <row r="512" spans="1:11" ht="15" customHeight="1">
      <c r="A512" s="816"/>
      <c r="B512" s="839"/>
      <c r="C512" s="49">
        <v>150</v>
      </c>
      <c r="D512" s="52" t="s">
        <v>429</v>
      </c>
      <c r="E512" s="214">
        <v>0</v>
      </c>
      <c r="G512" s="41"/>
      <c r="H512" s="11"/>
      <c r="I512" s="12"/>
      <c r="J512" s="137"/>
      <c r="K512" s="13"/>
    </row>
    <row r="513" spans="1:11" ht="15" customHeight="1">
      <c r="A513" s="816"/>
      <c r="B513" s="839" t="s">
        <v>404</v>
      </c>
      <c r="C513" s="49">
        <v>170</v>
      </c>
      <c r="D513" s="52" t="s">
        <v>429</v>
      </c>
      <c r="E513" s="214">
        <v>0</v>
      </c>
      <c r="G513" s="41"/>
      <c r="H513" s="11"/>
      <c r="I513" s="12"/>
      <c r="J513" s="137"/>
      <c r="K513" s="13"/>
    </row>
    <row r="514" spans="1:11" ht="15" customHeight="1">
      <c r="A514" s="816"/>
      <c r="B514" s="839"/>
      <c r="C514" s="49">
        <v>200</v>
      </c>
      <c r="D514" s="52" t="s">
        <v>429</v>
      </c>
      <c r="E514" s="214">
        <v>0</v>
      </c>
      <c r="G514" s="41"/>
      <c r="H514" s="11"/>
      <c r="I514" s="12"/>
      <c r="J514" s="137"/>
      <c r="K514" s="13"/>
    </row>
    <row r="515" spans="1:11" ht="15" customHeight="1">
      <c r="A515" s="816"/>
      <c r="B515" s="839"/>
      <c r="C515" s="49">
        <v>240</v>
      </c>
      <c r="D515" s="52" t="s">
        <v>429</v>
      </c>
      <c r="E515" s="214">
        <v>0</v>
      </c>
      <c r="G515" s="41"/>
      <c r="H515" s="11"/>
      <c r="I515" s="12"/>
      <c r="J515" s="137"/>
      <c r="K515" s="13"/>
    </row>
    <row r="516" spans="1:11" ht="15" customHeight="1">
      <c r="A516" s="816"/>
      <c r="B516" s="839"/>
      <c r="C516" s="49">
        <v>300</v>
      </c>
      <c r="D516" s="52" t="s">
        <v>429</v>
      </c>
      <c r="E516" s="214">
        <v>0</v>
      </c>
      <c r="G516" s="41"/>
      <c r="H516" s="11"/>
      <c r="I516" s="12"/>
      <c r="J516" s="137"/>
      <c r="K516" s="13"/>
    </row>
    <row r="517" spans="1:11" ht="15" customHeight="1">
      <c r="A517" s="816"/>
      <c r="B517" s="837" t="s">
        <v>409</v>
      </c>
      <c r="C517" s="49">
        <v>122</v>
      </c>
      <c r="D517" s="52" t="s">
        <v>430</v>
      </c>
      <c r="E517" s="214">
        <v>0</v>
      </c>
      <c r="G517" s="41"/>
      <c r="H517" s="11"/>
      <c r="I517" s="12"/>
      <c r="J517" s="137"/>
      <c r="K517" s="13"/>
    </row>
    <row r="518" spans="1:11" ht="15" customHeight="1">
      <c r="A518" s="816"/>
      <c r="B518" s="840"/>
      <c r="C518" s="49">
        <v>151</v>
      </c>
      <c r="D518" s="52" t="s">
        <v>431</v>
      </c>
      <c r="E518" s="214">
        <v>0</v>
      </c>
      <c r="G518" s="41"/>
      <c r="H518" s="11"/>
      <c r="I518" s="12"/>
      <c r="J518" s="137"/>
      <c r="K518" s="13"/>
    </row>
    <row r="519" spans="1:11" ht="15" customHeight="1">
      <c r="A519" s="816"/>
      <c r="B519" s="840"/>
      <c r="C519" s="49">
        <v>227</v>
      </c>
      <c r="D519" s="52" t="s">
        <v>430</v>
      </c>
      <c r="E519" s="214">
        <v>0</v>
      </c>
      <c r="G519" s="41"/>
      <c r="H519" s="11"/>
      <c r="I519" s="12"/>
      <c r="J519" s="137"/>
      <c r="K519" s="13"/>
    </row>
    <row r="520" spans="1:11" ht="15" customHeight="1">
      <c r="A520" s="816"/>
      <c r="B520" s="840"/>
      <c r="C520" s="49">
        <v>320</v>
      </c>
      <c r="D520" s="52" t="s">
        <v>432</v>
      </c>
      <c r="E520" s="214">
        <v>0</v>
      </c>
      <c r="G520" s="41"/>
      <c r="H520" s="11"/>
      <c r="I520" s="12"/>
      <c r="J520" s="137"/>
      <c r="K520" s="13"/>
    </row>
    <row r="521" spans="1:11" ht="15" customHeight="1">
      <c r="A521" s="816"/>
      <c r="B521" s="838"/>
      <c r="C521" s="49">
        <v>175</v>
      </c>
      <c r="D521" s="52" t="s">
        <v>431</v>
      </c>
      <c r="E521" s="214">
        <v>0</v>
      </c>
      <c r="G521" s="41"/>
      <c r="H521" s="11"/>
      <c r="I521" s="12"/>
      <c r="J521" s="137"/>
      <c r="K521" s="13"/>
    </row>
    <row r="522" spans="1:11" ht="15" customHeight="1">
      <c r="A522" s="816"/>
      <c r="B522" s="839" t="s">
        <v>421</v>
      </c>
      <c r="C522" s="49">
        <v>118</v>
      </c>
      <c r="D522" s="52" t="s">
        <v>433</v>
      </c>
      <c r="E522" s="214">
        <v>0</v>
      </c>
      <c r="G522" s="41"/>
      <c r="H522" s="11"/>
      <c r="I522" s="12"/>
      <c r="J522" s="137"/>
      <c r="K522" s="13"/>
    </row>
    <row r="523" spans="1:11" s="1" customFormat="1" ht="15" customHeight="1">
      <c r="A523" s="816"/>
      <c r="B523" s="839"/>
      <c r="C523" s="49">
        <v>216</v>
      </c>
      <c r="D523" s="52" t="s">
        <v>2866</v>
      </c>
      <c r="E523" s="214">
        <v>0</v>
      </c>
      <c r="G523" s="41"/>
      <c r="H523" s="11"/>
      <c r="I523" s="12"/>
      <c r="J523" s="137"/>
      <c r="K523" s="13"/>
    </row>
    <row r="524" spans="1:11" s="1" customFormat="1" ht="15" customHeight="1">
      <c r="A524" s="816"/>
      <c r="B524" s="839"/>
      <c r="C524" s="49">
        <v>298</v>
      </c>
      <c r="D524" s="52" t="s">
        <v>433</v>
      </c>
      <c r="E524" s="214">
        <v>0</v>
      </c>
      <c r="G524" s="41"/>
      <c r="H524" s="11"/>
      <c r="I524" s="12"/>
      <c r="J524" s="137"/>
      <c r="K524" s="13"/>
    </row>
    <row r="525" spans="1:11" s="1" customFormat="1" ht="15" customHeight="1">
      <c r="A525" s="816"/>
      <c r="B525" s="839"/>
      <c r="C525" s="51">
        <v>104</v>
      </c>
      <c r="D525" s="52" t="s">
        <v>434</v>
      </c>
      <c r="E525" s="214">
        <v>0</v>
      </c>
      <c r="G525" s="41"/>
      <c r="H525" s="11"/>
      <c r="I525" s="12"/>
      <c r="J525" s="137"/>
      <c r="K525" s="13"/>
    </row>
    <row r="526" spans="1:11" s="1" customFormat="1" ht="15" customHeight="1">
      <c r="A526" s="816"/>
      <c r="B526" s="839"/>
      <c r="C526" s="51">
        <v>216</v>
      </c>
      <c r="D526" s="52" t="s">
        <v>434</v>
      </c>
      <c r="E526" s="214">
        <v>0</v>
      </c>
      <c r="G526" s="41"/>
      <c r="H526" s="11"/>
      <c r="I526" s="12"/>
      <c r="J526" s="137"/>
      <c r="K526" s="13"/>
    </row>
    <row r="527" spans="1:11" ht="15" customHeight="1">
      <c r="A527" s="816"/>
      <c r="B527" s="839"/>
      <c r="C527" s="49">
        <v>298</v>
      </c>
      <c r="D527" s="52" t="s">
        <v>435</v>
      </c>
      <c r="E527" s="214">
        <v>0</v>
      </c>
      <c r="G527" s="41"/>
      <c r="H527" s="11"/>
      <c r="I527" s="12"/>
      <c r="J527" s="137"/>
      <c r="K527" s="13"/>
    </row>
    <row r="528" spans="1:11" ht="15" customHeight="1">
      <c r="A528" s="816"/>
      <c r="B528" s="839"/>
      <c r="C528" s="49">
        <f>C527</f>
        <v>298</v>
      </c>
      <c r="D528" s="52" t="s">
        <v>436</v>
      </c>
      <c r="E528" s="214">
        <v>0</v>
      </c>
      <c r="G528" s="41"/>
      <c r="H528" s="11"/>
      <c r="I528" s="12"/>
      <c r="J528" s="137"/>
      <c r="K528" s="13"/>
    </row>
    <row r="529" spans="1:11" ht="15" customHeight="1">
      <c r="A529" s="816"/>
      <c r="B529" s="837" t="s">
        <v>409</v>
      </c>
      <c r="C529" s="49">
        <v>128</v>
      </c>
      <c r="D529" s="52" t="s">
        <v>437</v>
      </c>
      <c r="E529" s="214">
        <v>0</v>
      </c>
      <c r="G529" s="41"/>
      <c r="H529" s="11"/>
      <c r="I529" s="12"/>
      <c r="J529" s="137"/>
      <c r="K529" s="13"/>
    </row>
    <row r="530" spans="1:11" ht="15" customHeight="1">
      <c r="A530" s="816"/>
      <c r="B530" s="840"/>
      <c r="C530" s="49">
        <v>174</v>
      </c>
      <c r="D530" s="52" t="s">
        <v>437</v>
      </c>
      <c r="E530" s="214">
        <v>0</v>
      </c>
      <c r="G530" s="41"/>
      <c r="H530" s="11"/>
      <c r="I530" s="12"/>
      <c r="J530" s="137"/>
      <c r="K530" s="13"/>
    </row>
    <row r="531" spans="1:11" ht="15" customHeight="1">
      <c r="A531" s="816"/>
      <c r="B531" s="840"/>
      <c r="C531" s="49">
        <v>209</v>
      </c>
      <c r="D531" s="52" t="s">
        <v>437</v>
      </c>
      <c r="E531" s="214">
        <v>0</v>
      </c>
      <c r="G531" s="41"/>
      <c r="H531" s="11"/>
      <c r="I531" s="12"/>
      <c r="J531" s="137"/>
      <c r="K531" s="13"/>
    </row>
    <row r="532" spans="1:11" ht="15" customHeight="1">
      <c r="A532" s="816"/>
      <c r="B532" s="840"/>
      <c r="C532" s="49">
        <v>128</v>
      </c>
      <c r="D532" s="52" t="s">
        <v>438</v>
      </c>
      <c r="E532" s="214">
        <v>0</v>
      </c>
      <c r="G532" s="41"/>
      <c r="H532" s="11"/>
      <c r="I532" s="12"/>
      <c r="J532" s="137"/>
      <c r="K532" s="13"/>
    </row>
    <row r="533" spans="1:11" ht="15" customHeight="1">
      <c r="A533" s="816"/>
      <c r="B533" s="840"/>
      <c r="C533" s="49">
        <v>186</v>
      </c>
      <c r="D533" s="52" t="s">
        <v>438</v>
      </c>
      <c r="E533" s="214">
        <v>0</v>
      </c>
      <c r="G533" s="41"/>
      <c r="H533" s="11"/>
      <c r="I533" s="12"/>
      <c r="J533" s="137"/>
      <c r="K533" s="13"/>
    </row>
    <row r="534" spans="1:11" ht="15" customHeight="1">
      <c r="A534" s="816"/>
      <c r="B534" s="838"/>
      <c r="C534" s="49">
        <v>209</v>
      </c>
      <c r="D534" s="52" t="s">
        <v>438</v>
      </c>
      <c r="E534" s="214">
        <v>0</v>
      </c>
      <c r="G534" s="41"/>
      <c r="H534" s="11"/>
      <c r="I534" s="12"/>
      <c r="J534" s="137"/>
      <c r="K534" s="13"/>
    </row>
    <row r="535" spans="1:11" ht="15" customHeight="1">
      <c r="A535" s="816"/>
      <c r="B535" s="38" t="s">
        <v>427</v>
      </c>
      <c r="C535" s="49">
        <v>120</v>
      </c>
      <c r="D535" s="50" t="s">
        <v>439</v>
      </c>
      <c r="E535" s="214">
        <v>0</v>
      </c>
      <c r="G535" s="41"/>
      <c r="H535" s="11"/>
      <c r="I535" s="12"/>
      <c r="J535" s="137"/>
      <c r="K535" s="13"/>
    </row>
    <row r="536" spans="1:11" ht="15" customHeight="1">
      <c r="A536" s="816"/>
      <c r="B536" s="839" t="s">
        <v>409</v>
      </c>
      <c r="C536" s="49">
        <v>105</v>
      </c>
      <c r="D536" s="52" t="s">
        <v>440</v>
      </c>
      <c r="E536" s="214">
        <v>0</v>
      </c>
      <c r="G536" s="41"/>
      <c r="H536" s="11"/>
      <c r="I536" s="12"/>
      <c r="J536" s="137"/>
      <c r="K536" s="13"/>
    </row>
    <row r="537" spans="1:11" ht="15" customHeight="1">
      <c r="A537" s="816"/>
      <c r="B537" s="839"/>
      <c r="C537" s="49">
        <v>128</v>
      </c>
      <c r="D537" s="52" t="s">
        <v>440</v>
      </c>
      <c r="E537" s="214">
        <v>0</v>
      </c>
      <c r="G537" s="41"/>
      <c r="H537" s="11"/>
      <c r="I537" s="12"/>
      <c r="J537" s="137"/>
      <c r="K537" s="13"/>
    </row>
    <row r="538" spans="1:11" ht="15" customHeight="1">
      <c r="A538" s="816"/>
      <c r="B538" s="839"/>
      <c r="C538" s="49">
        <v>100</v>
      </c>
      <c r="D538" s="52" t="s">
        <v>441</v>
      </c>
      <c r="E538" s="214">
        <v>0</v>
      </c>
      <c r="G538" s="54"/>
      <c r="H538" s="11"/>
      <c r="I538" s="12"/>
      <c r="J538" s="137"/>
      <c r="K538" s="13"/>
    </row>
    <row r="539" spans="1:11" ht="15" customHeight="1">
      <c r="A539" s="816"/>
      <c r="B539" s="839"/>
      <c r="C539" s="49">
        <v>115</v>
      </c>
      <c r="D539" s="52" t="s">
        <v>441</v>
      </c>
      <c r="E539" s="214">
        <v>0</v>
      </c>
      <c r="G539" s="54"/>
      <c r="H539" s="11"/>
      <c r="I539" s="12"/>
      <c r="J539" s="137"/>
      <c r="K539" s="13"/>
    </row>
    <row r="540" spans="1:11" ht="15" customHeight="1">
      <c r="A540" s="816"/>
      <c r="B540" s="839"/>
      <c r="C540" s="49">
        <v>250</v>
      </c>
      <c r="D540" s="52" t="s">
        <v>441</v>
      </c>
      <c r="E540" s="214">
        <v>0</v>
      </c>
      <c r="G540" s="41"/>
      <c r="H540" s="11"/>
      <c r="I540" s="12"/>
      <c r="J540" s="137"/>
      <c r="K540" s="13"/>
    </row>
    <row r="541" spans="1:11" ht="15" customHeight="1">
      <c r="A541" s="816"/>
      <c r="B541" s="839"/>
      <c r="C541" s="49">
        <v>116</v>
      </c>
      <c r="D541" s="52" t="s">
        <v>442</v>
      </c>
      <c r="E541" s="214">
        <v>0</v>
      </c>
      <c r="G541" s="41"/>
      <c r="H541" s="11"/>
      <c r="I541" s="12"/>
      <c r="J541" s="137"/>
      <c r="K541" s="13"/>
    </row>
    <row r="542" spans="1:11" ht="15" customHeight="1">
      <c r="A542" s="816"/>
      <c r="B542" s="839"/>
      <c r="C542" s="49">
        <v>233</v>
      </c>
      <c r="D542" s="52" t="s">
        <v>442</v>
      </c>
      <c r="E542" s="214">
        <v>0</v>
      </c>
      <c r="G542" s="41"/>
      <c r="H542" s="11"/>
      <c r="I542" s="12"/>
      <c r="J542" s="137"/>
      <c r="K542" s="13"/>
    </row>
    <row r="543" spans="1:11" ht="15" customHeight="1">
      <c r="A543" s="816"/>
      <c r="B543" s="839" t="s">
        <v>421</v>
      </c>
      <c r="C543" s="49">
        <v>148</v>
      </c>
      <c r="D543" s="52" t="s">
        <v>443</v>
      </c>
      <c r="E543" s="214">
        <v>0</v>
      </c>
      <c r="G543" s="41"/>
      <c r="H543" s="11"/>
      <c r="I543" s="12"/>
      <c r="J543" s="137"/>
      <c r="K543" s="13"/>
    </row>
    <row r="544" spans="1:11" ht="15" customHeight="1">
      <c r="A544" s="816"/>
      <c r="B544" s="839"/>
      <c r="C544" s="49">
        <v>216</v>
      </c>
      <c r="D544" s="52" t="s">
        <v>443</v>
      </c>
      <c r="E544" s="214">
        <v>0</v>
      </c>
      <c r="G544" s="41"/>
      <c r="H544" s="11"/>
      <c r="I544" s="12"/>
      <c r="J544" s="137"/>
      <c r="K544" s="13"/>
    </row>
    <row r="545" spans="1:11" ht="15" customHeight="1">
      <c r="A545" s="816"/>
      <c r="B545" s="839"/>
      <c r="C545" s="49">
        <v>270</v>
      </c>
      <c r="D545" s="52" t="s">
        <v>443</v>
      </c>
      <c r="E545" s="214">
        <v>0</v>
      </c>
      <c r="G545" s="41"/>
      <c r="H545" s="11"/>
      <c r="I545" s="12"/>
      <c r="J545" s="137"/>
      <c r="K545" s="13"/>
    </row>
    <row r="546" spans="1:11" ht="15" customHeight="1">
      <c r="A546" s="816"/>
      <c r="B546" s="38" t="s">
        <v>444</v>
      </c>
      <c r="C546" s="49">
        <v>148</v>
      </c>
      <c r="D546" s="52" t="s">
        <v>445</v>
      </c>
      <c r="E546" s="214">
        <v>0</v>
      </c>
      <c r="G546" s="41"/>
      <c r="H546" s="11"/>
      <c r="I546" s="12"/>
      <c r="J546" s="137"/>
      <c r="K546" s="13"/>
    </row>
    <row r="547" spans="1:11" ht="15" customHeight="1">
      <c r="A547" s="816"/>
      <c r="B547" s="839" t="s">
        <v>446</v>
      </c>
      <c r="C547" s="49">
        <v>176</v>
      </c>
      <c r="D547" s="52" t="s">
        <v>445</v>
      </c>
      <c r="E547" s="214">
        <v>0</v>
      </c>
      <c r="G547" s="41"/>
      <c r="H547" s="11"/>
      <c r="I547" s="12"/>
      <c r="J547" s="137"/>
      <c r="K547" s="13"/>
    </row>
    <row r="548" spans="1:11" ht="15" customHeight="1">
      <c r="A548" s="816"/>
      <c r="B548" s="839"/>
      <c r="C548" s="49">
        <v>216</v>
      </c>
      <c r="D548" s="52" t="s">
        <v>445</v>
      </c>
      <c r="E548" s="214">
        <v>0</v>
      </c>
      <c r="G548" s="41"/>
      <c r="H548" s="11"/>
      <c r="I548" s="12"/>
      <c r="J548" s="137"/>
      <c r="K548" s="13"/>
    </row>
    <row r="549" spans="1:11" ht="15" customHeight="1">
      <c r="A549" s="816"/>
      <c r="B549" s="839"/>
      <c r="C549" s="49">
        <v>300</v>
      </c>
      <c r="D549" s="52" t="s">
        <v>445</v>
      </c>
      <c r="E549" s="214">
        <v>0</v>
      </c>
      <c r="G549" s="41"/>
      <c r="H549" s="11"/>
      <c r="I549" s="12"/>
      <c r="J549" s="137"/>
      <c r="K549" s="13"/>
    </row>
    <row r="550" spans="1:11" ht="15" customHeight="1">
      <c r="A550" s="816"/>
      <c r="B550" s="839"/>
      <c r="C550" s="49">
        <v>352</v>
      </c>
      <c r="D550" s="52" t="s">
        <v>445</v>
      </c>
      <c r="E550" s="214">
        <v>0</v>
      </c>
      <c r="G550" s="41"/>
      <c r="H550" s="11"/>
      <c r="I550" s="12"/>
      <c r="J550" s="137"/>
      <c r="K550" s="13"/>
    </row>
    <row r="551" spans="1:11" ht="15" customHeight="1">
      <c r="A551" s="816"/>
      <c r="B551" s="837" t="s">
        <v>404</v>
      </c>
      <c r="C551" s="49">
        <f t="shared" ref="C551:C552" si="74">C550</f>
        <v>352</v>
      </c>
      <c r="D551" s="52" t="s">
        <v>447</v>
      </c>
      <c r="E551" s="214">
        <v>0</v>
      </c>
      <c r="G551" s="41"/>
      <c r="H551" s="11"/>
      <c r="I551" s="12"/>
      <c r="J551" s="137"/>
      <c r="K551" s="13"/>
    </row>
    <row r="552" spans="1:11" ht="15" customHeight="1">
      <c r="A552" s="816"/>
      <c r="B552" s="838"/>
      <c r="C552" s="49">
        <f t="shared" si="74"/>
        <v>352</v>
      </c>
      <c r="D552" s="52" t="s">
        <v>447</v>
      </c>
      <c r="E552" s="214">
        <v>0</v>
      </c>
      <c r="G552" s="41"/>
      <c r="H552" s="11"/>
      <c r="I552" s="12"/>
      <c r="J552" s="137"/>
      <c r="K552" s="13"/>
    </row>
    <row r="553" spans="1:11" ht="15" customHeight="1">
      <c r="A553" s="816"/>
      <c r="B553" s="837" t="s">
        <v>448</v>
      </c>
      <c r="C553" s="51">
        <v>260</v>
      </c>
      <c r="D553" s="52" t="s">
        <v>449</v>
      </c>
      <c r="E553" s="214"/>
      <c r="G553" s="41"/>
      <c r="H553" s="11"/>
      <c r="I553" s="12"/>
      <c r="J553" s="137"/>
      <c r="K553" s="13"/>
    </row>
    <row r="554" spans="1:11" ht="15" customHeight="1">
      <c r="A554" s="816"/>
      <c r="B554" s="838"/>
      <c r="C554" s="51">
        <v>300</v>
      </c>
      <c r="D554" s="52" t="s">
        <v>449</v>
      </c>
      <c r="E554" s="214"/>
      <c r="G554" s="41"/>
      <c r="H554" s="11"/>
      <c r="I554" s="12"/>
      <c r="J554" s="137"/>
      <c r="K554" s="13"/>
    </row>
    <row r="555" spans="1:11" ht="15" customHeight="1">
      <c r="A555" s="816"/>
      <c r="B555" s="38" t="s">
        <v>450</v>
      </c>
      <c r="C555" s="49">
        <v>220</v>
      </c>
      <c r="D555" s="53" t="s">
        <v>451</v>
      </c>
      <c r="E555" s="214">
        <v>0</v>
      </c>
      <c r="G555" s="41"/>
      <c r="H555" s="11"/>
      <c r="I555" s="12"/>
      <c r="J555" s="137"/>
      <c r="K555" s="13"/>
    </row>
    <row r="556" spans="1:11" ht="15" customHeight="1">
      <c r="A556" s="816"/>
      <c r="B556" s="839" t="s">
        <v>404</v>
      </c>
      <c r="C556" s="49">
        <v>260</v>
      </c>
      <c r="D556" s="53" t="s">
        <v>451</v>
      </c>
      <c r="E556" s="214">
        <v>0</v>
      </c>
      <c r="G556" s="41"/>
      <c r="H556" s="11"/>
      <c r="I556" s="12"/>
      <c r="J556" s="137"/>
      <c r="K556" s="13"/>
    </row>
    <row r="557" spans="1:11" ht="15" customHeight="1">
      <c r="A557" s="816"/>
      <c r="B557" s="839"/>
      <c r="C557" s="49">
        <v>300</v>
      </c>
      <c r="D557" s="53" t="s">
        <v>451</v>
      </c>
      <c r="E557" s="214">
        <v>0</v>
      </c>
      <c r="G557" s="41"/>
      <c r="H557" s="11"/>
      <c r="I557" s="12"/>
      <c r="J557" s="137"/>
      <c r="K557" s="13"/>
    </row>
    <row r="558" spans="1:11" ht="15" customHeight="1">
      <c r="A558" s="816"/>
      <c r="B558" s="839"/>
      <c r="C558" s="49">
        <v>260</v>
      </c>
      <c r="D558" s="53" t="s">
        <v>452</v>
      </c>
      <c r="E558" s="214">
        <v>0</v>
      </c>
      <c r="G558" s="41"/>
      <c r="H558" s="11"/>
      <c r="I558" s="12"/>
      <c r="J558" s="137"/>
      <c r="K558" s="13"/>
    </row>
    <row r="559" spans="1:11" ht="15" customHeight="1">
      <c r="A559" s="816"/>
      <c r="B559" s="839"/>
      <c r="C559" s="49">
        <v>330</v>
      </c>
      <c r="D559" s="53" t="s">
        <v>452</v>
      </c>
      <c r="E559" s="214">
        <v>0</v>
      </c>
      <c r="G559" s="41"/>
      <c r="H559" s="11"/>
      <c r="I559" s="12"/>
      <c r="J559" s="137"/>
      <c r="K559" s="13"/>
    </row>
    <row r="560" spans="1:11" ht="15" customHeight="1">
      <c r="A560" s="816"/>
      <c r="B560" s="38" t="s">
        <v>450</v>
      </c>
      <c r="C560" s="49">
        <v>220</v>
      </c>
      <c r="D560" s="53" t="s">
        <v>452</v>
      </c>
      <c r="E560" s="214">
        <v>0</v>
      </c>
      <c r="G560" s="41"/>
      <c r="H560" s="11"/>
      <c r="I560" s="12"/>
      <c r="J560" s="137"/>
      <c r="K560" s="13"/>
    </row>
    <row r="561" spans="1:11" ht="15" customHeight="1">
      <c r="A561" s="816"/>
      <c r="B561" s="837" t="s">
        <v>409</v>
      </c>
      <c r="C561" s="49">
        <v>128</v>
      </c>
      <c r="D561" s="52" t="s">
        <v>453</v>
      </c>
      <c r="E561" s="214">
        <v>0</v>
      </c>
      <c r="G561" s="41"/>
      <c r="H561" s="11"/>
      <c r="I561" s="12"/>
      <c r="J561" s="137"/>
      <c r="K561" s="13"/>
    </row>
    <row r="562" spans="1:11" ht="15" customHeight="1">
      <c r="A562" s="816"/>
      <c r="B562" s="840"/>
      <c r="C562" s="49">
        <v>209</v>
      </c>
      <c r="D562" s="52" t="s">
        <v>453</v>
      </c>
      <c r="E562" s="214">
        <v>0</v>
      </c>
      <c r="G562" s="41"/>
      <c r="H562" s="11"/>
      <c r="I562" s="12"/>
      <c r="J562" s="137"/>
      <c r="K562" s="13"/>
    </row>
    <row r="563" spans="1:11" ht="15" customHeight="1">
      <c r="A563" s="816"/>
      <c r="B563" s="840"/>
      <c r="C563" s="49">
        <v>128</v>
      </c>
      <c r="D563" s="52" t="s">
        <v>454</v>
      </c>
      <c r="E563" s="214">
        <v>0</v>
      </c>
      <c r="G563" s="41"/>
      <c r="H563" s="11"/>
      <c r="I563" s="12"/>
      <c r="J563" s="137"/>
      <c r="K563" s="13"/>
    </row>
    <row r="564" spans="1:11" ht="15" customHeight="1">
      <c r="A564" s="816"/>
      <c r="B564" s="840"/>
      <c r="C564" s="49">
        <v>157</v>
      </c>
      <c r="D564" s="52" t="s">
        <v>454</v>
      </c>
      <c r="E564" s="214">
        <v>0</v>
      </c>
      <c r="G564" s="41"/>
      <c r="H564" s="11"/>
      <c r="I564" s="12"/>
      <c r="J564" s="137"/>
      <c r="K564" s="13"/>
    </row>
    <row r="565" spans="1:11" s="1" customFormat="1" ht="15" customHeight="1">
      <c r="A565" s="816"/>
      <c r="B565" s="840"/>
      <c r="C565" s="49">
        <v>203</v>
      </c>
      <c r="D565" s="52" t="s">
        <v>454</v>
      </c>
      <c r="E565" s="214">
        <v>0</v>
      </c>
      <c r="G565" s="41"/>
      <c r="H565" s="11"/>
      <c r="I565" s="12"/>
      <c r="J565" s="137"/>
      <c r="K565" s="13"/>
    </row>
    <row r="566" spans="1:11" s="1" customFormat="1" ht="15" customHeight="1">
      <c r="A566" s="817"/>
      <c r="B566" s="838"/>
      <c r="C566" s="49">
        <v>250</v>
      </c>
      <c r="D566" s="52" t="s">
        <v>454</v>
      </c>
      <c r="E566" s="214">
        <v>0</v>
      </c>
      <c r="G566" s="41"/>
      <c r="H566" s="11"/>
      <c r="I566" s="12"/>
      <c r="J566" s="137"/>
      <c r="K566" s="13"/>
    </row>
    <row r="567" spans="1:11" ht="15" customHeight="1">
      <c r="A567" s="811" t="s">
        <v>455</v>
      </c>
      <c r="B567" s="810" t="s">
        <v>61</v>
      </c>
      <c r="C567" s="55">
        <v>157</v>
      </c>
      <c r="D567" s="56" t="s">
        <v>456</v>
      </c>
      <c r="E567" s="25">
        <v>0</v>
      </c>
      <c r="G567" s="54"/>
      <c r="H567" s="11"/>
      <c r="I567" s="12"/>
      <c r="J567" s="137"/>
      <c r="K567" s="13"/>
    </row>
    <row r="568" spans="1:11" ht="15" customHeight="1">
      <c r="A568" s="811"/>
      <c r="B568" s="810"/>
      <c r="C568" s="55">
        <v>209</v>
      </c>
      <c r="D568" s="56" t="s">
        <v>457</v>
      </c>
      <c r="E568" s="25">
        <v>0</v>
      </c>
      <c r="G568" s="54"/>
      <c r="H568" s="11"/>
      <c r="I568" s="12"/>
      <c r="J568" s="137"/>
      <c r="K568" s="13"/>
    </row>
    <row r="569" spans="1:11" ht="15" customHeight="1">
      <c r="A569" s="811"/>
      <c r="B569" s="810"/>
      <c r="C569" s="55">
        <v>256</v>
      </c>
      <c r="D569" s="56" t="s">
        <v>458</v>
      </c>
      <c r="E569" s="25">
        <v>0</v>
      </c>
      <c r="G569" s="54"/>
      <c r="H569" s="11"/>
      <c r="I569" s="12"/>
      <c r="J569" s="137"/>
      <c r="K569" s="13"/>
    </row>
    <row r="570" spans="1:11" ht="15" customHeight="1">
      <c r="A570" s="811"/>
      <c r="B570" s="810"/>
      <c r="C570" s="55">
        <v>128</v>
      </c>
      <c r="D570" s="56" t="s">
        <v>459</v>
      </c>
      <c r="E570" s="25">
        <v>0</v>
      </c>
      <c r="G570" s="54"/>
      <c r="H570" s="11"/>
      <c r="I570" s="12"/>
      <c r="J570" s="137"/>
      <c r="K570" s="13"/>
    </row>
    <row r="571" spans="1:11" ht="15" customHeight="1">
      <c r="A571" s="811"/>
      <c r="B571" s="810"/>
      <c r="C571" s="55">
        <v>157</v>
      </c>
      <c r="D571" s="56" t="s">
        <v>460</v>
      </c>
      <c r="E571" s="25">
        <v>0</v>
      </c>
      <c r="G571" s="54"/>
      <c r="H571" s="11"/>
      <c r="I571" s="12"/>
      <c r="J571" s="137"/>
      <c r="K571" s="13"/>
    </row>
    <row r="572" spans="1:11" ht="15" customHeight="1">
      <c r="A572" s="811"/>
      <c r="B572" s="810"/>
      <c r="C572" s="55">
        <v>233</v>
      </c>
      <c r="D572" s="56" t="s">
        <v>461</v>
      </c>
      <c r="E572" s="25">
        <v>0</v>
      </c>
      <c r="G572" s="54"/>
      <c r="H572" s="11"/>
      <c r="I572" s="12"/>
      <c r="J572" s="137"/>
      <c r="K572" s="13"/>
    </row>
    <row r="573" spans="1:11" ht="15" customHeight="1">
      <c r="A573" s="811"/>
      <c r="B573" s="810"/>
      <c r="C573" s="55">
        <v>157</v>
      </c>
      <c r="D573" s="56" t="s">
        <v>462</v>
      </c>
      <c r="E573" s="25">
        <v>0</v>
      </c>
      <c r="G573" s="54"/>
      <c r="H573" s="11"/>
      <c r="I573" s="12"/>
      <c r="J573" s="137"/>
      <c r="K573" s="13"/>
    </row>
    <row r="574" spans="1:11" ht="15" customHeight="1">
      <c r="A574" s="811"/>
      <c r="B574" s="810"/>
      <c r="C574" s="55">
        <v>233</v>
      </c>
      <c r="D574" s="56" t="s">
        <v>463</v>
      </c>
      <c r="E574" s="25">
        <v>0</v>
      </c>
      <c r="G574" s="54"/>
      <c r="H574" s="11"/>
      <c r="I574" s="12"/>
      <c r="J574" s="137"/>
      <c r="K574" s="13"/>
    </row>
    <row r="575" spans="1:11" ht="15" customHeight="1">
      <c r="A575" s="811"/>
      <c r="B575" s="810"/>
      <c r="C575" s="55">
        <v>128</v>
      </c>
      <c r="D575" s="56" t="s">
        <v>464</v>
      </c>
      <c r="E575" s="25">
        <v>0</v>
      </c>
      <c r="G575" s="54"/>
      <c r="H575" s="11"/>
      <c r="I575" s="12"/>
      <c r="J575" s="137"/>
      <c r="K575" s="13"/>
    </row>
    <row r="576" spans="1:11" ht="15" customHeight="1">
      <c r="A576" s="811"/>
      <c r="B576" s="810"/>
      <c r="C576" s="55">
        <v>174</v>
      </c>
      <c r="D576" s="56" t="s">
        <v>465</v>
      </c>
      <c r="E576" s="25">
        <v>0</v>
      </c>
      <c r="G576" s="54"/>
      <c r="H576" s="11"/>
      <c r="I576" s="12"/>
      <c r="J576" s="137"/>
      <c r="K576" s="13"/>
    </row>
    <row r="577" spans="1:11" ht="15" customHeight="1">
      <c r="A577" s="811"/>
      <c r="B577" s="810"/>
      <c r="C577" s="55">
        <v>209</v>
      </c>
      <c r="D577" s="56" t="s">
        <v>466</v>
      </c>
      <c r="E577" s="25">
        <v>0</v>
      </c>
      <c r="G577" s="54"/>
      <c r="H577" s="11"/>
      <c r="I577" s="12"/>
      <c r="J577" s="137"/>
      <c r="K577" s="13"/>
    </row>
    <row r="578" spans="1:11" ht="15" customHeight="1">
      <c r="A578" s="811"/>
      <c r="B578" s="810"/>
      <c r="C578" s="55">
        <v>80</v>
      </c>
      <c r="D578" s="56" t="s">
        <v>467</v>
      </c>
      <c r="E578" s="25">
        <v>0</v>
      </c>
      <c r="G578" s="54"/>
      <c r="H578" s="11"/>
      <c r="I578" s="12"/>
      <c r="J578" s="137"/>
      <c r="K578" s="13"/>
    </row>
    <row r="579" spans="1:11" ht="15" customHeight="1">
      <c r="A579" s="811"/>
      <c r="B579" s="810"/>
      <c r="C579" s="55">
        <v>120</v>
      </c>
      <c r="D579" s="56" t="s">
        <v>468</v>
      </c>
      <c r="E579" s="25">
        <v>0</v>
      </c>
      <c r="G579" s="54"/>
      <c r="H579" s="11"/>
      <c r="I579" s="12"/>
      <c r="J579" s="137"/>
      <c r="K579" s="13"/>
    </row>
    <row r="580" spans="1:11" ht="15" customHeight="1">
      <c r="A580" s="811"/>
      <c r="B580" s="810"/>
      <c r="C580" s="55">
        <v>185</v>
      </c>
      <c r="D580" s="56" t="s">
        <v>469</v>
      </c>
      <c r="E580" s="25">
        <v>0</v>
      </c>
      <c r="G580" s="54"/>
      <c r="H580" s="11"/>
      <c r="I580" s="12"/>
      <c r="J580" s="137"/>
      <c r="K580" s="13"/>
    </row>
    <row r="581" spans="1:11" ht="15" customHeight="1">
      <c r="A581" s="811"/>
      <c r="B581" s="810"/>
      <c r="C581" s="55">
        <v>81.400000000000006</v>
      </c>
      <c r="D581" s="56" t="s">
        <v>470</v>
      </c>
      <c r="E581" s="25">
        <v>0</v>
      </c>
      <c r="G581" s="54"/>
      <c r="H581" s="11"/>
      <c r="I581" s="12"/>
      <c r="J581" s="137"/>
      <c r="K581" s="13"/>
    </row>
    <row r="582" spans="1:11" ht="15" customHeight="1">
      <c r="A582" s="812" t="s">
        <v>471</v>
      </c>
      <c r="B582" s="832" t="s">
        <v>343</v>
      </c>
      <c r="C582" s="57">
        <v>157</v>
      </c>
      <c r="D582" s="58">
        <v>150</v>
      </c>
      <c r="E582" s="148">
        <v>815000</v>
      </c>
      <c r="G582" s="54">
        <v>157</v>
      </c>
      <c r="H582" s="11">
        <f t="shared" ref="H582:H611" si="75">0.788*1.091</f>
        <v>0.85970800000000003</v>
      </c>
      <c r="I582" s="12" t="e">
        <f>ROUND(#REF!*1000000/G582/H582,-3)</f>
        <v>#REF!</v>
      </c>
      <c r="J582" s="140">
        <v>170</v>
      </c>
      <c r="K582" s="13"/>
    </row>
    <row r="583" spans="1:11" ht="15" customHeight="1">
      <c r="A583" s="812"/>
      <c r="B583" s="832"/>
      <c r="C583" s="57">
        <f t="shared" ref="C583:C585" si="76">C582</f>
        <v>157</v>
      </c>
      <c r="D583" s="58" t="s">
        <v>472</v>
      </c>
      <c r="E583" s="148">
        <v>515000</v>
      </c>
      <c r="G583" s="54">
        <v>157</v>
      </c>
      <c r="H583" s="11">
        <f t="shared" si="75"/>
        <v>0.85970800000000003</v>
      </c>
      <c r="I583" s="12" t="e">
        <f>ROUND(#REF!*1000000/G583/H583,-3)</f>
        <v>#REF!</v>
      </c>
      <c r="J583" s="140">
        <v>170</v>
      </c>
      <c r="K583" s="13"/>
    </row>
    <row r="584" spans="1:11" ht="15" customHeight="1">
      <c r="A584" s="812"/>
      <c r="B584" s="832"/>
      <c r="C584" s="57">
        <f t="shared" si="76"/>
        <v>157</v>
      </c>
      <c r="D584" s="58" t="s">
        <v>473</v>
      </c>
      <c r="E584" s="148">
        <v>645000</v>
      </c>
      <c r="G584" s="54">
        <v>157</v>
      </c>
      <c r="H584" s="11">
        <f t="shared" si="75"/>
        <v>0.85970800000000003</v>
      </c>
      <c r="I584" s="12" t="e">
        <f>ROUND(#REF!*1000000/G584/H584,-3)</f>
        <v>#REF!</v>
      </c>
      <c r="J584" s="140">
        <v>170</v>
      </c>
      <c r="K584" s="13"/>
    </row>
    <row r="585" spans="1:11" ht="15" customHeight="1">
      <c r="A585" s="812"/>
      <c r="B585" s="832"/>
      <c r="C585" s="57">
        <f t="shared" si="76"/>
        <v>157</v>
      </c>
      <c r="D585" s="58" t="s">
        <v>474</v>
      </c>
      <c r="E585" s="148">
        <v>835000</v>
      </c>
      <c r="G585" s="54">
        <v>157</v>
      </c>
      <c r="H585" s="11">
        <f t="shared" si="75"/>
        <v>0.85970800000000003</v>
      </c>
      <c r="I585" s="12" t="e">
        <f>ROUND(#REF!*1000000/G585/H585,-3)</f>
        <v>#REF!</v>
      </c>
      <c r="J585" s="140">
        <v>170</v>
      </c>
      <c r="K585" s="13"/>
    </row>
    <row r="586" spans="1:11" ht="15" customHeight="1">
      <c r="A586" s="812"/>
      <c r="B586" s="832"/>
      <c r="C586" s="57">
        <v>209</v>
      </c>
      <c r="D586" s="58" t="s">
        <v>475</v>
      </c>
      <c r="E586" s="148">
        <v>1085000</v>
      </c>
      <c r="G586" s="54">
        <v>209</v>
      </c>
      <c r="H586" s="11">
        <f t="shared" si="75"/>
        <v>0.85970800000000003</v>
      </c>
      <c r="I586" s="12" t="e">
        <f>ROUND(#REF!*1000000/G586/H586,-3)</f>
        <v>#REF!</v>
      </c>
      <c r="J586" s="140">
        <v>220</v>
      </c>
      <c r="K586" s="13"/>
    </row>
    <row r="587" spans="1:11" ht="15" customHeight="1">
      <c r="A587" s="812"/>
      <c r="B587" s="832"/>
      <c r="C587" s="57">
        <f t="shared" ref="C587:C589" si="77">C586</f>
        <v>209</v>
      </c>
      <c r="D587" s="59" t="s">
        <v>476</v>
      </c>
      <c r="E587" s="148">
        <v>685000</v>
      </c>
      <c r="G587" s="54">
        <v>209</v>
      </c>
      <c r="H587" s="11">
        <f t="shared" si="75"/>
        <v>0.85970800000000003</v>
      </c>
      <c r="I587" s="12" t="e">
        <f>ROUND(#REF!*1000000/G587/H587,-3)</f>
        <v>#REF!</v>
      </c>
      <c r="J587" s="140">
        <v>220</v>
      </c>
      <c r="K587" s="13"/>
    </row>
    <row r="588" spans="1:11" ht="15" customHeight="1">
      <c r="A588" s="812"/>
      <c r="B588" s="832"/>
      <c r="C588" s="57">
        <f t="shared" si="77"/>
        <v>209</v>
      </c>
      <c r="D588" s="58" t="s">
        <v>477</v>
      </c>
      <c r="E588" s="148">
        <v>855000</v>
      </c>
      <c r="G588" s="54">
        <v>209</v>
      </c>
      <c r="H588" s="11">
        <f t="shared" si="75"/>
        <v>0.85970800000000003</v>
      </c>
      <c r="I588" s="12" t="e">
        <f>ROUND(#REF!*1000000/G588/H588,-3)</f>
        <v>#REF!</v>
      </c>
      <c r="J588" s="140">
        <v>220</v>
      </c>
      <c r="K588" s="13"/>
    </row>
    <row r="589" spans="1:11" ht="15" customHeight="1">
      <c r="A589" s="812"/>
      <c r="B589" s="832"/>
      <c r="C589" s="57">
        <f t="shared" si="77"/>
        <v>209</v>
      </c>
      <c r="D589" s="58" t="s">
        <v>478</v>
      </c>
      <c r="E589" s="148">
        <v>1105000</v>
      </c>
      <c r="G589" s="54">
        <v>209</v>
      </c>
      <c r="H589" s="11">
        <f t="shared" si="75"/>
        <v>0.85970800000000003</v>
      </c>
      <c r="I589" s="12" t="e">
        <f>ROUND(#REF!*1000000/G589/H589,-3)</f>
        <v>#REF!</v>
      </c>
      <c r="J589" s="140">
        <v>220</v>
      </c>
      <c r="K589" s="13"/>
    </row>
    <row r="590" spans="1:11" ht="15" customHeight="1">
      <c r="A590" s="812"/>
      <c r="B590" s="832"/>
      <c r="C590" s="57">
        <v>262</v>
      </c>
      <c r="D590" s="58" t="s">
        <v>479</v>
      </c>
      <c r="E590" s="148">
        <v>1355000</v>
      </c>
      <c r="G590" s="54">
        <v>262</v>
      </c>
      <c r="H590" s="11">
        <f t="shared" si="75"/>
        <v>0.85970800000000003</v>
      </c>
      <c r="I590" s="12" t="e">
        <f>ROUND(#REF!*1000000/G590/H590,-3)</f>
        <v>#REF!</v>
      </c>
      <c r="J590" s="140">
        <v>280</v>
      </c>
      <c r="K590" s="13"/>
    </row>
    <row r="591" spans="1:11" ht="15" customHeight="1">
      <c r="A591" s="812"/>
      <c r="B591" s="832"/>
      <c r="C591" s="57">
        <f t="shared" ref="C591:C593" si="78">C590</f>
        <v>262</v>
      </c>
      <c r="D591" s="58" t="s">
        <v>480</v>
      </c>
      <c r="E591" s="148">
        <v>860000</v>
      </c>
      <c r="G591" s="54">
        <v>262</v>
      </c>
      <c r="H591" s="11">
        <f t="shared" si="75"/>
        <v>0.85970800000000003</v>
      </c>
      <c r="I591" s="12" t="e">
        <f>ROUND(#REF!*1000000/G591/H591,-3)</f>
        <v>#REF!</v>
      </c>
      <c r="J591" s="140">
        <v>280</v>
      </c>
      <c r="K591" s="13"/>
    </row>
    <row r="592" spans="1:11" ht="15" customHeight="1">
      <c r="A592" s="812"/>
      <c r="B592" s="832"/>
      <c r="C592" s="57">
        <f t="shared" si="78"/>
        <v>262</v>
      </c>
      <c r="D592" s="58" t="s">
        <v>481</v>
      </c>
      <c r="E592" s="148">
        <v>1070000</v>
      </c>
      <c r="G592" s="54">
        <v>262</v>
      </c>
      <c r="H592" s="11">
        <f t="shared" si="75"/>
        <v>0.85970800000000003</v>
      </c>
      <c r="I592" s="12" t="e">
        <f>ROUND(#REF!*1000000/G592/H592,-3)</f>
        <v>#REF!</v>
      </c>
      <c r="J592" s="140">
        <v>280</v>
      </c>
      <c r="K592" s="13"/>
    </row>
    <row r="593" spans="1:11" ht="15" customHeight="1">
      <c r="A593" s="812"/>
      <c r="B593" s="832"/>
      <c r="C593" s="57">
        <f t="shared" si="78"/>
        <v>262</v>
      </c>
      <c r="D593" s="58" t="s">
        <v>482</v>
      </c>
      <c r="E593" s="148">
        <v>1390000</v>
      </c>
      <c r="G593" s="54">
        <v>262</v>
      </c>
      <c r="H593" s="11">
        <f t="shared" si="75"/>
        <v>0.85970800000000003</v>
      </c>
      <c r="I593" s="12" t="e">
        <f>ROUND(#REF!*1000000/G593/H593,-3)</f>
        <v>#REF!</v>
      </c>
      <c r="J593" s="140">
        <v>280</v>
      </c>
      <c r="K593" s="13"/>
    </row>
    <row r="594" spans="1:11" ht="15" customHeight="1">
      <c r="A594" s="812"/>
      <c r="B594" s="832"/>
      <c r="C594" s="57">
        <v>308</v>
      </c>
      <c r="D594" s="60" t="s">
        <v>483</v>
      </c>
      <c r="E594" s="148">
        <v>1015000</v>
      </c>
      <c r="G594" s="54">
        <v>308</v>
      </c>
      <c r="H594" s="11">
        <f t="shared" si="75"/>
        <v>0.85970800000000003</v>
      </c>
      <c r="I594" s="12" t="e">
        <f>ROUND(#REF!*1000000/G594/H594,-3)</f>
        <v>#REF!</v>
      </c>
      <c r="J594" s="140">
        <v>350</v>
      </c>
      <c r="K594" s="13"/>
    </row>
    <row r="595" spans="1:11" ht="15" customHeight="1">
      <c r="A595" s="812"/>
      <c r="B595" s="832"/>
      <c r="C595" s="57">
        <f t="shared" ref="C595:C598" si="79">C594</f>
        <v>308</v>
      </c>
      <c r="D595" s="60" t="s">
        <v>484</v>
      </c>
      <c r="E595" s="148">
        <v>1095000</v>
      </c>
      <c r="G595" s="54">
        <v>308</v>
      </c>
      <c r="H595" s="11">
        <f t="shared" si="75"/>
        <v>0.85970800000000003</v>
      </c>
      <c r="I595" s="12" t="e">
        <f>ROUND(#REF!*1000000/G595/H595,-3)</f>
        <v>#REF!</v>
      </c>
      <c r="J595" s="140">
        <v>350</v>
      </c>
      <c r="K595" s="13"/>
    </row>
    <row r="596" spans="1:11" ht="15" customHeight="1">
      <c r="A596" s="812"/>
      <c r="B596" s="832"/>
      <c r="C596" s="57">
        <f t="shared" si="79"/>
        <v>308</v>
      </c>
      <c r="D596" s="58" t="s">
        <v>485</v>
      </c>
      <c r="E596" s="148">
        <v>1600000</v>
      </c>
      <c r="G596" s="54">
        <v>308</v>
      </c>
      <c r="H596" s="11">
        <f t="shared" si="75"/>
        <v>0.85970800000000003</v>
      </c>
      <c r="I596" s="12" t="e">
        <f>ROUND(#REF!*1000000/G596/H596,-3)</f>
        <v>#REF!</v>
      </c>
      <c r="J596" s="140">
        <v>350</v>
      </c>
      <c r="K596" s="13"/>
    </row>
    <row r="597" spans="1:11" ht="15" customHeight="1">
      <c r="A597" s="812"/>
      <c r="B597" s="832"/>
      <c r="C597" s="57">
        <f t="shared" si="79"/>
        <v>308</v>
      </c>
      <c r="D597" s="58" t="s">
        <v>486</v>
      </c>
      <c r="E597" s="148">
        <v>1260000</v>
      </c>
      <c r="G597" s="54">
        <v>308</v>
      </c>
      <c r="H597" s="11">
        <f t="shared" si="75"/>
        <v>0.85970800000000003</v>
      </c>
      <c r="I597" s="12" t="e">
        <f>ROUND(#REF!*1000000/G597/H597,-3)</f>
        <v>#REF!</v>
      </c>
      <c r="J597" s="140">
        <v>350</v>
      </c>
      <c r="K597" s="13"/>
    </row>
    <row r="598" spans="1:11" ht="15" customHeight="1">
      <c r="A598" s="812"/>
      <c r="B598" s="832"/>
      <c r="C598" s="57">
        <f t="shared" si="79"/>
        <v>308</v>
      </c>
      <c r="D598" s="58" t="s">
        <v>487</v>
      </c>
      <c r="E598" s="148">
        <v>1635000</v>
      </c>
      <c r="G598" s="54">
        <v>308</v>
      </c>
      <c r="H598" s="11">
        <f t="shared" si="75"/>
        <v>0.85970800000000003</v>
      </c>
      <c r="I598" s="12" t="e">
        <f>ROUND(#REF!*1000000/G598/H598,-3)</f>
        <v>#REF!</v>
      </c>
      <c r="J598" s="140">
        <v>350</v>
      </c>
      <c r="K598" s="13"/>
    </row>
    <row r="599" spans="1:11" ht="15" customHeight="1">
      <c r="A599" s="812"/>
      <c r="B599" s="832"/>
      <c r="C599" s="57">
        <v>360</v>
      </c>
      <c r="D599" s="58" t="s">
        <v>488</v>
      </c>
      <c r="E599" s="148">
        <v>1865000</v>
      </c>
      <c r="G599" s="54">
        <v>360</v>
      </c>
      <c r="H599" s="11">
        <f t="shared" si="75"/>
        <v>0.85970800000000003</v>
      </c>
      <c r="I599" s="12" t="e">
        <f>ROUND(#REF!*1000000/G599/H599,-3)</f>
        <v>#REF!</v>
      </c>
      <c r="J599" s="140">
        <v>390</v>
      </c>
      <c r="K599" s="13"/>
    </row>
    <row r="600" spans="1:11" ht="15" customHeight="1">
      <c r="A600" s="812"/>
      <c r="B600" s="832"/>
      <c r="C600" s="57">
        <f t="shared" ref="C600:C603" si="80">C599</f>
        <v>360</v>
      </c>
      <c r="D600" s="58" t="s">
        <v>489</v>
      </c>
      <c r="E600" s="148">
        <v>1180000</v>
      </c>
      <c r="G600" s="54">
        <v>360</v>
      </c>
      <c r="H600" s="11">
        <f t="shared" si="75"/>
        <v>0.85970800000000003</v>
      </c>
      <c r="I600" s="12" t="e">
        <f>ROUND(#REF!*1000000/G600/H600,-3)</f>
        <v>#REF!</v>
      </c>
      <c r="J600" s="140">
        <v>390</v>
      </c>
      <c r="K600" s="13"/>
    </row>
    <row r="601" spans="1:11" ht="15" customHeight="1">
      <c r="A601" s="812"/>
      <c r="B601" s="832"/>
      <c r="C601" s="57">
        <f t="shared" si="80"/>
        <v>360</v>
      </c>
      <c r="D601" s="58" t="s">
        <v>490</v>
      </c>
      <c r="E601" s="148">
        <v>1275000</v>
      </c>
      <c r="G601" s="54">
        <v>360</v>
      </c>
      <c r="H601" s="11">
        <f t="shared" si="75"/>
        <v>0.85970800000000003</v>
      </c>
      <c r="I601" s="12" t="e">
        <f>ROUND(#REF!*1000000/G601/H601,-3)</f>
        <v>#REF!</v>
      </c>
      <c r="J601" s="140">
        <v>390</v>
      </c>
      <c r="K601" s="13"/>
    </row>
    <row r="602" spans="1:11" ht="15" customHeight="1">
      <c r="A602" s="812"/>
      <c r="B602" s="832"/>
      <c r="C602" s="57">
        <f t="shared" si="80"/>
        <v>360</v>
      </c>
      <c r="D602" s="58" t="s">
        <v>491</v>
      </c>
      <c r="E602" s="148">
        <v>1475000</v>
      </c>
      <c r="G602" s="54">
        <v>360</v>
      </c>
      <c r="H602" s="11">
        <f t="shared" si="75"/>
        <v>0.85970800000000003</v>
      </c>
      <c r="I602" s="12" t="e">
        <f>ROUND(#REF!*1000000/G602/H602,-3)</f>
        <v>#REF!</v>
      </c>
      <c r="J602" s="140">
        <v>390</v>
      </c>
      <c r="K602" s="13"/>
    </row>
    <row r="603" spans="1:11" ht="15" customHeight="1">
      <c r="A603" s="812"/>
      <c r="B603" s="832"/>
      <c r="C603" s="57">
        <f t="shared" si="80"/>
        <v>360</v>
      </c>
      <c r="D603" s="58" t="s">
        <v>492</v>
      </c>
      <c r="E603" s="148">
        <v>1910000</v>
      </c>
      <c r="G603" s="54">
        <v>360</v>
      </c>
      <c r="H603" s="11">
        <f t="shared" si="75"/>
        <v>0.85970800000000003</v>
      </c>
      <c r="I603" s="12" t="e">
        <f>ROUND(#REF!*1000000/G603/H603,-3)</f>
        <v>#REF!</v>
      </c>
      <c r="J603" s="140">
        <v>390</v>
      </c>
      <c r="K603" s="13"/>
    </row>
    <row r="604" spans="1:11" ht="15" customHeight="1">
      <c r="A604" s="812"/>
      <c r="B604" s="832"/>
      <c r="C604" s="57">
        <v>419</v>
      </c>
      <c r="D604" s="58" t="s">
        <v>493</v>
      </c>
      <c r="E604" s="148">
        <v>2165000</v>
      </c>
      <c r="G604" s="54">
        <v>419</v>
      </c>
      <c r="H604" s="11">
        <f t="shared" si="75"/>
        <v>0.85970800000000003</v>
      </c>
      <c r="I604" s="12" t="e">
        <f>ROUND(#REF!*1000000/G604/H604,-3)</f>
        <v>#REF!</v>
      </c>
      <c r="J604" s="140">
        <v>450</v>
      </c>
      <c r="K604" s="13"/>
    </row>
    <row r="605" spans="1:11" ht="15" customHeight="1">
      <c r="A605" s="812"/>
      <c r="B605" s="832"/>
      <c r="C605" s="57">
        <f t="shared" ref="C605:C607" si="81">C604</f>
        <v>419</v>
      </c>
      <c r="D605" s="58" t="s">
        <v>494</v>
      </c>
      <c r="E605" s="148">
        <v>1375000</v>
      </c>
      <c r="G605" s="54">
        <v>419</v>
      </c>
      <c r="H605" s="11">
        <f t="shared" si="75"/>
        <v>0.85970800000000003</v>
      </c>
      <c r="I605" s="12" t="e">
        <f>ROUND(#REF!*1000000/G605/H605,-3)</f>
        <v>#REF!</v>
      </c>
      <c r="J605" s="140">
        <v>450</v>
      </c>
      <c r="K605" s="13"/>
    </row>
    <row r="606" spans="1:11" ht="15" customHeight="1">
      <c r="A606" s="812"/>
      <c r="B606" s="832"/>
      <c r="C606" s="57">
        <f t="shared" si="81"/>
        <v>419</v>
      </c>
      <c r="D606" s="58" t="s">
        <v>495</v>
      </c>
      <c r="E606" s="148">
        <v>1715000</v>
      </c>
      <c r="G606" s="54">
        <v>419</v>
      </c>
      <c r="H606" s="11">
        <f t="shared" si="75"/>
        <v>0.85970800000000003</v>
      </c>
      <c r="I606" s="12" t="e">
        <f>ROUND(#REF!*1000000/G606/H606,-3)</f>
        <v>#REF!</v>
      </c>
      <c r="J606" s="140">
        <v>450</v>
      </c>
      <c r="K606" s="13"/>
    </row>
    <row r="607" spans="1:11" ht="15" customHeight="1">
      <c r="A607" s="812"/>
      <c r="B607" s="832"/>
      <c r="C607" s="57">
        <f t="shared" si="81"/>
        <v>419</v>
      </c>
      <c r="D607" s="58" t="s">
        <v>496</v>
      </c>
      <c r="E607" s="148">
        <v>2225000</v>
      </c>
      <c r="G607" s="54">
        <v>419</v>
      </c>
      <c r="H607" s="11">
        <f t="shared" si="75"/>
        <v>0.85970800000000003</v>
      </c>
      <c r="I607" s="12" t="e">
        <f>ROUND(#REF!*1000000/G607/H607,-3)</f>
        <v>#REF!</v>
      </c>
      <c r="J607" s="140">
        <v>450</v>
      </c>
      <c r="K607" s="13"/>
    </row>
    <row r="608" spans="1:11" ht="15" customHeight="1">
      <c r="A608" s="812"/>
      <c r="B608" s="832"/>
      <c r="C608" s="57">
        <v>465</v>
      </c>
      <c r="D608" s="58" t="s">
        <v>497</v>
      </c>
      <c r="E608" s="148">
        <v>2405000</v>
      </c>
      <c r="G608" s="54">
        <v>465</v>
      </c>
      <c r="H608" s="11">
        <f t="shared" si="75"/>
        <v>0.85970800000000003</v>
      </c>
      <c r="I608" s="12" t="e">
        <f>ROUND(#REF!*1000000/G608/H608,-3)</f>
        <v>#REF!</v>
      </c>
      <c r="J608" s="140">
        <v>500</v>
      </c>
      <c r="K608" s="13"/>
    </row>
    <row r="609" spans="1:11" ht="15" customHeight="1">
      <c r="A609" s="812"/>
      <c r="B609" s="832"/>
      <c r="C609" s="57">
        <f t="shared" ref="C609:C611" si="82">C608</f>
        <v>465</v>
      </c>
      <c r="D609" s="58" t="s">
        <v>498</v>
      </c>
      <c r="E609" s="148">
        <v>1525000</v>
      </c>
      <c r="G609" s="54">
        <v>465</v>
      </c>
      <c r="H609" s="11">
        <f t="shared" si="75"/>
        <v>0.85970800000000003</v>
      </c>
      <c r="I609" s="12" t="e">
        <f>ROUND(#REF!*1000000/G609/H609,-3)</f>
        <v>#REF!</v>
      </c>
      <c r="J609" s="140">
        <v>500</v>
      </c>
      <c r="K609" s="13"/>
    </row>
    <row r="610" spans="1:11" ht="15" customHeight="1">
      <c r="A610" s="812"/>
      <c r="B610" s="832"/>
      <c r="C610" s="57">
        <f t="shared" si="82"/>
        <v>465</v>
      </c>
      <c r="D610" s="58" t="s">
        <v>499</v>
      </c>
      <c r="E610" s="148">
        <v>1905000</v>
      </c>
      <c r="G610" s="54">
        <v>465</v>
      </c>
      <c r="H610" s="11">
        <f t="shared" si="75"/>
        <v>0.85970800000000003</v>
      </c>
      <c r="I610" s="12" t="e">
        <f>ROUND(#REF!*1000000/G610/H610,-3)</f>
        <v>#REF!</v>
      </c>
      <c r="J610" s="140">
        <v>500</v>
      </c>
      <c r="K610" s="13"/>
    </row>
    <row r="611" spans="1:11" ht="15" customHeight="1">
      <c r="A611" s="812"/>
      <c r="B611" s="832"/>
      <c r="C611" s="57">
        <f t="shared" si="82"/>
        <v>465</v>
      </c>
      <c r="D611" s="58" t="s">
        <v>500</v>
      </c>
      <c r="E611" s="148">
        <v>2465000</v>
      </c>
      <c r="G611" s="54">
        <v>465</v>
      </c>
      <c r="H611" s="11">
        <f t="shared" si="75"/>
        <v>0.85970800000000003</v>
      </c>
      <c r="I611" s="12" t="e">
        <f>ROUND(#REF!*1000000/G611/H611,-3)</f>
        <v>#REF!</v>
      </c>
      <c r="J611" s="140">
        <v>500</v>
      </c>
      <c r="K611" s="13"/>
    </row>
    <row r="612" spans="1:11" ht="15" customHeight="1">
      <c r="A612" s="17" t="s">
        <v>501</v>
      </c>
      <c r="B612" s="7" t="s">
        <v>218</v>
      </c>
      <c r="C612" s="47">
        <v>134</v>
      </c>
      <c r="D612" s="61" t="s">
        <v>502</v>
      </c>
      <c r="E612" s="25">
        <v>555000</v>
      </c>
      <c r="G612" s="54">
        <v>134</v>
      </c>
      <c r="H612" s="11">
        <f>1.091*0.788</f>
        <v>0.85970800000000003</v>
      </c>
      <c r="I612" s="12" t="e">
        <f>ROUND(#REF!*1000000/G612/H612,-3)</f>
        <v>#REF!</v>
      </c>
      <c r="J612" s="137"/>
      <c r="K612" s="13"/>
    </row>
    <row r="613" spans="1:11" ht="15" customHeight="1">
      <c r="A613" s="811" t="s">
        <v>503</v>
      </c>
      <c r="B613" s="810" t="s">
        <v>27</v>
      </c>
      <c r="C613" s="7">
        <v>110</v>
      </c>
      <c r="D613" s="9"/>
      <c r="E613" s="148">
        <v>280000</v>
      </c>
      <c r="G613" s="8">
        <v>110</v>
      </c>
      <c r="H613" s="11">
        <f t="shared" ref="H613:H616" si="83">0.788*1.091</f>
        <v>0.85970800000000003</v>
      </c>
      <c r="I613" s="12" t="e">
        <f>ROUND(#REF!*1000000/G613/H613,-3)</f>
        <v>#REF!</v>
      </c>
      <c r="J613" s="137"/>
      <c r="K613" s="13"/>
    </row>
    <row r="614" spans="1:11" ht="15" customHeight="1">
      <c r="A614" s="811"/>
      <c r="B614" s="810"/>
      <c r="C614" s="7">
        <v>190</v>
      </c>
      <c r="D614" s="9"/>
      <c r="E614" s="148">
        <v>485000</v>
      </c>
      <c r="G614" s="8">
        <v>190</v>
      </c>
      <c r="H614" s="11">
        <f t="shared" si="83"/>
        <v>0.85970800000000003</v>
      </c>
      <c r="I614" s="12" t="e">
        <f>ROUND(#REF!*1000000/G614/H614,-3)</f>
        <v>#REF!</v>
      </c>
      <c r="J614" s="137"/>
      <c r="K614" s="13"/>
    </row>
    <row r="615" spans="1:11" ht="15" customHeight="1">
      <c r="A615" s="811"/>
      <c r="B615" s="810"/>
      <c r="C615" s="7">
        <v>220</v>
      </c>
      <c r="D615" s="9"/>
      <c r="E615" s="148">
        <v>565000</v>
      </c>
      <c r="G615" s="8">
        <v>220</v>
      </c>
      <c r="H615" s="11">
        <f t="shared" si="83"/>
        <v>0.85970800000000003</v>
      </c>
      <c r="I615" s="12" t="e">
        <f>ROUND(#REF!*1000000/G615/H615,-3)</f>
        <v>#REF!</v>
      </c>
      <c r="J615" s="137"/>
      <c r="K615" s="13"/>
    </row>
    <row r="616" spans="1:11" ht="15" customHeight="1">
      <c r="A616" s="811"/>
      <c r="B616" s="810"/>
      <c r="C616" s="7">
        <v>250</v>
      </c>
      <c r="D616" s="9"/>
      <c r="E616" s="148">
        <v>640000</v>
      </c>
      <c r="G616" s="8">
        <v>250</v>
      </c>
      <c r="H616" s="11">
        <f t="shared" si="83"/>
        <v>0.85970800000000003</v>
      </c>
      <c r="I616" s="12" t="e">
        <f>ROUND(#REF!*1000000/G616/H616,-3)</f>
        <v>#REF!</v>
      </c>
      <c r="J616" s="137"/>
      <c r="K616" s="13"/>
    </row>
    <row r="617" spans="1:11" ht="15" customHeight="1">
      <c r="A617" s="813" t="s">
        <v>504</v>
      </c>
      <c r="B617" s="810" t="s">
        <v>218</v>
      </c>
      <c r="C617" s="14">
        <v>116</v>
      </c>
      <c r="D617" s="9" t="s">
        <v>505</v>
      </c>
      <c r="E617" s="213">
        <v>435000</v>
      </c>
      <c r="G617" s="8">
        <v>116</v>
      </c>
      <c r="H617" s="11">
        <f t="shared" ref="H617:H632" si="84">0.788*1.091</f>
        <v>0.85970800000000003</v>
      </c>
      <c r="I617" s="12" t="e">
        <f>ROUND(#REF!*1000000/G617/H617,-3)</f>
        <v>#REF!</v>
      </c>
      <c r="J617" s="137"/>
      <c r="K617" s="13"/>
    </row>
    <row r="618" spans="1:11" ht="15" customHeight="1">
      <c r="A618" s="816"/>
      <c r="B618" s="810"/>
      <c r="C618" s="7">
        <f t="shared" ref="C618:C622" si="85">C617</f>
        <v>116</v>
      </c>
      <c r="D618" s="9" t="s">
        <v>506</v>
      </c>
      <c r="E618" s="213">
        <v>510000</v>
      </c>
      <c r="G618" s="8">
        <v>116</v>
      </c>
      <c r="H618" s="11">
        <f t="shared" si="84"/>
        <v>0.85970800000000003</v>
      </c>
      <c r="I618" s="12" t="e">
        <f>ROUND(#REF!*1000000/G618/H618,-3)</f>
        <v>#REF!</v>
      </c>
      <c r="J618" s="137"/>
      <c r="K618" s="13"/>
    </row>
    <row r="619" spans="1:11" ht="15" customHeight="1">
      <c r="A619" s="816"/>
      <c r="B619" s="810"/>
      <c r="C619" s="62">
        <f t="shared" si="85"/>
        <v>116</v>
      </c>
      <c r="D619" s="63" t="s">
        <v>507</v>
      </c>
      <c r="E619" s="216">
        <v>435000</v>
      </c>
      <c r="G619" s="8">
        <v>116</v>
      </c>
      <c r="H619" s="11">
        <f t="shared" si="84"/>
        <v>0.85970800000000003</v>
      </c>
      <c r="I619" s="12" t="e">
        <f>ROUND(#REF!*1000000/G619/H619,-3)</f>
        <v>#REF!</v>
      </c>
      <c r="J619" s="137"/>
      <c r="K619" s="13"/>
    </row>
    <row r="620" spans="1:11" ht="15" customHeight="1">
      <c r="A620" s="816"/>
      <c r="B620" s="810"/>
      <c r="C620" s="62">
        <f t="shared" si="85"/>
        <v>116</v>
      </c>
      <c r="D620" s="63" t="s">
        <v>508</v>
      </c>
      <c r="E620" s="216">
        <v>510000</v>
      </c>
      <c r="G620" s="8">
        <v>116</v>
      </c>
      <c r="H620" s="11">
        <f t="shared" si="84"/>
        <v>0.85970800000000003</v>
      </c>
      <c r="I620" s="12" t="e">
        <f>ROUND(#REF!*1000000/G620/H620,-3)</f>
        <v>#REF!</v>
      </c>
      <c r="J620" s="137"/>
      <c r="K620" s="13"/>
    </row>
    <row r="621" spans="1:11" ht="15" customHeight="1">
      <c r="A621" s="816"/>
      <c r="B621" s="810"/>
      <c r="C621" s="62">
        <f t="shared" si="85"/>
        <v>116</v>
      </c>
      <c r="D621" s="63" t="s">
        <v>509</v>
      </c>
      <c r="E621" s="216">
        <v>555000</v>
      </c>
      <c r="G621" s="8">
        <v>116</v>
      </c>
      <c r="H621" s="11">
        <f t="shared" si="84"/>
        <v>0.85970800000000003</v>
      </c>
      <c r="I621" s="12" t="e">
        <f>ROUND(#REF!*1000000/G621/H621,-3)</f>
        <v>#REF!</v>
      </c>
      <c r="J621" s="137"/>
      <c r="K621" s="13"/>
    </row>
    <row r="622" spans="1:11" ht="15" customHeight="1">
      <c r="A622" s="816"/>
      <c r="B622" s="810"/>
      <c r="C622" s="62">
        <f t="shared" si="85"/>
        <v>116</v>
      </c>
      <c r="D622" s="63" t="s">
        <v>510</v>
      </c>
      <c r="E622" s="216">
        <v>645000</v>
      </c>
      <c r="G622" s="8">
        <v>116</v>
      </c>
      <c r="H622" s="11">
        <f t="shared" si="84"/>
        <v>0.85970800000000003</v>
      </c>
      <c r="I622" s="12" t="e">
        <f>ROUND(#REF!*1000000/G622/H622,-3)</f>
        <v>#REF!</v>
      </c>
      <c r="J622" s="137"/>
      <c r="K622" s="13"/>
    </row>
    <row r="623" spans="1:11" ht="15" customHeight="1">
      <c r="A623" s="816"/>
      <c r="B623" s="810"/>
      <c r="C623" s="62">
        <v>81.400000000000006</v>
      </c>
      <c r="D623" s="63" t="s">
        <v>511</v>
      </c>
      <c r="E623" s="216">
        <v>305000</v>
      </c>
      <c r="G623" s="34">
        <v>81.400000000000006</v>
      </c>
      <c r="H623" s="11">
        <f t="shared" si="84"/>
        <v>0.85970800000000003</v>
      </c>
      <c r="I623" s="12" t="e">
        <f>ROUND(#REF!*1000000/G623/H623,-3)</f>
        <v>#REF!</v>
      </c>
      <c r="J623" s="137"/>
      <c r="K623" s="13"/>
    </row>
    <row r="624" spans="1:11" ht="15" customHeight="1">
      <c r="A624" s="816"/>
      <c r="B624" s="810"/>
      <c r="C624" s="62">
        <f t="shared" ref="C624:C628" si="86">C623</f>
        <v>81.400000000000006</v>
      </c>
      <c r="D624" s="63" t="s">
        <v>512</v>
      </c>
      <c r="E624" s="216">
        <v>305000</v>
      </c>
      <c r="G624" s="34">
        <v>81.400000000000006</v>
      </c>
      <c r="H624" s="11">
        <f t="shared" si="84"/>
        <v>0.85970800000000003</v>
      </c>
      <c r="I624" s="12" t="e">
        <f>ROUND(#REF!*1000000/G624/H624,-3)</f>
        <v>#REF!</v>
      </c>
      <c r="J624" s="137"/>
      <c r="K624" s="13"/>
    </row>
    <row r="625" spans="1:11" ht="15" customHeight="1">
      <c r="A625" s="816"/>
      <c r="B625" s="810"/>
      <c r="C625" s="62">
        <f t="shared" si="86"/>
        <v>81.400000000000006</v>
      </c>
      <c r="D625" s="63" t="s">
        <v>513</v>
      </c>
      <c r="E625" s="216">
        <v>360000</v>
      </c>
      <c r="G625" s="34">
        <v>81.400000000000006</v>
      </c>
      <c r="H625" s="11">
        <f t="shared" si="84"/>
        <v>0.85970800000000003</v>
      </c>
      <c r="I625" s="12" t="e">
        <f>ROUND(#REF!*1000000/G625/H625,-3)</f>
        <v>#REF!</v>
      </c>
      <c r="J625" s="137"/>
      <c r="K625" s="13"/>
    </row>
    <row r="626" spans="1:11" ht="15" customHeight="1">
      <c r="A626" s="816"/>
      <c r="B626" s="810"/>
      <c r="C626" s="62">
        <f t="shared" si="86"/>
        <v>81.400000000000006</v>
      </c>
      <c r="D626" s="63" t="s">
        <v>514</v>
      </c>
      <c r="E626" s="216">
        <v>360000</v>
      </c>
      <c r="G626" s="34">
        <v>81.400000000000006</v>
      </c>
      <c r="H626" s="11">
        <f t="shared" si="84"/>
        <v>0.85970800000000003</v>
      </c>
      <c r="I626" s="12" t="e">
        <f>ROUND(#REF!*1000000/G626/H626,-3)</f>
        <v>#REF!</v>
      </c>
      <c r="J626" s="137"/>
      <c r="K626" s="13"/>
    </row>
    <row r="627" spans="1:11" ht="15" customHeight="1">
      <c r="A627" s="816"/>
      <c r="B627" s="810"/>
      <c r="C627" s="62">
        <f t="shared" si="86"/>
        <v>81.400000000000006</v>
      </c>
      <c r="D627" s="63" t="s">
        <v>509</v>
      </c>
      <c r="E627" s="216">
        <v>390000</v>
      </c>
      <c r="G627" s="34">
        <v>81.400000000000006</v>
      </c>
      <c r="H627" s="11">
        <f t="shared" si="84"/>
        <v>0.85970800000000003</v>
      </c>
      <c r="I627" s="12" t="e">
        <f>ROUND(#REF!*1000000/G627/H627,-3)</f>
        <v>#REF!</v>
      </c>
      <c r="J627" s="137"/>
      <c r="K627" s="13"/>
    </row>
    <row r="628" spans="1:11" ht="15" customHeight="1">
      <c r="A628" s="816"/>
      <c r="B628" s="810"/>
      <c r="C628" s="62">
        <f t="shared" si="86"/>
        <v>81.400000000000006</v>
      </c>
      <c r="D628" s="63" t="s">
        <v>510</v>
      </c>
      <c r="E628" s="216">
        <v>452500</v>
      </c>
      <c r="G628" s="34">
        <v>81.400000000000006</v>
      </c>
      <c r="H628" s="11">
        <f t="shared" si="84"/>
        <v>0.85970800000000003</v>
      </c>
      <c r="I628" s="12" t="e">
        <f>ROUND(#REF!*1000000/G628/H628,-3)</f>
        <v>#REF!</v>
      </c>
      <c r="J628" s="137"/>
      <c r="K628" s="13"/>
    </row>
    <row r="629" spans="1:11" ht="15" customHeight="1">
      <c r="A629" s="816"/>
      <c r="B629" s="810"/>
      <c r="C629" s="62">
        <v>151</v>
      </c>
      <c r="D629" s="63" t="s">
        <v>515</v>
      </c>
      <c r="E629" s="216">
        <v>565000</v>
      </c>
      <c r="G629" s="8">
        <v>151</v>
      </c>
      <c r="H629" s="11">
        <f t="shared" si="84"/>
        <v>0.85970800000000003</v>
      </c>
      <c r="I629" s="12" t="e">
        <f>ROUND(#REF!*1000000/G629/H629,-3)</f>
        <v>#REF!</v>
      </c>
      <c r="J629" s="137"/>
      <c r="K629" s="13"/>
    </row>
    <row r="630" spans="1:11" ht="15" customHeight="1">
      <c r="A630" s="816"/>
      <c r="B630" s="810"/>
      <c r="C630" s="62">
        <f>C629</f>
        <v>151</v>
      </c>
      <c r="D630" s="63" t="s">
        <v>516</v>
      </c>
      <c r="E630" s="216">
        <v>665000</v>
      </c>
      <c r="G630" s="8">
        <v>151</v>
      </c>
      <c r="H630" s="11">
        <f t="shared" si="84"/>
        <v>0.85970800000000003</v>
      </c>
      <c r="I630" s="12" t="e">
        <f>ROUND(#REF!*1000000/G630/H630,-3)</f>
        <v>#REF!</v>
      </c>
      <c r="J630" s="137"/>
      <c r="K630" s="13"/>
    </row>
    <row r="631" spans="1:11" ht="15" customHeight="1">
      <c r="A631" s="816"/>
      <c r="B631" s="810"/>
      <c r="C631" s="62">
        <v>209</v>
      </c>
      <c r="D631" s="63" t="s">
        <v>515</v>
      </c>
      <c r="E631" s="216">
        <v>785000</v>
      </c>
      <c r="G631" s="8">
        <v>209</v>
      </c>
      <c r="H631" s="11">
        <f t="shared" si="84"/>
        <v>0.85970800000000003</v>
      </c>
      <c r="I631" s="12" t="e">
        <f>ROUND(#REF!*1000000/G631/H631,-3)</f>
        <v>#REF!</v>
      </c>
      <c r="J631" s="137"/>
      <c r="K631" s="13"/>
    </row>
    <row r="632" spans="1:11" ht="15" customHeight="1">
      <c r="A632" s="816"/>
      <c r="B632" s="810"/>
      <c r="C632" s="62">
        <f>C631</f>
        <v>209</v>
      </c>
      <c r="D632" s="63" t="s">
        <v>516</v>
      </c>
      <c r="E632" s="216">
        <v>920000</v>
      </c>
      <c r="G632" s="8">
        <v>209</v>
      </c>
      <c r="H632" s="11">
        <f t="shared" si="84"/>
        <v>0.85970800000000003</v>
      </c>
      <c r="I632" s="12" t="e">
        <f>ROUND(#REF!*1000000/G632/H632,-3)</f>
        <v>#REF!</v>
      </c>
      <c r="J632" s="137"/>
      <c r="K632" s="13"/>
    </row>
    <row r="633" spans="1:11" ht="15" customHeight="1">
      <c r="A633" s="816"/>
      <c r="B633" s="7" t="s">
        <v>2867</v>
      </c>
      <c r="C633" s="62" t="s">
        <v>2868</v>
      </c>
      <c r="D633" s="21" t="s">
        <v>517</v>
      </c>
      <c r="E633" s="214">
        <v>885000</v>
      </c>
      <c r="G633" s="8"/>
      <c r="H633" s="11"/>
      <c r="I633" s="12"/>
      <c r="J633" s="137"/>
      <c r="K633" s="13"/>
    </row>
    <row r="634" spans="1:11" ht="15" customHeight="1">
      <c r="A634" s="816"/>
      <c r="B634" s="810" t="s">
        <v>216</v>
      </c>
      <c r="C634" s="16">
        <v>116</v>
      </c>
      <c r="D634" s="29" t="s">
        <v>518</v>
      </c>
      <c r="E634" s="25">
        <v>0</v>
      </c>
      <c r="G634" s="8">
        <v>116</v>
      </c>
      <c r="H634" s="11"/>
      <c r="I634" s="12"/>
      <c r="J634" s="137"/>
      <c r="K634" s="13"/>
    </row>
    <row r="635" spans="1:11" ht="15" customHeight="1">
      <c r="A635" s="816"/>
      <c r="B635" s="810"/>
      <c r="C635" s="16">
        <f>C634</f>
        <v>116</v>
      </c>
      <c r="D635" s="29" t="s">
        <v>519</v>
      </c>
      <c r="E635" s="25">
        <v>0</v>
      </c>
      <c r="G635" s="8">
        <v>116</v>
      </c>
      <c r="H635" s="11"/>
      <c r="I635" s="12"/>
      <c r="J635" s="137"/>
      <c r="K635" s="13"/>
    </row>
    <row r="636" spans="1:11" ht="15" customHeight="1">
      <c r="A636" s="817"/>
      <c r="B636" s="7" t="s">
        <v>520</v>
      </c>
      <c r="C636" s="16">
        <v>116</v>
      </c>
      <c r="D636" s="29" t="s">
        <v>521</v>
      </c>
      <c r="E636" s="25">
        <v>0</v>
      </c>
      <c r="G636" s="8">
        <v>116</v>
      </c>
      <c r="H636" s="11"/>
      <c r="I636" s="12"/>
      <c r="J636" s="137"/>
      <c r="K636" s="13"/>
    </row>
    <row r="637" spans="1:11" ht="15" customHeight="1">
      <c r="A637" s="811" t="s">
        <v>522</v>
      </c>
      <c r="B637" s="814" t="s">
        <v>218</v>
      </c>
      <c r="C637" s="16">
        <v>302</v>
      </c>
      <c r="D637" s="29" t="s">
        <v>523</v>
      </c>
      <c r="E637" s="148">
        <v>1135000</v>
      </c>
      <c r="G637" s="8">
        <v>302</v>
      </c>
      <c r="H637" s="11">
        <f t="shared" ref="H637:H640" si="87">0.788*1.091</f>
        <v>0.85970800000000003</v>
      </c>
      <c r="I637" s="12" t="e">
        <f>ROUND(#REF!*1000000/G637/H637,-3)</f>
        <v>#REF!</v>
      </c>
      <c r="J637" s="137">
        <v>440</v>
      </c>
      <c r="K637" s="13"/>
    </row>
    <row r="638" spans="1:11" ht="15" customHeight="1">
      <c r="A638" s="810"/>
      <c r="B638" s="805"/>
      <c r="C638" s="16">
        <f>C637</f>
        <v>302</v>
      </c>
      <c r="D638" s="29" t="s">
        <v>524</v>
      </c>
      <c r="E638" s="148">
        <v>1330000</v>
      </c>
      <c r="G638" s="8">
        <v>302</v>
      </c>
      <c r="H638" s="11">
        <f t="shared" si="87"/>
        <v>0.85970800000000003</v>
      </c>
      <c r="I638" s="12" t="e">
        <f>ROUND(#REF!*1000000/G638/H638,-3)</f>
        <v>#REF!</v>
      </c>
      <c r="J638" s="137">
        <v>440</v>
      </c>
      <c r="K638" s="13"/>
    </row>
    <row r="639" spans="1:11" ht="15" customHeight="1">
      <c r="A639" s="811" t="s">
        <v>525</v>
      </c>
      <c r="B639" s="810" t="s">
        <v>218</v>
      </c>
      <c r="C639" s="33">
        <v>81.400000000000006</v>
      </c>
      <c r="D639" s="21" t="s">
        <v>526</v>
      </c>
      <c r="E639" s="214">
        <v>790000</v>
      </c>
      <c r="G639" s="34">
        <v>81.400000000000006</v>
      </c>
      <c r="H639" s="11">
        <f t="shared" si="87"/>
        <v>0.85970800000000003</v>
      </c>
      <c r="I639" s="12" t="e">
        <f>ROUND(#REF!*1000000/G639/H639,-3)</f>
        <v>#REF!</v>
      </c>
      <c r="J639" s="137"/>
      <c r="K639" s="13"/>
    </row>
    <row r="640" spans="1:11" ht="15" customHeight="1">
      <c r="A640" s="810"/>
      <c r="B640" s="810"/>
      <c r="C640" s="33">
        <v>116</v>
      </c>
      <c r="D640" s="21" t="s">
        <v>526</v>
      </c>
      <c r="E640" s="214">
        <v>915000</v>
      </c>
      <c r="G640" s="8">
        <v>116</v>
      </c>
      <c r="H640" s="11">
        <f t="shared" si="87"/>
        <v>0.85970800000000003</v>
      </c>
      <c r="I640" s="12" t="e">
        <f>ROUND(#REF!*1000000/G640/H640,-3)</f>
        <v>#REF!</v>
      </c>
      <c r="J640" s="137"/>
      <c r="K640" s="13"/>
    </row>
    <row r="641" spans="1:11" ht="15" customHeight="1">
      <c r="A641" s="835" t="s">
        <v>527</v>
      </c>
      <c r="B641" s="833" t="s">
        <v>528</v>
      </c>
      <c r="C641" s="64">
        <f t="shared" ref="C641:C669" si="88">C640</f>
        <v>116</v>
      </c>
      <c r="D641" s="65" t="s">
        <v>529</v>
      </c>
      <c r="E641" s="25">
        <v>0</v>
      </c>
      <c r="G641" s="8"/>
      <c r="H641" s="11"/>
      <c r="I641" s="12"/>
      <c r="J641" s="137"/>
      <c r="K641" s="13"/>
    </row>
    <row r="642" spans="1:11" ht="15" customHeight="1">
      <c r="A642" s="835"/>
      <c r="B642" s="834"/>
      <c r="C642" s="64">
        <f t="shared" si="88"/>
        <v>116</v>
      </c>
      <c r="D642" s="65" t="s">
        <v>530</v>
      </c>
      <c r="E642" s="25">
        <v>0</v>
      </c>
      <c r="G642" s="8"/>
      <c r="H642" s="11"/>
      <c r="I642" s="12"/>
      <c r="J642" s="137"/>
      <c r="K642" s="13"/>
    </row>
    <row r="643" spans="1:11" ht="15" customHeight="1">
      <c r="A643" s="835"/>
      <c r="B643" s="833" t="s">
        <v>531</v>
      </c>
      <c r="C643" s="64">
        <f t="shared" si="88"/>
        <v>116</v>
      </c>
      <c r="D643" s="65" t="s">
        <v>532</v>
      </c>
      <c r="E643" s="25">
        <v>0</v>
      </c>
      <c r="G643" s="8"/>
      <c r="H643" s="11"/>
      <c r="I643" s="12"/>
      <c r="J643" s="137"/>
      <c r="K643" s="13"/>
    </row>
    <row r="644" spans="1:11" ht="15" customHeight="1">
      <c r="A644" s="835"/>
      <c r="B644" s="834"/>
      <c r="C644" s="64">
        <f t="shared" si="88"/>
        <v>116</v>
      </c>
      <c r="D644" s="65" t="s">
        <v>533</v>
      </c>
      <c r="E644" s="25">
        <v>0</v>
      </c>
      <c r="G644" s="8"/>
      <c r="H644" s="11"/>
      <c r="I644" s="12"/>
      <c r="J644" s="137"/>
      <c r="K644" s="13"/>
    </row>
    <row r="645" spans="1:11" ht="15" customHeight="1">
      <c r="A645" s="835"/>
      <c r="B645" s="64" t="s">
        <v>534</v>
      </c>
      <c r="C645" s="64">
        <f t="shared" si="88"/>
        <v>116</v>
      </c>
      <c r="D645" s="65" t="s">
        <v>535</v>
      </c>
      <c r="E645" s="25">
        <v>0</v>
      </c>
      <c r="G645" s="8"/>
      <c r="H645" s="11"/>
      <c r="I645" s="12"/>
      <c r="J645" s="137"/>
      <c r="K645" s="13"/>
    </row>
    <row r="646" spans="1:11" ht="15" customHeight="1">
      <c r="A646" s="835"/>
      <c r="B646" s="64" t="s">
        <v>536</v>
      </c>
      <c r="C646" s="64">
        <f t="shared" si="88"/>
        <v>116</v>
      </c>
      <c r="D646" s="65" t="s">
        <v>537</v>
      </c>
      <c r="E646" s="25">
        <v>0</v>
      </c>
      <c r="G646" s="8"/>
      <c r="H646" s="11"/>
      <c r="I646" s="12"/>
      <c r="J646" s="137"/>
      <c r="K646" s="13"/>
    </row>
    <row r="647" spans="1:11" ht="15" customHeight="1">
      <c r="A647" s="835"/>
      <c r="B647" s="833" t="s">
        <v>528</v>
      </c>
      <c r="C647" s="64">
        <f t="shared" si="88"/>
        <v>116</v>
      </c>
      <c r="D647" s="65" t="s">
        <v>538</v>
      </c>
      <c r="E647" s="25">
        <v>0</v>
      </c>
      <c r="G647" s="8"/>
      <c r="H647" s="11"/>
      <c r="I647" s="12"/>
      <c r="J647" s="137"/>
      <c r="K647" s="13"/>
    </row>
    <row r="648" spans="1:11" ht="15" customHeight="1">
      <c r="A648" s="835"/>
      <c r="B648" s="836"/>
      <c r="C648" s="64">
        <f t="shared" si="88"/>
        <v>116</v>
      </c>
      <c r="D648" s="65" t="s">
        <v>539</v>
      </c>
      <c r="E648" s="25">
        <v>0</v>
      </c>
      <c r="G648" s="8"/>
      <c r="H648" s="11"/>
      <c r="I648" s="12"/>
      <c r="J648" s="137"/>
      <c r="K648" s="13"/>
    </row>
    <row r="649" spans="1:11" ht="15" customHeight="1">
      <c r="A649" s="835"/>
      <c r="B649" s="834"/>
      <c r="C649" s="64">
        <f t="shared" si="88"/>
        <v>116</v>
      </c>
      <c r="D649" s="65" t="s">
        <v>540</v>
      </c>
      <c r="E649" s="25">
        <v>0</v>
      </c>
      <c r="G649" s="8"/>
      <c r="H649" s="11"/>
      <c r="I649" s="12"/>
      <c r="J649" s="137"/>
      <c r="K649" s="13"/>
    </row>
    <row r="650" spans="1:11" ht="15" customHeight="1">
      <c r="A650" s="835"/>
      <c r="B650" s="64" t="s">
        <v>531</v>
      </c>
      <c r="C650" s="64">
        <f t="shared" si="88"/>
        <v>116</v>
      </c>
      <c r="D650" s="65" t="s">
        <v>541</v>
      </c>
      <c r="E650" s="25">
        <v>0</v>
      </c>
      <c r="G650" s="8"/>
      <c r="H650" s="11"/>
      <c r="I650" s="12"/>
      <c r="J650" s="137"/>
      <c r="K650" s="13"/>
    </row>
    <row r="651" spans="1:11" ht="15" customHeight="1">
      <c r="A651" s="835"/>
      <c r="B651" s="833" t="s">
        <v>542</v>
      </c>
      <c r="C651" s="64">
        <f t="shared" si="88"/>
        <v>116</v>
      </c>
      <c r="D651" s="65" t="s">
        <v>543</v>
      </c>
      <c r="E651" s="25">
        <v>0</v>
      </c>
      <c r="G651" s="8"/>
      <c r="H651" s="11"/>
      <c r="I651" s="12"/>
      <c r="J651" s="137"/>
      <c r="K651" s="13"/>
    </row>
    <row r="652" spans="1:11" ht="15" customHeight="1">
      <c r="A652" s="835"/>
      <c r="B652" s="836"/>
      <c r="C652" s="64">
        <f t="shared" si="88"/>
        <v>116</v>
      </c>
      <c r="D652" s="65" t="s">
        <v>544</v>
      </c>
      <c r="E652" s="25">
        <v>0</v>
      </c>
      <c r="G652" s="8"/>
      <c r="H652" s="11"/>
      <c r="I652" s="12"/>
      <c r="J652" s="137"/>
      <c r="K652" s="13"/>
    </row>
    <row r="653" spans="1:11" ht="15" customHeight="1">
      <c r="A653" s="835"/>
      <c r="B653" s="834"/>
      <c r="C653" s="64">
        <f t="shared" si="88"/>
        <v>116</v>
      </c>
      <c r="D653" s="65" t="s">
        <v>545</v>
      </c>
      <c r="E653" s="25">
        <v>0</v>
      </c>
      <c r="G653" s="8"/>
      <c r="H653" s="11"/>
      <c r="I653" s="12"/>
      <c r="J653" s="137"/>
      <c r="K653" s="13"/>
    </row>
    <row r="654" spans="1:11" ht="15" customHeight="1">
      <c r="A654" s="835"/>
      <c r="B654" s="64" t="s">
        <v>546</v>
      </c>
      <c r="C654" s="64">
        <f t="shared" si="88"/>
        <v>116</v>
      </c>
      <c r="D654" s="65" t="s">
        <v>547</v>
      </c>
      <c r="E654" s="25">
        <v>0</v>
      </c>
      <c r="G654" s="8"/>
      <c r="H654" s="11"/>
      <c r="I654" s="12"/>
      <c r="J654" s="137"/>
      <c r="K654" s="13"/>
    </row>
    <row r="655" spans="1:11" ht="15" customHeight="1">
      <c r="A655" s="835"/>
      <c r="B655" s="833" t="s">
        <v>548</v>
      </c>
      <c r="C655" s="64">
        <f t="shared" si="88"/>
        <v>116</v>
      </c>
      <c r="D655" s="65" t="s">
        <v>549</v>
      </c>
      <c r="E655" s="25">
        <v>0</v>
      </c>
      <c r="G655" s="8"/>
      <c r="H655" s="11"/>
      <c r="I655" s="12"/>
      <c r="J655" s="137"/>
      <c r="K655" s="13"/>
    </row>
    <row r="656" spans="1:11" ht="15" customHeight="1">
      <c r="A656" s="835"/>
      <c r="B656" s="834"/>
      <c r="C656" s="64">
        <f t="shared" si="88"/>
        <v>116</v>
      </c>
      <c r="D656" s="65" t="s">
        <v>550</v>
      </c>
      <c r="E656" s="25">
        <v>0</v>
      </c>
      <c r="G656" s="8"/>
      <c r="H656" s="11"/>
      <c r="I656" s="12"/>
      <c r="J656" s="137"/>
      <c r="K656" s="13"/>
    </row>
    <row r="657" spans="1:11" ht="15" customHeight="1">
      <c r="A657" s="835"/>
      <c r="B657" s="64" t="s">
        <v>551</v>
      </c>
      <c r="C657" s="64">
        <f t="shared" si="88"/>
        <v>116</v>
      </c>
      <c r="D657" s="65" t="s">
        <v>552</v>
      </c>
      <c r="E657" s="25">
        <v>0</v>
      </c>
      <c r="G657" s="8"/>
      <c r="H657" s="11"/>
      <c r="I657" s="12"/>
      <c r="J657" s="137"/>
      <c r="K657" s="13"/>
    </row>
    <row r="658" spans="1:11" ht="15" customHeight="1">
      <c r="A658" s="835"/>
      <c r="B658" s="64" t="s">
        <v>553</v>
      </c>
      <c r="C658" s="64">
        <f t="shared" si="88"/>
        <v>116</v>
      </c>
      <c r="D658" s="65" t="s">
        <v>554</v>
      </c>
      <c r="E658" s="25">
        <v>0</v>
      </c>
      <c r="G658" s="8"/>
      <c r="H658" s="11"/>
      <c r="I658" s="12"/>
      <c r="J658" s="137"/>
      <c r="K658" s="13"/>
    </row>
    <row r="659" spans="1:11" ht="15" customHeight="1">
      <c r="A659" s="835"/>
      <c r="B659" s="833" t="s">
        <v>555</v>
      </c>
      <c r="C659" s="64">
        <f t="shared" si="88"/>
        <v>116</v>
      </c>
      <c r="D659" s="65" t="s">
        <v>556</v>
      </c>
      <c r="E659" s="25">
        <v>0</v>
      </c>
      <c r="G659" s="8"/>
      <c r="H659" s="11"/>
      <c r="I659" s="12"/>
      <c r="J659" s="137"/>
      <c r="K659" s="13"/>
    </row>
    <row r="660" spans="1:11" ht="15" customHeight="1">
      <c r="A660" s="835"/>
      <c r="B660" s="834"/>
      <c r="C660" s="64">
        <f t="shared" si="88"/>
        <v>116</v>
      </c>
      <c r="D660" s="65" t="s">
        <v>557</v>
      </c>
      <c r="E660" s="25">
        <v>0</v>
      </c>
      <c r="G660" s="8"/>
      <c r="H660" s="11"/>
      <c r="I660" s="12"/>
      <c r="J660" s="137"/>
      <c r="K660" s="13"/>
    </row>
    <row r="661" spans="1:11" ht="15" customHeight="1">
      <c r="A661" s="835"/>
      <c r="B661" s="64" t="s">
        <v>558</v>
      </c>
      <c r="C661" s="64">
        <f t="shared" si="88"/>
        <v>116</v>
      </c>
      <c r="D661" s="65" t="s">
        <v>559</v>
      </c>
      <c r="E661" s="25">
        <v>0</v>
      </c>
      <c r="G661" s="8"/>
      <c r="H661" s="11"/>
      <c r="I661" s="12"/>
      <c r="J661" s="137"/>
      <c r="K661" s="13"/>
    </row>
    <row r="662" spans="1:11" ht="15" customHeight="1">
      <c r="A662" s="835"/>
      <c r="B662" s="64" t="s">
        <v>560</v>
      </c>
      <c r="C662" s="64">
        <f t="shared" si="88"/>
        <v>116</v>
      </c>
      <c r="D662" s="65" t="s">
        <v>561</v>
      </c>
      <c r="E662" s="25">
        <v>0</v>
      </c>
      <c r="G662" s="8"/>
      <c r="H662" s="11"/>
      <c r="I662" s="12"/>
      <c r="J662" s="137"/>
      <c r="K662" s="13"/>
    </row>
    <row r="663" spans="1:11" ht="15" customHeight="1">
      <c r="A663" s="835"/>
      <c r="B663" s="64" t="s">
        <v>562</v>
      </c>
      <c r="C663" s="64">
        <f t="shared" si="88"/>
        <v>116</v>
      </c>
      <c r="D663" s="65" t="s">
        <v>563</v>
      </c>
      <c r="E663" s="25">
        <v>0</v>
      </c>
      <c r="G663" s="8"/>
      <c r="H663" s="11"/>
      <c r="I663" s="12"/>
      <c r="J663" s="137"/>
      <c r="K663" s="13"/>
    </row>
    <row r="664" spans="1:11" ht="15" customHeight="1">
      <c r="A664" s="835"/>
      <c r="B664" s="64" t="s">
        <v>564</v>
      </c>
      <c r="C664" s="64">
        <f t="shared" si="88"/>
        <v>116</v>
      </c>
      <c r="D664" s="65" t="s">
        <v>565</v>
      </c>
      <c r="E664" s="25">
        <v>0</v>
      </c>
      <c r="G664" s="8"/>
      <c r="H664" s="11"/>
      <c r="I664" s="12"/>
      <c r="J664" s="137"/>
      <c r="K664" s="13"/>
    </row>
    <row r="665" spans="1:11" ht="15" customHeight="1">
      <c r="A665" s="835"/>
      <c r="B665" s="64" t="s">
        <v>566</v>
      </c>
      <c r="C665" s="64">
        <f t="shared" si="88"/>
        <v>116</v>
      </c>
      <c r="D665" s="65" t="s">
        <v>567</v>
      </c>
      <c r="E665" s="25">
        <v>0</v>
      </c>
      <c r="G665" s="8"/>
      <c r="H665" s="11"/>
      <c r="I665" s="12"/>
      <c r="J665" s="137"/>
      <c r="K665" s="13"/>
    </row>
    <row r="666" spans="1:11" ht="15" customHeight="1">
      <c r="A666" s="835"/>
      <c r="B666" s="64" t="s">
        <v>568</v>
      </c>
      <c r="C666" s="64">
        <f t="shared" si="88"/>
        <v>116</v>
      </c>
      <c r="D666" s="65" t="s">
        <v>569</v>
      </c>
      <c r="E666" s="25">
        <v>0</v>
      </c>
      <c r="G666" s="8"/>
      <c r="H666" s="11"/>
      <c r="I666" s="12"/>
      <c r="J666" s="137"/>
      <c r="K666" s="13"/>
    </row>
    <row r="667" spans="1:11" ht="15" customHeight="1">
      <c r="A667" s="835"/>
      <c r="B667" s="64" t="s">
        <v>570</v>
      </c>
      <c r="C667" s="64">
        <f t="shared" si="88"/>
        <v>116</v>
      </c>
      <c r="D667" s="65" t="s">
        <v>571</v>
      </c>
      <c r="E667" s="25">
        <v>0</v>
      </c>
      <c r="G667" s="8"/>
      <c r="H667" s="11"/>
      <c r="I667" s="12"/>
      <c r="J667" s="137"/>
      <c r="K667" s="13"/>
    </row>
    <row r="668" spans="1:11" ht="15" customHeight="1">
      <c r="A668" s="835"/>
      <c r="B668" s="833" t="s">
        <v>572</v>
      </c>
      <c r="C668" s="64">
        <f t="shared" si="88"/>
        <v>116</v>
      </c>
      <c r="D668" s="65" t="s">
        <v>573</v>
      </c>
      <c r="E668" s="25">
        <v>0</v>
      </c>
      <c r="G668" s="8"/>
      <c r="H668" s="11"/>
      <c r="I668" s="12"/>
      <c r="J668" s="137"/>
      <c r="K668" s="13"/>
    </row>
    <row r="669" spans="1:11" ht="15" customHeight="1">
      <c r="A669" s="835"/>
      <c r="B669" s="834"/>
      <c r="C669" s="64">
        <f t="shared" si="88"/>
        <v>116</v>
      </c>
      <c r="D669" s="65" t="s">
        <v>573</v>
      </c>
      <c r="E669" s="25">
        <v>0</v>
      </c>
      <c r="G669" s="8"/>
      <c r="H669" s="11"/>
      <c r="I669" s="12"/>
      <c r="J669" s="137"/>
      <c r="K669" s="13"/>
    </row>
    <row r="670" spans="1:11" ht="15" customHeight="1">
      <c r="A670" s="810" t="s">
        <v>574</v>
      </c>
      <c r="B670" s="810" t="s">
        <v>343</v>
      </c>
      <c r="C670" s="7">
        <v>116</v>
      </c>
      <c r="D670" s="9" t="s">
        <v>575</v>
      </c>
      <c r="E670" s="148">
        <v>435000</v>
      </c>
      <c r="G670" s="8">
        <v>116</v>
      </c>
      <c r="H670" s="11">
        <f t="shared" ref="H670:H687" si="89">0.788*1.091</f>
        <v>0.85970800000000003</v>
      </c>
      <c r="I670" s="12" t="e">
        <f>ROUND(#REF!*1000000/G670/H670,-3)</f>
        <v>#REF!</v>
      </c>
      <c r="J670" s="136">
        <v>164</v>
      </c>
      <c r="K670" s="13"/>
    </row>
    <row r="671" spans="1:11" ht="15" customHeight="1">
      <c r="A671" s="810"/>
      <c r="B671" s="810"/>
      <c r="C671" s="7">
        <f t="shared" ref="C671:C674" si="90">C670</f>
        <v>116</v>
      </c>
      <c r="D671" s="9" t="s">
        <v>576</v>
      </c>
      <c r="E671" s="148">
        <v>505000</v>
      </c>
      <c r="G671" s="8">
        <v>116</v>
      </c>
      <c r="H671" s="11">
        <f t="shared" si="89"/>
        <v>0.85970800000000003</v>
      </c>
      <c r="I671" s="12" t="e">
        <f>ROUND(#REF!*1000000/G671/H671,-3)</f>
        <v>#REF!</v>
      </c>
      <c r="J671" s="136">
        <v>164</v>
      </c>
      <c r="K671" s="13"/>
    </row>
    <row r="672" spans="1:11" ht="15" customHeight="1">
      <c r="A672" s="810"/>
      <c r="B672" s="810"/>
      <c r="C672" s="7">
        <f t="shared" si="90"/>
        <v>116</v>
      </c>
      <c r="D672" s="9" t="s">
        <v>577</v>
      </c>
      <c r="E672" s="148">
        <v>550000</v>
      </c>
      <c r="G672" s="8">
        <v>116</v>
      </c>
      <c r="H672" s="11">
        <f t="shared" si="89"/>
        <v>0.85970800000000003</v>
      </c>
      <c r="I672" s="12" t="e">
        <f>ROUND(#REF!*1000000/G672/H672,-3)</f>
        <v>#REF!</v>
      </c>
      <c r="J672" s="136">
        <v>164</v>
      </c>
      <c r="K672" s="13"/>
    </row>
    <row r="673" spans="1:11" ht="15" customHeight="1">
      <c r="A673" s="810"/>
      <c r="B673" s="810"/>
      <c r="C673" s="7">
        <f t="shared" si="90"/>
        <v>116</v>
      </c>
      <c r="D673" s="9" t="s">
        <v>578</v>
      </c>
      <c r="E673" s="148">
        <v>600000</v>
      </c>
      <c r="G673" s="8">
        <v>116</v>
      </c>
      <c r="H673" s="11">
        <f t="shared" si="89"/>
        <v>0.85970800000000003</v>
      </c>
      <c r="I673" s="12" t="e">
        <f>ROUND(#REF!*1000000/G673/H673,-3)</f>
        <v>#REF!</v>
      </c>
      <c r="J673" s="136">
        <v>164</v>
      </c>
      <c r="K673" s="13"/>
    </row>
    <row r="674" spans="1:11" ht="15" customHeight="1">
      <c r="A674" s="810"/>
      <c r="B674" s="810"/>
      <c r="C674" s="7">
        <f t="shared" si="90"/>
        <v>116</v>
      </c>
      <c r="D674" s="9" t="s">
        <v>579</v>
      </c>
      <c r="E674" s="148">
        <v>710000</v>
      </c>
      <c r="G674" s="8">
        <v>116</v>
      </c>
      <c r="H674" s="11">
        <f t="shared" si="89"/>
        <v>0.85970800000000003</v>
      </c>
      <c r="I674" s="12" t="e">
        <f>ROUND(#REF!*1000000/G674/H674,-3)</f>
        <v>#REF!</v>
      </c>
      <c r="J674" s="136">
        <v>164</v>
      </c>
      <c r="K674" s="13"/>
    </row>
    <row r="675" spans="1:11" ht="15" customHeight="1">
      <c r="A675" s="810"/>
      <c r="B675" s="810"/>
      <c r="C675" s="7">
        <v>256</v>
      </c>
      <c r="D675" s="9" t="s">
        <v>580</v>
      </c>
      <c r="E675" s="148">
        <v>965000</v>
      </c>
      <c r="G675" s="8">
        <v>256</v>
      </c>
      <c r="H675" s="11">
        <f t="shared" si="89"/>
        <v>0.85970800000000003</v>
      </c>
      <c r="I675" s="12" t="e">
        <f>ROUND(#REF!*1000000/G675/H675,-3)</f>
        <v>#REF!</v>
      </c>
      <c r="J675" s="136">
        <v>330</v>
      </c>
      <c r="K675" s="13"/>
    </row>
    <row r="676" spans="1:11" ht="15" customHeight="1">
      <c r="A676" s="810"/>
      <c r="B676" s="810"/>
      <c r="C676" s="7">
        <f t="shared" ref="C676:C679" si="91">C675</f>
        <v>256</v>
      </c>
      <c r="D676" s="9" t="s">
        <v>581</v>
      </c>
      <c r="E676" s="148">
        <v>1115000</v>
      </c>
      <c r="G676" s="8">
        <v>256</v>
      </c>
      <c r="H676" s="11">
        <f t="shared" si="89"/>
        <v>0.85970800000000003</v>
      </c>
      <c r="I676" s="12" t="e">
        <f>ROUND(#REF!*1000000/G676/H676,-3)</f>
        <v>#REF!</v>
      </c>
      <c r="J676" s="136">
        <v>330</v>
      </c>
      <c r="K676" s="13"/>
    </row>
    <row r="677" spans="1:11" ht="15" customHeight="1">
      <c r="A677" s="810"/>
      <c r="B677" s="810"/>
      <c r="C677" s="7">
        <f t="shared" si="91"/>
        <v>256</v>
      </c>
      <c r="D677" s="9" t="s">
        <v>582</v>
      </c>
      <c r="E677" s="148">
        <v>1210000</v>
      </c>
      <c r="G677" s="8">
        <v>256</v>
      </c>
      <c r="H677" s="11">
        <f t="shared" si="89"/>
        <v>0.85970800000000003</v>
      </c>
      <c r="I677" s="12" t="e">
        <f>ROUND(#REF!*1000000/G677/H677,-3)</f>
        <v>#REF!</v>
      </c>
      <c r="J677" s="136">
        <v>330</v>
      </c>
      <c r="K677" s="13"/>
    </row>
    <row r="678" spans="1:11" ht="15" customHeight="1">
      <c r="A678" s="810"/>
      <c r="B678" s="810"/>
      <c r="C678" s="7">
        <f t="shared" si="91"/>
        <v>256</v>
      </c>
      <c r="D678" s="9" t="s">
        <v>583</v>
      </c>
      <c r="E678" s="148">
        <v>1315000</v>
      </c>
      <c r="G678" s="8">
        <v>256</v>
      </c>
      <c r="H678" s="11">
        <f t="shared" si="89"/>
        <v>0.85970800000000003</v>
      </c>
      <c r="I678" s="12" t="e">
        <f>ROUND(#REF!*1000000/G678/H678,-3)</f>
        <v>#REF!</v>
      </c>
      <c r="J678" s="136">
        <v>330</v>
      </c>
      <c r="K678" s="13"/>
    </row>
    <row r="679" spans="1:11" ht="15" customHeight="1">
      <c r="A679" s="810"/>
      <c r="B679" s="810"/>
      <c r="C679" s="7">
        <f t="shared" si="91"/>
        <v>256</v>
      </c>
      <c r="D679" s="9" t="s">
        <v>479</v>
      </c>
      <c r="E679" s="148">
        <v>1565000</v>
      </c>
      <c r="G679" s="8">
        <v>256</v>
      </c>
      <c r="H679" s="11">
        <f t="shared" si="89"/>
        <v>0.85970800000000003</v>
      </c>
      <c r="I679" s="12" t="e">
        <f>ROUND(#REF!*1000000/G679/H679,-3)</f>
        <v>#REF!</v>
      </c>
      <c r="J679" s="136">
        <v>330</v>
      </c>
      <c r="K679" s="13"/>
    </row>
    <row r="680" spans="1:11" ht="15" customHeight="1">
      <c r="A680" s="810"/>
      <c r="B680" s="810"/>
      <c r="C680" s="7">
        <v>308</v>
      </c>
      <c r="D680" s="9" t="s">
        <v>584</v>
      </c>
      <c r="E680" s="148">
        <v>1160000</v>
      </c>
      <c r="G680" s="8">
        <v>308</v>
      </c>
      <c r="H680" s="11">
        <f t="shared" si="89"/>
        <v>0.85970800000000003</v>
      </c>
      <c r="I680" s="12" t="e">
        <f>ROUND(#REF!*1000000/G680/H680,-3)</f>
        <v>#REF!</v>
      </c>
      <c r="J680" s="136">
        <v>401</v>
      </c>
      <c r="K680" s="13"/>
    </row>
    <row r="681" spans="1:11" ht="15" customHeight="1">
      <c r="A681" s="810"/>
      <c r="B681" s="810"/>
      <c r="C681" s="7">
        <f t="shared" ref="C681:C684" si="92">C680</f>
        <v>308</v>
      </c>
      <c r="D681" s="9" t="s">
        <v>585</v>
      </c>
      <c r="E681" s="148">
        <v>1340000</v>
      </c>
      <c r="G681" s="8">
        <v>308</v>
      </c>
      <c r="H681" s="11">
        <f t="shared" si="89"/>
        <v>0.85970800000000003</v>
      </c>
      <c r="I681" s="12" t="e">
        <f>ROUND(#REF!*1000000/G681/H681,-3)</f>
        <v>#REF!</v>
      </c>
      <c r="J681" s="136">
        <v>401</v>
      </c>
      <c r="K681" s="13"/>
    </row>
    <row r="682" spans="1:11" ht="15" customHeight="1">
      <c r="A682" s="810"/>
      <c r="B682" s="810"/>
      <c r="C682" s="7">
        <f t="shared" si="92"/>
        <v>308</v>
      </c>
      <c r="D682" s="9" t="s">
        <v>586</v>
      </c>
      <c r="E682" s="148">
        <v>1465000</v>
      </c>
      <c r="G682" s="8">
        <v>308</v>
      </c>
      <c r="H682" s="11">
        <f t="shared" si="89"/>
        <v>0.85970800000000003</v>
      </c>
      <c r="I682" s="12" t="e">
        <f>ROUND(#REF!*1000000/G682/H682,-3)</f>
        <v>#REF!</v>
      </c>
      <c r="J682" s="136">
        <v>401</v>
      </c>
      <c r="K682" s="13"/>
    </row>
    <row r="683" spans="1:11" ht="15" customHeight="1">
      <c r="A683" s="810"/>
      <c r="B683" s="810"/>
      <c r="C683" s="7">
        <f t="shared" si="92"/>
        <v>308</v>
      </c>
      <c r="D683" s="9" t="s">
        <v>587</v>
      </c>
      <c r="E683" s="148">
        <v>1580000</v>
      </c>
      <c r="G683" s="8">
        <v>308</v>
      </c>
      <c r="H683" s="11">
        <f t="shared" si="89"/>
        <v>0.85970800000000003</v>
      </c>
      <c r="I683" s="12" t="e">
        <f>ROUND(#REF!*1000000/G683/H683,-3)</f>
        <v>#REF!</v>
      </c>
      <c r="J683" s="136">
        <v>401</v>
      </c>
      <c r="K683" s="13"/>
    </row>
    <row r="684" spans="1:11" ht="15" customHeight="1">
      <c r="A684" s="810"/>
      <c r="B684" s="810"/>
      <c r="C684" s="7">
        <f t="shared" si="92"/>
        <v>308</v>
      </c>
      <c r="D684" s="9" t="s">
        <v>588</v>
      </c>
      <c r="E684" s="148">
        <v>1880000</v>
      </c>
      <c r="G684" s="8">
        <v>308</v>
      </c>
      <c r="H684" s="11">
        <f t="shared" si="89"/>
        <v>0.85970800000000003</v>
      </c>
      <c r="I684" s="12" t="e">
        <f>ROUND(#REF!*1000000/G684/H684,-3)</f>
        <v>#REF!</v>
      </c>
      <c r="J684" s="136">
        <v>401</v>
      </c>
      <c r="K684" s="13"/>
    </row>
    <row r="685" spans="1:11" ht="15" customHeight="1">
      <c r="A685" s="810"/>
      <c r="B685" s="810"/>
      <c r="C685" s="7">
        <v>419</v>
      </c>
      <c r="D685" s="9" t="s">
        <v>589</v>
      </c>
      <c r="E685" s="148">
        <v>1580000</v>
      </c>
      <c r="G685" s="8">
        <v>419</v>
      </c>
      <c r="H685" s="11">
        <f t="shared" si="89"/>
        <v>0.85970800000000003</v>
      </c>
      <c r="I685" s="12" t="e">
        <f>ROUND(#REF!*1000000/G685/H685,-3)</f>
        <v>#REF!</v>
      </c>
      <c r="J685" s="136">
        <v>540</v>
      </c>
      <c r="K685" s="13"/>
    </row>
    <row r="686" spans="1:11" ht="15" customHeight="1">
      <c r="A686" s="810"/>
      <c r="B686" s="810"/>
      <c r="C686" s="7">
        <f t="shared" ref="C686:C691" si="93">C685</f>
        <v>419</v>
      </c>
      <c r="D686" s="9" t="s">
        <v>590</v>
      </c>
      <c r="E686" s="148">
        <v>2150000</v>
      </c>
      <c r="G686" s="8">
        <v>419</v>
      </c>
      <c r="H686" s="11">
        <f t="shared" si="89"/>
        <v>0.85970800000000003</v>
      </c>
      <c r="I686" s="12" t="e">
        <f>ROUND(#REF!*1000000/G686/H686,-3)</f>
        <v>#REF!</v>
      </c>
      <c r="J686" s="136">
        <v>540</v>
      </c>
      <c r="K686" s="13"/>
    </row>
    <row r="687" spans="1:11" ht="15" customHeight="1">
      <c r="A687" s="810"/>
      <c r="B687" s="810"/>
      <c r="C687" s="7">
        <f t="shared" si="93"/>
        <v>419</v>
      </c>
      <c r="D687" s="9" t="s">
        <v>591</v>
      </c>
      <c r="E687" s="148">
        <v>2560000</v>
      </c>
      <c r="G687" s="8">
        <v>419</v>
      </c>
      <c r="H687" s="11">
        <f t="shared" si="89"/>
        <v>0.85970800000000003</v>
      </c>
      <c r="I687" s="12" t="e">
        <f>ROUND(#REF!*1000000/G687/H687,-3)</f>
        <v>#REF!</v>
      </c>
      <c r="J687" s="136">
        <v>540</v>
      </c>
      <c r="K687" s="13"/>
    </row>
    <row r="688" spans="1:11" ht="15" customHeight="1">
      <c r="A688" s="810" t="s">
        <v>592</v>
      </c>
      <c r="B688" s="7" t="s">
        <v>593</v>
      </c>
      <c r="C688" s="33">
        <f t="shared" si="93"/>
        <v>419</v>
      </c>
      <c r="D688" s="21"/>
      <c r="E688" s="214">
        <v>0</v>
      </c>
      <c r="G688" s="8"/>
      <c r="H688" s="11">
        <f>1.04*100</f>
        <v>104</v>
      </c>
      <c r="I688" s="12" t="e">
        <f>ROUNDDOWN(#REF!/H688,-2)</f>
        <v>#REF!</v>
      </c>
      <c r="J688" s="137"/>
      <c r="K688" s="13"/>
    </row>
    <row r="689" spans="1:11" ht="15" customHeight="1">
      <c r="A689" s="810"/>
      <c r="B689" s="7" t="s">
        <v>365</v>
      </c>
      <c r="C689" s="33">
        <f t="shared" si="93"/>
        <v>419</v>
      </c>
      <c r="D689" s="21"/>
      <c r="E689" s="214">
        <v>3245000</v>
      </c>
      <c r="G689" s="8"/>
      <c r="H689" s="11"/>
      <c r="I689" s="12"/>
      <c r="J689" s="137"/>
      <c r="K689" s="13"/>
    </row>
    <row r="690" spans="1:11" ht="15" customHeight="1">
      <c r="A690" s="810"/>
      <c r="B690" s="7" t="s">
        <v>2869</v>
      </c>
      <c r="C690" s="33">
        <f t="shared" si="93"/>
        <v>419</v>
      </c>
      <c r="D690" s="21"/>
      <c r="E690" s="214">
        <v>1100000</v>
      </c>
      <c r="G690" s="8"/>
      <c r="H690" s="11"/>
      <c r="I690" s="12"/>
      <c r="J690" s="137"/>
      <c r="K690" s="13"/>
    </row>
    <row r="691" spans="1:11" ht="15" customHeight="1">
      <c r="A691" s="810"/>
      <c r="B691" s="7" t="s">
        <v>2870</v>
      </c>
      <c r="C691" s="33">
        <f t="shared" si="93"/>
        <v>419</v>
      </c>
      <c r="D691" s="21"/>
      <c r="E691" s="214">
        <v>1460000</v>
      </c>
      <c r="G691" s="8"/>
      <c r="H691" s="11">
        <f>1.04*0.7</f>
        <v>0.72799999999999998</v>
      </c>
      <c r="I691" s="12" t="e">
        <f>ROUNDDOWN(#REF!/H691,-2)</f>
        <v>#REF!</v>
      </c>
      <c r="J691" s="137"/>
      <c r="K691" s="13"/>
    </row>
    <row r="692" spans="1:11" ht="15" customHeight="1">
      <c r="A692" s="811" t="s">
        <v>594</v>
      </c>
      <c r="B692" s="810" t="s">
        <v>595</v>
      </c>
      <c r="C692" s="33">
        <v>120</v>
      </c>
      <c r="D692" s="21" t="s">
        <v>596</v>
      </c>
      <c r="E692" s="214">
        <v>515000</v>
      </c>
      <c r="G692" s="8">
        <v>120</v>
      </c>
      <c r="H692" s="11">
        <f t="shared" ref="H692:H697" si="94">0.788*1.091</f>
        <v>0.85970800000000003</v>
      </c>
      <c r="I692" s="12" t="e">
        <f>ROUND(#REF!*1000000/G692/H692,-3)</f>
        <v>#REF!</v>
      </c>
      <c r="J692" s="137"/>
      <c r="K692" s="13"/>
    </row>
    <row r="693" spans="1:11" ht="15" customHeight="1">
      <c r="A693" s="810"/>
      <c r="B693" s="810"/>
      <c r="C693" s="33">
        <f>C692</f>
        <v>120</v>
      </c>
      <c r="D693" s="21" t="s">
        <v>597</v>
      </c>
      <c r="E693" s="214">
        <v>575000</v>
      </c>
      <c r="G693" s="8">
        <v>120</v>
      </c>
      <c r="H693" s="11">
        <f t="shared" si="94"/>
        <v>0.85970800000000003</v>
      </c>
      <c r="I693" s="12" t="e">
        <f>ROUND(#REF!*1000000/G693/H693,-3)</f>
        <v>#REF!</v>
      </c>
      <c r="J693" s="137"/>
      <c r="K693" s="13"/>
    </row>
    <row r="694" spans="1:11" ht="15" customHeight="1">
      <c r="A694" s="810"/>
      <c r="B694" s="810"/>
      <c r="C694" s="33">
        <v>220</v>
      </c>
      <c r="D694" s="21" t="s">
        <v>596</v>
      </c>
      <c r="E694" s="214">
        <v>945000</v>
      </c>
      <c r="G694" s="8">
        <v>220</v>
      </c>
      <c r="H694" s="11">
        <f t="shared" si="94"/>
        <v>0.85970800000000003</v>
      </c>
      <c r="I694" s="12" t="e">
        <f>ROUND(#REF!*1000000/G694/H694,-3)</f>
        <v>#REF!</v>
      </c>
      <c r="J694" s="137"/>
      <c r="K694" s="13"/>
    </row>
    <row r="695" spans="1:11" ht="15" customHeight="1">
      <c r="A695" s="810"/>
      <c r="B695" s="810"/>
      <c r="C695" s="33">
        <f>C694</f>
        <v>220</v>
      </c>
      <c r="D695" s="21" t="s">
        <v>597</v>
      </c>
      <c r="E695" s="214">
        <v>1055000</v>
      </c>
      <c r="G695" s="8">
        <v>220</v>
      </c>
      <c r="H695" s="11">
        <f t="shared" si="94"/>
        <v>0.85970800000000003</v>
      </c>
      <c r="I695" s="12" t="e">
        <f>ROUND(#REF!*1000000/G695/H695,-3)</f>
        <v>#REF!</v>
      </c>
      <c r="J695" s="137"/>
      <c r="K695" s="13"/>
    </row>
    <row r="696" spans="1:11" ht="15" customHeight="1">
      <c r="A696" s="810"/>
      <c r="B696" s="810"/>
      <c r="C696" s="33">
        <v>350</v>
      </c>
      <c r="D696" s="21" t="s">
        <v>596</v>
      </c>
      <c r="E696" s="214">
        <v>1505000</v>
      </c>
      <c r="G696" s="8">
        <v>350</v>
      </c>
      <c r="H696" s="11">
        <f t="shared" si="94"/>
        <v>0.85970800000000003</v>
      </c>
      <c r="I696" s="12" t="e">
        <f>ROUND(#REF!*1000000/G696/H696,-3)</f>
        <v>#REF!</v>
      </c>
      <c r="J696" s="137"/>
      <c r="K696" s="13"/>
    </row>
    <row r="697" spans="1:11" ht="15" customHeight="1">
      <c r="A697" s="810"/>
      <c r="B697" s="810"/>
      <c r="C697" s="33">
        <f t="shared" ref="C697:C698" si="95">C696</f>
        <v>350</v>
      </c>
      <c r="D697" s="21" t="s">
        <v>597</v>
      </c>
      <c r="E697" s="214">
        <v>1680000</v>
      </c>
      <c r="G697" s="8">
        <v>350</v>
      </c>
      <c r="H697" s="11">
        <f t="shared" si="94"/>
        <v>0.85970800000000003</v>
      </c>
      <c r="I697" s="12" t="e">
        <f>ROUND(#REF!*1000000/G697/H697,-3)</f>
        <v>#REF!</v>
      </c>
      <c r="J697" s="137"/>
      <c r="K697" s="13"/>
    </row>
    <row r="698" spans="1:11" s="1" customFormat="1" ht="15" customHeight="1">
      <c r="A698" s="7" t="s">
        <v>598</v>
      </c>
      <c r="B698" s="7" t="s">
        <v>599</v>
      </c>
      <c r="C698" s="33">
        <f t="shared" si="95"/>
        <v>350</v>
      </c>
      <c r="D698" s="21" t="s">
        <v>600</v>
      </c>
      <c r="E698" s="214" t="s">
        <v>2349</v>
      </c>
      <c r="G698" s="8">
        <v>120</v>
      </c>
      <c r="H698" s="11">
        <f t="shared" ref="H698:H704" si="96">0.72*1.02</f>
        <v>0.73439999999999994</v>
      </c>
      <c r="I698" s="12" t="e">
        <f>ROUND(#REF!*1000000/G698/H698,-3)</f>
        <v>#REF!</v>
      </c>
      <c r="J698" s="137"/>
      <c r="K698" s="13"/>
    </row>
    <row r="699" spans="1:11" s="1" customFormat="1" ht="15" customHeight="1">
      <c r="A699" s="811" t="s">
        <v>601</v>
      </c>
      <c r="B699" s="810" t="s">
        <v>602</v>
      </c>
      <c r="C699" s="7">
        <v>120</v>
      </c>
      <c r="D699" s="9" t="s">
        <v>230</v>
      </c>
      <c r="E699" s="148">
        <v>1210000</v>
      </c>
      <c r="G699" s="8">
        <v>120</v>
      </c>
      <c r="H699" s="11">
        <f t="shared" si="96"/>
        <v>0.73439999999999994</v>
      </c>
      <c r="I699" s="12" t="e">
        <f>ROUND(#REF!*1000000/G699/H699,-3)</f>
        <v>#REF!</v>
      </c>
      <c r="J699" s="137"/>
      <c r="K699" s="13"/>
    </row>
    <row r="700" spans="1:11" s="1" customFormat="1" ht="15" customHeight="1">
      <c r="A700" s="811"/>
      <c r="B700" s="810"/>
      <c r="C700" s="7">
        <f>C699</f>
        <v>120</v>
      </c>
      <c r="D700" s="9" t="s">
        <v>603</v>
      </c>
      <c r="E700" s="148">
        <v>1285000</v>
      </c>
      <c r="G700" s="8">
        <v>120</v>
      </c>
      <c r="H700" s="11">
        <f t="shared" si="96"/>
        <v>0.73439999999999994</v>
      </c>
      <c r="I700" s="12" t="e">
        <f>ROUND(#REF!*1000000/G700/H700,-3)</f>
        <v>#REF!</v>
      </c>
      <c r="J700" s="137"/>
      <c r="K700" s="13"/>
    </row>
    <row r="701" spans="1:11" s="1" customFormat="1" ht="15" customHeight="1">
      <c r="A701" s="811"/>
      <c r="B701" s="810"/>
      <c r="C701" s="7">
        <v>230</v>
      </c>
      <c r="D701" s="9" t="s">
        <v>604</v>
      </c>
      <c r="E701" s="148">
        <v>2155000</v>
      </c>
      <c r="G701" s="8">
        <v>230</v>
      </c>
      <c r="H701" s="11">
        <f t="shared" si="96"/>
        <v>0.73439999999999994</v>
      </c>
      <c r="I701" s="12" t="e">
        <f>ROUND(#REF!*1000000/G701/H701,-3)</f>
        <v>#REF!</v>
      </c>
      <c r="J701" s="137"/>
      <c r="K701" s="13"/>
    </row>
    <row r="702" spans="1:11" s="1" customFormat="1" ht="15" customHeight="1">
      <c r="A702" s="811"/>
      <c r="B702" s="810"/>
      <c r="C702" s="7">
        <f>C701</f>
        <v>230</v>
      </c>
      <c r="D702" s="9" t="s">
        <v>605</v>
      </c>
      <c r="E702" s="148">
        <v>2295000</v>
      </c>
      <c r="G702" s="8">
        <v>230</v>
      </c>
      <c r="H702" s="11">
        <f t="shared" si="96"/>
        <v>0.73439999999999994</v>
      </c>
      <c r="I702" s="12" t="e">
        <f>ROUND(#REF!*1000000/G702/H702,-3)</f>
        <v>#REF!</v>
      </c>
      <c r="J702" s="137"/>
      <c r="K702" s="13"/>
    </row>
    <row r="703" spans="1:11" s="1" customFormat="1" ht="15" customHeight="1">
      <c r="A703" s="811"/>
      <c r="B703" s="810"/>
      <c r="C703" s="7">
        <v>360</v>
      </c>
      <c r="D703" s="9" t="s">
        <v>606</v>
      </c>
      <c r="E703" s="148">
        <v>3370000</v>
      </c>
      <c r="G703" s="8">
        <v>360</v>
      </c>
      <c r="H703" s="11">
        <f t="shared" si="96"/>
        <v>0.73439999999999994</v>
      </c>
      <c r="I703" s="12" t="e">
        <f>ROUND(#REF!*1000000/G703/H703,-3)</f>
        <v>#REF!</v>
      </c>
      <c r="J703" s="137"/>
      <c r="K703" s="13"/>
    </row>
    <row r="704" spans="1:11" s="1" customFormat="1" ht="15" customHeight="1">
      <c r="A704" s="811"/>
      <c r="B704" s="810"/>
      <c r="C704" s="7">
        <f>C703</f>
        <v>360</v>
      </c>
      <c r="D704" s="9" t="s">
        <v>607</v>
      </c>
      <c r="E704" s="148">
        <v>3590000</v>
      </c>
      <c r="G704" s="8">
        <v>360</v>
      </c>
      <c r="H704" s="11">
        <f t="shared" si="96"/>
        <v>0.73439999999999994</v>
      </c>
      <c r="I704" s="12" t="e">
        <f>ROUND(#REF!*1000000/G704/H704,-3)</f>
        <v>#REF!</v>
      </c>
      <c r="J704" s="137"/>
      <c r="K704" s="13"/>
    </row>
    <row r="705" spans="1:11" ht="15" customHeight="1">
      <c r="A705" s="810" t="s">
        <v>608</v>
      </c>
      <c r="B705" s="810" t="s">
        <v>213</v>
      </c>
      <c r="C705" s="33">
        <v>186</v>
      </c>
      <c r="D705" s="21"/>
      <c r="E705" s="25">
        <v>395000</v>
      </c>
      <c r="G705" s="8">
        <v>186</v>
      </c>
      <c r="H705" s="11">
        <f t="shared" ref="H705:H706" si="97">0.788*1.091</f>
        <v>0.85970800000000003</v>
      </c>
      <c r="I705" s="12" t="e">
        <f>ROUND(#REF!*1000000/G705/H705,-3)</f>
        <v>#REF!</v>
      </c>
      <c r="J705" s="137">
        <v>192</v>
      </c>
      <c r="K705" s="13"/>
    </row>
    <row r="706" spans="1:11" ht="15" customHeight="1">
      <c r="A706" s="810"/>
      <c r="B706" s="810"/>
      <c r="C706" s="33">
        <v>349</v>
      </c>
      <c r="D706" s="21"/>
      <c r="E706" s="25">
        <v>745000</v>
      </c>
      <c r="G706" s="8">
        <v>349</v>
      </c>
      <c r="H706" s="11">
        <f t="shared" si="97"/>
        <v>0.85970800000000003</v>
      </c>
      <c r="I706" s="12" t="e">
        <f>ROUND(#REF!*1000000/G706/H706,-3)</f>
        <v>#REF!</v>
      </c>
      <c r="J706" s="137">
        <v>383</v>
      </c>
      <c r="K706" s="13"/>
    </row>
    <row r="707" spans="1:11" s="1" customFormat="1" ht="15" customHeight="1">
      <c r="A707" s="811" t="s">
        <v>609</v>
      </c>
      <c r="B707" s="832" t="s">
        <v>337</v>
      </c>
      <c r="C707" s="33">
        <v>60</v>
      </c>
      <c r="D707" s="21" t="s">
        <v>610</v>
      </c>
      <c r="E707" s="214">
        <v>585000</v>
      </c>
      <c r="G707" s="8">
        <v>60</v>
      </c>
      <c r="H707" s="11">
        <f t="shared" ref="H707:H708" si="98">0.787*1.092</f>
        <v>0.85940400000000006</v>
      </c>
      <c r="I707" s="12" t="e">
        <f>ROUND(#REF!*1000000/G707/H707,-3)</f>
        <v>#REF!</v>
      </c>
      <c r="J707" s="137"/>
      <c r="K707" s="13"/>
    </row>
    <row r="708" spans="1:11" s="1" customFormat="1" ht="15" customHeight="1">
      <c r="A708" s="811"/>
      <c r="B708" s="832"/>
      <c r="C708" s="33">
        <f>C707</f>
        <v>60</v>
      </c>
      <c r="D708" s="21" t="s">
        <v>611</v>
      </c>
      <c r="E708" s="214">
        <v>690000</v>
      </c>
      <c r="G708" s="8">
        <v>60</v>
      </c>
      <c r="H708" s="11">
        <f t="shared" si="98"/>
        <v>0.85940400000000006</v>
      </c>
      <c r="I708" s="12" t="e">
        <f>ROUND(#REF!*1000000/G708/H708,-3)</f>
        <v>#REF!</v>
      </c>
      <c r="J708" s="137"/>
      <c r="K708" s="13"/>
    </row>
    <row r="709" spans="1:11" ht="15" customHeight="1">
      <c r="A709" s="810" t="s">
        <v>612</v>
      </c>
      <c r="B709" s="810" t="s">
        <v>27</v>
      </c>
      <c r="C709" s="7">
        <v>64</v>
      </c>
      <c r="D709" s="9"/>
      <c r="E709" s="25">
        <v>205000</v>
      </c>
      <c r="G709" s="8">
        <v>64</v>
      </c>
      <c r="H709" s="11">
        <f t="shared" ref="H709:H1412" si="99">0.788*1.091</f>
        <v>0.85970800000000003</v>
      </c>
      <c r="I709" s="12" t="e">
        <f>ROUND(#REF!*1000000/G709/H709,-3)</f>
        <v>#REF!</v>
      </c>
      <c r="J709" s="137"/>
      <c r="K709" s="13"/>
    </row>
    <row r="710" spans="1:11" ht="15" customHeight="1">
      <c r="A710" s="810"/>
      <c r="B710" s="810"/>
      <c r="C710" s="7">
        <v>81.400000000000006</v>
      </c>
      <c r="D710" s="9"/>
      <c r="E710" s="25">
        <v>255000</v>
      </c>
      <c r="G710" s="34">
        <v>81.400000000000006</v>
      </c>
      <c r="H710" s="11">
        <f t="shared" si="99"/>
        <v>0.85970800000000003</v>
      </c>
      <c r="I710" s="12" t="e">
        <f>ROUND(#REF!*1000000/G710/H710,-3)</f>
        <v>#REF!</v>
      </c>
      <c r="J710" s="137"/>
      <c r="K710" s="13"/>
    </row>
    <row r="711" spans="1:11" ht="15" customHeight="1">
      <c r="A711" s="810"/>
      <c r="B711" s="810"/>
      <c r="C711" s="7">
        <v>105</v>
      </c>
      <c r="D711" s="9"/>
      <c r="E711" s="25">
        <v>335000</v>
      </c>
      <c r="G711" s="8">
        <v>105</v>
      </c>
      <c r="H711" s="11">
        <f t="shared" si="99"/>
        <v>0.85970800000000003</v>
      </c>
      <c r="I711" s="12" t="e">
        <f>ROUND(#REF!*1000000/G711/H711,-3)</f>
        <v>#REF!</v>
      </c>
      <c r="J711" s="137"/>
      <c r="K711" s="13"/>
    </row>
    <row r="712" spans="1:11" ht="15" customHeight="1">
      <c r="A712" s="810"/>
      <c r="B712" s="810"/>
      <c r="C712" s="7">
        <v>128</v>
      </c>
      <c r="D712" s="9"/>
      <c r="E712" s="25">
        <v>405000</v>
      </c>
      <c r="G712" s="8">
        <v>128</v>
      </c>
      <c r="H712" s="11">
        <f t="shared" si="99"/>
        <v>0.85970800000000003</v>
      </c>
      <c r="I712" s="12" t="e">
        <f>ROUND(#REF!*1000000/G712/H712,-3)</f>
        <v>#REF!</v>
      </c>
      <c r="J712" s="137"/>
      <c r="K712" s="13"/>
    </row>
    <row r="713" spans="1:11" ht="15" customHeight="1">
      <c r="A713" s="810"/>
      <c r="B713" s="810"/>
      <c r="C713" s="7">
        <v>157</v>
      </c>
      <c r="D713" s="9"/>
      <c r="E713" s="25">
        <v>500000</v>
      </c>
      <c r="G713" s="8">
        <v>157</v>
      </c>
      <c r="H713" s="11">
        <f t="shared" si="99"/>
        <v>0.85970800000000003</v>
      </c>
      <c r="I713" s="12" t="e">
        <f>ROUND(#REF!*1000000/G713/H713,-3)</f>
        <v>#REF!</v>
      </c>
      <c r="J713" s="137"/>
      <c r="K713" s="13"/>
    </row>
    <row r="714" spans="1:11" ht="15" customHeight="1">
      <c r="A714" s="810"/>
      <c r="B714" s="810"/>
      <c r="C714" s="7">
        <v>200</v>
      </c>
      <c r="D714" s="9"/>
      <c r="E714" s="25">
        <v>630000</v>
      </c>
      <c r="G714" s="8">
        <v>200</v>
      </c>
      <c r="H714" s="11">
        <f>0.788*1.091</f>
        <v>0.85970800000000003</v>
      </c>
      <c r="I714" s="12" t="e">
        <f>ROUND(#REF!*1000000/G714/H714,-3)</f>
        <v>#REF!</v>
      </c>
      <c r="J714" s="137"/>
      <c r="K714" s="13"/>
    </row>
    <row r="715" spans="1:11" ht="15" customHeight="1">
      <c r="A715" s="810" t="s">
        <v>613</v>
      </c>
      <c r="B715" s="810" t="s">
        <v>343</v>
      </c>
      <c r="C715" s="33">
        <v>203</v>
      </c>
      <c r="D715" s="21" t="s">
        <v>2871</v>
      </c>
      <c r="E715" s="214">
        <v>930000</v>
      </c>
      <c r="G715" s="8">
        <v>203</v>
      </c>
      <c r="H715" s="11">
        <f t="shared" ref="H715:H722" si="100">0.788*1.091</f>
        <v>0.85970800000000003</v>
      </c>
      <c r="I715" s="12" t="e">
        <f>ROUND(#REF!*1000000/G715/H715,-3)</f>
        <v>#REF!</v>
      </c>
      <c r="J715" s="137"/>
      <c r="K715" s="13"/>
    </row>
    <row r="716" spans="1:11" ht="15" customHeight="1">
      <c r="A716" s="810"/>
      <c r="B716" s="810"/>
      <c r="C716" s="33">
        <f>C715</f>
        <v>203</v>
      </c>
      <c r="D716" s="21" t="s">
        <v>615</v>
      </c>
      <c r="E716" s="214">
        <v>1025000</v>
      </c>
      <c r="G716" s="8">
        <v>203</v>
      </c>
      <c r="H716" s="11">
        <f t="shared" si="100"/>
        <v>0.85970800000000003</v>
      </c>
      <c r="I716" s="12" t="e">
        <f>ROUND(#REF!*1000000/G716/H716,-3)</f>
        <v>#REF!</v>
      </c>
      <c r="J716" s="137"/>
      <c r="K716" s="13"/>
    </row>
    <row r="717" spans="1:11" ht="15" customHeight="1">
      <c r="A717" s="811" t="s">
        <v>616</v>
      </c>
      <c r="B717" s="810" t="s">
        <v>595</v>
      </c>
      <c r="C717" s="31">
        <v>115</v>
      </c>
      <c r="D717" s="32"/>
      <c r="E717" s="214">
        <v>190000</v>
      </c>
      <c r="G717" s="10">
        <v>115</v>
      </c>
      <c r="H717" s="11">
        <f t="shared" si="100"/>
        <v>0.85970800000000003</v>
      </c>
      <c r="I717" s="12" t="e">
        <f>ROUND(#REF!*1000000/G717/H717,-3)</f>
        <v>#REF!</v>
      </c>
      <c r="J717" s="137"/>
      <c r="K717" s="13"/>
    </row>
    <row r="718" spans="1:11" ht="15" customHeight="1">
      <c r="A718" s="810"/>
      <c r="B718" s="810"/>
      <c r="C718" s="31">
        <v>135</v>
      </c>
      <c r="D718" s="32"/>
      <c r="E718" s="214">
        <v>215000</v>
      </c>
      <c r="G718" s="10">
        <v>135</v>
      </c>
      <c r="H718" s="11">
        <f t="shared" si="100"/>
        <v>0.85970800000000003</v>
      </c>
      <c r="I718" s="12" t="e">
        <f>ROUND(#REF!*1000000/G718/H718,-3)</f>
        <v>#REF!</v>
      </c>
      <c r="J718" s="137"/>
      <c r="K718" s="13"/>
    </row>
    <row r="719" spans="1:11" ht="15" customHeight="1">
      <c r="A719" s="810"/>
      <c r="B719" s="810"/>
      <c r="C719" s="31">
        <v>150</v>
      </c>
      <c r="D719" s="32"/>
      <c r="E719" s="214">
        <v>250000</v>
      </c>
      <c r="G719" s="10">
        <v>150</v>
      </c>
      <c r="H719" s="11">
        <f t="shared" si="100"/>
        <v>0.85970800000000003</v>
      </c>
      <c r="I719" s="12" t="e">
        <f>ROUND(#REF!*1000000/G719/H719,-3)</f>
        <v>#REF!</v>
      </c>
      <c r="J719" s="137"/>
      <c r="K719" s="13"/>
    </row>
    <row r="720" spans="1:11" ht="15" customHeight="1">
      <c r="A720" s="810"/>
      <c r="B720" s="810"/>
      <c r="C720" s="31">
        <v>200</v>
      </c>
      <c r="D720" s="32"/>
      <c r="E720" s="214">
        <v>320000</v>
      </c>
      <c r="G720" s="10">
        <v>200</v>
      </c>
      <c r="H720" s="11">
        <f t="shared" si="100"/>
        <v>0.85970800000000003</v>
      </c>
      <c r="I720" s="12" t="e">
        <f>ROUND(#REF!*1000000/G720/H720,-3)</f>
        <v>#REF!</v>
      </c>
      <c r="J720" s="137"/>
      <c r="K720" s="13"/>
    </row>
    <row r="721" spans="1:11" ht="15" customHeight="1">
      <c r="A721" s="810"/>
      <c r="B721" s="810"/>
      <c r="C721" s="31">
        <v>250</v>
      </c>
      <c r="D721" s="32"/>
      <c r="E721" s="214">
        <v>410000</v>
      </c>
      <c r="G721" s="10">
        <v>250</v>
      </c>
      <c r="H721" s="11">
        <f t="shared" si="100"/>
        <v>0.85970800000000003</v>
      </c>
      <c r="I721" s="12" t="e">
        <f>ROUND(#REF!*1000000/G721/H721,-3)</f>
        <v>#REF!</v>
      </c>
      <c r="J721" s="137"/>
      <c r="K721" s="13"/>
    </row>
    <row r="722" spans="1:11" ht="15" customHeight="1">
      <c r="A722" s="810"/>
      <c r="B722" s="810"/>
      <c r="C722" s="31">
        <v>300</v>
      </c>
      <c r="D722" s="32"/>
      <c r="E722" s="214">
        <v>490000</v>
      </c>
      <c r="G722" s="10">
        <v>300</v>
      </c>
      <c r="H722" s="11">
        <f t="shared" si="100"/>
        <v>0.85970800000000003</v>
      </c>
      <c r="I722" s="12" t="e">
        <f>ROUND(#REF!*1000000/G722/H722,-3)</f>
        <v>#REF!</v>
      </c>
      <c r="J722" s="137"/>
      <c r="K722" s="13"/>
    </row>
    <row r="723" spans="1:11" ht="15" customHeight="1">
      <c r="A723" s="810"/>
      <c r="B723" s="810" t="s">
        <v>28</v>
      </c>
      <c r="C723" s="31">
        <v>115</v>
      </c>
      <c r="D723" s="32"/>
      <c r="E723" s="214">
        <v>132500</v>
      </c>
      <c r="G723" s="10">
        <v>115</v>
      </c>
      <c r="H723" s="11">
        <f t="shared" ref="H723:H725" si="101">0.636*0.939</f>
        <v>0.59720399999999996</v>
      </c>
      <c r="I723" s="12" t="e">
        <f>ROUND(#REF!*1000000/G723/H723,-3)</f>
        <v>#REF!</v>
      </c>
      <c r="J723" s="137"/>
      <c r="K723" s="13"/>
    </row>
    <row r="724" spans="1:11" ht="15" customHeight="1">
      <c r="A724" s="810"/>
      <c r="B724" s="810"/>
      <c r="C724" s="31">
        <v>135</v>
      </c>
      <c r="D724" s="32"/>
      <c r="E724" s="214">
        <v>150000</v>
      </c>
      <c r="G724" s="10">
        <v>135</v>
      </c>
      <c r="H724" s="11">
        <f t="shared" si="101"/>
        <v>0.59720399999999996</v>
      </c>
      <c r="I724" s="12" t="e">
        <f>ROUND(#REF!*1000000/G724/H724,-3)</f>
        <v>#REF!</v>
      </c>
      <c r="J724" s="137"/>
      <c r="K724" s="13"/>
    </row>
    <row r="725" spans="1:11" ht="15" customHeight="1">
      <c r="A725" s="810"/>
      <c r="B725" s="810"/>
      <c r="C725" s="31">
        <v>150</v>
      </c>
      <c r="D725" s="32"/>
      <c r="E725" s="214">
        <v>175000</v>
      </c>
      <c r="G725" s="10">
        <v>150</v>
      </c>
      <c r="H725" s="11">
        <f t="shared" si="101"/>
        <v>0.59720399999999996</v>
      </c>
      <c r="I725" s="12" t="e">
        <f>ROUND(#REF!*1000000/G725/H725,-3)</f>
        <v>#REF!</v>
      </c>
      <c r="J725" s="137"/>
      <c r="K725" s="13"/>
    </row>
    <row r="726" spans="1:11" ht="15" customHeight="1">
      <c r="A726" s="811" t="s">
        <v>617</v>
      </c>
      <c r="B726" s="811" t="s">
        <v>618</v>
      </c>
      <c r="C726" s="33">
        <v>120</v>
      </c>
      <c r="D726" s="21" t="s">
        <v>619</v>
      </c>
      <c r="E726" s="214">
        <v>595000</v>
      </c>
      <c r="G726" s="8">
        <v>120</v>
      </c>
      <c r="H726" s="11">
        <f t="shared" ref="H726:H728" si="102">0.72*1.02</f>
        <v>0.73439999999999994</v>
      </c>
      <c r="I726" s="12" t="e">
        <f>ROUND(#REF!*1000000/G726/H726,-3)</f>
        <v>#REF!</v>
      </c>
      <c r="J726" s="137"/>
      <c r="K726" s="13"/>
    </row>
    <row r="727" spans="1:11" ht="15" customHeight="1">
      <c r="A727" s="811"/>
      <c r="B727" s="811"/>
      <c r="C727" s="33">
        <f t="shared" ref="C727:C728" si="103">C726</f>
        <v>120</v>
      </c>
      <c r="D727" s="21" t="s">
        <v>620</v>
      </c>
      <c r="E727" s="214">
        <v>650000</v>
      </c>
      <c r="G727" s="8">
        <v>120</v>
      </c>
      <c r="H727" s="11">
        <f t="shared" si="102"/>
        <v>0.73439999999999994</v>
      </c>
      <c r="I727" s="12" t="e">
        <f>ROUND(#REF!*1000000/G727/H727,-3)</f>
        <v>#REF!</v>
      </c>
      <c r="J727" s="137"/>
      <c r="K727" s="13"/>
    </row>
    <row r="728" spans="1:11" ht="15" customHeight="1">
      <c r="A728" s="811"/>
      <c r="B728" s="811"/>
      <c r="C728" s="33">
        <f t="shared" si="103"/>
        <v>120</v>
      </c>
      <c r="D728" s="21" t="s">
        <v>621</v>
      </c>
      <c r="E728" s="214">
        <v>775000</v>
      </c>
      <c r="G728" s="8">
        <v>120</v>
      </c>
      <c r="H728" s="11">
        <f t="shared" si="102"/>
        <v>0.73439999999999994</v>
      </c>
      <c r="I728" s="12" t="e">
        <f>ROUND(#REF!*1000000/G728/H728,-3)</f>
        <v>#REF!</v>
      </c>
      <c r="J728" s="137"/>
      <c r="K728" s="13"/>
    </row>
    <row r="729" spans="1:11" ht="15" customHeight="1">
      <c r="A729" s="811"/>
      <c r="B729" s="811" t="s">
        <v>622</v>
      </c>
      <c r="C729" s="33">
        <v>240</v>
      </c>
      <c r="D729" s="21" t="s">
        <v>623</v>
      </c>
      <c r="E729" s="214">
        <v>1085000</v>
      </c>
      <c r="G729" s="8">
        <v>240</v>
      </c>
      <c r="H729" s="11">
        <f t="shared" ref="H729:H731" si="104">0.71*1.01</f>
        <v>0.71709999999999996</v>
      </c>
      <c r="I729" s="12" t="e">
        <f>ROUND(#REF!*1000000/G729/H729,-3)</f>
        <v>#REF!</v>
      </c>
      <c r="J729" s="137"/>
      <c r="K729" s="13"/>
    </row>
    <row r="730" spans="1:11" ht="15" customHeight="1">
      <c r="A730" s="811"/>
      <c r="B730" s="811"/>
      <c r="C730" s="33">
        <f t="shared" ref="C730:C731" si="105">C729</f>
        <v>240</v>
      </c>
      <c r="D730" s="21" t="s">
        <v>624</v>
      </c>
      <c r="E730" s="214">
        <v>1185000</v>
      </c>
      <c r="G730" s="8">
        <v>240</v>
      </c>
      <c r="H730" s="11">
        <f t="shared" si="104"/>
        <v>0.71709999999999996</v>
      </c>
      <c r="I730" s="12" t="e">
        <f>ROUND(#REF!*1000000/G730/H730,-3)</f>
        <v>#REF!</v>
      </c>
      <c r="J730" s="137"/>
      <c r="K730" s="13"/>
    </row>
    <row r="731" spans="1:11" ht="15" customHeight="1">
      <c r="A731" s="811"/>
      <c r="B731" s="811"/>
      <c r="C731" s="33">
        <f t="shared" si="105"/>
        <v>240</v>
      </c>
      <c r="D731" s="21" t="s">
        <v>625</v>
      </c>
      <c r="E731" s="214">
        <v>1440000</v>
      </c>
      <c r="G731" s="8">
        <v>240</v>
      </c>
      <c r="H731" s="11">
        <f t="shared" si="104"/>
        <v>0.71709999999999996</v>
      </c>
      <c r="I731" s="12" t="e">
        <f>ROUND(#REF!*1000000/G731/H731,-3)</f>
        <v>#REF!</v>
      </c>
      <c r="J731" s="137"/>
      <c r="K731" s="13"/>
    </row>
    <row r="732" spans="1:11" ht="15" customHeight="1">
      <c r="A732" s="811"/>
      <c r="B732" s="811" t="s">
        <v>618</v>
      </c>
      <c r="C732" s="33">
        <v>340</v>
      </c>
      <c r="D732" s="21" t="s">
        <v>626</v>
      </c>
      <c r="E732" s="214">
        <v>1570000</v>
      </c>
      <c r="G732" s="8">
        <v>340</v>
      </c>
      <c r="H732" s="11">
        <f t="shared" ref="H732:H734" si="106">0.72*1.02</f>
        <v>0.73439999999999994</v>
      </c>
      <c r="I732" s="12" t="e">
        <f>ROUND(#REF!*1000000/G732/H732,-3)</f>
        <v>#REF!</v>
      </c>
      <c r="J732" s="137"/>
      <c r="K732" s="13"/>
    </row>
    <row r="733" spans="1:11" ht="15" customHeight="1">
      <c r="A733" s="811"/>
      <c r="B733" s="811"/>
      <c r="C733" s="33">
        <f t="shared" ref="C733:C734" si="107">C732</f>
        <v>340</v>
      </c>
      <c r="D733" s="21" t="s">
        <v>627</v>
      </c>
      <c r="E733" s="214">
        <v>1720000</v>
      </c>
      <c r="G733" s="8">
        <v>340</v>
      </c>
      <c r="H733" s="11">
        <f t="shared" si="106"/>
        <v>0.73439999999999994</v>
      </c>
      <c r="I733" s="12" t="e">
        <f>ROUND(#REF!*1000000/G733/H733,-3)</f>
        <v>#REF!</v>
      </c>
      <c r="J733" s="137"/>
      <c r="K733" s="13"/>
    </row>
    <row r="734" spans="1:11" ht="15" customHeight="1">
      <c r="A734" s="811"/>
      <c r="B734" s="811"/>
      <c r="C734" s="33">
        <f t="shared" si="107"/>
        <v>340</v>
      </c>
      <c r="D734" s="21" t="s">
        <v>628</v>
      </c>
      <c r="E734" s="214">
        <v>2090000</v>
      </c>
      <c r="G734" s="8">
        <v>340</v>
      </c>
      <c r="H734" s="11">
        <f t="shared" si="106"/>
        <v>0.73439999999999994</v>
      </c>
      <c r="I734" s="12" t="e">
        <f>ROUND(#REF!*1000000/G734/H734,-3)</f>
        <v>#REF!</v>
      </c>
      <c r="J734" s="137"/>
      <c r="K734" s="13"/>
    </row>
    <row r="735" spans="1:11" ht="15" customHeight="1">
      <c r="A735" s="810" t="s">
        <v>629</v>
      </c>
      <c r="B735" s="810" t="s">
        <v>22</v>
      </c>
      <c r="C735" s="7">
        <v>105</v>
      </c>
      <c r="D735" s="9" t="s">
        <v>630</v>
      </c>
      <c r="E735" s="148">
        <v>485000</v>
      </c>
      <c r="G735" s="8">
        <v>105</v>
      </c>
      <c r="H735" s="11">
        <f t="shared" ref="H735:H739" si="108">0.788*1.091</f>
        <v>0.85970800000000003</v>
      </c>
      <c r="I735" s="12" t="e">
        <f>ROUND(#REF!*1000000/G735/H735,-3)</f>
        <v>#REF!</v>
      </c>
      <c r="J735" s="136">
        <v>130</v>
      </c>
      <c r="K735" s="13"/>
    </row>
    <row r="736" spans="1:11" ht="15" customHeight="1">
      <c r="A736" s="810"/>
      <c r="B736" s="810"/>
      <c r="C736" s="7">
        <v>128</v>
      </c>
      <c r="D736" s="9" t="s">
        <v>630</v>
      </c>
      <c r="E736" s="148">
        <v>590000</v>
      </c>
      <c r="G736" s="8">
        <v>128</v>
      </c>
      <c r="H736" s="11">
        <f t="shared" si="108"/>
        <v>0.85970800000000003</v>
      </c>
      <c r="I736" s="12" t="e">
        <f>ROUND(#REF!*1000000/G736/H736,-3)</f>
        <v>#REF!</v>
      </c>
      <c r="J736" s="136">
        <v>160</v>
      </c>
      <c r="K736" s="13"/>
    </row>
    <row r="737" spans="1:11" ht="15" customHeight="1">
      <c r="A737" s="810"/>
      <c r="B737" s="810"/>
      <c r="C737" s="7">
        <v>157</v>
      </c>
      <c r="D737" s="9" t="s">
        <v>630</v>
      </c>
      <c r="E737" s="148">
        <v>725000</v>
      </c>
      <c r="G737" s="8">
        <v>157</v>
      </c>
      <c r="H737" s="11">
        <f t="shared" si="108"/>
        <v>0.85970800000000003</v>
      </c>
      <c r="I737" s="12" t="e">
        <f>ROUND(#REF!*1000000/G737/H737,-3)</f>
        <v>#REF!</v>
      </c>
      <c r="J737" s="136">
        <v>190</v>
      </c>
      <c r="K737" s="13"/>
    </row>
    <row r="738" spans="1:11" ht="15" customHeight="1">
      <c r="A738" s="810"/>
      <c r="B738" s="810"/>
      <c r="C738" s="7">
        <v>209</v>
      </c>
      <c r="D738" s="9" t="s">
        <v>630</v>
      </c>
      <c r="E738" s="148">
        <v>965000</v>
      </c>
      <c r="G738" s="8">
        <v>209</v>
      </c>
      <c r="H738" s="11">
        <f t="shared" si="108"/>
        <v>0.85970800000000003</v>
      </c>
      <c r="I738" s="12" t="e">
        <f>ROUND(#REF!*1000000/G738/H738,-3)</f>
        <v>#REF!</v>
      </c>
      <c r="J738" s="136">
        <v>260</v>
      </c>
      <c r="K738" s="13"/>
    </row>
    <row r="739" spans="1:11" ht="15" customHeight="1">
      <c r="A739" s="810"/>
      <c r="B739" s="810"/>
      <c r="C739" s="7">
        <v>256</v>
      </c>
      <c r="D739" s="9" t="s">
        <v>630</v>
      </c>
      <c r="E739" s="148">
        <v>1180000</v>
      </c>
      <c r="G739" s="8">
        <v>256</v>
      </c>
      <c r="H739" s="11">
        <f t="shared" si="108"/>
        <v>0.85970800000000003</v>
      </c>
      <c r="I739" s="12" t="e">
        <f>ROUND(#REF!*1000000/G739/H739,-3)</f>
        <v>#REF!</v>
      </c>
      <c r="J739" s="136">
        <v>320</v>
      </c>
      <c r="K739" s="13"/>
    </row>
    <row r="740" spans="1:11" ht="15" customHeight="1">
      <c r="A740" s="810"/>
      <c r="B740" s="810" t="s">
        <v>28</v>
      </c>
      <c r="C740" s="7">
        <v>105</v>
      </c>
      <c r="D740" s="9" t="s">
        <v>630</v>
      </c>
      <c r="E740" s="148">
        <v>335000</v>
      </c>
      <c r="G740" s="8">
        <v>105</v>
      </c>
      <c r="H740" s="11">
        <f t="shared" ref="H740:H744" si="109">0.636*0.939</f>
        <v>0.59720399999999996</v>
      </c>
      <c r="I740" s="12" t="e">
        <f>ROUND(#REF!*1000000/G740/H740,-3)</f>
        <v>#REF!</v>
      </c>
      <c r="J740" s="136">
        <v>130</v>
      </c>
      <c r="K740" s="13"/>
    </row>
    <row r="741" spans="1:11" ht="15" customHeight="1">
      <c r="A741" s="810"/>
      <c r="B741" s="810"/>
      <c r="C741" s="7">
        <v>128</v>
      </c>
      <c r="D741" s="9" t="s">
        <v>630</v>
      </c>
      <c r="E741" s="148">
        <v>410000</v>
      </c>
      <c r="G741" s="8">
        <v>128</v>
      </c>
      <c r="H741" s="11">
        <f t="shared" si="109"/>
        <v>0.59720399999999996</v>
      </c>
      <c r="I741" s="12" t="e">
        <f>ROUND(#REF!*1000000/G741/H741,-3)</f>
        <v>#REF!</v>
      </c>
      <c r="J741" s="136">
        <v>160</v>
      </c>
      <c r="K741" s="13"/>
    </row>
    <row r="742" spans="1:11" ht="15" customHeight="1">
      <c r="A742" s="810"/>
      <c r="B742" s="810"/>
      <c r="C742" s="7">
        <v>157</v>
      </c>
      <c r="D742" s="9" t="s">
        <v>630</v>
      </c>
      <c r="E742" s="148">
        <v>505000</v>
      </c>
      <c r="G742" s="8">
        <v>157</v>
      </c>
      <c r="H742" s="11">
        <f t="shared" si="109"/>
        <v>0.59720399999999996</v>
      </c>
      <c r="I742" s="12" t="e">
        <f>ROUND(#REF!*1000000/G742/H742,-3)</f>
        <v>#REF!</v>
      </c>
      <c r="J742" s="136">
        <v>190</v>
      </c>
      <c r="K742" s="13"/>
    </row>
    <row r="743" spans="1:11" ht="15" customHeight="1">
      <c r="A743" s="810"/>
      <c r="B743" s="810"/>
      <c r="C743" s="7">
        <v>209</v>
      </c>
      <c r="D743" s="9" t="s">
        <v>630</v>
      </c>
      <c r="E743" s="148">
        <v>670000</v>
      </c>
      <c r="G743" s="8">
        <v>209</v>
      </c>
      <c r="H743" s="11">
        <f t="shared" si="109"/>
        <v>0.59720399999999996</v>
      </c>
      <c r="I743" s="12" t="e">
        <f>ROUND(#REF!*1000000/G743/H743,-3)</f>
        <v>#REF!</v>
      </c>
      <c r="J743" s="136">
        <v>260</v>
      </c>
      <c r="K743" s="13"/>
    </row>
    <row r="744" spans="1:11" ht="15" customHeight="1">
      <c r="A744" s="810"/>
      <c r="B744" s="810"/>
      <c r="C744" s="7">
        <v>256</v>
      </c>
      <c r="D744" s="9" t="s">
        <v>630</v>
      </c>
      <c r="E744" s="148">
        <v>820000</v>
      </c>
      <c r="G744" s="8">
        <v>256</v>
      </c>
      <c r="H744" s="11">
        <f t="shared" si="109"/>
        <v>0.59720399999999996</v>
      </c>
      <c r="I744" s="12" t="e">
        <f>ROUND(#REF!*1000000/G744/H744,-3)</f>
        <v>#REF!</v>
      </c>
      <c r="J744" s="136">
        <v>320</v>
      </c>
      <c r="K744" s="13"/>
    </row>
    <row r="745" spans="1:11" ht="15" customHeight="1">
      <c r="A745" s="810" t="s">
        <v>631</v>
      </c>
      <c r="B745" s="810" t="s">
        <v>27</v>
      </c>
      <c r="C745" s="33">
        <v>118</v>
      </c>
      <c r="D745" s="21" t="s">
        <v>632</v>
      </c>
      <c r="E745" s="214">
        <v>430000</v>
      </c>
      <c r="G745" s="8">
        <v>118</v>
      </c>
      <c r="H745" s="11">
        <f t="shared" ref="H745:H765" si="110">0.788*1.091</f>
        <v>0.85970800000000003</v>
      </c>
      <c r="I745" s="12" t="e">
        <f>ROUND(#REF!*1000000/G745/H745,-3)</f>
        <v>#REF!</v>
      </c>
      <c r="J745" s="137"/>
      <c r="K745" s="13"/>
    </row>
    <row r="746" spans="1:11" ht="15" customHeight="1">
      <c r="A746" s="810"/>
      <c r="B746" s="810"/>
      <c r="C746" s="33">
        <v>216</v>
      </c>
      <c r="D746" s="21" t="s">
        <v>632</v>
      </c>
      <c r="E746" s="214">
        <v>825000</v>
      </c>
      <c r="G746" s="8">
        <v>216</v>
      </c>
      <c r="H746" s="11">
        <f t="shared" si="110"/>
        <v>0.85970800000000003</v>
      </c>
      <c r="I746" s="12" t="e">
        <f>ROUND(#REF!*1000000/G746/H746,-3)</f>
        <v>#REF!</v>
      </c>
      <c r="J746" s="137"/>
      <c r="K746" s="13"/>
    </row>
    <row r="747" spans="1:11" ht="15" customHeight="1">
      <c r="A747" s="810"/>
      <c r="B747" s="810"/>
      <c r="C747" s="33">
        <v>104</v>
      </c>
      <c r="D747" s="21" t="s">
        <v>2872</v>
      </c>
      <c r="E747" s="214">
        <v>405000</v>
      </c>
      <c r="G747" s="8">
        <v>104</v>
      </c>
      <c r="H747" s="11">
        <f t="shared" si="110"/>
        <v>0.85970800000000003</v>
      </c>
      <c r="I747" s="12" t="e">
        <f>ROUND(#REF!*1000000/G747/H747,-3)</f>
        <v>#REF!</v>
      </c>
      <c r="J747" s="137"/>
      <c r="K747" s="13"/>
    </row>
    <row r="748" spans="1:11" ht="15" customHeight="1">
      <c r="A748" s="810"/>
      <c r="B748" s="810"/>
      <c r="C748" s="33">
        <v>216</v>
      </c>
      <c r="D748" s="21" t="s">
        <v>633</v>
      </c>
      <c r="E748" s="214">
        <v>825000</v>
      </c>
      <c r="G748" s="8">
        <v>216</v>
      </c>
      <c r="H748" s="11">
        <f t="shared" si="110"/>
        <v>0.85970800000000003</v>
      </c>
      <c r="I748" s="12" t="e">
        <f>ROUND(#REF!*1000000/G748/H748,-3)</f>
        <v>#REF!</v>
      </c>
      <c r="J748" s="137"/>
      <c r="K748" s="13"/>
    </row>
    <row r="749" spans="1:11" ht="15" customHeight="1">
      <c r="A749" s="810" t="s">
        <v>634</v>
      </c>
      <c r="B749" s="814" t="s">
        <v>27</v>
      </c>
      <c r="C749" s="33">
        <v>118</v>
      </c>
      <c r="D749" s="21" t="s">
        <v>635</v>
      </c>
      <c r="E749" s="214">
        <v>420000</v>
      </c>
      <c r="G749" s="8">
        <v>118</v>
      </c>
      <c r="H749" s="11">
        <f t="shared" si="110"/>
        <v>0.85970800000000003</v>
      </c>
      <c r="I749" s="12" t="e">
        <f>ROUND(#REF!*1000000/G749/H749,-3)</f>
        <v>#REF!</v>
      </c>
      <c r="J749" s="137"/>
      <c r="K749" s="13"/>
    </row>
    <row r="750" spans="1:11" ht="15" customHeight="1">
      <c r="A750" s="810"/>
      <c r="B750" s="804"/>
      <c r="C750" s="33">
        <v>298</v>
      </c>
      <c r="D750" s="21" t="s">
        <v>635</v>
      </c>
      <c r="E750" s="214">
        <v>1210000</v>
      </c>
      <c r="G750" s="8">
        <v>298</v>
      </c>
      <c r="H750" s="11">
        <f t="shared" si="110"/>
        <v>0.85970800000000003</v>
      </c>
      <c r="I750" s="12" t="e">
        <f>ROUND(#REF!*1000000/G750/H750,-3)</f>
        <v>#REF!</v>
      </c>
      <c r="J750" s="137"/>
      <c r="K750" s="13"/>
    </row>
    <row r="751" spans="1:11" ht="15" customHeight="1">
      <c r="A751" s="810"/>
      <c r="B751" s="805"/>
      <c r="C751" s="33">
        <v>148</v>
      </c>
      <c r="D751" s="21" t="s">
        <v>636</v>
      </c>
      <c r="E751" s="214">
        <v>390000</v>
      </c>
      <c r="G751" s="8">
        <v>148</v>
      </c>
      <c r="H751" s="11">
        <f t="shared" si="110"/>
        <v>0.85970800000000003</v>
      </c>
      <c r="I751" s="12" t="e">
        <f>ROUND(#REF!*1000000/G751/H751,-3)</f>
        <v>#REF!</v>
      </c>
      <c r="J751" s="137"/>
      <c r="K751" s="13"/>
    </row>
    <row r="752" spans="1:11" ht="15" customHeight="1">
      <c r="A752" s="810"/>
      <c r="B752" s="814" t="s">
        <v>28</v>
      </c>
      <c r="C752" s="33">
        <v>118</v>
      </c>
      <c r="D752" s="21" t="s">
        <v>635</v>
      </c>
      <c r="E752" s="214">
        <v>292500</v>
      </c>
      <c r="G752" s="8">
        <v>118</v>
      </c>
      <c r="H752" s="11">
        <f t="shared" ref="H752:H755" si="111">0.636*0.939</f>
        <v>0.59720399999999996</v>
      </c>
      <c r="I752" s="12" t="e">
        <f>ROUND(#REF!*1000000/G752/H752,-3)</f>
        <v>#REF!</v>
      </c>
      <c r="J752" s="137"/>
      <c r="K752" s="13"/>
    </row>
    <row r="753" spans="1:11" ht="15" customHeight="1">
      <c r="A753" s="810"/>
      <c r="B753" s="804"/>
      <c r="C753" s="33">
        <v>148</v>
      </c>
      <c r="D753" s="21" t="s">
        <v>635</v>
      </c>
      <c r="E753" s="214">
        <v>367500</v>
      </c>
      <c r="G753" s="8">
        <v>148</v>
      </c>
      <c r="H753" s="11">
        <f t="shared" si="111"/>
        <v>0.59720399999999996</v>
      </c>
      <c r="I753" s="12" t="e">
        <f>ROUND(#REF!*1000000/G753/H753,-3)</f>
        <v>#REF!</v>
      </c>
      <c r="J753" s="137"/>
      <c r="K753" s="13"/>
    </row>
    <row r="754" spans="1:11" ht="15" customHeight="1">
      <c r="A754" s="810"/>
      <c r="B754" s="804"/>
      <c r="C754" s="20">
        <v>298</v>
      </c>
      <c r="D754" s="21" t="s">
        <v>635</v>
      </c>
      <c r="E754" s="214">
        <v>840000</v>
      </c>
      <c r="G754" s="8">
        <v>298</v>
      </c>
      <c r="H754" s="11">
        <f t="shared" si="111"/>
        <v>0.59720399999999996</v>
      </c>
      <c r="I754" s="12" t="e">
        <f>ROUND(#REF!*1000000/G754/H754,-3)</f>
        <v>#REF!</v>
      </c>
      <c r="J754" s="137"/>
      <c r="K754" s="13"/>
    </row>
    <row r="755" spans="1:11" ht="15" customHeight="1">
      <c r="A755" s="810"/>
      <c r="B755" s="805"/>
      <c r="C755" s="33">
        <v>148</v>
      </c>
      <c r="D755" s="21" t="s">
        <v>636</v>
      </c>
      <c r="E755" s="214">
        <v>270000</v>
      </c>
      <c r="G755" s="8">
        <v>148</v>
      </c>
      <c r="H755" s="11">
        <f t="shared" si="111"/>
        <v>0.59720399999999996</v>
      </c>
      <c r="I755" s="12" t="e">
        <f>ROUND(#REF!*1000000/G755/H755,-3)</f>
        <v>#REF!</v>
      </c>
      <c r="J755" s="137"/>
      <c r="K755" s="13"/>
    </row>
    <row r="756" spans="1:11" ht="15" customHeight="1">
      <c r="A756" s="810" t="s">
        <v>637</v>
      </c>
      <c r="B756" s="810" t="s">
        <v>27</v>
      </c>
      <c r="C756" s="33">
        <v>118</v>
      </c>
      <c r="D756" s="21" t="s">
        <v>638</v>
      </c>
      <c r="E756" s="25">
        <v>505000</v>
      </c>
      <c r="G756" s="8">
        <v>118</v>
      </c>
      <c r="H756" s="11">
        <f t="shared" si="110"/>
        <v>0.85970800000000003</v>
      </c>
      <c r="I756" s="12" t="e">
        <f>ROUND(#REF!*1000000/G756/H756,-3)</f>
        <v>#REF!</v>
      </c>
      <c r="J756" s="137"/>
      <c r="K756" s="13"/>
    </row>
    <row r="757" spans="1:11" ht="15" customHeight="1">
      <c r="A757" s="810"/>
      <c r="B757" s="810"/>
      <c r="C757" s="33">
        <f>C756</f>
        <v>118</v>
      </c>
      <c r="D757" s="21" t="s">
        <v>639</v>
      </c>
      <c r="E757" s="25">
        <v>535000</v>
      </c>
      <c r="G757" s="8">
        <v>118</v>
      </c>
      <c r="H757" s="11">
        <f t="shared" si="110"/>
        <v>0.85970800000000003</v>
      </c>
      <c r="I757" s="12" t="e">
        <f>ROUND(#REF!*1000000/G757/H757,-3)</f>
        <v>#REF!</v>
      </c>
      <c r="J757" s="137"/>
      <c r="K757" s="13"/>
    </row>
    <row r="758" spans="1:11" ht="15" customHeight="1">
      <c r="A758" s="810"/>
      <c r="B758" s="810"/>
      <c r="C758" s="33">
        <v>216</v>
      </c>
      <c r="D758" s="21" t="s">
        <v>640</v>
      </c>
      <c r="E758" s="25">
        <v>940000</v>
      </c>
      <c r="G758" s="8">
        <v>216</v>
      </c>
      <c r="H758" s="11">
        <f t="shared" si="110"/>
        <v>0.85970800000000003</v>
      </c>
      <c r="I758" s="12" t="e">
        <f>ROUND(#REF!*1000000/G758/H758,-3)</f>
        <v>#REF!</v>
      </c>
      <c r="J758" s="137"/>
      <c r="K758" s="13"/>
    </row>
    <row r="759" spans="1:11" ht="15" customHeight="1">
      <c r="A759" s="810"/>
      <c r="B759" s="810"/>
      <c r="C759" s="33">
        <f>C758</f>
        <v>216</v>
      </c>
      <c r="D759" s="21" t="s">
        <v>641</v>
      </c>
      <c r="E759" s="25">
        <v>985000</v>
      </c>
      <c r="G759" s="8">
        <v>216</v>
      </c>
      <c r="H759" s="11">
        <f t="shared" si="110"/>
        <v>0.85970800000000003</v>
      </c>
      <c r="I759" s="12" t="e">
        <f>ROUND(#REF!*1000000/G759/H759,-3)</f>
        <v>#REF!</v>
      </c>
      <c r="J759" s="137"/>
      <c r="K759" s="13"/>
    </row>
    <row r="760" spans="1:11" s="1" customFormat="1" ht="15" customHeight="1">
      <c r="A760" s="811" t="s">
        <v>642</v>
      </c>
      <c r="B760" s="810" t="s">
        <v>27</v>
      </c>
      <c r="C760" s="7">
        <v>100</v>
      </c>
      <c r="D760" s="9"/>
      <c r="E760" s="211">
        <v>240000</v>
      </c>
      <c r="G760" s="8">
        <v>100</v>
      </c>
      <c r="H760" s="11">
        <f t="shared" si="110"/>
        <v>0.85970800000000003</v>
      </c>
      <c r="I760" s="12" t="e">
        <f>ROUND(#REF!*1000000/G760/H760,-3)</f>
        <v>#REF!</v>
      </c>
      <c r="J760" s="136">
        <v>116</v>
      </c>
      <c r="K760" s="13"/>
    </row>
    <row r="761" spans="1:11" s="1" customFormat="1" ht="15" customHeight="1">
      <c r="A761" s="810"/>
      <c r="B761" s="810"/>
      <c r="C761" s="7">
        <v>120</v>
      </c>
      <c r="D761" s="9"/>
      <c r="E761" s="211">
        <v>285000</v>
      </c>
      <c r="G761" s="8">
        <v>120</v>
      </c>
      <c r="H761" s="11">
        <f t="shared" si="110"/>
        <v>0.85970800000000003</v>
      </c>
      <c r="I761" s="12" t="e">
        <f>ROUND(#REF!*1000000/G761/H761,-3)</f>
        <v>#REF!</v>
      </c>
      <c r="J761" s="136">
        <v>140</v>
      </c>
      <c r="K761" s="13"/>
    </row>
    <row r="762" spans="1:11" s="1" customFormat="1" ht="15" customHeight="1">
      <c r="A762" s="810"/>
      <c r="B762" s="810"/>
      <c r="C762" s="7">
        <v>150</v>
      </c>
      <c r="D762" s="9"/>
      <c r="E762" s="211">
        <v>360000</v>
      </c>
      <c r="G762" s="8">
        <v>150</v>
      </c>
      <c r="H762" s="11">
        <f t="shared" si="110"/>
        <v>0.85970800000000003</v>
      </c>
      <c r="I762" s="12" t="e">
        <f>ROUND(#REF!*1000000/G762/H762,-3)</f>
        <v>#REF!</v>
      </c>
      <c r="J762" s="136">
        <v>178</v>
      </c>
      <c r="K762" s="13"/>
    </row>
    <row r="763" spans="1:11" s="1" customFormat="1" ht="15" customHeight="1">
      <c r="A763" s="810"/>
      <c r="B763" s="810"/>
      <c r="C763" s="7">
        <v>200</v>
      </c>
      <c r="D763" s="9"/>
      <c r="E763" s="211">
        <v>480000</v>
      </c>
      <c r="G763" s="8">
        <v>200</v>
      </c>
      <c r="H763" s="11">
        <f t="shared" si="110"/>
        <v>0.85970800000000003</v>
      </c>
      <c r="I763" s="12" t="e">
        <f>ROUND(#REF!*1000000/G763/H763,-3)</f>
        <v>#REF!</v>
      </c>
      <c r="J763" s="136">
        <v>238</v>
      </c>
      <c r="K763" s="13"/>
    </row>
    <row r="764" spans="1:11" s="1" customFormat="1" ht="15" customHeight="1">
      <c r="A764" s="810"/>
      <c r="B764" s="810"/>
      <c r="C764" s="7">
        <v>250</v>
      </c>
      <c r="D764" s="9"/>
      <c r="E764" s="211">
        <v>600000</v>
      </c>
      <c r="G764" s="8">
        <v>250</v>
      </c>
      <c r="H764" s="11">
        <f t="shared" si="110"/>
        <v>0.85970800000000003</v>
      </c>
      <c r="I764" s="12" t="e">
        <f>ROUND(#REF!*1000000/G764/H764,-3)</f>
        <v>#REF!</v>
      </c>
      <c r="J764" s="136">
        <v>298</v>
      </c>
      <c r="K764" s="13"/>
    </row>
    <row r="765" spans="1:11" s="1" customFormat="1" ht="15" customHeight="1">
      <c r="A765" s="810"/>
      <c r="B765" s="810"/>
      <c r="C765" s="7">
        <v>350</v>
      </c>
      <c r="D765" s="9"/>
      <c r="E765" s="211">
        <v>840000</v>
      </c>
      <c r="G765" s="8">
        <v>350</v>
      </c>
      <c r="H765" s="11">
        <f t="shared" si="110"/>
        <v>0.85970800000000003</v>
      </c>
      <c r="I765" s="12" t="e">
        <f>ROUND(#REF!*1000000/G765/H765,-3)</f>
        <v>#REF!</v>
      </c>
      <c r="J765" s="136">
        <v>417</v>
      </c>
      <c r="K765" s="13"/>
    </row>
    <row r="766" spans="1:11" ht="15" customHeight="1">
      <c r="A766" s="810" t="s">
        <v>643</v>
      </c>
      <c r="B766" s="810" t="s">
        <v>644</v>
      </c>
      <c r="C766" s="7">
        <v>310</v>
      </c>
      <c r="D766" s="9" t="s">
        <v>645</v>
      </c>
      <c r="E766" s="25">
        <v>3445000</v>
      </c>
      <c r="G766" s="8">
        <v>310</v>
      </c>
      <c r="H766" s="11">
        <v>0.7</v>
      </c>
      <c r="I766" s="12" t="e">
        <f>ROUND(#REF!*1000000/G766/H766,-3)</f>
        <v>#REF!</v>
      </c>
      <c r="J766" s="137"/>
      <c r="K766" s="13"/>
    </row>
    <row r="767" spans="1:11" ht="15" customHeight="1">
      <c r="A767" s="810"/>
      <c r="B767" s="810"/>
      <c r="C767" s="7">
        <f>C766</f>
        <v>310</v>
      </c>
      <c r="D767" s="9" t="s">
        <v>646</v>
      </c>
      <c r="E767" s="25">
        <v>2925000</v>
      </c>
      <c r="G767" s="8">
        <v>310</v>
      </c>
      <c r="H767" s="11">
        <v>0.7</v>
      </c>
      <c r="I767" s="12" t="e">
        <f>ROUND(#REF!*1000000/G767/H767,-3)</f>
        <v>#REF!</v>
      </c>
      <c r="J767" s="137"/>
      <c r="K767" s="13"/>
    </row>
    <row r="768" spans="1:11" s="1" customFormat="1" ht="15" customHeight="1">
      <c r="A768" s="811" t="s">
        <v>647</v>
      </c>
      <c r="B768" s="810" t="s">
        <v>602</v>
      </c>
      <c r="C768" s="7">
        <v>120</v>
      </c>
      <c r="D768" s="9" t="s">
        <v>230</v>
      </c>
      <c r="E768" s="211">
        <v>905000</v>
      </c>
      <c r="G768" s="8">
        <v>120</v>
      </c>
      <c r="H768" s="11">
        <f t="shared" ref="H768:H781" si="112">0.72*1.02</f>
        <v>0.73439999999999994</v>
      </c>
      <c r="I768" s="12" t="e">
        <f>ROUND(#REF!*1000000/G768/H768,-3)</f>
        <v>#REF!</v>
      </c>
      <c r="J768" s="137"/>
      <c r="K768" s="13"/>
    </row>
    <row r="769" spans="1:11" s="1" customFormat="1" ht="15" customHeight="1">
      <c r="A769" s="811"/>
      <c r="B769" s="810"/>
      <c r="C769" s="7">
        <f>C768</f>
        <v>120</v>
      </c>
      <c r="D769" s="9" t="s">
        <v>648</v>
      </c>
      <c r="E769" s="211">
        <v>1025000</v>
      </c>
      <c r="G769" s="8">
        <v>120</v>
      </c>
      <c r="H769" s="11">
        <f t="shared" si="112"/>
        <v>0.73439999999999994</v>
      </c>
      <c r="I769" s="12" t="e">
        <f>ROUND(#REF!*1000000/G769/H769,-3)</f>
        <v>#REF!</v>
      </c>
      <c r="J769" s="137"/>
      <c r="K769" s="13"/>
    </row>
    <row r="770" spans="1:11" s="1" customFormat="1" ht="15" customHeight="1">
      <c r="A770" s="811"/>
      <c r="B770" s="810"/>
      <c r="C770" s="7">
        <v>330</v>
      </c>
      <c r="D770" s="9" t="s">
        <v>649</v>
      </c>
      <c r="E770" s="211">
        <v>2310000</v>
      </c>
      <c r="G770" s="8">
        <v>330</v>
      </c>
      <c r="H770" s="11">
        <f t="shared" si="112"/>
        <v>0.73439999999999994</v>
      </c>
      <c r="I770" s="12" t="e">
        <f>ROUND(#REF!*1000000/G770/H770,-3)</f>
        <v>#REF!</v>
      </c>
      <c r="J770" s="137"/>
      <c r="K770" s="13"/>
    </row>
    <row r="771" spans="1:11" s="1" customFormat="1" ht="15" customHeight="1">
      <c r="A771" s="811"/>
      <c r="B771" s="810"/>
      <c r="C771" s="7">
        <f>C770</f>
        <v>330</v>
      </c>
      <c r="D771" s="9" t="s">
        <v>650</v>
      </c>
      <c r="E771" s="211">
        <v>2665000</v>
      </c>
      <c r="G771" s="8">
        <v>330</v>
      </c>
      <c r="H771" s="11">
        <f t="shared" si="112"/>
        <v>0.73439999999999994</v>
      </c>
      <c r="I771" s="12" t="e">
        <f>ROUND(#REF!*1000000/G771/H771,-3)</f>
        <v>#REF!</v>
      </c>
      <c r="J771" s="137"/>
      <c r="K771" s="13"/>
    </row>
    <row r="772" spans="1:11" s="1" customFormat="1" ht="15" customHeight="1">
      <c r="A772" s="811" t="s">
        <v>651</v>
      </c>
      <c r="B772" s="830" t="s">
        <v>602</v>
      </c>
      <c r="C772" s="7">
        <v>120</v>
      </c>
      <c r="D772" s="36" t="s">
        <v>652</v>
      </c>
      <c r="E772" s="211">
        <v>415000</v>
      </c>
      <c r="G772" s="8">
        <v>120</v>
      </c>
      <c r="H772" s="11">
        <f t="shared" si="112"/>
        <v>0.73439999999999994</v>
      </c>
      <c r="I772" s="12" t="e">
        <f>ROUND(#REF!*1000000/G772/H772,-3)</f>
        <v>#REF!</v>
      </c>
      <c r="J772" s="137"/>
      <c r="K772" s="13"/>
    </row>
    <row r="773" spans="1:11" s="1" customFormat="1" ht="15" customHeight="1">
      <c r="A773" s="811"/>
      <c r="B773" s="831"/>
      <c r="C773" s="7">
        <f t="shared" ref="C773:C774" si="113">C772</f>
        <v>120</v>
      </c>
      <c r="D773" s="11" t="s">
        <v>653</v>
      </c>
      <c r="E773" s="211">
        <v>440000</v>
      </c>
      <c r="G773" s="8">
        <v>120</v>
      </c>
      <c r="H773" s="11">
        <f t="shared" si="112"/>
        <v>0.73439999999999994</v>
      </c>
      <c r="I773" s="12" t="e">
        <f>ROUND(#REF!*1000000/G773/H773,-3)</f>
        <v>#REF!</v>
      </c>
      <c r="J773" s="137"/>
      <c r="K773" s="13"/>
    </row>
    <row r="774" spans="1:11" s="1" customFormat="1" ht="15" customHeight="1">
      <c r="A774" s="811"/>
      <c r="B774" s="831"/>
      <c r="C774" s="7">
        <f t="shared" si="113"/>
        <v>120</v>
      </c>
      <c r="D774" s="11" t="s">
        <v>654</v>
      </c>
      <c r="E774" s="211">
        <v>570000</v>
      </c>
      <c r="G774" s="8">
        <v>120</v>
      </c>
      <c r="H774" s="11">
        <f t="shared" si="112"/>
        <v>0.73439999999999994</v>
      </c>
      <c r="I774" s="12" t="e">
        <f>ROUND(#REF!*1000000/G774/H774,-3)</f>
        <v>#REF!</v>
      </c>
      <c r="J774" s="137"/>
      <c r="K774" s="13"/>
    </row>
    <row r="775" spans="1:11" s="1" customFormat="1" ht="15" customHeight="1">
      <c r="A775" s="811"/>
      <c r="B775" s="831"/>
      <c r="C775" s="7">
        <v>250</v>
      </c>
      <c r="D775" s="36" t="s">
        <v>655</v>
      </c>
      <c r="E775" s="211">
        <v>860000</v>
      </c>
      <c r="G775" s="8">
        <v>250</v>
      </c>
      <c r="H775" s="11">
        <f t="shared" si="112"/>
        <v>0.73439999999999994</v>
      </c>
      <c r="I775" s="12" t="e">
        <f>ROUND(#REF!*1000000/G775/H775,-3)</f>
        <v>#REF!</v>
      </c>
      <c r="J775" s="137"/>
      <c r="K775" s="13"/>
    </row>
    <row r="776" spans="1:11" s="1" customFormat="1" ht="15" customHeight="1">
      <c r="A776" s="811"/>
      <c r="B776" s="831"/>
      <c r="C776" s="7">
        <f t="shared" ref="C776:C778" si="114">C775</f>
        <v>250</v>
      </c>
      <c r="D776" s="11" t="s">
        <v>653</v>
      </c>
      <c r="E776" s="211">
        <v>915000</v>
      </c>
      <c r="G776" s="8">
        <v>250</v>
      </c>
      <c r="H776" s="11">
        <f t="shared" si="112"/>
        <v>0.73439999999999994</v>
      </c>
      <c r="I776" s="12" t="e">
        <f>ROUND(#REF!*1000000/G776/H776,-3)</f>
        <v>#REF!</v>
      </c>
      <c r="J776" s="137"/>
      <c r="K776" s="13"/>
    </row>
    <row r="777" spans="1:11" s="1" customFormat="1" ht="15" customHeight="1">
      <c r="A777" s="811"/>
      <c r="B777" s="831"/>
      <c r="C777" s="7">
        <f t="shared" si="114"/>
        <v>250</v>
      </c>
      <c r="D777" s="11" t="s">
        <v>656</v>
      </c>
      <c r="E777" s="211">
        <v>1005000</v>
      </c>
      <c r="G777" s="8">
        <v>250</v>
      </c>
      <c r="H777" s="11">
        <f t="shared" si="112"/>
        <v>0.73439999999999994</v>
      </c>
      <c r="I777" s="12" t="e">
        <f>ROUND(#REF!*1000000/G777/H777,-3)</f>
        <v>#REF!</v>
      </c>
      <c r="J777" s="137"/>
      <c r="K777" s="13"/>
    </row>
    <row r="778" spans="1:11" s="1" customFormat="1" ht="15" customHeight="1">
      <c r="A778" s="811"/>
      <c r="B778" s="831"/>
      <c r="C778" s="7">
        <f t="shared" si="114"/>
        <v>250</v>
      </c>
      <c r="D778" s="11" t="s">
        <v>657</v>
      </c>
      <c r="E778" s="211">
        <v>1190000</v>
      </c>
      <c r="G778" s="8">
        <v>250</v>
      </c>
      <c r="H778" s="11">
        <f t="shared" si="112"/>
        <v>0.73439999999999994</v>
      </c>
      <c r="I778" s="12" t="e">
        <f>ROUND(#REF!*1000000/G778/H778,-3)</f>
        <v>#REF!</v>
      </c>
      <c r="J778" s="137"/>
      <c r="K778" s="13"/>
    </row>
    <row r="779" spans="1:11" s="1" customFormat="1" ht="15" customHeight="1">
      <c r="A779" s="811"/>
      <c r="B779" s="831"/>
      <c r="C779" s="7">
        <v>360</v>
      </c>
      <c r="D779" s="36" t="s">
        <v>658</v>
      </c>
      <c r="E779" s="211">
        <v>1235000</v>
      </c>
      <c r="G779" s="8">
        <v>360</v>
      </c>
      <c r="H779" s="11">
        <f t="shared" si="112"/>
        <v>0.73439999999999994</v>
      </c>
      <c r="I779" s="12" t="e">
        <f>ROUND(#REF!*1000000/G779/H779,-3)</f>
        <v>#REF!</v>
      </c>
      <c r="J779" s="137"/>
      <c r="K779" s="13"/>
    </row>
    <row r="780" spans="1:11" s="1" customFormat="1" ht="15" customHeight="1">
      <c r="A780" s="811"/>
      <c r="B780" s="831"/>
      <c r="C780" s="7">
        <f t="shared" ref="C780:C781" si="115">C779</f>
        <v>360</v>
      </c>
      <c r="D780" s="11" t="s">
        <v>653</v>
      </c>
      <c r="E780" s="211">
        <v>1320000</v>
      </c>
      <c r="G780" s="8">
        <v>360</v>
      </c>
      <c r="H780" s="11">
        <f t="shared" si="112"/>
        <v>0.73439999999999994</v>
      </c>
      <c r="I780" s="12" t="e">
        <f>ROUND(#REF!*1000000/G780/H780,-3)</f>
        <v>#REF!</v>
      </c>
      <c r="J780" s="137"/>
      <c r="K780" s="13"/>
    </row>
    <row r="781" spans="1:11" s="1" customFormat="1" ht="15" customHeight="1">
      <c r="A781" s="811"/>
      <c r="B781" s="831"/>
      <c r="C781" s="7">
        <f t="shared" si="115"/>
        <v>360</v>
      </c>
      <c r="D781" s="11" t="s">
        <v>659</v>
      </c>
      <c r="E781" s="211">
        <v>1710000</v>
      </c>
      <c r="G781" s="8">
        <v>360</v>
      </c>
      <c r="H781" s="11">
        <f t="shared" si="112"/>
        <v>0.73439999999999994</v>
      </c>
      <c r="I781" s="12" t="e">
        <f>ROUND(#REF!*1000000/G781/H781,-3)</f>
        <v>#REF!</v>
      </c>
      <c r="J781" s="137"/>
      <c r="K781" s="13"/>
    </row>
    <row r="782" spans="1:11" s="1" customFormat="1" ht="15" customHeight="1">
      <c r="A782" s="811" t="s">
        <v>660</v>
      </c>
      <c r="B782" s="810" t="s">
        <v>661</v>
      </c>
      <c r="C782" s="33">
        <v>250</v>
      </c>
      <c r="D782" s="21" t="s">
        <v>662</v>
      </c>
      <c r="E782" s="211">
        <v>935000</v>
      </c>
      <c r="G782" s="8">
        <v>250</v>
      </c>
      <c r="H782" s="11">
        <f>0.76*0.56</f>
        <v>0.42560000000000003</v>
      </c>
      <c r="I782" s="12" t="e">
        <f>ROUND(#REF!*1000000/G782/H782,-3)</f>
        <v>#REF!</v>
      </c>
      <c r="J782" s="137"/>
      <c r="K782" s="13"/>
    </row>
    <row r="783" spans="1:11" s="1" customFormat="1" ht="15" customHeight="1">
      <c r="A783" s="811"/>
      <c r="B783" s="810"/>
      <c r="C783" s="33">
        <v>300</v>
      </c>
      <c r="D783" s="21" t="s">
        <v>662</v>
      </c>
      <c r="E783" s="211">
        <v>1120000</v>
      </c>
      <c r="G783" s="8">
        <v>300</v>
      </c>
      <c r="H783" s="11">
        <f>0.76*0.56</f>
        <v>0.42560000000000003</v>
      </c>
      <c r="I783" s="12" t="e">
        <f>ROUND(#REF!*1000000/G783/H783,-3)</f>
        <v>#REF!</v>
      </c>
      <c r="J783" s="137"/>
      <c r="K783" s="13"/>
    </row>
    <row r="784" spans="1:11" ht="15" customHeight="1">
      <c r="A784" s="813" t="s">
        <v>663</v>
      </c>
      <c r="B784" s="814" t="s">
        <v>255</v>
      </c>
      <c r="C784" s="14">
        <v>350</v>
      </c>
      <c r="D784" s="9" t="s">
        <v>664</v>
      </c>
      <c r="E784" s="25">
        <v>2795000</v>
      </c>
      <c r="G784" s="8">
        <v>350</v>
      </c>
      <c r="H784" s="11">
        <f>0.7*1</f>
        <v>0.7</v>
      </c>
      <c r="I784" s="12" t="e">
        <f>ROUND(#REF!*1000000/G784/H784,-3)</f>
        <v>#REF!</v>
      </c>
      <c r="J784" s="137"/>
      <c r="K784" s="13"/>
    </row>
    <row r="785" spans="1:11" ht="15" customHeight="1">
      <c r="A785" s="804"/>
      <c r="B785" s="804"/>
      <c r="C785" s="7">
        <f t="shared" ref="C785:C786" si="116">C784</f>
        <v>350</v>
      </c>
      <c r="D785" s="9" t="s">
        <v>665</v>
      </c>
      <c r="E785" s="25">
        <v>3050000</v>
      </c>
      <c r="G785" s="8">
        <v>350</v>
      </c>
      <c r="H785" s="11">
        <f>0.7*1</f>
        <v>0.7</v>
      </c>
      <c r="I785" s="12" t="e">
        <f>ROUND(#REF!*1000000/G785/H785,-3)</f>
        <v>#REF!</v>
      </c>
      <c r="J785" s="137"/>
      <c r="K785" s="13"/>
    </row>
    <row r="786" spans="1:11" ht="15" customHeight="1">
      <c r="A786" s="804"/>
      <c r="B786" s="804"/>
      <c r="C786" s="7">
        <f t="shared" si="116"/>
        <v>350</v>
      </c>
      <c r="D786" s="9" t="s">
        <v>666</v>
      </c>
      <c r="E786" s="25">
        <v>3450000</v>
      </c>
      <c r="G786" s="8">
        <v>350</v>
      </c>
      <c r="H786" s="11">
        <f>0.7*1</f>
        <v>0.7</v>
      </c>
      <c r="I786" s="12" t="e">
        <f>ROUND(#REF!*1000000/G786/H786,-3)</f>
        <v>#REF!</v>
      </c>
      <c r="J786" s="137"/>
      <c r="K786" s="13"/>
    </row>
    <row r="787" spans="1:11" ht="15" customHeight="1">
      <c r="A787" s="814" t="s">
        <v>667</v>
      </c>
      <c r="B787" s="814" t="s">
        <v>343</v>
      </c>
      <c r="C787" s="7">
        <v>116</v>
      </c>
      <c r="D787" s="9" t="s">
        <v>668</v>
      </c>
      <c r="E787" s="25">
        <v>535000</v>
      </c>
      <c r="G787" s="8">
        <v>116</v>
      </c>
      <c r="H787" s="11">
        <f t="shared" ref="H787:H806" si="117">0.788*1.091</f>
        <v>0.85970800000000003</v>
      </c>
      <c r="I787" s="12" t="e">
        <f>ROUND(#REF!*1000000/G787/H787,-3)</f>
        <v>#REF!</v>
      </c>
      <c r="J787" s="137"/>
      <c r="K787" s="13"/>
    </row>
    <row r="788" spans="1:11" ht="15" customHeight="1">
      <c r="A788" s="804"/>
      <c r="B788" s="804"/>
      <c r="C788" s="7">
        <f t="shared" ref="C788:C790" si="118">C787</f>
        <v>116</v>
      </c>
      <c r="D788" s="9" t="s">
        <v>669</v>
      </c>
      <c r="E788" s="25">
        <v>575000</v>
      </c>
      <c r="G788" s="8">
        <v>116</v>
      </c>
      <c r="H788" s="11">
        <f t="shared" si="117"/>
        <v>0.85970800000000003</v>
      </c>
      <c r="I788" s="12" t="e">
        <f>ROUND(#REF!*1000000/G788/H788,-3)</f>
        <v>#REF!</v>
      </c>
      <c r="J788" s="137"/>
      <c r="K788" s="13"/>
    </row>
    <row r="789" spans="1:11" ht="15" customHeight="1">
      <c r="A789" s="804"/>
      <c r="B789" s="804"/>
      <c r="C789" s="7">
        <f t="shared" si="118"/>
        <v>116</v>
      </c>
      <c r="D789" s="9" t="s">
        <v>670</v>
      </c>
      <c r="E789" s="25">
        <v>650000</v>
      </c>
      <c r="G789" s="8">
        <v>116</v>
      </c>
      <c r="H789" s="11">
        <f t="shared" si="117"/>
        <v>0.85970800000000003</v>
      </c>
      <c r="I789" s="12" t="e">
        <f>ROUND(#REF!*1000000/G789/H789,-3)</f>
        <v>#REF!</v>
      </c>
      <c r="J789" s="137"/>
      <c r="K789" s="13"/>
    </row>
    <row r="790" spans="1:11" ht="15" customHeight="1">
      <c r="A790" s="804"/>
      <c r="B790" s="804"/>
      <c r="C790" s="7">
        <f t="shared" si="118"/>
        <v>116</v>
      </c>
      <c r="D790" s="9" t="s">
        <v>671</v>
      </c>
      <c r="E790" s="25">
        <v>710000</v>
      </c>
      <c r="G790" s="8">
        <v>116</v>
      </c>
      <c r="H790" s="11">
        <f t="shared" si="117"/>
        <v>0.85970800000000003</v>
      </c>
      <c r="I790" s="12" t="e">
        <f>ROUND(#REF!*1000000/G790/H790,-3)</f>
        <v>#REF!</v>
      </c>
      <c r="J790" s="137"/>
      <c r="K790" s="13"/>
    </row>
    <row r="791" spans="1:11" ht="15" customHeight="1">
      <c r="A791" s="804"/>
      <c r="B791" s="804"/>
      <c r="C791" s="7">
        <v>151</v>
      </c>
      <c r="D791" s="9" t="s">
        <v>668</v>
      </c>
      <c r="E791" s="25">
        <v>695000</v>
      </c>
      <c r="G791" s="8">
        <v>151</v>
      </c>
      <c r="H791" s="11">
        <f t="shared" si="117"/>
        <v>0.85970800000000003</v>
      </c>
      <c r="I791" s="12" t="e">
        <f>ROUND(#REF!*1000000/G791/H791,-3)</f>
        <v>#REF!</v>
      </c>
      <c r="J791" s="137"/>
      <c r="K791" s="13"/>
    </row>
    <row r="792" spans="1:11" ht="15" customHeight="1">
      <c r="A792" s="804"/>
      <c r="B792" s="804"/>
      <c r="C792" s="7">
        <f t="shared" ref="C792:C793" si="119">C791</f>
        <v>151</v>
      </c>
      <c r="D792" s="9" t="s">
        <v>672</v>
      </c>
      <c r="E792" s="25">
        <v>750000</v>
      </c>
      <c r="G792" s="8">
        <v>151</v>
      </c>
      <c r="H792" s="11">
        <f t="shared" si="117"/>
        <v>0.85970800000000003</v>
      </c>
      <c r="I792" s="12" t="e">
        <f>ROUND(#REF!*1000000/G792/H792,-3)</f>
        <v>#REF!</v>
      </c>
      <c r="J792" s="137"/>
      <c r="K792" s="13"/>
    </row>
    <row r="793" spans="1:11" ht="15" customHeight="1">
      <c r="A793" s="804"/>
      <c r="B793" s="804"/>
      <c r="C793" s="7">
        <f t="shared" si="119"/>
        <v>151</v>
      </c>
      <c r="D793" s="9" t="s">
        <v>673</v>
      </c>
      <c r="E793" s="25">
        <v>845000</v>
      </c>
      <c r="G793" s="8">
        <v>151</v>
      </c>
      <c r="H793" s="11">
        <f t="shared" si="117"/>
        <v>0.85970800000000003</v>
      </c>
      <c r="I793" s="12" t="e">
        <f>ROUND(#REF!*1000000/G793/H793,-3)</f>
        <v>#REF!</v>
      </c>
      <c r="J793" s="137"/>
      <c r="K793" s="13"/>
    </row>
    <row r="794" spans="1:11" ht="15" customHeight="1">
      <c r="A794" s="804"/>
      <c r="B794" s="804"/>
      <c r="C794" s="7">
        <v>198</v>
      </c>
      <c r="D794" s="9" t="s">
        <v>668</v>
      </c>
      <c r="E794" s="25">
        <v>915000</v>
      </c>
      <c r="G794" s="8">
        <v>198</v>
      </c>
      <c r="H794" s="11">
        <f t="shared" si="117"/>
        <v>0.85970800000000003</v>
      </c>
      <c r="I794" s="12" t="e">
        <f>ROUND(#REF!*1000000/G794/H794,-3)</f>
        <v>#REF!</v>
      </c>
      <c r="J794" s="137"/>
      <c r="K794" s="13"/>
    </row>
    <row r="795" spans="1:11" ht="15" customHeight="1">
      <c r="A795" s="804"/>
      <c r="B795" s="804"/>
      <c r="C795" s="7">
        <f t="shared" ref="C795:C796" si="120">C794</f>
        <v>198</v>
      </c>
      <c r="D795" s="9" t="s">
        <v>672</v>
      </c>
      <c r="E795" s="25">
        <v>980000</v>
      </c>
      <c r="G795" s="8">
        <v>198</v>
      </c>
      <c r="H795" s="11">
        <f t="shared" si="117"/>
        <v>0.85970800000000003</v>
      </c>
      <c r="I795" s="12" t="e">
        <f>ROUND(#REF!*1000000/G795/H795,-3)</f>
        <v>#REF!</v>
      </c>
      <c r="J795" s="137"/>
      <c r="K795" s="13"/>
    </row>
    <row r="796" spans="1:11" ht="15" customHeight="1">
      <c r="A796" s="804"/>
      <c r="B796" s="804"/>
      <c r="C796" s="7">
        <f t="shared" si="120"/>
        <v>198</v>
      </c>
      <c r="D796" s="9" t="s">
        <v>673</v>
      </c>
      <c r="E796" s="25">
        <v>1110000</v>
      </c>
      <c r="G796" s="8">
        <v>198</v>
      </c>
      <c r="H796" s="11">
        <f t="shared" si="117"/>
        <v>0.85970800000000003</v>
      </c>
      <c r="I796" s="12" t="e">
        <f>ROUND(#REF!*1000000/G796/H796,-3)</f>
        <v>#REF!</v>
      </c>
      <c r="J796" s="137"/>
      <c r="K796" s="13"/>
    </row>
    <row r="797" spans="1:11" ht="15" customHeight="1">
      <c r="A797" s="804"/>
      <c r="B797" s="804"/>
      <c r="C797" s="20">
        <v>151</v>
      </c>
      <c r="D797" s="21" t="s">
        <v>674</v>
      </c>
      <c r="E797" s="25">
        <v>855000</v>
      </c>
      <c r="G797" s="8">
        <v>151</v>
      </c>
      <c r="H797" s="11">
        <f t="shared" si="117"/>
        <v>0.85970800000000003</v>
      </c>
      <c r="I797" s="12" t="e">
        <f>ROUND(#REF!*1000000/G797/H797,-3)</f>
        <v>#REF!</v>
      </c>
      <c r="J797" s="137"/>
      <c r="K797" s="13"/>
    </row>
    <row r="798" spans="1:11" ht="15" customHeight="1">
      <c r="A798" s="805"/>
      <c r="B798" s="805"/>
      <c r="C798" s="20">
        <v>198</v>
      </c>
      <c r="D798" s="21" t="s">
        <v>675</v>
      </c>
      <c r="E798" s="25">
        <v>975000</v>
      </c>
      <c r="G798" s="8">
        <v>198</v>
      </c>
      <c r="H798" s="11">
        <f t="shared" si="117"/>
        <v>0.85970800000000003</v>
      </c>
      <c r="I798" s="12" t="e">
        <f>ROUND(#REF!*1000000/G798/H798,-3)</f>
        <v>#REF!</v>
      </c>
      <c r="J798" s="137"/>
      <c r="K798" s="13"/>
    </row>
    <row r="799" spans="1:11" ht="15" customHeight="1">
      <c r="A799" s="810" t="s">
        <v>676</v>
      </c>
      <c r="B799" s="810" t="s">
        <v>343</v>
      </c>
      <c r="C799" s="7">
        <v>105</v>
      </c>
      <c r="D799" s="9" t="s">
        <v>677</v>
      </c>
      <c r="E799" s="25">
        <v>505000</v>
      </c>
      <c r="G799" s="8">
        <v>105</v>
      </c>
      <c r="H799" s="11">
        <f t="shared" si="117"/>
        <v>0.85970800000000003</v>
      </c>
      <c r="I799" s="12" t="e">
        <f>ROUND(#REF!*1000000/G799/H799,-3)</f>
        <v>#REF!</v>
      </c>
      <c r="J799" s="137"/>
      <c r="K799" s="13"/>
    </row>
    <row r="800" spans="1:11" ht="15" customHeight="1">
      <c r="A800" s="810"/>
      <c r="B800" s="810"/>
      <c r="C800" s="7">
        <f t="shared" ref="C800:C801" si="121">C799</f>
        <v>105</v>
      </c>
      <c r="D800" s="9" t="s">
        <v>678</v>
      </c>
      <c r="E800" s="25">
        <v>560000</v>
      </c>
      <c r="G800" s="8">
        <v>105</v>
      </c>
      <c r="H800" s="11">
        <f t="shared" si="117"/>
        <v>0.85970800000000003</v>
      </c>
      <c r="I800" s="12" t="e">
        <f>ROUND(#REF!*1000000/G800/H800,-3)</f>
        <v>#REF!</v>
      </c>
      <c r="J800" s="137"/>
      <c r="K800" s="13"/>
    </row>
    <row r="801" spans="1:11" ht="15" customHeight="1">
      <c r="A801" s="810"/>
      <c r="B801" s="810"/>
      <c r="C801" s="7">
        <f t="shared" si="121"/>
        <v>105</v>
      </c>
      <c r="D801" s="9" t="s">
        <v>679</v>
      </c>
      <c r="E801" s="25">
        <v>600000</v>
      </c>
      <c r="G801" s="8">
        <v>105</v>
      </c>
      <c r="H801" s="11">
        <f t="shared" si="117"/>
        <v>0.85970800000000003</v>
      </c>
      <c r="I801" s="12" t="e">
        <f>ROUND(#REF!*1000000/G801/H801,-3)</f>
        <v>#REF!</v>
      </c>
      <c r="J801" s="137"/>
      <c r="K801" s="13"/>
    </row>
    <row r="802" spans="1:11" ht="15" customHeight="1">
      <c r="A802" s="810"/>
      <c r="B802" s="810"/>
      <c r="C802" s="7">
        <v>140</v>
      </c>
      <c r="D802" s="9" t="s">
        <v>680</v>
      </c>
      <c r="E802" s="25">
        <v>670000</v>
      </c>
      <c r="G802" s="8">
        <v>140</v>
      </c>
      <c r="H802" s="11">
        <f t="shared" si="117"/>
        <v>0.85970800000000003</v>
      </c>
      <c r="I802" s="12" t="e">
        <f>ROUND(#REF!*1000000/G802/H802,-3)</f>
        <v>#REF!</v>
      </c>
      <c r="J802" s="137"/>
      <c r="K802" s="13"/>
    </row>
    <row r="803" spans="1:11" ht="15" customHeight="1">
      <c r="A803" s="810"/>
      <c r="B803" s="810"/>
      <c r="C803" s="7">
        <f>C802</f>
        <v>140</v>
      </c>
      <c r="D803" s="9" t="s">
        <v>681</v>
      </c>
      <c r="E803" s="25">
        <v>750000</v>
      </c>
      <c r="G803" s="8">
        <v>140</v>
      </c>
      <c r="H803" s="11">
        <f t="shared" si="117"/>
        <v>0.85970800000000003</v>
      </c>
      <c r="I803" s="12" t="e">
        <f>ROUND(#REF!*1000000/G803/H803,-3)</f>
        <v>#REF!</v>
      </c>
      <c r="J803" s="137"/>
      <c r="K803" s="13"/>
    </row>
    <row r="804" spans="1:11" ht="15" customHeight="1">
      <c r="A804" s="810"/>
      <c r="B804" s="810"/>
      <c r="C804" s="7">
        <v>209</v>
      </c>
      <c r="D804" s="9" t="s">
        <v>682</v>
      </c>
      <c r="E804" s="25">
        <v>1000000</v>
      </c>
      <c r="G804" s="8">
        <v>209</v>
      </c>
      <c r="H804" s="11">
        <f t="shared" si="117"/>
        <v>0.85970800000000003</v>
      </c>
      <c r="I804" s="12" t="e">
        <f>ROUND(#REF!*1000000/G804/H804,-3)</f>
        <v>#REF!</v>
      </c>
      <c r="J804" s="137"/>
      <c r="K804" s="13"/>
    </row>
    <row r="805" spans="1:11" ht="15" customHeight="1">
      <c r="A805" s="810"/>
      <c r="B805" s="810"/>
      <c r="C805" s="7">
        <f>C804</f>
        <v>209</v>
      </c>
      <c r="D805" s="9" t="s">
        <v>683</v>
      </c>
      <c r="E805" s="25">
        <v>1115000</v>
      </c>
      <c r="G805" s="8">
        <v>209</v>
      </c>
      <c r="H805" s="11">
        <f t="shared" si="117"/>
        <v>0.85970800000000003</v>
      </c>
      <c r="I805" s="12" t="e">
        <f>ROUND(#REF!*1000000/G805/H805,-3)</f>
        <v>#REF!</v>
      </c>
      <c r="J805" s="137"/>
      <c r="K805" s="13"/>
    </row>
    <row r="806" spans="1:11" ht="15" customHeight="1">
      <c r="A806" s="810"/>
      <c r="B806" s="810"/>
      <c r="C806" s="7">
        <v>314</v>
      </c>
      <c r="D806" s="9" t="s">
        <v>684</v>
      </c>
      <c r="E806" s="25">
        <v>1510000</v>
      </c>
      <c r="G806" s="8">
        <v>314</v>
      </c>
      <c r="H806" s="11">
        <f t="shared" si="117"/>
        <v>0.85970800000000003</v>
      </c>
      <c r="I806" s="12" t="e">
        <f>ROUND(#REF!*1000000/G806/H806,-3)</f>
        <v>#REF!</v>
      </c>
      <c r="J806" s="137"/>
      <c r="K806" s="13"/>
    </row>
    <row r="807" spans="1:11" ht="15" customHeight="1">
      <c r="A807" s="829" t="s">
        <v>685</v>
      </c>
      <c r="B807" s="810" t="s">
        <v>218</v>
      </c>
      <c r="C807" s="30">
        <v>200</v>
      </c>
      <c r="D807" s="29"/>
      <c r="E807" s="148">
        <v>375000</v>
      </c>
      <c r="G807" s="8">
        <v>200</v>
      </c>
      <c r="H807" s="11">
        <f>0.788*1.091</f>
        <v>0.85970800000000003</v>
      </c>
      <c r="I807" s="12" t="e">
        <f>ROUND(#REF!*1000000/G807/H807,-3)</f>
        <v>#REF!</v>
      </c>
      <c r="J807" s="136">
        <v>240</v>
      </c>
      <c r="K807" s="13"/>
    </row>
    <row r="808" spans="1:11" ht="15" customHeight="1">
      <c r="A808" s="807"/>
      <c r="B808" s="810"/>
      <c r="C808" s="30">
        <v>250</v>
      </c>
      <c r="D808" s="29"/>
      <c r="E808" s="148">
        <v>467500</v>
      </c>
      <c r="G808" s="8">
        <v>250</v>
      </c>
      <c r="H808" s="11">
        <f t="shared" ref="H808:H810" si="122">0.788*1.091</f>
        <v>0.85970800000000003</v>
      </c>
      <c r="I808" s="12" t="e">
        <f>ROUND(#REF!*1000000/G808/H808,-3)</f>
        <v>#REF!</v>
      </c>
      <c r="J808" s="136">
        <v>300</v>
      </c>
      <c r="K808" s="13"/>
    </row>
    <row r="809" spans="1:11" ht="15" customHeight="1">
      <c r="A809" s="807"/>
      <c r="B809" s="810"/>
      <c r="C809" s="30">
        <v>300</v>
      </c>
      <c r="D809" s="29"/>
      <c r="E809" s="148">
        <v>562500</v>
      </c>
      <c r="G809" s="8">
        <v>300</v>
      </c>
      <c r="H809" s="11">
        <f t="shared" si="122"/>
        <v>0.85970800000000003</v>
      </c>
      <c r="I809" s="12" t="e">
        <f>ROUND(#REF!*1000000/G809/H809,-3)</f>
        <v>#REF!</v>
      </c>
      <c r="J809" s="136">
        <v>366</v>
      </c>
      <c r="K809" s="13"/>
    </row>
    <row r="810" spans="1:11" ht="15" customHeight="1">
      <c r="A810" s="807"/>
      <c r="B810" s="810"/>
      <c r="C810" s="30">
        <v>350</v>
      </c>
      <c r="D810" s="29"/>
      <c r="E810" s="148">
        <v>655000</v>
      </c>
      <c r="G810" s="8">
        <v>350</v>
      </c>
      <c r="H810" s="11">
        <f t="shared" si="122"/>
        <v>0.85970800000000003</v>
      </c>
      <c r="I810" s="12" t="e">
        <f>ROUND(#REF!*1000000/G810/H810,-3)</f>
        <v>#REF!</v>
      </c>
      <c r="J810" s="136">
        <v>427</v>
      </c>
      <c r="K810" s="13"/>
    </row>
    <row r="811" spans="1:11" ht="15" customHeight="1">
      <c r="A811" s="807"/>
      <c r="B811" s="810" t="s">
        <v>336</v>
      </c>
      <c r="C811" s="30">
        <v>200</v>
      </c>
      <c r="D811" s="29"/>
      <c r="E811" s="148">
        <v>260000</v>
      </c>
      <c r="G811" s="8">
        <v>200</v>
      </c>
      <c r="H811" s="11">
        <f>0.939*0.636</f>
        <v>0.59720399999999996</v>
      </c>
      <c r="I811" s="12" t="e">
        <f>ROUND(#REF!*1000000/G811/H811,-3)</f>
        <v>#REF!</v>
      </c>
      <c r="J811" s="136">
        <v>240</v>
      </c>
      <c r="K811" s="13"/>
    </row>
    <row r="812" spans="1:11" ht="15" customHeight="1">
      <c r="A812" s="807"/>
      <c r="B812" s="810"/>
      <c r="C812" s="30">
        <v>250</v>
      </c>
      <c r="D812" s="29"/>
      <c r="E812" s="148">
        <v>325000</v>
      </c>
      <c r="G812" s="8">
        <v>250</v>
      </c>
      <c r="H812" s="11">
        <f t="shared" ref="H812:H814" si="123">0.939*0.636</f>
        <v>0.59720399999999996</v>
      </c>
      <c r="I812" s="12" t="e">
        <f>ROUND(#REF!*1000000/G812/H812,-3)</f>
        <v>#REF!</v>
      </c>
      <c r="J812" s="136">
        <v>300</v>
      </c>
      <c r="K812" s="13"/>
    </row>
    <row r="813" spans="1:11" ht="15" customHeight="1">
      <c r="A813" s="807"/>
      <c r="B813" s="810"/>
      <c r="C813" s="30">
        <v>300</v>
      </c>
      <c r="D813" s="29"/>
      <c r="E813" s="148">
        <v>390000</v>
      </c>
      <c r="G813" s="8">
        <v>300</v>
      </c>
      <c r="H813" s="11">
        <f t="shared" si="123"/>
        <v>0.59720399999999996</v>
      </c>
      <c r="I813" s="12" t="e">
        <f>ROUND(#REF!*1000000/G813/H813,-3)</f>
        <v>#REF!</v>
      </c>
      <c r="J813" s="136">
        <v>366</v>
      </c>
      <c r="K813" s="13"/>
    </row>
    <row r="814" spans="1:11" ht="15" customHeight="1">
      <c r="A814" s="808"/>
      <c r="B814" s="810"/>
      <c r="C814" s="30">
        <v>350</v>
      </c>
      <c r="D814" s="29"/>
      <c r="E814" s="148">
        <v>455000</v>
      </c>
      <c r="G814" s="8">
        <v>350</v>
      </c>
      <c r="H814" s="11">
        <f t="shared" si="123"/>
        <v>0.59720399999999996</v>
      </c>
      <c r="I814" s="12" t="e">
        <f>ROUND(#REF!*1000000/G814/H814,-3)</f>
        <v>#REF!</v>
      </c>
      <c r="J814" s="136">
        <v>427</v>
      </c>
      <c r="K814" s="13"/>
    </row>
    <row r="815" spans="1:11" ht="15" customHeight="1">
      <c r="A815" s="810" t="s">
        <v>686</v>
      </c>
      <c r="B815" s="810" t="s">
        <v>248</v>
      </c>
      <c r="C815" s="33">
        <v>380</v>
      </c>
      <c r="D815" s="21" t="s">
        <v>687</v>
      </c>
      <c r="E815" s="25">
        <v>16500000</v>
      </c>
      <c r="G815" s="8">
        <v>380</v>
      </c>
      <c r="H815" s="11">
        <v>0.7</v>
      </c>
      <c r="I815" s="12" t="e">
        <f>ROUND(#REF!*1000000/G815/H815,-3)</f>
        <v>#REF!</v>
      </c>
      <c r="J815" s="137"/>
      <c r="K815" s="13"/>
    </row>
    <row r="816" spans="1:11" ht="15" customHeight="1">
      <c r="A816" s="810"/>
      <c r="B816" s="810"/>
      <c r="C816" s="33">
        <v>420</v>
      </c>
      <c r="D816" s="21" t="s">
        <v>688</v>
      </c>
      <c r="E816" s="25">
        <v>21250000</v>
      </c>
      <c r="G816" s="8">
        <v>420</v>
      </c>
      <c r="H816" s="11">
        <v>0.7</v>
      </c>
      <c r="I816" s="12" t="e">
        <f>ROUND(#REF!*1000000/G816/H816,-3)</f>
        <v>#REF!</v>
      </c>
      <c r="J816" s="137"/>
      <c r="K816" s="13"/>
    </row>
    <row r="817" spans="1:11" ht="15" customHeight="1">
      <c r="A817" s="810" t="s">
        <v>689</v>
      </c>
      <c r="B817" s="810" t="s">
        <v>22</v>
      </c>
      <c r="C817" s="7">
        <v>85</v>
      </c>
      <c r="D817" s="9"/>
      <c r="E817" s="25">
        <v>315000</v>
      </c>
      <c r="G817" s="8">
        <v>85</v>
      </c>
      <c r="H817" s="11">
        <f t="shared" ref="H817:H839" si="124">0.788*1.091</f>
        <v>0.85970800000000003</v>
      </c>
      <c r="I817" s="12" t="e">
        <f>ROUND(#REF!*1000000/G817/H817,-3)</f>
        <v>#REF!</v>
      </c>
      <c r="J817" s="137"/>
      <c r="K817" s="13"/>
    </row>
    <row r="818" spans="1:11" ht="15" customHeight="1">
      <c r="A818" s="810"/>
      <c r="B818" s="810"/>
      <c r="C818" s="7">
        <v>110</v>
      </c>
      <c r="D818" s="9"/>
      <c r="E818" s="25">
        <v>410000</v>
      </c>
      <c r="G818" s="8">
        <v>110</v>
      </c>
      <c r="H818" s="11">
        <f t="shared" si="124"/>
        <v>0.85970800000000003</v>
      </c>
      <c r="I818" s="12" t="e">
        <f>ROUND(#REF!*1000000/G818/H818,-3)</f>
        <v>#REF!</v>
      </c>
      <c r="J818" s="137"/>
      <c r="K818" s="13"/>
    </row>
    <row r="819" spans="1:11" ht="15" customHeight="1">
      <c r="A819" s="810"/>
      <c r="B819" s="810"/>
      <c r="C819" s="7">
        <v>128</v>
      </c>
      <c r="D819" s="9"/>
      <c r="E819" s="25">
        <v>475000</v>
      </c>
      <c r="G819" s="8">
        <v>128</v>
      </c>
      <c r="H819" s="11">
        <f t="shared" si="124"/>
        <v>0.85970800000000003</v>
      </c>
      <c r="I819" s="12" t="e">
        <f>ROUND(#REF!*1000000/G819/H819,-3)</f>
        <v>#REF!</v>
      </c>
      <c r="J819" s="137"/>
      <c r="K819" s="13"/>
    </row>
    <row r="820" spans="1:11" ht="15" customHeight="1">
      <c r="A820" s="810"/>
      <c r="B820" s="810"/>
      <c r="C820" s="7">
        <v>157</v>
      </c>
      <c r="D820" s="9"/>
      <c r="E820" s="25">
        <v>585000</v>
      </c>
      <c r="G820" s="8">
        <v>157</v>
      </c>
      <c r="H820" s="11">
        <f t="shared" si="124"/>
        <v>0.85970800000000003</v>
      </c>
      <c r="I820" s="12" t="e">
        <f>ROUND(#REF!*1000000/G820/H820,-3)</f>
        <v>#REF!</v>
      </c>
      <c r="J820" s="137"/>
      <c r="K820" s="13"/>
    </row>
    <row r="821" spans="1:11" ht="15" customHeight="1">
      <c r="A821" s="810"/>
      <c r="B821" s="810"/>
      <c r="C821" s="7">
        <v>233</v>
      </c>
      <c r="D821" s="9"/>
      <c r="E821" s="25">
        <v>880000</v>
      </c>
      <c r="G821" s="8">
        <v>233</v>
      </c>
      <c r="H821" s="11">
        <f t="shared" si="124"/>
        <v>0.85970800000000003</v>
      </c>
      <c r="I821" s="12" t="e">
        <f>ROUND(#REF!*1000000/G821/H821,-3)</f>
        <v>#REF!</v>
      </c>
      <c r="J821" s="137"/>
      <c r="K821" s="13"/>
    </row>
    <row r="822" spans="1:11" ht="15" customHeight="1">
      <c r="A822" s="810" t="s">
        <v>690</v>
      </c>
      <c r="B822" s="810" t="s">
        <v>22</v>
      </c>
      <c r="C822" s="7">
        <v>116</v>
      </c>
      <c r="D822" s="9" t="s">
        <v>691</v>
      </c>
      <c r="E822" s="25">
        <v>535000</v>
      </c>
      <c r="G822" s="8">
        <v>116</v>
      </c>
      <c r="H822" s="11">
        <f t="shared" si="124"/>
        <v>0.85970800000000003</v>
      </c>
      <c r="I822" s="12" t="e">
        <f>ROUND(#REF!*1000000/G822/H822,-3)</f>
        <v>#REF!</v>
      </c>
      <c r="J822" s="137"/>
      <c r="K822" s="13"/>
    </row>
    <row r="823" spans="1:11" ht="15" customHeight="1">
      <c r="A823" s="810"/>
      <c r="B823" s="810"/>
      <c r="C823" s="7">
        <f t="shared" ref="C823:C824" si="125">C822</f>
        <v>116</v>
      </c>
      <c r="D823" s="9" t="s">
        <v>692</v>
      </c>
      <c r="E823" s="25">
        <v>575000</v>
      </c>
      <c r="G823" s="8">
        <v>116</v>
      </c>
      <c r="H823" s="11">
        <f t="shared" si="124"/>
        <v>0.85970800000000003</v>
      </c>
      <c r="I823" s="12" t="e">
        <f>ROUND(#REF!*1000000/G823/H823,-3)</f>
        <v>#REF!</v>
      </c>
      <c r="J823" s="137"/>
      <c r="K823" s="13"/>
    </row>
    <row r="824" spans="1:11" ht="15" customHeight="1">
      <c r="A824" s="810"/>
      <c r="B824" s="810"/>
      <c r="C824" s="7">
        <f t="shared" si="125"/>
        <v>116</v>
      </c>
      <c r="D824" s="9" t="s">
        <v>693</v>
      </c>
      <c r="E824" s="25">
        <v>670000</v>
      </c>
      <c r="G824" s="8">
        <v>116</v>
      </c>
      <c r="H824" s="11">
        <f t="shared" si="124"/>
        <v>0.85970800000000003</v>
      </c>
      <c r="I824" s="12" t="e">
        <f>ROUND(#REF!*1000000/G824/H824,-3)</f>
        <v>#REF!</v>
      </c>
      <c r="J824" s="137"/>
      <c r="K824" s="13"/>
    </row>
    <row r="825" spans="1:11" ht="15" customHeight="1">
      <c r="A825" s="814" t="s">
        <v>694</v>
      </c>
      <c r="B825" s="810" t="s">
        <v>213</v>
      </c>
      <c r="C825" s="7">
        <v>105</v>
      </c>
      <c r="D825" s="9" t="s">
        <v>695</v>
      </c>
      <c r="E825" s="148">
        <v>240000</v>
      </c>
      <c r="G825" s="8">
        <v>105</v>
      </c>
      <c r="H825" s="11">
        <f t="shared" si="124"/>
        <v>0.85970800000000003</v>
      </c>
      <c r="I825" s="12" t="e">
        <f>ROUND(#REF!*1000000/G825/H825,-3)</f>
        <v>#REF!</v>
      </c>
      <c r="J825" s="136">
        <v>123</v>
      </c>
      <c r="K825" s="13"/>
    </row>
    <row r="826" spans="1:11" ht="15" customHeight="1">
      <c r="A826" s="804"/>
      <c r="B826" s="810"/>
      <c r="C826" s="7">
        <v>128</v>
      </c>
      <c r="D826" s="9" t="s">
        <v>695</v>
      </c>
      <c r="E826" s="148">
        <v>292500</v>
      </c>
      <c r="G826" s="8">
        <v>128</v>
      </c>
      <c r="H826" s="11">
        <f t="shared" si="124"/>
        <v>0.85970800000000003</v>
      </c>
      <c r="I826" s="12" t="e">
        <f>ROUND(#REF!*1000000/G826/H826,-3)</f>
        <v>#REF!</v>
      </c>
      <c r="J826" s="136">
        <v>150</v>
      </c>
      <c r="K826" s="13"/>
    </row>
    <row r="827" spans="1:11" ht="15" customHeight="1">
      <c r="A827" s="804"/>
      <c r="B827" s="810"/>
      <c r="C827" s="7">
        <v>157</v>
      </c>
      <c r="D827" s="9" t="s">
        <v>695</v>
      </c>
      <c r="E827" s="148">
        <v>360000</v>
      </c>
      <c r="G827" s="8">
        <v>157</v>
      </c>
      <c r="H827" s="11">
        <f t="shared" si="124"/>
        <v>0.85970800000000003</v>
      </c>
      <c r="I827" s="12" t="e">
        <f>ROUND(#REF!*1000000/G827/H827,-3)</f>
        <v>#REF!</v>
      </c>
      <c r="J827" s="136">
        <v>180</v>
      </c>
      <c r="K827" s="13"/>
    </row>
    <row r="828" spans="1:11" ht="15" customHeight="1">
      <c r="A828" s="804"/>
      <c r="B828" s="810"/>
      <c r="C828" s="7">
        <v>186</v>
      </c>
      <c r="D828" s="9" t="s">
        <v>695</v>
      </c>
      <c r="E828" s="148">
        <v>425000</v>
      </c>
      <c r="G828" s="8">
        <v>186</v>
      </c>
      <c r="H828" s="11">
        <f t="shared" si="124"/>
        <v>0.85970800000000003</v>
      </c>
      <c r="I828" s="12" t="e">
        <f>ROUND(#REF!*1000000/G828/H828,-3)</f>
        <v>#REF!</v>
      </c>
      <c r="J828" s="136">
        <v>211</v>
      </c>
      <c r="K828" s="13"/>
    </row>
    <row r="829" spans="1:11" ht="15" customHeight="1">
      <c r="A829" s="804"/>
      <c r="B829" s="810"/>
      <c r="C829" s="7">
        <v>209</v>
      </c>
      <c r="D829" s="9" t="s">
        <v>695</v>
      </c>
      <c r="E829" s="148">
        <v>477500</v>
      </c>
      <c r="G829" s="8">
        <v>209</v>
      </c>
      <c r="H829" s="11">
        <f t="shared" si="124"/>
        <v>0.85970800000000003</v>
      </c>
      <c r="I829" s="12" t="e">
        <f>ROUND(#REF!*1000000/G829/H829,-3)</f>
        <v>#REF!</v>
      </c>
      <c r="J829" s="136">
        <v>235</v>
      </c>
      <c r="K829" s="13"/>
    </row>
    <row r="830" spans="1:11" ht="15" customHeight="1">
      <c r="A830" s="804"/>
      <c r="B830" s="810"/>
      <c r="C830" s="7">
        <v>233</v>
      </c>
      <c r="D830" s="9" t="s">
        <v>695</v>
      </c>
      <c r="E830" s="148">
        <v>532500</v>
      </c>
      <c r="G830" s="8">
        <v>233</v>
      </c>
      <c r="H830" s="11">
        <f t="shared" si="124"/>
        <v>0.85970800000000003</v>
      </c>
      <c r="I830" s="12" t="e">
        <f>ROUND(#REF!*1000000/G830/H830,-3)</f>
        <v>#REF!</v>
      </c>
      <c r="J830" s="136">
        <v>255</v>
      </c>
      <c r="K830" s="13"/>
    </row>
    <row r="831" spans="1:11" ht="15" customHeight="1">
      <c r="A831" s="804"/>
      <c r="B831" s="810"/>
      <c r="C831" s="7">
        <v>262</v>
      </c>
      <c r="D831" s="9" t="s">
        <v>695</v>
      </c>
      <c r="E831" s="148">
        <v>600000</v>
      </c>
      <c r="G831" s="8">
        <v>262</v>
      </c>
      <c r="H831" s="11">
        <f t="shared" si="124"/>
        <v>0.85970800000000003</v>
      </c>
      <c r="I831" s="12" t="e">
        <f>ROUND(#REF!*1000000/G831/H831,-3)</f>
        <v>#REF!</v>
      </c>
      <c r="J831" s="136">
        <v>286</v>
      </c>
      <c r="K831" s="13"/>
    </row>
    <row r="832" spans="1:11" ht="15" customHeight="1">
      <c r="A832" s="804"/>
      <c r="B832" s="810"/>
      <c r="C832" s="7">
        <v>81.400000000000006</v>
      </c>
      <c r="D832" s="9" t="s">
        <v>696</v>
      </c>
      <c r="E832" s="148">
        <v>180000</v>
      </c>
      <c r="G832" s="34">
        <v>81.400000000000006</v>
      </c>
      <c r="H832" s="11">
        <f t="shared" si="124"/>
        <v>0.85970800000000003</v>
      </c>
      <c r="I832" s="12" t="e">
        <f>ROUND(#REF!*1000000/G832/H832,-3)</f>
        <v>#REF!</v>
      </c>
      <c r="J832" s="136">
        <v>94</v>
      </c>
      <c r="K832" s="13"/>
    </row>
    <row r="833" spans="1:11" ht="15" customHeight="1">
      <c r="A833" s="804"/>
      <c r="B833" s="810"/>
      <c r="C833" s="7">
        <v>105</v>
      </c>
      <c r="D833" s="9" t="s">
        <v>696</v>
      </c>
      <c r="E833" s="148">
        <v>232500</v>
      </c>
      <c r="G833" s="8">
        <v>105</v>
      </c>
      <c r="H833" s="11">
        <f t="shared" si="124"/>
        <v>0.85970800000000003</v>
      </c>
      <c r="I833" s="12" t="e">
        <f>ROUND(#REF!*1000000/G833/H833,-3)</f>
        <v>#REF!</v>
      </c>
      <c r="J833" s="136">
        <v>123</v>
      </c>
      <c r="K833" s="13"/>
    </row>
    <row r="834" spans="1:11" ht="15" customHeight="1">
      <c r="A834" s="804"/>
      <c r="B834" s="810"/>
      <c r="C834" s="7">
        <v>128</v>
      </c>
      <c r="D834" s="9" t="s">
        <v>696</v>
      </c>
      <c r="E834" s="148">
        <v>285000</v>
      </c>
      <c r="G834" s="8">
        <v>128</v>
      </c>
      <c r="H834" s="11">
        <f t="shared" si="124"/>
        <v>0.85970800000000003</v>
      </c>
      <c r="I834" s="12" t="e">
        <f>ROUND(#REF!*1000000/G834/H834,-3)</f>
        <v>#REF!</v>
      </c>
      <c r="J834" s="136">
        <v>150</v>
      </c>
      <c r="K834" s="13"/>
    </row>
    <row r="835" spans="1:11" ht="15" customHeight="1">
      <c r="A835" s="804"/>
      <c r="B835" s="810"/>
      <c r="C835" s="7">
        <v>157</v>
      </c>
      <c r="D835" s="9" t="s">
        <v>696</v>
      </c>
      <c r="E835" s="148">
        <v>350000</v>
      </c>
      <c r="G835" s="8">
        <v>157</v>
      </c>
      <c r="H835" s="11">
        <f t="shared" si="124"/>
        <v>0.85970800000000003</v>
      </c>
      <c r="I835" s="12" t="e">
        <f>ROUND(#REF!*1000000/G835/H835,-3)</f>
        <v>#REF!</v>
      </c>
      <c r="J835" s="136">
        <v>180</v>
      </c>
      <c r="K835" s="13"/>
    </row>
    <row r="836" spans="1:11" ht="15" customHeight="1">
      <c r="A836" s="804"/>
      <c r="B836" s="810"/>
      <c r="C836" s="7">
        <v>186</v>
      </c>
      <c r="D836" s="9" t="s">
        <v>696</v>
      </c>
      <c r="E836" s="148">
        <v>415000</v>
      </c>
      <c r="G836" s="8">
        <v>186</v>
      </c>
      <c r="H836" s="11">
        <f t="shared" si="124"/>
        <v>0.85970800000000003</v>
      </c>
      <c r="I836" s="12" t="e">
        <f>ROUND(#REF!*1000000/G836/H836,-3)</f>
        <v>#REF!</v>
      </c>
      <c r="J836" s="136">
        <v>211</v>
      </c>
      <c r="K836" s="13"/>
    </row>
    <row r="837" spans="1:11" ht="15" customHeight="1">
      <c r="A837" s="804"/>
      <c r="B837" s="810"/>
      <c r="C837" s="7">
        <v>209</v>
      </c>
      <c r="D837" s="9" t="s">
        <v>696</v>
      </c>
      <c r="E837" s="148">
        <v>465000</v>
      </c>
      <c r="G837" s="8">
        <v>209</v>
      </c>
      <c r="H837" s="11">
        <f t="shared" si="124"/>
        <v>0.85970800000000003</v>
      </c>
      <c r="I837" s="12" t="e">
        <f>ROUND(#REF!*1000000/G837/H837,-3)</f>
        <v>#REF!</v>
      </c>
      <c r="J837" s="136">
        <v>235</v>
      </c>
      <c r="K837" s="13"/>
    </row>
    <row r="838" spans="1:11" ht="15" customHeight="1">
      <c r="A838" s="804"/>
      <c r="B838" s="810"/>
      <c r="C838" s="7">
        <v>233</v>
      </c>
      <c r="D838" s="9" t="s">
        <v>696</v>
      </c>
      <c r="E838" s="148">
        <v>520000</v>
      </c>
      <c r="G838" s="8">
        <v>233</v>
      </c>
      <c r="H838" s="11">
        <f t="shared" si="124"/>
        <v>0.85970800000000003</v>
      </c>
      <c r="I838" s="12" t="e">
        <f>ROUND(#REF!*1000000/G838/H838,-3)</f>
        <v>#REF!</v>
      </c>
      <c r="J838" s="136">
        <v>255</v>
      </c>
      <c r="K838" s="13"/>
    </row>
    <row r="839" spans="1:11" ht="15" customHeight="1">
      <c r="A839" s="804"/>
      <c r="B839" s="810"/>
      <c r="C839" s="7">
        <v>262</v>
      </c>
      <c r="D839" s="9" t="s">
        <v>696</v>
      </c>
      <c r="E839" s="148">
        <v>585000</v>
      </c>
      <c r="G839" s="8">
        <v>262</v>
      </c>
      <c r="H839" s="11">
        <f t="shared" si="124"/>
        <v>0.85970800000000003</v>
      </c>
      <c r="I839" s="12" t="e">
        <f>ROUND(#REF!*1000000/G839/H839,-3)</f>
        <v>#REF!</v>
      </c>
      <c r="J839" s="136">
        <v>286</v>
      </c>
      <c r="K839" s="13"/>
    </row>
    <row r="840" spans="1:11" s="67" customFormat="1" ht="15" customHeight="1">
      <c r="A840" s="804"/>
      <c r="B840" s="814" t="s">
        <v>347</v>
      </c>
      <c r="C840" s="7">
        <v>105</v>
      </c>
      <c r="D840" s="9" t="s">
        <v>695</v>
      </c>
      <c r="E840" s="148">
        <v>167500</v>
      </c>
      <c r="F840" s="66"/>
      <c r="G840" s="8">
        <v>105</v>
      </c>
      <c r="H840" s="11">
        <f t="shared" ref="H840:H854" si="126">0.636*0.939</f>
        <v>0.59720399999999996</v>
      </c>
      <c r="I840" s="12" t="e">
        <f>ROUND(#REF!*1000000/G840/H840,-3)</f>
        <v>#REF!</v>
      </c>
      <c r="J840" s="136">
        <v>123</v>
      </c>
      <c r="K840" s="13"/>
    </row>
    <row r="841" spans="1:11" ht="15" customHeight="1">
      <c r="A841" s="804"/>
      <c r="B841" s="804"/>
      <c r="C841" s="7">
        <v>128</v>
      </c>
      <c r="D841" s="9" t="s">
        <v>695</v>
      </c>
      <c r="E841" s="148">
        <v>205000</v>
      </c>
      <c r="G841" s="8">
        <v>128</v>
      </c>
      <c r="H841" s="11">
        <f t="shared" si="126"/>
        <v>0.59720399999999996</v>
      </c>
      <c r="I841" s="12" t="e">
        <f>ROUND(#REF!*1000000/G841/H841,-3)</f>
        <v>#REF!</v>
      </c>
      <c r="J841" s="136">
        <v>150</v>
      </c>
      <c r="K841" s="13"/>
    </row>
    <row r="842" spans="1:11" ht="15" customHeight="1">
      <c r="A842" s="804"/>
      <c r="B842" s="804"/>
      <c r="C842" s="7">
        <v>157</v>
      </c>
      <c r="D842" s="9" t="s">
        <v>695</v>
      </c>
      <c r="E842" s="148">
        <v>250000</v>
      </c>
      <c r="G842" s="8">
        <v>157</v>
      </c>
      <c r="H842" s="11">
        <f t="shared" si="126"/>
        <v>0.59720399999999996</v>
      </c>
      <c r="I842" s="12" t="e">
        <f>ROUND(#REF!*1000000/G842/H842,-3)</f>
        <v>#REF!</v>
      </c>
      <c r="J842" s="136">
        <v>180</v>
      </c>
      <c r="K842" s="13"/>
    </row>
    <row r="843" spans="1:11" ht="15" customHeight="1">
      <c r="A843" s="804"/>
      <c r="B843" s="804"/>
      <c r="C843" s="7">
        <v>186</v>
      </c>
      <c r="D843" s="9" t="s">
        <v>695</v>
      </c>
      <c r="E843" s="148">
        <v>295000</v>
      </c>
      <c r="G843" s="8">
        <v>186</v>
      </c>
      <c r="H843" s="11">
        <f t="shared" si="126"/>
        <v>0.59720399999999996</v>
      </c>
      <c r="I843" s="12" t="e">
        <f>ROUND(#REF!*1000000/G843/H843,-3)</f>
        <v>#REF!</v>
      </c>
      <c r="J843" s="136">
        <v>211</v>
      </c>
      <c r="K843" s="13"/>
    </row>
    <row r="844" spans="1:11" ht="15" customHeight="1">
      <c r="A844" s="804"/>
      <c r="B844" s="804"/>
      <c r="C844" s="7">
        <v>209</v>
      </c>
      <c r="D844" s="9" t="s">
        <v>695</v>
      </c>
      <c r="E844" s="148">
        <v>332500</v>
      </c>
      <c r="G844" s="8">
        <v>209</v>
      </c>
      <c r="H844" s="11">
        <f t="shared" si="126"/>
        <v>0.59720399999999996</v>
      </c>
      <c r="I844" s="12" t="e">
        <f>ROUND(#REF!*1000000/G844/H844,-3)</f>
        <v>#REF!</v>
      </c>
      <c r="J844" s="136">
        <v>235</v>
      </c>
      <c r="K844" s="13"/>
    </row>
    <row r="845" spans="1:11" ht="15" customHeight="1">
      <c r="A845" s="804"/>
      <c r="B845" s="804"/>
      <c r="C845" s="7">
        <v>233</v>
      </c>
      <c r="D845" s="9" t="s">
        <v>695</v>
      </c>
      <c r="E845" s="148">
        <v>370000</v>
      </c>
      <c r="G845" s="8">
        <v>233</v>
      </c>
      <c r="H845" s="11">
        <f t="shared" si="126"/>
        <v>0.59720399999999996</v>
      </c>
      <c r="I845" s="12" t="e">
        <f>ROUND(#REF!*1000000/G845/H845,-3)</f>
        <v>#REF!</v>
      </c>
      <c r="J845" s="136">
        <v>255</v>
      </c>
      <c r="K845" s="13"/>
    </row>
    <row r="846" spans="1:11" ht="15" customHeight="1">
      <c r="A846" s="804"/>
      <c r="B846" s="804"/>
      <c r="C846" s="7">
        <v>262</v>
      </c>
      <c r="D846" s="9" t="s">
        <v>695</v>
      </c>
      <c r="E846" s="148">
        <v>415000</v>
      </c>
      <c r="G846" s="8">
        <v>262</v>
      </c>
      <c r="H846" s="11">
        <f t="shared" si="126"/>
        <v>0.59720399999999996</v>
      </c>
      <c r="I846" s="12" t="e">
        <f>ROUND(#REF!*1000000/G846/H846,-3)</f>
        <v>#REF!</v>
      </c>
      <c r="J846" s="136">
        <v>286</v>
      </c>
      <c r="K846" s="13"/>
    </row>
    <row r="847" spans="1:11" ht="15" customHeight="1">
      <c r="A847" s="804"/>
      <c r="B847" s="804"/>
      <c r="C847" s="7">
        <v>81.400000000000006</v>
      </c>
      <c r="D847" s="9" t="s">
        <v>696</v>
      </c>
      <c r="E847" s="148">
        <v>125000</v>
      </c>
      <c r="G847" s="34">
        <v>81.400000000000006</v>
      </c>
      <c r="H847" s="11">
        <f t="shared" si="126"/>
        <v>0.59720399999999996</v>
      </c>
      <c r="I847" s="12" t="e">
        <f>ROUND(#REF!*1000000/G847/H847,-3)</f>
        <v>#REF!</v>
      </c>
      <c r="J847" s="136">
        <v>94</v>
      </c>
      <c r="K847" s="13"/>
    </row>
    <row r="848" spans="1:11" ht="15" customHeight="1">
      <c r="A848" s="804"/>
      <c r="B848" s="804"/>
      <c r="C848" s="7">
        <v>105</v>
      </c>
      <c r="D848" s="9" t="s">
        <v>696</v>
      </c>
      <c r="E848" s="148">
        <v>162500</v>
      </c>
      <c r="G848" s="8">
        <v>105</v>
      </c>
      <c r="H848" s="11">
        <f t="shared" si="126"/>
        <v>0.59720399999999996</v>
      </c>
      <c r="I848" s="12" t="e">
        <f>ROUND(#REF!*1000000/G848/H848,-3)</f>
        <v>#REF!</v>
      </c>
      <c r="J848" s="136">
        <v>123</v>
      </c>
      <c r="K848" s="13"/>
    </row>
    <row r="849" spans="1:11" ht="15" customHeight="1">
      <c r="A849" s="804"/>
      <c r="B849" s="804"/>
      <c r="C849" s="7">
        <v>128</v>
      </c>
      <c r="D849" s="9" t="s">
        <v>4162</v>
      </c>
      <c r="E849" s="148">
        <v>197500</v>
      </c>
      <c r="G849" s="8">
        <v>128</v>
      </c>
      <c r="H849" s="11">
        <f t="shared" si="126"/>
        <v>0.59720399999999996</v>
      </c>
      <c r="I849" s="12" t="e">
        <f>ROUND(#REF!*1000000/G849/H849,-3)</f>
        <v>#REF!</v>
      </c>
      <c r="J849" s="136">
        <v>150</v>
      </c>
      <c r="K849" s="13"/>
    </row>
    <row r="850" spans="1:11" ht="15" customHeight="1">
      <c r="A850" s="804"/>
      <c r="B850" s="804"/>
      <c r="C850" s="7">
        <v>157</v>
      </c>
      <c r="D850" s="9" t="s">
        <v>696</v>
      </c>
      <c r="E850" s="148">
        <v>242500</v>
      </c>
      <c r="G850" s="8">
        <v>157</v>
      </c>
      <c r="H850" s="11">
        <f t="shared" si="126"/>
        <v>0.59720399999999996</v>
      </c>
      <c r="I850" s="12" t="e">
        <f>ROUND(#REF!*1000000/G850/H850,-3)</f>
        <v>#REF!</v>
      </c>
      <c r="J850" s="136">
        <v>180</v>
      </c>
      <c r="K850" s="13"/>
    </row>
    <row r="851" spans="1:11" ht="15" customHeight="1">
      <c r="A851" s="804"/>
      <c r="B851" s="804"/>
      <c r="C851" s="7">
        <v>186</v>
      </c>
      <c r="D851" s="9" t="s">
        <v>696</v>
      </c>
      <c r="E851" s="148">
        <v>287500</v>
      </c>
      <c r="G851" s="8">
        <v>186</v>
      </c>
      <c r="H851" s="11">
        <f t="shared" si="126"/>
        <v>0.59720399999999996</v>
      </c>
      <c r="I851" s="12" t="e">
        <f>ROUND(#REF!*1000000/G851/H851,-3)</f>
        <v>#REF!</v>
      </c>
      <c r="J851" s="136">
        <v>211</v>
      </c>
      <c r="K851" s="13"/>
    </row>
    <row r="852" spans="1:11" ht="15" customHeight="1">
      <c r="A852" s="804"/>
      <c r="B852" s="804"/>
      <c r="C852" s="7">
        <v>209</v>
      </c>
      <c r="D852" s="9" t="s">
        <v>696</v>
      </c>
      <c r="E852" s="148">
        <v>322500</v>
      </c>
      <c r="G852" s="8">
        <v>209</v>
      </c>
      <c r="H852" s="11">
        <f t="shared" si="126"/>
        <v>0.59720399999999996</v>
      </c>
      <c r="I852" s="12" t="e">
        <f>ROUND(#REF!*1000000/G852/H852,-3)</f>
        <v>#REF!</v>
      </c>
      <c r="J852" s="136">
        <v>235</v>
      </c>
      <c r="K852" s="13"/>
    </row>
    <row r="853" spans="1:11" ht="15" customHeight="1">
      <c r="A853" s="804"/>
      <c r="B853" s="804"/>
      <c r="C853" s="7">
        <v>233</v>
      </c>
      <c r="D853" s="9" t="s">
        <v>696</v>
      </c>
      <c r="E853" s="148">
        <v>360000</v>
      </c>
      <c r="G853" s="8">
        <v>233</v>
      </c>
      <c r="H853" s="11">
        <f t="shared" si="126"/>
        <v>0.59720399999999996</v>
      </c>
      <c r="I853" s="12" t="e">
        <f>ROUND(#REF!*1000000/G853/H853,-3)</f>
        <v>#REF!</v>
      </c>
      <c r="J853" s="136">
        <v>255</v>
      </c>
      <c r="K853" s="13"/>
    </row>
    <row r="854" spans="1:11" ht="15" customHeight="1">
      <c r="A854" s="804"/>
      <c r="B854" s="804"/>
      <c r="C854" s="7">
        <v>262</v>
      </c>
      <c r="D854" s="9" t="s">
        <v>696</v>
      </c>
      <c r="E854" s="148">
        <v>405000</v>
      </c>
      <c r="G854" s="8">
        <v>262</v>
      </c>
      <c r="H854" s="11">
        <f t="shared" si="126"/>
        <v>0.59720399999999996</v>
      </c>
      <c r="I854" s="12" t="e">
        <f>ROUND(#REF!*1000000/G854/H854,-3)</f>
        <v>#REF!</v>
      </c>
      <c r="J854" s="136">
        <v>286</v>
      </c>
      <c r="K854" s="13"/>
    </row>
    <row r="855" spans="1:11" ht="15" customHeight="1">
      <c r="A855" s="811" t="s">
        <v>697</v>
      </c>
      <c r="B855" s="814" t="s">
        <v>27</v>
      </c>
      <c r="C855" s="7">
        <v>120</v>
      </c>
      <c r="D855" s="9" t="s">
        <v>698</v>
      </c>
      <c r="E855" s="25">
        <v>282500</v>
      </c>
      <c r="G855" s="8">
        <v>120</v>
      </c>
      <c r="H855" s="11">
        <f t="shared" ref="H855:H861" si="127">0.788*1.091</f>
        <v>0.85970800000000003</v>
      </c>
      <c r="I855" s="12" t="e">
        <f>ROUND(#REF!*1000000/G855/H855,-3)</f>
        <v>#REF!</v>
      </c>
      <c r="J855" s="137"/>
      <c r="K855" s="13"/>
    </row>
    <row r="856" spans="1:11" ht="15" customHeight="1">
      <c r="A856" s="811"/>
      <c r="B856" s="804"/>
      <c r="C856" s="7">
        <f t="shared" ref="C856:C860" si="128">C855</f>
        <v>120</v>
      </c>
      <c r="D856" s="9" t="s">
        <v>699</v>
      </c>
      <c r="E856" s="25">
        <v>302500</v>
      </c>
      <c r="G856" s="8">
        <v>120</v>
      </c>
      <c r="H856" s="11">
        <f t="shared" si="127"/>
        <v>0.85970800000000003</v>
      </c>
      <c r="I856" s="12" t="e">
        <f>ROUND(#REF!*1000000/G856/H856,-3)</f>
        <v>#REF!</v>
      </c>
      <c r="J856" s="137"/>
      <c r="K856" s="13"/>
    </row>
    <row r="857" spans="1:11" ht="15" customHeight="1">
      <c r="A857" s="811"/>
      <c r="B857" s="804"/>
      <c r="C857" s="7">
        <f t="shared" si="128"/>
        <v>120</v>
      </c>
      <c r="D857" s="9" t="s">
        <v>700</v>
      </c>
      <c r="E857" s="25">
        <v>327500</v>
      </c>
      <c r="G857" s="8">
        <v>120</v>
      </c>
      <c r="H857" s="11">
        <f t="shared" si="127"/>
        <v>0.85970800000000003</v>
      </c>
      <c r="I857" s="12" t="e">
        <f>ROUND(#REF!*1000000/G857/H857,-3)</f>
        <v>#REF!</v>
      </c>
      <c r="J857" s="137"/>
      <c r="K857" s="13"/>
    </row>
    <row r="858" spans="1:11" ht="15" customHeight="1">
      <c r="A858" s="811"/>
      <c r="B858" s="804"/>
      <c r="C858" s="7">
        <f t="shared" si="128"/>
        <v>120</v>
      </c>
      <c r="D858" s="9" t="s">
        <v>701</v>
      </c>
      <c r="E858" s="25">
        <v>332500</v>
      </c>
      <c r="G858" s="8">
        <v>120</v>
      </c>
      <c r="H858" s="11">
        <f t="shared" si="127"/>
        <v>0.85970800000000003</v>
      </c>
      <c r="I858" s="12" t="e">
        <f>ROUND(#REF!*1000000/G858/H858,-3)</f>
        <v>#REF!</v>
      </c>
      <c r="J858" s="137"/>
      <c r="K858" s="13"/>
    </row>
    <row r="859" spans="1:11" ht="15" customHeight="1">
      <c r="A859" s="811"/>
      <c r="B859" s="804"/>
      <c r="C859" s="7">
        <f t="shared" si="128"/>
        <v>120</v>
      </c>
      <c r="D859" s="9" t="s">
        <v>702</v>
      </c>
      <c r="E859" s="25">
        <v>372500</v>
      </c>
      <c r="G859" s="8">
        <v>120</v>
      </c>
      <c r="H859" s="11">
        <f t="shared" si="127"/>
        <v>0.85970800000000003</v>
      </c>
      <c r="I859" s="12" t="e">
        <f>ROUND(#REF!*1000000/G859/H859,-3)</f>
        <v>#REF!</v>
      </c>
      <c r="J859" s="137"/>
      <c r="K859" s="13"/>
    </row>
    <row r="860" spans="1:11" ht="15" customHeight="1">
      <c r="A860" s="811"/>
      <c r="B860" s="804"/>
      <c r="C860" s="33">
        <f t="shared" si="128"/>
        <v>120</v>
      </c>
      <c r="D860" s="21" t="s">
        <v>703</v>
      </c>
      <c r="E860" s="25">
        <v>268000</v>
      </c>
      <c r="G860" s="8">
        <v>120</v>
      </c>
      <c r="H860" s="11">
        <f t="shared" si="127"/>
        <v>0.85970800000000003</v>
      </c>
      <c r="I860" s="12" t="e">
        <f>ROUND(#REF!*1000000/G860/H860,-3)</f>
        <v>#REF!</v>
      </c>
      <c r="J860" s="137"/>
      <c r="K860" s="13"/>
    </row>
    <row r="861" spans="1:11" ht="15" customHeight="1">
      <c r="A861" s="811"/>
      <c r="B861" s="805"/>
      <c r="C861" s="20">
        <v>250</v>
      </c>
      <c r="D861" s="21" t="s">
        <v>704</v>
      </c>
      <c r="E861" s="25">
        <v>530500</v>
      </c>
      <c r="G861" s="8">
        <v>250</v>
      </c>
      <c r="H861" s="11">
        <f t="shared" si="127"/>
        <v>0.85970800000000003</v>
      </c>
      <c r="I861" s="12" t="e">
        <f>ROUND(#REF!*1000000/G861/H861,-3)</f>
        <v>#REF!</v>
      </c>
      <c r="J861" s="137"/>
      <c r="K861" s="13"/>
    </row>
    <row r="862" spans="1:11" ht="15" customHeight="1">
      <c r="A862" s="811"/>
      <c r="B862" s="811" t="s">
        <v>344</v>
      </c>
      <c r="C862" s="33">
        <v>120</v>
      </c>
      <c r="D862" s="21" t="s">
        <v>705</v>
      </c>
      <c r="E862" s="25">
        <v>200000</v>
      </c>
      <c r="G862" s="8">
        <v>120</v>
      </c>
      <c r="H862" s="11">
        <f t="shared" ref="H862:H864" si="129">0.636*0.939</f>
        <v>0.59720399999999996</v>
      </c>
      <c r="I862" s="12" t="e">
        <f>ROUND(#REF!*1000000/G862/H862,-3)</f>
        <v>#REF!</v>
      </c>
      <c r="J862" s="137"/>
      <c r="K862" s="13"/>
    </row>
    <row r="863" spans="1:11" ht="15" customHeight="1">
      <c r="A863" s="811"/>
      <c r="B863" s="811"/>
      <c r="C863" s="33">
        <f t="shared" ref="C863:C864" si="130">C862</f>
        <v>120</v>
      </c>
      <c r="D863" s="21" t="s">
        <v>706</v>
      </c>
      <c r="E863" s="25">
        <v>215500</v>
      </c>
      <c r="G863" s="8">
        <v>120</v>
      </c>
      <c r="H863" s="11">
        <f t="shared" si="129"/>
        <v>0.59720399999999996</v>
      </c>
      <c r="I863" s="12" t="e">
        <f>ROUND(#REF!*1000000/G863/H863,-3)</f>
        <v>#REF!</v>
      </c>
      <c r="J863" s="137"/>
      <c r="K863" s="13"/>
    </row>
    <row r="864" spans="1:11" ht="15" customHeight="1">
      <c r="A864" s="811"/>
      <c r="B864" s="811"/>
      <c r="C864" s="33">
        <f t="shared" si="130"/>
        <v>120</v>
      </c>
      <c r="D864" s="21" t="s">
        <v>707</v>
      </c>
      <c r="E864" s="25">
        <v>245500</v>
      </c>
      <c r="G864" s="8">
        <v>120</v>
      </c>
      <c r="H864" s="11">
        <f t="shared" si="129"/>
        <v>0.59720399999999996</v>
      </c>
      <c r="I864" s="12" t="e">
        <f>ROUND(#REF!*1000000/G864/H864,-3)</f>
        <v>#REF!</v>
      </c>
      <c r="J864" s="137"/>
      <c r="K864" s="13"/>
    </row>
    <row r="865" spans="1:11" ht="15" customHeight="1">
      <c r="A865" s="811" t="s">
        <v>708</v>
      </c>
      <c r="B865" s="810" t="s">
        <v>27</v>
      </c>
      <c r="C865" s="7">
        <v>180</v>
      </c>
      <c r="D865" s="9" t="s">
        <v>709</v>
      </c>
      <c r="E865" s="25">
        <v>520000</v>
      </c>
      <c r="G865" s="8">
        <v>180</v>
      </c>
      <c r="H865" s="11">
        <f t="shared" ref="H865:H869" si="131">0.788*1.091</f>
        <v>0.85970800000000003</v>
      </c>
      <c r="I865" s="12" t="e">
        <f>ROUND(#REF!*1000000/G865/H865,-3)</f>
        <v>#REF!</v>
      </c>
      <c r="J865" s="137"/>
      <c r="K865" s="13"/>
    </row>
    <row r="866" spans="1:11" ht="15" customHeight="1">
      <c r="A866" s="811"/>
      <c r="B866" s="810"/>
      <c r="C866" s="7">
        <f t="shared" ref="C866:C868" si="132">C865</f>
        <v>180</v>
      </c>
      <c r="D866" s="9" t="s">
        <v>710</v>
      </c>
      <c r="E866" s="25">
        <v>620000</v>
      </c>
      <c r="G866" s="8">
        <v>180</v>
      </c>
      <c r="H866" s="11">
        <f t="shared" si="131"/>
        <v>0.85970800000000003</v>
      </c>
      <c r="I866" s="12" t="e">
        <f>ROUND(#REF!*1000000/G866/H866,-3)</f>
        <v>#REF!</v>
      </c>
      <c r="J866" s="137"/>
      <c r="K866" s="13"/>
    </row>
    <row r="867" spans="1:11" ht="15" customHeight="1">
      <c r="A867" s="811"/>
      <c r="B867" s="810"/>
      <c r="C867" s="7">
        <f t="shared" si="132"/>
        <v>180</v>
      </c>
      <c r="D867" s="9" t="s">
        <v>711</v>
      </c>
      <c r="E867" s="25">
        <v>670000</v>
      </c>
      <c r="G867" s="8">
        <v>180</v>
      </c>
      <c r="H867" s="11">
        <f t="shared" si="131"/>
        <v>0.85970800000000003</v>
      </c>
      <c r="I867" s="12" t="e">
        <f>ROUND(#REF!*1000000/G867/H867,-3)</f>
        <v>#REF!</v>
      </c>
      <c r="J867" s="137"/>
      <c r="K867" s="13"/>
    </row>
    <row r="868" spans="1:11" ht="15" customHeight="1">
      <c r="A868" s="811"/>
      <c r="B868" s="810"/>
      <c r="C868" s="7">
        <f t="shared" si="132"/>
        <v>180</v>
      </c>
      <c r="D868" s="9" t="s">
        <v>712</v>
      </c>
      <c r="E868" s="25">
        <v>745000</v>
      </c>
      <c r="G868" s="8">
        <v>180</v>
      </c>
      <c r="H868" s="11">
        <f t="shared" si="131"/>
        <v>0.85970800000000003</v>
      </c>
      <c r="I868" s="12" t="e">
        <f>ROUND(#REF!*1000000/G868/H868,-3)</f>
        <v>#REF!</v>
      </c>
      <c r="J868" s="137"/>
      <c r="K868" s="13"/>
    </row>
    <row r="869" spans="1:11" ht="15" customHeight="1">
      <c r="A869" s="811"/>
      <c r="B869" s="810"/>
      <c r="C869" s="7">
        <v>200</v>
      </c>
      <c r="D869" s="9" t="s">
        <v>713</v>
      </c>
      <c r="E869" s="25">
        <v>570000</v>
      </c>
      <c r="G869" s="8">
        <v>200</v>
      </c>
      <c r="H869" s="11">
        <f t="shared" si="131"/>
        <v>0.85970800000000003</v>
      </c>
      <c r="I869" s="12" t="e">
        <f>ROUND(#REF!*1000000/G869/H869,-3)</f>
        <v>#REF!</v>
      </c>
      <c r="J869" s="137"/>
      <c r="K869" s="13"/>
    </row>
    <row r="870" spans="1:11" ht="15" customHeight="1">
      <c r="A870" s="811"/>
      <c r="B870" s="810" t="s">
        <v>216</v>
      </c>
      <c r="C870" s="7">
        <v>180</v>
      </c>
      <c r="D870" s="9" t="s">
        <v>709</v>
      </c>
      <c r="E870" s="25">
        <v>0</v>
      </c>
      <c r="G870" s="8">
        <v>180</v>
      </c>
      <c r="H870" s="11"/>
      <c r="I870" s="12"/>
      <c r="J870" s="137"/>
      <c r="K870" s="13"/>
    </row>
    <row r="871" spans="1:11" ht="15" customHeight="1">
      <c r="A871" s="811"/>
      <c r="B871" s="810"/>
      <c r="C871" s="7">
        <f t="shared" ref="C871:C873" si="133">C870</f>
        <v>180</v>
      </c>
      <c r="D871" s="9" t="s">
        <v>712</v>
      </c>
      <c r="E871" s="25">
        <v>0</v>
      </c>
      <c r="G871" s="8"/>
      <c r="H871" s="11"/>
      <c r="I871" s="12"/>
      <c r="J871" s="137"/>
      <c r="K871" s="13"/>
    </row>
    <row r="872" spans="1:11" ht="15" customHeight="1">
      <c r="A872" s="811"/>
      <c r="B872" s="810"/>
      <c r="C872" s="7">
        <f t="shared" si="133"/>
        <v>180</v>
      </c>
      <c r="D872" s="9" t="s">
        <v>714</v>
      </c>
      <c r="E872" s="25">
        <v>0</v>
      </c>
      <c r="G872" s="8"/>
      <c r="H872" s="11"/>
      <c r="I872" s="12"/>
      <c r="J872" s="137"/>
      <c r="K872" s="13"/>
    </row>
    <row r="873" spans="1:11" ht="15" customHeight="1">
      <c r="A873" s="811"/>
      <c r="B873" s="7" t="s">
        <v>61</v>
      </c>
      <c r="C873" s="7">
        <f t="shared" si="133"/>
        <v>180</v>
      </c>
      <c r="D873" s="9"/>
      <c r="E873" s="25">
        <v>0</v>
      </c>
      <c r="G873" s="8"/>
      <c r="H873" s="11"/>
      <c r="I873" s="12"/>
      <c r="J873" s="137"/>
      <c r="K873" s="13"/>
    </row>
    <row r="874" spans="1:11" ht="15" customHeight="1">
      <c r="A874" s="813" t="s">
        <v>715</v>
      </c>
      <c r="B874" s="814" t="s">
        <v>595</v>
      </c>
      <c r="C874" s="14">
        <v>190</v>
      </c>
      <c r="D874" s="9"/>
      <c r="E874" s="213">
        <v>265000</v>
      </c>
      <c r="G874" s="8">
        <v>190</v>
      </c>
      <c r="H874" s="11">
        <f t="shared" ref="H874:H878" si="134">0.788*1.091</f>
        <v>0.85970800000000003</v>
      </c>
      <c r="I874" s="12" t="e">
        <f>ROUND(#REF!*1000000/G874/H874,-3)</f>
        <v>#REF!</v>
      </c>
      <c r="J874" s="136">
        <v>335</v>
      </c>
      <c r="K874" s="13"/>
    </row>
    <row r="875" spans="1:11" ht="15" customHeight="1">
      <c r="A875" s="816"/>
      <c r="B875" s="804"/>
      <c r="C875" s="14">
        <v>225</v>
      </c>
      <c r="D875" s="9"/>
      <c r="E875" s="213">
        <v>315000</v>
      </c>
      <c r="G875" s="8">
        <v>225</v>
      </c>
      <c r="H875" s="11">
        <f t="shared" si="134"/>
        <v>0.85970800000000003</v>
      </c>
      <c r="I875" s="12" t="e">
        <f>ROUND(#REF!*1000000/G875/H875,-3)</f>
        <v>#REF!</v>
      </c>
      <c r="J875" s="136">
        <v>415</v>
      </c>
      <c r="K875" s="13"/>
    </row>
    <row r="876" spans="1:11" ht="15" customHeight="1">
      <c r="A876" s="816"/>
      <c r="B876" s="804"/>
      <c r="C876" s="14">
        <v>260</v>
      </c>
      <c r="D876" s="9"/>
      <c r="E876" s="213">
        <v>362500</v>
      </c>
      <c r="G876" s="8">
        <v>260</v>
      </c>
      <c r="H876" s="11">
        <f t="shared" si="134"/>
        <v>0.85970800000000003</v>
      </c>
      <c r="I876" s="12" t="e">
        <f>ROUND(#REF!*1000000/G876/H876,-3)</f>
        <v>#REF!</v>
      </c>
      <c r="J876" s="136">
        <v>485</v>
      </c>
      <c r="K876" s="13"/>
    </row>
    <row r="877" spans="1:11" ht="15" customHeight="1">
      <c r="A877" s="816"/>
      <c r="B877" s="804"/>
      <c r="C877" s="14">
        <v>295</v>
      </c>
      <c r="D877" s="9"/>
      <c r="E877" s="213">
        <v>412500</v>
      </c>
      <c r="G877" s="8">
        <v>295</v>
      </c>
      <c r="H877" s="11">
        <f t="shared" si="134"/>
        <v>0.85970800000000003</v>
      </c>
      <c r="I877" s="12" t="e">
        <f>ROUND(#REF!*1000000/G877/H877,-3)</f>
        <v>#REF!</v>
      </c>
      <c r="J877" s="136">
        <v>555</v>
      </c>
      <c r="K877" s="13"/>
    </row>
    <row r="878" spans="1:11" ht="15" customHeight="1">
      <c r="A878" s="816"/>
      <c r="B878" s="804"/>
      <c r="C878" s="14">
        <v>325</v>
      </c>
      <c r="D878" s="9"/>
      <c r="E878" s="213">
        <v>455000</v>
      </c>
      <c r="G878" s="8">
        <v>325</v>
      </c>
      <c r="H878" s="11">
        <f t="shared" si="134"/>
        <v>0.85970800000000003</v>
      </c>
      <c r="I878" s="12" t="e">
        <f>ROUND(#REF!*1000000/G878/H878,-3)</f>
        <v>#REF!</v>
      </c>
      <c r="J878" s="136">
        <v>610</v>
      </c>
      <c r="K878" s="13"/>
    </row>
    <row r="879" spans="1:11" ht="15" customHeight="1">
      <c r="A879" s="816"/>
      <c r="B879" s="814" t="s">
        <v>336</v>
      </c>
      <c r="C879" s="14">
        <v>190</v>
      </c>
      <c r="D879" s="9"/>
      <c r="E879" s="213">
        <v>185000</v>
      </c>
      <c r="G879" s="8">
        <v>190</v>
      </c>
      <c r="H879" s="11">
        <f>0.939*0.636</f>
        <v>0.59720399999999996</v>
      </c>
      <c r="I879" s="12" t="e">
        <f>ROUND(#REF!*1000000/G879/H879,-3)</f>
        <v>#REF!</v>
      </c>
      <c r="J879" s="136">
        <v>335</v>
      </c>
      <c r="K879" s="13"/>
    </row>
    <row r="880" spans="1:11" ht="15" customHeight="1">
      <c r="A880" s="816"/>
      <c r="B880" s="804"/>
      <c r="C880" s="14">
        <v>225</v>
      </c>
      <c r="D880" s="9"/>
      <c r="E880" s="213">
        <v>217500</v>
      </c>
      <c r="G880" s="8">
        <v>225</v>
      </c>
      <c r="H880" s="11">
        <f t="shared" ref="H880:H883" si="135">0.939*0.636</f>
        <v>0.59720399999999996</v>
      </c>
      <c r="I880" s="12" t="e">
        <f>ROUND(#REF!*1000000/G880/H880,-3)</f>
        <v>#REF!</v>
      </c>
      <c r="J880" s="136">
        <v>415</v>
      </c>
      <c r="K880" s="13"/>
    </row>
    <row r="881" spans="1:11" ht="15" customHeight="1">
      <c r="A881" s="816"/>
      <c r="B881" s="804"/>
      <c r="C881" s="14">
        <v>260</v>
      </c>
      <c r="D881" s="9"/>
      <c r="E881" s="213">
        <v>252500</v>
      </c>
      <c r="G881" s="8">
        <v>260</v>
      </c>
      <c r="H881" s="11">
        <f t="shared" si="135"/>
        <v>0.59720399999999996</v>
      </c>
      <c r="I881" s="12" t="e">
        <f>ROUND(#REF!*1000000/G881/H881,-3)</f>
        <v>#REF!</v>
      </c>
      <c r="J881" s="136">
        <v>485</v>
      </c>
      <c r="K881" s="13"/>
    </row>
    <row r="882" spans="1:11" ht="15" customHeight="1">
      <c r="A882" s="816"/>
      <c r="B882" s="804"/>
      <c r="C882" s="14">
        <v>295</v>
      </c>
      <c r="D882" s="9"/>
      <c r="E882" s="213">
        <v>287500</v>
      </c>
      <c r="G882" s="8">
        <v>295</v>
      </c>
      <c r="H882" s="11">
        <f t="shared" si="135"/>
        <v>0.59720399999999996</v>
      </c>
      <c r="I882" s="12" t="e">
        <f>ROUND(#REF!*1000000/G882/H882,-3)</f>
        <v>#REF!</v>
      </c>
      <c r="J882" s="136">
        <v>555</v>
      </c>
      <c r="K882" s="13"/>
    </row>
    <row r="883" spans="1:11" ht="15" customHeight="1">
      <c r="A883" s="817"/>
      <c r="B883" s="804"/>
      <c r="C883" s="14">
        <v>325</v>
      </c>
      <c r="D883" s="9"/>
      <c r="E883" s="213">
        <v>315000</v>
      </c>
      <c r="G883" s="8">
        <v>325</v>
      </c>
      <c r="H883" s="11">
        <f t="shared" si="135"/>
        <v>0.59720399999999996</v>
      </c>
      <c r="I883" s="12" t="e">
        <f>ROUND(#REF!*1000000/G883/H883,-3)</f>
        <v>#REF!</v>
      </c>
      <c r="J883" s="136">
        <v>610</v>
      </c>
      <c r="K883" s="13"/>
    </row>
    <row r="884" spans="1:11" ht="15" customHeight="1">
      <c r="A884" s="811" t="s">
        <v>716</v>
      </c>
      <c r="B884" s="19" t="s">
        <v>717</v>
      </c>
      <c r="C884" s="7">
        <v>300</v>
      </c>
      <c r="D884" s="9" t="s">
        <v>718</v>
      </c>
      <c r="E884" s="25">
        <v>820000</v>
      </c>
      <c r="G884" s="8">
        <v>300</v>
      </c>
      <c r="H884" s="11">
        <f>0.78*1.091</f>
        <v>0.85097999999999996</v>
      </c>
      <c r="I884" s="12" t="e">
        <f>ROUND(#REF!*1000000/G884/H884,-3)</f>
        <v>#REF!</v>
      </c>
      <c r="J884" s="137"/>
      <c r="K884" s="13"/>
    </row>
    <row r="885" spans="1:11" ht="15" customHeight="1">
      <c r="A885" s="811"/>
      <c r="B885" s="814" t="s">
        <v>719</v>
      </c>
      <c r="C885" s="7">
        <v>150</v>
      </c>
      <c r="D885" s="9" t="s">
        <v>720</v>
      </c>
      <c r="E885" s="25">
        <v>235000</v>
      </c>
      <c r="G885" s="8">
        <v>150</v>
      </c>
      <c r="H885" s="11">
        <f>0.78*0.545</f>
        <v>0.42510000000000003</v>
      </c>
      <c r="I885" s="12" t="e">
        <f>ROUND(#REF!*1000000/G885/H885,-3)</f>
        <v>#REF!</v>
      </c>
      <c r="J885" s="137"/>
      <c r="K885" s="13"/>
    </row>
    <row r="886" spans="1:11" ht="15" customHeight="1">
      <c r="A886" s="811"/>
      <c r="B886" s="805"/>
      <c r="C886" s="7">
        <v>300</v>
      </c>
      <c r="D886" s="9" t="s">
        <v>721</v>
      </c>
      <c r="E886" s="25">
        <v>555000</v>
      </c>
      <c r="G886" s="8">
        <v>300</v>
      </c>
      <c r="H886" s="11">
        <f>0.78*0.545</f>
        <v>0.42510000000000003</v>
      </c>
      <c r="I886" s="12" t="e">
        <f>ROUND(#REF!*1000000/G886/H886,-3)</f>
        <v>#REF!</v>
      </c>
      <c r="J886" s="137"/>
      <c r="K886" s="13"/>
    </row>
    <row r="887" spans="1:11" ht="15" customHeight="1">
      <c r="A887" s="813" t="s">
        <v>722</v>
      </c>
      <c r="B887" s="814" t="s">
        <v>218</v>
      </c>
      <c r="C887" s="14">
        <v>110</v>
      </c>
      <c r="D887" s="9" t="s">
        <v>2873</v>
      </c>
      <c r="E887" s="148">
        <v>615000</v>
      </c>
      <c r="G887" s="8">
        <v>110</v>
      </c>
      <c r="H887" s="11">
        <f>0.788*1.091</f>
        <v>0.85970800000000003</v>
      </c>
      <c r="I887" s="12" t="e">
        <f>ROUND(#REF!*1000000/G887/H887,-3)</f>
        <v>#REF!</v>
      </c>
      <c r="J887" s="137"/>
      <c r="K887" s="13"/>
    </row>
    <row r="888" spans="1:11" ht="15" customHeight="1">
      <c r="A888" s="816"/>
      <c r="B888" s="804"/>
      <c r="C888" s="7">
        <f t="shared" ref="C888:C891" si="136">C887</f>
        <v>110</v>
      </c>
      <c r="D888" s="9" t="s">
        <v>2874</v>
      </c>
      <c r="E888" s="148">
        <v>635000</v>
      </c>
      <c r="G888" s="8"/>
      <c r="H888" s="11"/>
      <c r="I888" s="12"/>
      <c r="J888" s="137"/>
      <c r="K888" s="13"/>
    </row>
    <row r="889" spans="1:11" ht="15" customHeight="1">
      <c r="A889" s="816"/>
      <c r="B889" s="804"/>
      <c r="C889" s="7">
        <f t="shared" si="136"/>
        <v>110</v>
      </c>
      <c r="D889" s="9" t="s">
        <v>2875</v>
      </c>
      <c r="E889" s="148">
        <v>660000</v>
      </c>
      <c r="G889" s="8"/>
      <c r="H889" s="11"/>
      <c r="I889" s="12"/>
      <c r="J889" s="137"/>
      <c r="K889" s="13"/>
    </row>
    <row r="890" spans="1:11" ht="15" customHeight="1">
      <c r="A890" s="816"/>
      <c r="B890" s="804"/>
      <c r="C890" s="7">
        <f t="shared" si="136"/>
        <v>110</v>
      </c>
      <c r="D890" s="9" t="s">
        <v>2876</v>
      </c>
      <c r="E890" s="148">
        <v>700000</v>
      </c>
      <c r="G890" s="8"/>
      <c r="H890" s="11"/>
      <c r="I890" s="12"/>
      <c r="J890" s="137"/>
      <c r="K890" s="13"/>
    </row>
    <row r="891" spans="1:11" ht="15" customHeight="1">
      <c r="A891" s="816"/>
      <c r="B891" s="804"/>
      <c r="C891" s="7">
        <f t="shared" si="136"/>
        <v>110</v>
      </c>
      <c r="D891" s="9" t="s">
        <v>2877</v>
      </c>
      <c r="E891" s="148">
        <v>760000</v>
      </c>
      <c r="G891" s="8"/>
      <c r="H891" s="11"/>
      <c r="I891" s="12"/>
      <c r="J891" s="137"/>
      <c r="K891" s="13"/>
    </row>
    <row r="892" spans="1:11" ht="15" customHeight="1">
      <c r="A892" s="817"/>
      <c r="B892" s="805"/>
      <c r="C892" s="14">
        <v>350</v>
      </c>
      <c r="D892" s="9" t="s">
        <v>2878</v>
      </c>
      <c r="E892" s="148">
        <v>1960000</v>
      </c>
      <c r="G892" s="8">
        <v>350</v>
      </c>
      <c r="H892" s="11">
        <f>0.788*1.091</f>
        <v>0.85970800000000003</v>
      </c>
      <c r="I892" s="12" t="e">
        <f>ROUND(#REF!*1000000/G892/H892,-3)</f>
        <v>#REF!</v>
      </c>
      <c r="J892" s="137"/>
      <c r="K892" s="13"/>
    </row>
    <row r="893" spans="1:11" ht="15" customHeight="1">
      <c r="A893" s="818" t="s">
        <v>4632</v>
      </c>
      <c r="B893" s="809" t="s">
        <v>595</v>
      </c>
      <c r="C893" s="14">
        <v>145</v>
      </c>
      <c r="D893" s="9" t="s">
        <v>2880</v>
      </c>
      <c r="E893" s="148">
        <v>370000</v>
      </c>
      <c r="G893" s="8"/>
      <c r="H893" s="11"/>
      <c r="I893" s="12"/>
      <c r="J893" s="137"/>
      <c r="K893" s="13"/>
    </row>
    <row r="894" spans="1:11" ht="15" customHeight="1">
      <c r="A894" s="816"/>
      <c r="B894" s="804"/>
      <c r="C894" s="14">
        <v>200</v>
      </c>
      <c r="D894" s="9" t="s">
        <v>2880</v>
      </c>
      <c r="E894" s="148">
        <v>510000</v>
      </c>
      <c r="G894" s="8"/>
      <c r="H894" s="11"/>
      <c r="I894" s="12"/>
      <c r="J894" s="137"/>
      <c r="K894" s="13"/>
    </row>
    <row r="895" spans="1:11" ht="15" customHeight="1">
      <c r="A895" s="816"/>
      <c r="B895" s="804"/>
      <c r="C895" s="14">
        <v>260</v>
      </c>
      <c r="D895" s="9" t="s">
        <v>2880</v>
      </c>
      <c r="E895" s="148">
        <v>670000</v>
      </c>
      <c r="G895" s="8"/>
      <c r="H895" s="11"/>
      <c r="I895" s="12"/>
      <c r="J895" s="137"/>
      <c r="K895" s="13"/>
    </row>
    <row r="896" spans="1:11" ht="15" customHeight="1">
      <c r="A896" s="816"/>
      <c r="B896" s="805"/>
      <c r="C896" s="14">
        <v>320</v>
      </c>
      <c r="D896" s="9" t="s">
        <v>2880</v>
      </c>
      <c r="E896" s="148">
        <v>820000</v>
      </c>
      <c r="G896" s="8"/>
      <c r="H896" s="11"/>
      <c r="I896" s="12"/>
      <c r="J896" s="137"/>
      <c r="K896" s="13"/>
    </row>
    <row r="897" spans="1:11" ht="15" customHeight="1">
      <c r="A897" s="816"/>
      <c r="B897" s="147" t="s">
        <v>2879</v>
      </c>
      <c r="C897" s="14">
        <v>260</v>
      </c>
      <c r="D897" s="9" t="s">
        <v>2881</v>
      </c>
      <c r="E897" s="148">
        <v>565000</v>
      </c>
      <c r="G897" s="8"/>
      <c r="H897" s="11"/>
      <c r="I897" s="12"/>
      <c r="J897" s="137"/>
      <c r="K897" s="13"/>
    </row>
    <row r="898" spans="1:11" ht="15" customHeight="1">
      <c r="A898" s="811" t="s">
        <v>723</v>
      </c>
      <c r="B898" s="810" t="s">
        <v>724</v>
      </c>
      <c r="C898" s="33">
        <v>140</v>
      </c>
      <c r="D898" s="21"/>
      <c r="E898" s="25">
        <v>1305000</v>
      </c>
      <c r="G898" s="8">
        <v>140</v>
      </c>
      <c r="H898" s="11">
        <f t="shared" ref="H898:H899" si="137">0.72*1.02</f>
        <v>0.73439999999999994</v>
      </c>
      <c r="I898" s="12" t="e">
        <f>ROUND(#REF!*1000000/G898/H898,-3)</f>
        <v>#REF!</v>
      </c>
      <c r="J898" s="137"/>
      <c r="K898" s="13"/>
    </row>
    <row r="899" spans="1:11" ht="15" customHeight="1">
      <c r="A899" s="811"/>
      <c r="B899" s="810"/>
      <c r="C899" s="33">
        <v>400</v>
      </c>
      <c r="D899" s="21"/>
      <c r="E899" s="25">
        <v>3735000</v>
      </c>
      <c r="G899" s="8">
        <v>400</v>
      </c>
      <c r="H899" s="11">
        <f t="shared" si="137"/>
        <v>0.73439999999999994</v>
      </c>
      <c r="I899" s="12" t="e">
        <f>ROUND(#REF!*1000000/G899/H899,-3)</f>
        <v>#REF!</v>
      </c>
      <c r="J899" s="137"/>
      <c r="K899" s="13"/>
    </row>
    <row r="900" spans="1:11" ht="15" customHeight="1">
      <c r="A900" s="811" t="s">
        <v>725</v>
      </c>
      <c r="B900" s="810" t="s">
        <v>27</v>
      </c>
      <c r="C900" s="7">
        <v>80</v>
      </c>
      <c r="D900" s="11" t="s">
        <v>726</v>
      </c>
      <c r="E900" s="148">
        <v>170000</v>
      </c>
      <c r="G900" s="8">
        <v>80</v>
      </c>
      <c r="H900" s="11">
        <f t="shared" ref="H900:H919" si="138">0.788*1.091</f>
        <v>0.85970800000000003</v>
      </c>
      <c r="I900" s="12" t="e">
        <f>ROUND(#REF!*1000000/G900/H900,-3)</f>
        <v>#REF!</v>
      </c>
      <c r="J900" s="136">
        <v>105</v>
      </c>
      <c r="K900" s="13"/>
    </row>
    <row r="901" spans="1:11" ht="15" customHeight="1">
      <c r="A901" s="811"/>
      <c r="B901" s="810"/>
      <c r="C901" s="7">
        <v>100</v>
      </c>
      <c r="D901" s="11" t="s">
        <v>727</v>
      </c>
      <c r="E901" s="148">
        <v>210000</v>
      </c>
      <c r="G901" s="8">
        <v>100</v>
      </c>
      <c r="H901" s="11">
        <f t="shared" si="138"/>
        <v>0.85970800000000003</v>
      </c>
      <c r="I901" s="12" t="e">
        <f>ROUND(#REF!*1000000/G901/H901,-3)</f>
        <v>#REF!</v>
      </c>
      <c r="J901" s="136">
        <v>113</v>
      </c>
      <c r="K901" s="13"/>
    </row>
    <row r="902" spans="1:11" ht="15" customHeight="1">
      <c r="A902" s="811"/>
      <c r="B902" s="810"/>
      <c r="C902" s="7">
        <v>120</v>
      </c>
      <c r="D902" s="11" t="s">
        <v>727</v>
      </c>
      <c r="E902" s="148">
        <v>255000</v>
      </c>
      <c r="G902" s="8">
        <v>120</v>
      </c>
      <c r="H902" s="11">
        <f t="shared" si="138"/>
        <v>0.85970800000000003</v>
      </c>
      <c r="I902" s="12" t="e">
        <f>ROUND(#REF!*1000000/G902/H902,-3)</f>
        <v>#REF!</v>
      </c>
      <c r="J902" s="136">
        <v>136</v>
      </c>
      <c r="K902" s="13"/>
    </row>
    <row r="903" spans="1:11" ht="15" customHeight="1">
      <c r="A903" s="811"/>
      <c r="B903" s="810"/>
      <c r="C903" s="7">
        <v>150</v>
      </c>
      <c r="D903" s="11" t="s">
        <v>727</v>
      </c>
      <c r="E903" s="148">
        <v>315000</v>
      </c>
      <c r="G903" s="8">
        <v>150</v>
      </c>
      <c r="H903" s="11">
        <f t="shared" si="138"/>
        <v>0.85970800000000003</v>
      </c>
      <c r="I903" s="12" t="e">
        <f>ROUND(#REF!*1000000/G903/H903,-3)</f>
        <v>#REF!</v>
      </c>
      <c r="J903" s="136">
        <v>170</v>
      </c>
      <c r="K903" s="13"/>
    </row>
    <row r="904" spans="1:11" ht="15" customHeight="1">
      <c r="A904" s="811"/>
      <c r="B904" s="810"/>
      <c r="C904" s="7">
        <v>170</v>
      </c>
      <c r="D904" s="11" t="s">
        <v>727</v>
      </c>
      <c r="E904" s="148">
        <v>360000</v>
      </c>
      <c r="G904" s="8">
        <v>170</v>
      </c>
      <c r="H904" s="11">
        <f t="shared" si="138"/>
        <v>0.85970800000000003</v>
      </c>
      <c r="I904" s="12" t="e">
        <f>ROUND(#REF!*1000000/G904/H904,-3)</f>
        <v>#REF!</v>
      </c>
      <c r="J904" s="136">
        <v>192</v>
      </c>
      <c r="K904" s="13"/>
    </row>
    <row r="905" spans="1:11" ht="15" customHeight="1">
      <c r="A905" s="811"/>
      <c r="B905" s="810"/>
      <c r="C905" s="7">
        <v>200</v>
      </c>
      <c r="D905" s="11" t="s">
        <v>727</v>
      </c>
      <c r="E905" s="148">
        <v>425000</v>
      </c>
      <c r="G905" s="8">
        <v>200</v>
      </c>
      <c r="H905" s="11">
        <f t="shared" si="138"/>
        <v>0.85970800000000003</v>
      </c>
      <c r="I905" s="12" t="e">
        <f>ROUND(#REF!*1000000/G905/H905,-3)</f>
        <v>#REF!</v>
      </c>
      <c r="J905" s="136">
        <v>226</v>
      </c>
      <c r="K905" s="13"/>
    </row>
    <row r="906" spans="1:11" ht="15" customHeight="1">
      <c r="A906" s="811"/>
      <c r="B906" s="810"/>
      <c r="C906" s="7">
        <v>240</v>
      </c>
      <c r="D906" s="11" t="s">
        <v>727</v>
      </c>
      <c r="E906" s="148">
        <v>510000</v>
      </c>
      <c r="G906" s="8">
        <v>240</v>
      </c>
      <c r="H906" s="11">
        <f t="shared" si="138"/>
        <v>0.85970800000000003</v>
      </c>
      <c r="I906" s="12" t="e">
        <f>ROUND(#REF!*1000000/G906/H906,-3)</f>
        <v>#REF!</v>
      </c>
      <c r="J906" s="136">
        <v>271</v>
      </c>
      <c r="K906" s="13"/>
    </row>
    <row r="907" spans="1:11" ht="15" customHeight="1">
      <c r="A907" s="811"/>
      <c r="B907" s="810"/>
      <c r="C907" s="7">
        <v>300</v>
      </c>
      <c r="D907" s="11" t="s">
        <v>727</v>
      </c>
      <c r="E907" s="148">
        <v>810000</v>
      </c>
      <c r="G907" s="8">
        <v>300</v>
      </c>
      <c r="H907" s="11">
        <f t="shared" si="138"/>
        <v>0.85970800000000003</v>
      </c>
      <c r="I907" s="12" t="e">
        <f>ROUND(#REF!*1000000/G907/H907,-3)</f>
        <v>#REF!</v>
      </c>
      <c r="J907" s="136">
        <v>339</v>
      </c>
      <c r="K907" s="13"/>
    </row>
    <row r="908" spans="1:11" ht="15" customHeight="1">
      <c r="A908" s="811"/>
      <c r="B908" s="810"/>
      <c r="C908" s="7">
        <v>400</v>
      </c>
      <c r="D908" s="9" t="s">
        <v>728</v>
      </c>
      <c r="E908" s="148">
        <v>1080000</v>
      </c>
      <c r="G908" s="8">
        <v>400</v>
      </c>
      <c r="H908" s="11">
        <f t="shared" si="138"/>
        <v>0.85970800000000003</v>
      </c>
      <c r="I908" s="12" t="e">
        <f>ROUND(#REF!*1000000/G908/H908,-3)</f>
        <v>#REF!</v>
      </c>
      <c r="J908" s="136">
        <v>452</v>
      </c>
      <c r="K908" s="13"/>
    </row>
    <row r="909" spans="1:11" ht="15" customHeight="1">
      <c r="A909" s="811"/>
      <c r="B909" s="810"/>
      <c r="C909" s="7">
        <v>100</v>
      </c>
      <c r="D909" s="11" t="s">
        <v>729</v>
      </c>
      <c r="E909" s="148">
        <v>210000</v>
      </c>
      <c r="G909" s="8">
        <v>100</v>
      </c>
      <c r="H909" s="11">
        <f t="shared" si="138"/>
        <v>0.85970800000000003</v>
      </c>
      <c r="I909" s="12" t="e">
        <f>ROUND(#REF!*1000000/G909/H909,-3)</f>
        <v>#REF!</v>
      </c>
      <c r="J909" s="136">
        <v>140</v>
      </c>
      <c r="K909" s="13"/>
    </row>
    <row r="910" spans="1:11" ht="15" customHeight="1">
      <c r="A910" s="811"/>
      <c r="B910" s="810"/>
      <c r="C910" s="7">
        <v>120</v>
      </c>
      <c r="D910" s="11" t="s">
        <v>729</v>
      </c>
      <c r="E910" s="148">
        <v>255000</v>
      </c>
      <c r="G910" s="8">
        <v>120</v>
      </c>
      <c r="H910" s="11">
        <f t="shared" si="138"/>
        <v>0.85970800000000003</v>
      </c>
      <c r="I910" s="12" t="e">
        <f>ROUND(#REF!*1000000/G910/H910,-3)</f>
        <v>#REF!</v>
      </c>
      <c r="J910" s="136">
        <v>168</v>
      </c>
      <c r="K910" s="13"/>
    </row>
    <row r="911" spans="1:11" ht="15" customHeight="1">
      <c r="A911" s="811"/>
      <c r="B911" s="810"/>
      <c r="C911" s="7">
        <v>150</v>
      </c>
      <c r="D911" s="11" t="s">
        <v>729</v>
      </c>
      <c r="E911" s="148">
        <v>315000</v>
      </c>
      <c r="G911" s="8">
        <v>150</v>
      </c>
      <c r="H911" s="11">
        <f t="shared" si="138"/>
        <v>0.85970800000000003</v>
      </c>
      <c r="I911" s="12" t="e">
        <f>ROUND(#REF!*1000000/G911/H911,-3)</f>
        <v>#REF!</v>
      </c>
      <c r="J911" s="136">
        <v>210</v>
      </c>
      <c r="K911" s="13"/>
    </row>
    <row r="912" spans="1:11" ht="15" customHeight="1">
      <c r="A912" s="811"/>
      <c r="B912" s="810"/>
      <c r="C912" s="7">
        <v>170</v>
      </c>
      <c r="D912" s="11" t="s">
        <v>729</v>
      </c>
      <c r="E912" s="148">
        <v>360000</v>
      </c>
      <c r="G912" s="8">
        <v>170</v>
      </c>
      <c r="H912" s="11">
        <f t="shared" si="138"/>
        <v>0.85970800000000003</v>
      </c>
      <c r="I912" s="12" t="e">
        <f>ROUND(#REF!*1000000/G912/H912,-3)</f>
        <v>#REF!</v>
      </c>
      <c r="J912" s="136">
        <v>238</v>
      </c>
      <c r="K912" s="13"/>
    </row>
    <row r="913" spans="1:11" ht="15" customHeight="1">
      <c r="A913" s="811"/>
      <c r="B913" s="810"/>
      <c r="C913" s="7">
        <v>300</v>
      </c>
      <c r="D913" s="11" t="s">
        <v>729</v>
      </c>
      <c r="E913" s="148">
        <v>810000</v>
      </c>
      <c r="G913" s="8">
        <v>300</v>
      </c>
      <c r="H913" s="11">
        <f t="shared" si="138"/>
        <v>0.85970800000000003</v>
      </c>
      <c r="I913" s="12" t="e">
        <f>ROUND(#REF!*1000000/G913/H913,-3)</f>
        <v>#REF!</v>
      </c>
      <c r="J913" s="136">
        <v>420</v>
      </c>
      <c r="K913" s="13"/>
    </row>
    <row r="914" spans="1:11" ht="15" customHeight="1">
      <c r="A914" s="811"/>
      <c r="B914" s="810"/>
      <c r="C914" s="14">
        <v>100</v>
      </c>
      <c r="D914" s="11" t="s">
        <v>730</v>
      </c>
      <c r="E914" s="148">
        <v>195000</v>
      </c>
      <c r="G914" s="14">
        <v>100</v>
      </c>
      <c r="H914" s="11">
        <f t="shared" si="138"/>
        <v>0.85970800000000003</v>
      </c>
      <c r="I914" s="12" t="e">
        <f>ROUND(#REF!*1000000/G914/H914,-3)</f>
        <v>#REF!</v>
      </c>
      <c r="J914" s="136">
        <v>113</v>
      </c>
      <c r="K914" s="13"/>
    </row>
    <row r="915" spans="1:11" ht="15" customHeight="1">
      <c r="A915" s="811"/>
      <c r="B915" s="810"/>
      <c r="C915" s="14">
        <v>130</v>
      </c>
      <c r="D915" s="11" t="s">
        <v>730</v>
      </c>
      <c r="E915" s="148">
        <v>252500</v>
      </c>
      <c r="G915" s="14">
        <v>130</v>
      </c>
      <c r="H915" s="11">
        <f t="shared" si="138"/>
        <v>0.85970800000000003</v>
      </c>
      <c r="I915" s="12" t="e">
        <f>ROUND(#REF!*1000000/G915/H915,-3)</f>
        <v>#REF!</v>
      </c>
      <c r="J915" s="136">
        <v>147</v>
      </c>
      <c r="K915" s="13"/>
    </row>
    <row r="916" spans="1:11" ht="15" customHeight="1">
      <c r="A916" s="811"/>
      <c r="B916" s="810"/>
      <c r="C916" s="14">
        <v>150</v>
      </c>
      <c r="D916" s="11" t="s">
        <v>730</v>
      </c>
      <c r="E916" s="148">
        <v>292500</v>
      </c>
      <c r="G916" s="14">
        <v>150</v>
      </c>
      <c r="H916" s="11">
        <f t="shared" si="138"/>
        <v>0.85970800000000003</v>
      </c>
      <c r="I916" s="12" t="e">
        <f>ROUND(#REF!*1000000/G916/H916,-3)</f>
        <v>#REF!</v>
      </c>
      <c r="J916" s="136">
        <v>170</v>
      </c>
      <c r="K916" s="13"/>
    </row>
    <row r="917" spans="1:11" ht="15" customHeight="1">
      <c r="A917" s="811"/>
      <c r="B917" s="810"/>
      <c r="C917" s="14">
        <v>200</v>
      </c>
      <c r="D917" s="11" t="s">
        <v>730</v>
      </c>
      <c r="E917" s="148">
        <v>390000</v>
      </c>
      <c r="G917" s="14">
        <v>200</v>
      </c>
      <c r="H917" s="11">
        <f t="shared" si="138"/>
        <v>0.85970800000000003</v>
      </c>
      <c r="I917" s="12" t="e">
        <f>ROUND(#REF!*1000000/G917/H917,-3)</f>
        <v>#REF!</v>
      </c>
      <c r="J917" s="136">
        <v>226</v>
      </c>
      <c r="K917" s="13"/>
    </row>
    <row r="918" spans="1:11" ht="15" customHeight="1">
      <c r="A918" s="811"/>
      <c r="B918" s="810"/>
      <c r="C918" s="14">
        <v>240</v>
      </c>
      <c r="D918" s="11" t="s">
        <v>730</v>
      </c>
      <c r="E918" s="148">
        <v>467500</v>
      </c>
      <c r="G918" s="14">
        <v>240</v>
      </c>
      <c r="H918" s="11">
        <f t="shared" si="138"/>
        <v>0.85970800000000003</v>
      </c>
      <c r="I918" s="12" t="e">
        <f>ROUND(#REF!*1000000/G918/H918,-3)</f>
        <v>#REF!</v>
      </c>
      <c r="J918" s="136">
        <v>271</v>
      </c>
      <c r="K918" s="13"/>
    </row>
    <row r="919" spans="1:11" ht="15" customHeight="1">
      <c r="A919" s="811"/>
      <c r="B919" s="810"/>
      <c r="C919" s="14">
        <v>300</v>
      </c>
      <c r="D919" s="11" t="s">
        <v>730</v>
      </c>
      <c r="E919" s="148">
        <v>740000</v>
      </c>
      <c r="G919" s="14">
        <v>300</v>
      </c>
      <c r="H919" s="11">
        <f t="shared" si="138"/>
        <v>0.85970800000000003</v>
      </c>
      <c r="I919" s="12" t="e">
        <f>ROUND(#REF!*1000000/G919/H919,-3)</f>
        <v>#REF!</v>
      </c>
      <c r="J919" s="136">
        <v>339</v>
      </c>
      <c r="K919" s="13"/>
    </row>
    <row r="920" spans="1:11" ht="15" customHeight="1">
      <c r="A920" s="811"/>
      <c r="B920" s="814" t="s">
        <v>28</v>
      </c>
      <c r="C920" s="7">
        <v>80</v>
      </c>
      <c r="D920" s="11" t="s">
        <v>726</v>
      </c>
      <c r="E920" s="148">
        <v>117500</v>
      </c>
      <c r="G920" s="8">
        <v>80</v>
      </c>
      <c r="H920" s="11">
        <f t="shared" ref="H920:H939" si="139">0.636*0.939</f>
        <v>0.59720399999999996</v>
      </c>
      <c r="I920" s="12" t="e">
        <f>ROUND(#REF!*1000000/G920/H920,-3)</f>
        <v>#REF!</v>
      </c>
      <c r="J920" s="136">
        <v>105</v>
      </c>
      <c r="K920" s="13"/>
    </row>
    <row r="921" spans="1:11" ht="15" customHeight="1">
      <c r="A921" s="811"/>
      <c r="B921" s="804"/>
      <c r="C921" s="7">
        <v>100</v>
      </c>
      <c r="D921" s="11" t="s">
        <v>727</v>
      </c>
      <c r="E921" s="148">
        <v>145000</v>
      </c>
      <c r="G921" s="8">
        <v>100</v>
      </c>
      <c r="H921" s="11">
        <f t="shared" si="139"/>
        <v>0.59720399999999996</v>
      </c>
      <c r="I921" s="12" t="e">
        <f>ROUND(#REF!*1000000/G921/H921,-3)</f>
        <v>#REF!</v>
      </c>
      <c r="J921" s="136">
        <v>113</v>
      </c>
      <c r="K921" s="13"/>
    </row>
    <row r="922" spans="1:11" ht="15" customHeight="1">
      <c r="A922" s="811"/>
      <c r="B922" s="804"/>
      <c r="C922" s="7">
        <v>120</v>
      </c>
      <c r="D922" s="11" t="s">
        <v>727</v>
      </c>
      <c r="E922" s="148">
        <v>177500</v>
      </c>
      <c r="G922" s="8">
        <v>120</v>
      </c>
      <c r="H922" s="11">
        <f t="shared" si="139"/>
        <v>0.59720399999999996</v>
      </c>
      <c r="I922" s="12" t="e">
        <f>ROUND(#REF!*1000000/G922/H922,-3)</f>
        <v>#REF!</v>
      </c>
      <c r="J922" s="136">
        <v>136</v>
      </c>
      <c r="K922" s="13"/>
    </row>
    <row r="923" spans="1:11" ht="15" customHeight="1">
      <c r="A923" s="811"/>
      <c r="B923" s="804"/>
      <c r="C923" s="7">
        <v>150</v>
      </c>
      <c r="D923" s="11" t="s">
        <v>727</v>
      </c>
      <c r="E923" s="148">
        <v>217500</v>
      </c>
      <c r="G923" s="8">
        <v>150</v>
      </c>
      <c r="H923" s="11">
        <f t="shared" si="139"/>
        <v>0.59720399999999996</v>
      </c>
      <c r="I923" s="12" t="e">
        <f>ROUND(#REF!*1000000/G923/H923,-3)</f>
        <v>#REF!</v>
      </c>
      <c r="J923" s="136">
        <v>170</v>
      </c>
      <c r="K923" s="13"/>
    </row>
    <row r="924" spans="1:11" ht="15" customHeight="1">
      <c r="A924" s="811"/>
      <c r="B924" s="804"/>
      <c r="C924" s="7">
        <v>170</v>
      </c>
      <c r="D924" s="11" t="s">
        <v>727</v>
      </c>
      <c r="E924" s="148">
        <v>250000</v>
      </c>
      <c r="G924" s="8">
        <v>170</v>
      </c>
      <c r="H924" s="11">
        <f t="shared" si="139"/>
        <v>0.59720399999999996</v>
      </c>
      <c r="I924" s="12" t="e">
        <f>ROUND(#REF!*1000000/G924/H924,-3)</f>
        <v>#REF!</v>
      </c>
      <c r="J924" s="136">
        <v>192</v>
      </c>
      <c r="K924" s="13"/>
    </row>
    <row r="925" spans="1:11" ht="15" customHeight="1">
      <c r="A925" s="811"/>
      <c r="B925" s="804"/>
      <c r="C925" s="7">
        <v>200</v>
      </c>
      <c r="D925" s="11" t="s">
        <v>727</v>
      </c>
      <c r="E925" s="148">
        <v>295000</v>
      </c>
      <c r="G925" s="8">
        <v>200</v>
      </c>
      <c r="H925" s="11">
        <f t="shared" si="139"/>
        <v>0.59720399999999996</v>
      </c>
      <c r="I925" s="12" t="e">
        <f>ROUND(#REF!*1000000/G925/H925,-3)</f>
        <v>#REF!</v>
      </c>
      <c r="J925" s="136">
        <v>226</v>
      </c>
      <c r="K925" s="13"/>
    </row>
    <row r="926" spans="1:11" ht="15" customHeight="1">
      <c r="A926" s="811"/>
      <c r="B926" s="804"/>
      <c r="C926" s="7">
        <v>240</v>
      </c>
      <c r="D926" s="11" t="s">
        <v>727</v>
      </c>
      <c r="E926" s="148">
        <v>355000</v>
      </c>
      <c r="G926" s="8">
        <v>240</v>
      </c>
      <c r="H926" s="11">
        <f t="shared" si="139"/>
        <v>0.59720399999999996</v>
      </c>
      <c r="I926" s="12" t="e">
        <f>ROUND(#REF!*1000000/G926/H926,-3)</f>
        <v>#REF!</v>
      </c>
      <c r="J926" s="136">
        <v>271</v>
      </c>
      <c r="K926" s="13"/>
    </row>
    <row r="927" spans="1:11" ht="15" customHeight="1">
      <c r="A927" s="811"/>
      <c r="B927" s="804"/>
      <c r="C927" s="7">
        <v>300</v>
      </c>
      <c r="D927" s="11" t="s">
        <v>727</v>
      </c>
      <c r="E927" s="148">
        <v>562500</v>
      </c>
      <c r="G927" s="8">
        <v>300</v>
      </c>
      <c r="H927" s="11">
        <f t="shared" si="139"/>
        <v>0.59720399999999996</v>
      </c>
      <c r="I927" s="12" t="e">
        <f>ROUND(#REF!*1000000/G927/H927,-3)</f>
        <v>#REF!</v>
      </c>
      <c r="J927" s="136">
        <v>339</v>
      </c>
      <c r="K927" s="13"/>
    </row>
    <row r="928" spans="1:11" ht="15" customHeight="1">
      <c r="A928" s="811"/>
      <c r="B928" s="804"/>
      <c r="C928" s="7">
        <v>400</v>
      </c>
      <c r="D928" s="11" t="s">
        <v>731</v>
      </c>
      <c r="E928" s="148">
        <v>750000</v>
      </c>
      <c r="G928" s="8">
        <v>400</v>
      </c>
      <c r="H928" s="11">
        <f t="shared" si="139"/>
        <v>0.59720399999999996</v>
      </c>
      <c r="I928" s="12" t="e">
        <f>ROUND(#REF!*1000000/G928/H928,-3)</f>
        <v>#REF!</v>
      </c>
      <c r="J928" s="136">
        <v>452</v>
      </c>
      <c r="K928" s="13"/>
    </row>
    <row r="929" spans="1:11" ht="15" customHeight="1">
      <c r="A929" s="811"/>
      <c r="B929" s="804"/>
      <c r="C929" s="7">
        <v>100</v>
      </c>
      <c r="D929" s="11" t="s">
        <v>729</v>
      </c>
      <c r="E929" s="148">
        <v>145000</v>
      </c>
      <c r="G929" s="8">
        <v>100</v>
      </c>
      <c r="H929" s="11">
        <f t="shared" si="139"/>
        <v>0.59720399999999996</v>
      </c>
      <c r="I929" s="12" t="e">
        <f>ROUND(#REF!*1000000/G929/H929,-3)</f>
        <v>#REF!</v>
      </c>
      <c r="J929" s="136">
        <v>140</v>
      </c>
      <c r="K929" s="13"/>
    </row>
    <row r="930" spans="1:11" ht="15" customHeight="1">
      <c r="A930" s="811"/>
      <c r="B930" s="804"/>
      <c r="C930" s="7">
        <v>120</v>
      </c>
      <c r="D930" s="11" t="s">
        <v>729</v>
      </c>
      <c r="E930" s="148">
        <v>177500</v>
      </c>
      <c r="G930" s="8">
        <v>120</v>
      </c>
      <c r="H930" s="11">
        <f t="shared" si="139"/>
        <v>0.59720399999999996</v>
      </c>
      <c r="I930" s="12" t="e">
        <f>ROUND(#REF!*1000000/G930/H930,-3)</f>
        <v>#REF!</v>
      </c>
      <c r="J930" s="136">
        <v>168</v>
      </c>
      <c r="K930" s="13"/>
    </row>
    <row r="931" spans="1:11" ht="15" customHeight="1">
      <c r="A931" s="811"/>
      <c r="B931" s="804"/>
      <c r="C931" s="7">
        <v>150</v>
      </c>
      <c r="D931" s="11" t="s">
        <v>729</v>
      </c>
      <c r="E931" s="148">
        <v>217500</v>
      </c>
      <c r="G931" s="8">
        <v>150</v>
      </c>
      <c r="H931" s="11">
        <f t="shared" si="139"/>
        <v>0.59720399999999996</v>
      </c>
      <c r="I931" s="12" t="e">
        <f>ROUND(#REF!*1000000/G931/H931,-3)</f>
        <v>#REF!</v>
      </c>
      <c r="J931" s="136">
        <v>210</v>
      </c>
      <c r="K931" s="13"/>
    </row>
    <row r="932" spans="1:11" ht="15" customHeight="1">
      <c r="A932" s="811"/>
      <c r="B932" s="804"/>
      <c r="C932" s="7">
        <v>170</v>
      </c>
      <c r="D932" s="11" t="s">
        <v>729</v>
      </c>
      <c r="E932" s="148">
        <v>250000</v>
      </c>
      <c r="G932" s="8">
        <v>170</v>
      </c>
      <c r="H932" s="11">
        <f t="shared" si="139"/>
        <v>0.59720399999999996</v>
      </c>
      <c r="I932" s="12" t="e">
        <f>ROUND(#REF!*1000000/G932/H932,-3)</f>
        <v>#REF!</v>
      </c>
      <c r="J932" s="136">
        <v>238</v>
      </c>
      <c r="K932" s="13"/>
    </row>
    <row r="933" spans="1:11" ht="15" customHeight="1">
      <c r="A933" s="811"/>
      <c r="B933" s="804"/>
      <c r="C933" s="7">
        <v>300</v>
      </c>
      <c r="D933" s="11" t="s">
        <v>729</v>
      </c>
      <c r="E933" s="148">
        <v>562500</v>
      </c>
      <c r="G933" s="8">
        <v>300</v>
      </c>
      <c r="H933" s="11">
        <f t="shared" si="139"/>
        <v>0.59720399999999996</v>
      </c>
      <c r="I933" s="12" t="e">
        <f>ROUND(#REF!*1000000/G933/H933,-3)</f>
        <v>#REF!</v>
      </c>
      <c r="J933" s="136">
        <v>420</v>
      </c>
      <c r="K933" s="13"/>
    </row>
    <row r="934" spans="1:11" ht="15" customHeight="1">
      <c r="A934" s="811"/>
      <c r="B934" s="804"/>
      <c r="C934" s="14">
        <v>100</v>
      </c>
      <c r="D934" s="9" t="s">
        <v>730</v>
      </c>
      <c r="E934" s="148">
        <v>135000</v>
      </c>
      <c r="G934" s="14">
        <v>100</v>
      </c>
      <c r="H934" s="11">
        <f t="shared" si="139"/>
        <v>0.59720399999999996</v>
      </c>
      <c r="I934" s="12" t="e">
        <f>ROUND(#REF!*1000000/G934/H934,-3)</f>
        <v>#REF!</v>
      </c>
      <c r="J934" s="136">
        <v>113</v>
      </c>
      <c r="K934" s="13"/>
    </row>
    <row r="935" spans="1:11" ht="15" customHeight="1">
      <c r="A935" s="811"/>
      <c r="B935" s="804"/>
      <c r="C935" s="14">
        <v>130</v>
      </c>
      <c r="D935" s="9" t="s">
        <v>730</v>
      </c>
      <c r="E935" s="148">
        <v>175000</v>
      </c>
      <c r="G935" s="14">
        <v>130</v>
      </c>
      <c r="H935" s="11">
        <f t="shared" si="139"/>
        <v>0.59720399999999996</v>
      </c>
      <c r="I935" s="12" t="e">
        <f>ROUND(#REF!*1000000/G935/H935,-3)</f>
        <v>#REF!</v>
      </c>
      <c r="J935" s="136">
        <v>147</v>
      </c>
      <c r="K935" s="13"/>
    </row>
    <row r="936" spans="1:11" ht="15" customHeight="1">
      <c r="A936" s="811"/>
      <c r="B936" s="804"/>
      <c r="C936" s="14">
        <v>150</v>
      </c>
      <c r="D936" s="9" t="s">
        <v>730</v>
      </c>
      <c r="E936" s="148">
        <v>202500</v>
      </c>
      <c r="G936" s="14">
        <v>150</v>
      </c>
      <c r="H936" s="11">
        <f t="shared" si="139"/>
        <v>0.59720399999999996</v>
      </c>
      <c r="I936" s="12" t="e">
        <f>ROUND(#REF!*1000000/G936/H936,-3)</f>
        <v>#REF!</v>
      </c>
      <c r="J936" s="136">
        <v>170</v>
      </c>
      <c r="K936" s="13"/>
    </row>
    <row r="937" spans="1:11" s="1" customFormat="1" ht="15" customHeight="1">
      <c r="A937" s="811"/>
      <c r="B937" s="804"/>
      <c r="C937" s="14">
        <v>200</v>
      </c>
      <c r="D937" s="9" t="s">
        <v>730</v>
      </c>
      <c r="E937" s="148">
        <v>270000</v>
      </c>
      <c r="G937" s="14">
        <v>200</v>
      </c>
      <c r="H937" s="11">
        <f t="shared" si="139"/>
        <v>0.59720399999999996</v>
      </c>
      <c r="I937" s="12" t="e">
        <f>ROUND(#REF!*1000000/G937/H937,-3)</f>
        <v>#REF!</v>
      </c>
      <c r="J937" s="136">
        <v>226</v>
      </c>
      <c r="K937" s="13"/>
    </row>
    <row r="938" spans="1:11" ht="15" customHeight="1">
      <c r="A938" s="811"/>
      <c r="B938" s="804"/>
      <c r="C938" s="14">
        <v>240</v>
      </c>
      <c r="D938" s="9" t="s">
        <v>730</v>
      </c>
      <c r="E938" s="148">
        <v>325000</v>
      </c>
      <c r="G938" s="14">
        <v>240</v>
      </c>
      <c r="H938" s="11">
        <f t="shared" si="139"/>
        <v>0.59720399999999996</v>
      </c>
      <c r="I938" s="12" t="e">
        <f>ROUND(#REF!*1000000/G938/H938,-3)</f>
        <v>#REF!</v>
      </c>
      <c r="J938" s="136">
        <v>271</v>
      </c>
      <c r="K938" s="13"/>
    </row>
    <row r="939" spans="1:11" ht="15" customHeight="1">
      <c r="A939" s="811"/>
      <c r="B939" s="805"/>
      <c r="C939" s="14">
        <v>300</v>
      </c>
      <c r="D939" s="9" t="s">
        <v>730</v>
      </c>
      <c r="E939" s="148">
        <v>515000</v>
      </c>
      <c r="G939" s="14">
        <v>300</v>
      </c>
      <c r="H939" s="11">
        <f t="shared" si="139"/>
        <v>0.59720399999999996</v>
      </c>
      <c r="I939" s="12" t="e">
        <f>ROUND(#REF!*1000000/G939/H939,-3)</f>
        <v>#REF!</v>
      </c>
      <c r="J939" s="136">
        <v>339</v>
      </c>
      <c r="K939" s="13"/>
    </row>
    <row r="940" spans="1:11" ht="15" customHeight="1">
      <c r="A940" s="811" t="s">
        <v>732</v>
      </c>
      <c r="B940" s="810" t="s">
        <v>724</v>
      </c>
      <c r="C940" s="7">
        <v>70</v>
      </c>
      <c r="D940" s="9"/>
      <c r="E940" s="25">
        <v>127500</v>
      </c>
      <c r="G940" s="8">
        <v>70</v>
      </c>
      <c r="H940" s="11">
        <f>0.72*1.02</f>
        <v>0.73439999999999994</v>
      </c>
      <c r="I940" s="12" t="e">
        <f>ROUND(#REF!*1000000/G940/H940,-3)</f>
        <v>#REF!</v>
      </c>
      <c r="J940" s="136">
        <v>124</v>
      </c>
      <c r="K940" s="13"/>
    </row>
    <row r="941" spans="1:11" ht="15" customHeight="1">
      <c r="A941" s="811"/>
      <c r="B941" s="810"/>
      <c r="C941" s="7">
        <v>80</v>
      </c>
      <c r="D941" s="9"/>
      <c r="E941" s="25">
        <v>146500</v>
      </c>
      <c r="G941" s="8">
        <v>80</v>
      </c>
      <c r="H941" s="11">
        <f t="shared" ref="H941:H942" si="140">0.72*1.02</f>
        <v>0.73439999999999994</v>
      </c>
      <c r="I941" s="12" t="e">
        <f>ROUND(#REF!*1000000/G941/H941,-3)</f>
        <v>#REF!</v>
      </c>
      <c r="J941" s="136">
        <v>144</v>
      </c>
      <c r="K941" s="13"/>
    </row>
    <row r="942" spans="1:11" ht="15" customHeight="1">
      <c r="A942" s="811"/>
      <c r="B942" s="810"/>
      <c r="C942" s="7">
        <v>90</v>
      </c>
      <c r="D942" s="9"/>
      <c r="E942" s="25">
        <v>150000</v>
      </c>
      <c r="G942" s="8">
        <v>90</v>
      </c>
      <c r="H942" s="11">
        <f t="shared" si="140"/>
        <v>0.73439999999999994</v>
      </c>
      <c r="I942" s="12" t="e">
        <f>ROUND(#REF!*1000000/G942/H942,-3)</f>
        <v>#REF!</v>
      </c>
      <c r="J942" s="136">
        <v>162</v>
      </c>
      <c r="K942" s="13"/>
    </row>
    <row r="943" spans="1:11" ht="15" customHeight="1">
      <c r="A943" s="811"/>
      <c r="B943" s="810" t="s">
        <v>344</v>
      </c>
      <c r="C943" s="7">
        <v>70</v>
      </c>
      <c r="D943" s="9"/>
      <c r="E943" s="25">
        <v>103500</v>
      </c>
      <c r="G943" s="8">
        <v>70</v>
      </c>
      <c r="H943" s="11">
        <f t="shared" ref="H943:H947" si="141">0.636*0.939</f>
        <v>0.59720399999999996</v>
      </c>
      <c r="I943" s="12" t="e">
        <f>ROUND(#REF!*1000000/G943/H943,-3)</f>
        <v>#REF!</v>
      </c>
      <c r="J943" s="136">
        <v>120</v>
      </c>
      <c r="K943" s="13"/>
    </row>
    <row r="944" spans="1:11" ht="15" customHeight="1">
      <c r="A944" s="811"/>
      <c r="B944" s="810"/>
      <c r="C944" s="7">
        <v>80</v>
      </c>
      <c r="D944" s="9"/>
      <c r="E944" s="25">
        <v>119000</v>
      </c>
      <c r="G944" s="8">
        <v>80</v>
      </c>
      <c r="H944" s="11">
        <f t="shared" si="141"/>
        <v>0.59720399999999996</v>
      </c>
      <c r="I944" s="12" t="e">
        <f>ROUND(#REF!*1000000/G944/H944,-3)</f>
        <v>#REF!</v>
      </c>
      <c r="J944" s="136">
        <v>144</v>
      </c>
      <c r="K944" s="13"/>
    </row>
    <row r="945" spans="1:11" ht="15" customHeight="1">
      <c r="A945" s="811"/>
      <c r="B945" s="810"/>
      <c r="C945" s="7">
        <v>90</v>
      </c>
      <c r="D945" s="9"/>
      <c r="E945" s="25">
        <v>121500</v>
      </c>
      <c r="G945" s="8">
        <v>90</v>
      </c>
      <c r="H945" s="11">
        <f t="shared" si="141"/>
        <v>0.59720399999999996</v>
      </c>
      <c r="I945" s="12" t="e">
        <f>ROUND(#REF!*1000000/G945/H945,-3)</f>
        <v>#REF!</v>
      </c>
      <c r="J945" s="136">
        <v>162</v>
      </c>
      <c r="K945" s="13"/>
    </row>
    <row r="946" spans="1:11" ht="15" customHeight="1">
      <c r="A946" s="811"/>
      <c r="B946" s="810"/>
      <c r="C946" s="7">
        <v>115</v>
      </c>
      <c r="D946" s="9"/>
      <c r="E946" s="25">
        <v>155500</v>
      </c>
      <c r="G946" s="8">
        <v>115</v>
      </c>
      <c r="H946" s="11">
        <f t="shared" si="141"/>
        <v>0.59720399999999996</v>
      </c>
      <c r="I946" s="12" t="e">
        <f>ROUND(#REF!*1000000/G946/H946,-3)</f>
        <v>#REF!</v>
      </c>
      <c r="J946" s="136">
        <v>209</v>
      </c>
      <c r="K946" s="13"/>
    </row>
    <row r="947" spans="1:11" ht="15" customHeight="1">
      <c r="A947" s="811"/>
      <c r="B947" s="810"/>
      <c r="C947" s="7">
        <v>150</v>
      </c>
      <c r="D947" s="9"/>
      <c r="E947" s="25">
        <v>203000</v>
      </c>
      <c r="G947" s="8">
        <v>150</v>
      </c>
      <c r="H947" s="11">
        <f t="shared" si="141"/>
        <v>0.59720399999999996</v>
      </c>
      <c r="I947" s="12" t="e">
        <f>ROUND(#REF!*1000000/G947/H947,-3)</f>
        <v>#REF!</v>
      </c>
      <c r="J947" s="136">
        <v>270</v>
      </c>
      <c r="K947" s="13"/>
    </row>
    <row r="948" spans="1:11" ht="15" customHeight="1">
      <c r="A948" s="811" t="s">
        <v>733</v>
      </c>
      <c r="B948" s="810" t="s">
        <v>27</v>
      </c>
      <c r="C948" s="7">
        <v>80</v>
      </c>
      <c r="D948" s="9"/>
      <c r="E948" s="25">
        <v>157500</v>
      </c>
      <c r="G948" s="8">
        <v>80</v>
      </c>
      <c r="H948" s="11">
        <f t="shared" ref="H948:H951" si="142">0.788*1.091</f>
        <v>0.85970800000000003</v>
      </c>
      <c r="I948" s="12" t="e">
        <f>ROUND(#REF!*1000000/G948/H948,-3)</f>
        <v>#REF!</v>
      </c>
      <c r="J948" s="136">
        <v>120</v>
      </c>
      <c r="K948" s="13"/>
    </row>
    <row r="949" spans="1:11" ht="15" customHeight="1">
      <c r="A949" s="811"/>
      <c r="B949" s="810"/>
      <c r="C949" s="7">
        <v>90</v>
      </c>
      <c r="D949" s="9"/>
      <c r="E949" s="25">
        <v>177500</v>
      </c>
      <c r="G949" s="8">
        <v>90</v>
      </c>
      <c r="H949" s="11">
        <f t="shared" si="142"/>
        <v>0.85970800000000003</v>
      </c>
      <c r="I949" s="12" t="e">
        <f>ROUND(#REF!*1000000/G949/H949,-3)</f>
        <v>#REF!</v>
      </c>
      <c r="J949" s="136">
        <v>135</v>
      </c>
      <c r="K949" s="13"/>
    </row>
    <row r="950" spans="1:11" ht="15" customHeight="1">
      <c r="A950" s="811"/>
      <c r="B950" s="810"/>
      <c r="C950" s="7">
        <v>115</v>
      </c>
      <c r="D950" s="9"/>
      <c r="E950" s="25">
        <v>225000</v>
      </c>
      <c r="G950" s="8">
        <v>115</v>
      </c>
      <c r="H950" s="11">
        <f t="shared" si="142"/>
        <v>0.85970800000000003</v>
      </c>
      <c r="I950" s="12" t="e">
        <f>ROUND(#REF!*1000000/G950/H950,-3)</f>
        <v>#REF!</v>
      </c>
      <c r="J950" s="136">
        <v>172</v>
      </c>
      <c r="K950" s="13"/>
    </row>
    <row r="951" spans="1:11" ht="15" customHeight="1">
      <c r="A951" s="811"/>
      <c r="B951" s="810"/>
      <c r="C951" s="7">
        <v>150</v>
      </c>
      <c r="D951" s="9"/>
      <c r="E951" s="25">
        <v>295000</v>
      </c>
      <c r="G951" s="8">
        <v>150</v>
      </c>
      <c r="H951" s="11">
        <f t="shared" si="142"/>
        <v>0.85970800000000003</v>
      </c>
      <c r="I951" s="12" t="e">
        <f>ROUND(#REF!*1000000/G951/H951,-3)</f>
        <v>#REF!</v>
      </c>
      <c r="J951" s="136">
        <v>225</v>
      </c>
      <c r="K951" s="13"/>
    </row>
    <row r="952" spans="1:11" ht="15" customHeight="1">
      <c r="A952" s="811"/>
      <c r="B952" s="810" t="s">
        <v>734</v>
      </c>
      <c r="C952" s="7">
        <v>80</v>
      </c>
      <c r="D952" s="9"/>
      <c r="E952" s="25">
        <v>110000</v>
      </c>
      <c r="G952" s="8">
        <v>80</v>
      </c>
      <c r="H952" s="11">
        <f t="shared" ref="H952:H955" si="143">0.636*0.939</f>
        <v>0.59720399999999996</v>
      </c>
      <c r="I952" s="12" t="e">
        <f>ROUND(#REF!*1000000/G952/H952,-3)</f>
        <v>#REF!</v>
      </c>
      <c r="J952" s="136">
        <v>120</v>
      </c>
      <c r="K952" s="13"/>
    </row>
    <row r="953" spans="1:11" ht="15" customHeight="1">
      <c r="A953" s="811"/>
      <c r="B953" s="810"/>
      <c r="C953" s="7">
        <v>90</v>
      </c>
      <c r="D953" s="9"/>
      <c r="E953" s="25">
        <v>122500</v>
      </c>
      <c r="G953" s="8">
        <v>90</v>
      </c>
      <c r="H953" s="11">
        <f t="shared" si="143"/>
        <v>0.59720399999999996</v>
      </c>
      <c r="I953" s="12" t="e">
        <f>ROUND(#REF!*1000000/G953/H953,-3)</f>
        <v>#REF!</v>
      </c>
      <c r="J953" s="136">
        <v>135</v>
      </c>
      <c r="K953" s="13"/>
    </row>
    <row r="954" spans="1:11" ht="15" customHeight="1">
      <c r="A954" s="811"/>
      <c r="B954" s="810"/>
      <c r="C954" s="7">
        <v>115</v>
      </c>
      <c r="D954" s="9"/>
      <c r="E954" s="25">
        <v>157500</v>
      </c>
      <c r="G954" s="8">
        <v>115</v>
      </c>
      <c r="H954" s="11">
        <f t="shared" si="143"/>
        <v>0.59720399999999996</v>
      </c>
      <c r="I954" s="12" t="e">
        <f>ROUND(#REF!*1000000/G954/H954,-3)</f>
        <v>#REF!</v>
      </c>
      <c r="J954" s="136">
        <v>172</v>
      </c>
      <c r="K954" s="13"/>
    </row>
    <row r="955" spans="1:11" ht="15" customHeight="1">
      <c r="A955" s="811"/>
      <c r="B955" s="810"/>
      <c r="C955" s="7">
        <v>150</v>
      </c>
      <c r="D955" s="9"/>
      <c r="E955" s="25">
        <v>205000</v>
      </c>
      <c r="G955" s="8">
        <v>150</v>
      </c>
      <c r="H955" s="11">
        <f t="shared" si="143"/>
        <v>0.59720399999999996</v>
      </c>
      <c r="I955" s="12" t="e">
        <f>ROUND(#REF!*1000000/G955/H955,-3)</f>
        <v>#REF!</v>
      </c>
      <c r="J955" s="136">
        <v>225</v>
      </c>
      <c r="K955" s="13"/>
    </row>
    <row r="956" spans="1:11" s="1" customFormat="1" ht="15" customHeight="1">
      <c r="A956" s="811" t="s">
        <v>735</v>
      </c>
      <c r="B956" s="810" t="s">
        <v>27</v>
      </c>
      <c r="C956" s="7">
        <v>144</v>
      </c>
      <c r="D956" s="9" t="s">
        <v>736</v>
      </c>
      <c r="E956" s="211">
        <v>305000</v>
      </c>
      <c r="G956" s="8">
        <v>144</v>
      </c>
      <c r="H956" s="11">
        <f t="shared" ref="H956:H960" si="144">0.788*1.091</f>
        <v>0.85970800000000003</v>
      </c>
      <c r="I956" s="12" t="e">
        <f>ROUND(#REF!*1000000/G956/H956,-3)</f>
        <v>#REF!</v>
      </c>
      <c r="J956" s="136">
        <v>120</v>
      </c>
      <c r="K956" s="13"/>
    </row>
    <row r="957" spans="1:11" s="1" customFormat="1" ht="15" customHeight="1">
      <c r="A957" s="810"/>
      <c r="B957" s="810"/>
      <c r="C957" s="7">
        <v>168</v>
      </c>
      <c r="D957" s="9" t="s">
        <v>737</v>
      </c>
      <c r="E957" s="211">
        <v>355000</v>
      </c>
      <c r="G957" s="8">
        <v>168</v>
      </c>
      <c r="H957" s="11">
        <f t="shared" si="144"/>
        <v>0.85970800000000003</v>
      </c>
      <c r="I957" s="12" t="e">
        <f>ROUND(#REF!*1000000/G957/H957,-3)</f>
        <v>#REF!</v>
      </c>
      <c r="J957" s="136">
        <v>140</v>
      </c>
      <c r="K957" s="13"/>
    </row>
    <row r="958" spans="1:11" s="1" customFormat="1" ht="15" customHeight="1">
      <c r="A958" s="810"/>
      <c r="B958" s="810"/>
      <c r="C958" s="7">
        <v>240</v>
      </c>
      <c r="D958" s="9" t="s">
        <v>738</v>
      </c>
      <c r="E958" s="211">
        <v>510000</v>
      </c>
      <c r="G958" s="8">
        <v>240</v>
      </c>
      <c r="H958" s="11">
        <f t="shared" si="144"/>
        <v>0.85970800000000003</v>
      </c>
      <c r="I958" s="12" t="e">
        <f>ROUND(#REF!*1000000/G958/H958,-3)</f>
        <v>#REF!</v>
      </c>
      <c r="J958" s="136">
        <v>200</v>
      </c>
      <c r="K958" s="13"/>
    </row>
    <row r="959" spans="1:11" s="1" customFormat="1" ht="15" customHeight="1">
      <c r="A959" s="810"/>
      <c r="B959" s="810"/>
      <c r="C959" s="7">
        <v>450</v>
      </c>
      <c r="D959" s="9" t="s">
        <v>739</v>
      </c>
      <c r="E959" s="211">
        <v>985000</v>
      </c>
      <c r="G959" s="8">
        <v>450</v>
      </c>
      <c r="H959" s="11">
        <f t="shared" si="144"/>
        <v>0.85970800000000003</v>
      </c>
      <c r="I959" s="12" t="e">
        <f>ROUND(#REF!*1000000/G959/H959,-3)</f>
        <v>#REF!</v>
      </c>
      <c r="J959" s="136">
        <v>300</v>
      </c>
      <c r="K959" s="13"/>
    </row>
    <row r="960" spans="1:11" s="1" customFormat="1" ht="15" customHeight="1">
      <c r="A960" s="810"/>
      <c r="B960" s="810"/>
      <c r="C960" s="7">
        <v>600</v>
      </c>
      <c r="D960" s="9" t="s">
        <v>740</v>
      </c>
      <c r="E960" s="211">
        <v>1315000</v>
      </c>
      <c r="G960" s="8">
        <v>600</v>
      </c>
      <c r="H960" s="11">
        <f t="shared" si="144"/>
        <v>0.85970800000000003</v>
      </c>
      <c r="I960" s="12" t="e">
        <f>ROUND(#REF!*1000000/G960/H960,-3)</f>
        <v>#REF!</v>
      </c>
      <c r="J960" s="136">
        <v>400</v>
      </c>
      <c r="K960" s="13"/>
    </row>
    <row r="961" spans="1:11" s="1" customFormat="1" ht="15" customHeight="1">
      <c r="A961" s="810"/>
      <c r="B961" s="810" t="s">
        <v>314</v>
      </c>
      <c r="C961" s="7">
        <v>144</v>
      </c>
      <c r="D961" s="9" t="s">
        <v>736</v>
      </c>
      <c r="E961" s="211">
        <v>215000</v>
      </c>
      <c r="G961" s="8">
        <v>144</v>
      </c>
      <c r="H961" s="11">
        <f t="shared" ref="H961:H965" si="145">0.636*0.94</f>
        <v>0.59783999999999993</v>
      </c>
      <c r="I961" s="12" t="e">
        <f>ROUND(#REF!*1000000/G961/H961,-3)</f>
        <v>#REF!</v>
      </c>
      <c r="J961" s="136">
        <v>120</v>
      </c>
      <c r="K961" s="13"/>
    </row>
    <row r="962" spans="1:11" s="1" customFormat="1" ht="15" customHeight="1">
      <c r="A962" s="810"/>
      <c r="B962" s="810"/>
      <c r="C962" s="7">
        <v>168</v>
      </c>
      <c r="D962" s="9" t="s">
        <v>737</v>
      </c>
      <c r="E962" s="211">
        <v>250000</v>
      </c>
      <c r="G962" s="8">
        <v>168</v>
      </c>
      <c r="H962" s="11">
        <f t="shared" si="145"/>
        <v>0.59783999999999993</v>
      </c>
      <c r="I962" s="12" t="e">
        <f>ROUND(#REF!*1000000/G962/H962,-3)</f>
        <v>#REF!</v>
      </c>
      <c r="J962" s="136">
        <v>140</v>
      </c>
      <c r="K962" s="13"/>
    </row>
    <row r="963" spans="1:11" s="1" customFormat="1" ht="15" customHeight="1">
      <c r="A963" s="810"/>
      <c r="B963" s="810"/>
      <c r="C963" s="7">
        <v>240</v>
      </c>
      <c r="D963" s="9" t="s">
        <v>738</v>
      </c>
      <c r="E963" s="211">
        <v>355000</v>
      </c>
      <c r="G963" s="8">
        <v>240</v>
      </c>
      <c r="H963" s="11">
        <f t="shared" si="145"/>
        <v>0.59783999999999993</v>
      </c>
      <c r="I963" s="12" t="e">
        <f>ROUND(#REF!*1000000/G963/H963,-3)</f>
        <v>#REF!</v>
      </c>
      <c r="J963" s="136">
        <v>200</v>
      </c>
      <c r="K963" s="13"/>
    </row>
    <row r="964" spans="1:11" s="1" customFormat="1" ht="15" customHeight="1">
      <c r="A964" s="810"/>
      <c r="B964" s="810"/>
      <c r="C964" s="7">
        <v>450</v>
      </c>
      <c r="D964" s="9" t="s">
        <v>739</v>
      </c>
      <c r="E964" s="211">
        <v>685000</v>
      </c>
      <c r="G964" s="8">
        <v>450</v>
      </c>
      <c r="H964" s="11">
        <f t="shared" si="145"/>
        <v>0.59783999999999993</v>
      </c>
      <c r="I964" s="12" t="e">
        <f>ROUND(#REF!*1000000/G964/H964,-3)</f>
        <v>#REF!</v>
      </c>
      <c r="J964" s="136">
        <v>300</v>
      </c>
      <c r="K964" s="13"/>
    </row>
    <row r="965" spans="1:11" s="1" customFormat="1" ht="15" customHeight="1">
      <c r="A965" s="810"/>
      <c r="B965" s="810"/>
      <c r="C965" s="7">
        <v>600</v>
      </c>
      <c r="D965" s="9" t="s">
        <v>740</v>
      </c>
      <c r="E965" s="211">
        <v>910000</v>
      </c>
      <c r="G965" s="8">
        <v>600</v>
      </c>
      <c r="H965" s="11">
        <f t="shared" si="145"/>
        <v>0.59783999999999993</v>
      </c>
      <c r="I965" s="12" t="e">
        <f>ROUND(#REF!*1000000/G965/H965,-3)</f>
        <v>#REF!</v>
      </c>
      <c r="J965" s="136">
        <v>400</v>
      </c>
      <c r="K965" s="13"/>
    </row>
    <row r="966" spans="1:11" ht="15" customHeight="1">
      <c r="A966" s="813" t="s">
        <v>741</v>
      </c>
      <c r="B966" s="814" t="s">
        <v>27</v>
      </c>
      <c r="C966" s="33">
        <v>128</v>
      </c>
      <c r="D966" s="21" t="s">
        <v>742</v>
      </c>
      <c r="E966" s="25">
        <v>205500</v>
      </c>
      <c r="G966" s="8">
        <v>128</v>
      </c>
      <c r="H966" s="11">
        <f t="shared" ref="H966:H968" si="146">0.788*1.091</f>
        <v>0.85970800000000003</v>
      </c>
      <c r="I966" s="12" t="e">
        <f>ROUND(#REF!*1000000/G966/H966,-3)</f>
        <v>#REF!</v>
      </c>
      <c r="J966" s="137"/>
      <c r="K966" s="13"/>
    </row>
    <row r="967" spans="1:11" ht="15" customHeight="1">
      <c r="A967" s="816"/>
      <c r="B967" s="804"/>
      <c r="C967" s="33">
        <v>186</v>
      </c>
      <c r="D967" s="21" t="s">
        <v>743</v>
      </c>
      <c r="E967" s="25">
        <v>300500</v>
      </c>
      <c r="G967" s="8">
        <v>186</v>
      </c>
      <c r="H967" s="11">
        <f t="shared" si="146"/>
        <v>0.85970800000000003</v>
      </c>
      <c r="I967" s="12" t="e">
        <f>ROUND(#REF!*1000000/G967/H967,-3)</f>
        <v>#REF!</v>
      </c>
      <c r="J967" s="137"/>
      <c r="K967" s="13"/>
    </row>
    <row r="968" spans="1:11" ht="15" customHeight="1">
      <c r="A968" s="816"/>
      <c r="B968" s="805"/>
      <c r="C968" s="33">
        <v>233</v>
      </c>
      <c r="D968" s="21" t="s">
        <v>743</v>
      </c>
      <c r="E968" s="25">
        <v>363500</v>
      </c>
      <c r="G968" s="8">
        <v>233</v>
      </c>
      <c r="H968" s="11">
        <f t="shared" si="146"/>
        <v>0.85970800000000003</v>
      </c>
      <c r="I968" s="12" t="e">
        <f>ROUND(#REF!*1000000/G968/H968,-3)</f>
        <v>#REF!</v>
      </c>
      <c r="J968" s="137"/>
      <c r="K968" s="13"/>
    </row>
    <row r="969" spans="1:11" ht="15" customHeight="1">
      <c r="A969" s="816"/>
      <c r="B969" s="814" t="s">
        <v>28</v>
      </c>
      <c r="C969" s="33">
        <v>105</v>
      </c>
      <c r="D969" s="21" t="s">
        <v>743</v>
      </c>
      <c r="E969" s="25">
        <v>115500</v>
      </c>
      <c r="G969" s="8">
        <v>105</v>
      </c>
      <c r="H969" s="11">
        <f t="shared" ref="H969:H971" si="147">0.636*0.939</f>
        <v>0.59720399999999996</v>
      </c>
      <c r="I969" s="12" t="e">
        <f>ROUND(#REF!*1000000/G969/H969,-3)</f>
        <v>#REF!</v>
      </c>
      <c r="J969" s="137"/>
      <c r="K969" s="13"/>
    </row>
    <row r="970" spans="1:11" ht="15" customHeight="1">
      <c r="A970" s="816"/>
      <c r="B970" s="804"/>
      <c r="C970" s="33">
        <v>186</v>
      </c>
      <c r="D970" s="21" t="s">
        <v>743</v>
      </c>
      <c r="E970" s="25">
        <v>208500</v>
      </c>
      <c r="G970" s="8">
        <v>186</v>
      </c>
      <c r="H970" s="11">
        <f t="shared" si="147"/>
        <v>0.59720399999999996</v>
      </c>
      <c r="I970" s="12" t="e">
        <f>ROUND(#REF!*1000000/G970/H970,-3)</f>
        <v>#REF!</v>
      </c>
      <c r="J970" s="137"/>
      <c r="K970" s="13"/>
    </row>
    <row r="971" spans="1:11" ht="15" customHeight="1">
      <c r="A971" s="817"/>
      <c r="B971" s="805"/>
      <c r="C971" s="33">
        <v>209</v>
      </c>
      <c r="D971" s="21" t="s">
        <v>743</v>
      </c>
      <c r="E971" s="25">
        <v>230500</v>
      </c>
      <c r="G971" s="8">
        <v>209</v>
      </c>
      <c r="H971" s="11">
        <f t="shared" si="147"/>
        <v>0.59720399999999996</v>
      </c>
      <c r="I971" s="12" t="e">
        <f>ROUND(#REF!*1000000/G971/H971,-3)</f>
        <v>#REF!</v>
      </c>
      <c r="J971" s="137"/>
      <c r="K971" s="13"/>
    </row>
    <row r="972" spans="1:11" s="1" customFormat="1" ht="15" customHeight="1">
      <c r="A972" s="813" t="s">
        <v>744</v>
      </c>
      <c r="B972" s="810" t="s">
        <v>595</v>
      </c>
      <c r="C972" s="14">
        <v>130</v>
      </c>
      <c r="D972" s="9"/>
      <c r="E972" s="211">
        <v>187000</v>
      </c>
      <c r="G972" s="7" t="s">
        <v>745</v>
      </c>
      <c r="H972" s="11">
        <f>0.788*1.091</f>
        <v>0.85970800000000003</v>
      </c>
      <c r="I972" s="12" t="e">
        <f>ROUND(#REF!*1000000/G972/H972,-3)</f>
        <v>#REF!</v>
      </c>
      <c r="J972" s="137">
        <v>130</v>
      </c>
      <c r="K972" s="13"/>
    </row>
    <row r="973" spans="1:11" s="1" customFormat="1" ht="15" customHeight="1">
      <c r="A973" s="817"/>
      <c r="B973" s="810"/>
      <c r="C973" s="14">
        <v>150</v>
      </c>
      <c r="D973" s="9"/>
      <c r="E973" s="211">
        <v>216000</v>
      </c>
      <c r="G973" s="7" t="s">
        <v>746</v>
      </c>
      <c r="H973" s="11">
        <f>0.788*1.091</f>
        <v>0.85970800000000003</v>
      </c>
      <c r="I973" s="12" t="e">
        <f>ROUND(#REF!*1000000/G973/H973,-3)</f>
        <v>#REF!</v>
      </c>
      <c r="J973" s="137">
        <v>150</v>
      </c>
      <c r="K973" s="13"/>
    </row>
    <row r="974" spans="1:11" ht="15" customHeight="1">
      <c r="A974" s="810" t="s">
        <v>747</v>
      </c>
      <c r="B974" s="810" t="s">
        <v>343</v>
      </c>
      <c r="C974" s="33">
        <v>105</v>
      </c>
      <c r="D974" s="21" t="s">
        <v>742</v>
      </c>
      <c r="E974" s="214">
        <v>415000</v>
      </c>
      <c r="G974" s="8">
        <v>105</v>
      </c>
      <c r="H974" s="11">
        <f t="shared" ref="H974:H976" si="148">0.788*1.091</f>
        <v>0.85970800000000003</v>
      </c>
      <c r="I974" s="12" t="e">
        <f>ROUND(#REF!*1000000/G974/H974,-3)</f>
        <v>#REF!</v>
      </c>
      <c r="J974" s="137"/>
      <c r="K974" s="13"/>
    </row>
    <row r="975" spans="1:11" ht="15" customHeight="1">
      <c r="A975" s="810"/>
      <c r="B975" s="810"/>
      <c r="C975" s="33">
        <v>157</v>
      </c>
      <c r="D975" s="21" t="s">
        <v>748</v>
      </c>
      <c r="E975" s="214">
        <v>550000</v>
      </c>
      <c r="G975" s="8">
        <v>157</v>
      </c>
      <c r="H975" s="11">
        <f t="shared" si="148"/>
        <v>0.85970800000000003</v>
      </c>
      <c r="I975" s="12" t="e">
        <f>ROUND(#REF!*1000000/G975/H975,-3)</f>
        <v>#REF!</v>
      </c>
      <c r="J975" s="137"/>
      <c r="K975" s="13"/>
    </row>
    <row r="976" spans="1:11" ht="15" customHeight="1">
      <c r="A976" s="810"/>
      <c r="B976" s="810"/>
      <c r="C976" s="33">
        <v>209</v>
      </c>
      <c r="D976" s="21" t="s">
        <v>749</v>
      </c>
      <c r="E976" s="214">
        <v>720000</v>
      </c>
      <c r="G976" s="8">
        <v>209</v>
      </c>
      <c r="H976" s="11">
        <f t="shared" si="148"/>
        <v>0.85970800000000003</v>
      </c>
      <c r="I976" s="12" t="e">
        <f>ROUND(#REF!*1000000/G976/H976,-3)</f>
        <v>#REF!</v>
      </c>
      <c r="J976" s="137"/>
      <c r="K976" s="13"/>
    </row>
    <row r="977" spans="1:11" ht="15" customHeight="1">
      <c r="A977" s="810"/>
      <c r="B977" s="810" t="s">
        <v>28</v>
      </c>
      <c r="C977" s="33">
        <v>105</v>
      </c>
      <c r="D977" s="21" t="s">
        <v>742</v>
      </c>
      <c r="E977" s="214">
        <v>285000</v>
      </c>
      <c r="G977" s="8">
        <v>105</v>
      </c>
      <c r="H977" s="11">
        <f t="shared" ref="H977:H982" si="149">0.636*0.939</f>
        <v>0.59720399999999996</v>
      </c>
      <c r="I977" s="12" t="e">
        <f>ROUND(#REF!*1000000/G977/H977,-3)</f>
        <v>#REF!</v>
      </c>
      <c r="J977" s="137"/>
      <c r="K977" s="13"/>
    </row>
    <row r="978" spans="1:11" ht="15" customHeight="1">
      <c r="A978" s="810"/>
      <c r="B978" s="810"/>
      <c r="C978" s="33">
        <v>128</v>
      </c>
      <c r="D978" s="21" t="s">
        <v>750</v>
      </c>
      <c r="E978" s="214">
        <v>310000</v>
      </c>
      <c r="G978" s="8">
        <v>128</v>
      </c>
      <c r="H978" s="11">
        <f t="shared" si="149"/>
        <v>0.59720399999999996</v>
      </c>
      <c r="I978" s="12" t="e">
        <f>ROUND(#REF!*1000000/G978/H978,-3)</f>
        <v>#REF!</v>
      </c>
      <c r="J978" s="137"/>
      <c r="K978" s="13"/>
    </row>
    <row r="979" spans="1:11" ht="15" customHeight="1">
      <c r="A979" s="810"/>
      <c r="B979" s="810"/>
      <c r="C979" s="33">
        <v>157</v>
      </c>
      <c r="D979" s="21" t="s">
        <v>742</v>
      </c>
      <c r="E979" s="214">
        <v>375000</v>
      </c>
      <c r="G979" s="8">
        <v>157</v>
      </c>
      <c r="H979" s="11">
        <f t="shared" si="149"/>
        <v>0.59720399999999996</v>
      </c>
      <c r="I979" s="12" t="e">
        <f>ROUND(#REF!*1000000/G979/H979,-3)</f>
        <v>#REF!</v>
      </c>
      <c r="J979" s="137"/>
      <c r="K979" s="13"/>
    </row>
    <row r="980" spans="1:11" ht="15" customHeight="1">
      <c r="A980" s="810"/>
      <c r="B980" s="810"/>
      <c r="C980" s="33">
        <v>209</v>
      </c>
      <c r="D980" s="21" t="s">
        <v>749</v>
      </c>
      <c r="E980" s="214">
        <v>455000</v>
      </c>
      <c r="G980" s="8">
        <v>209</v>
      </c>
      <c r="H980" s="11">
        <f t="shared" si="149"/>
        <v>0.59720399999999996</v>
      </c>
      <c r="I980" s="12" t="e">
        <f>ROUND(#REF!*1000000/G980/H980,-3)</f>
        <v>#REF!</v>
      </c>
      <c r="J980" s="137"/>
      <c r="K980" s="13"/>
    </row>
    <row r="981" spans="1:11" ht="15" customHeight="1">
      <c r="A981" s="810"/>
      <c r="B981" s="810"/>
      <c r="C981" s="33">
        <f>C980</f>
        <v>209</v>
      </c>
      <c r="D981" s="21" t="s">
        <v>748</v>
      </c>
      <c r="E981" s="214">
        <v>505000</v>
      </c>
      <c r="G981" s="8">
        <v>209</v>
      </c>
      <c r="H981" s="11">
        <f t="shared" si="149"/>
        <v>0.59720399999999996</v>
      </c>
      <c r="I981" s="12" t="e">
        <f>ROUND(#REF!*1000000/G981/H981,-3)</f>
        <v>#REF!</v>
      </c>
      <c r="J981" s="137"/>
      <c r="K981" s="13"/>
    </row>
    <row r="982" spans="1:11" ht="15" customHeight="1">
      <c r="A982" s="7" t="s">
        <v>751</v>
      </c>
      <c r="B982" s="7" t="s">
        <v>28</v>
      </c>
      <c r="C982" s="33">
        <v>105</v>
      </c>
      <c r="D982" s="21" t="s">
        <v>743</v>
      </c>
      <c r="E982" s="25">
        <v>225000</v>
      </c>
      <c r="G982" s="8">
        <v>105</v>
      </c>
      <c r="H982" s="11">
        <f t="shared" si="149"/>
        <v>0.59720399999999996</v>
      </c>
      <c r="I982" s="12" t="e">
        <f>ROUND(#REF!*1000000/G982/H982,-3)</f>
        <v>#REF!</v>
      </c>
      <c r="J982" s="137"/>
      <c r="K982" s="13"/>
    </row>
    <row r="983" spans="1:11" s="1" customFormat="1" ht="15" customHeight="1">
      <c r="A983" s="813" t="s">
        <v>752</v>
      </c>
      <c r="B983" s="814" t="s">
        <v>236</v>
      </c>
      <c r="C983" s="20">
        <v>300</v>
      </c>
      <c r="D983" s="21" t="s">
        <v>753</v>
      </c>
      <c r="E983" s="211">
        <v>1115000</v>
      </c>
      <c r="G983" s="8">
        <v>300</v>
      </c>
      <c r="H983" s="11">
        <f t="shared" ref="H983:H985" si="150">0.7</f>
        <v>0.7</v>
      </c>
      <c r="I983" s="12" t="e">
        <f>ROUND(#REF!*1000000/G983/H983,-3)</f>
        <v>#REF!</v>
      </c>
      <c r="J983" s="137"/>
      <c r="K983" s="13"/>
    </row>
    <row r="984" spans="1:11" s="1" customFormat="1" ht="15" customHeight="1">
      <c r="A984" s="816"/>
      <c r="B984" s="804"/>
      <c r="C984" s="33">
        <f t="shared" ref="C984:C985" si="151">C983</f>
        <v>300</v>
      </c>
      <c r="D984" s="21" t="s">
        <v>754</v>
      </c>
      <c r="E984" s="211">
        <v>1875000</v>
      </c>
      <c r="G984" s="8">
        <v>300</v>
      </c>
      <c r="H984" s="11">
        <f t="shared" si="150"/>
        <v>0.7</v>
      </c>
      <c r="I984" s="12" t="e">
        <f>ROUND(#REF!*1000000/G984/H984,-3)</f>
        <v>#REF!</v>
      </c>
      <c r="J984" s="137"/>
      <c r="K984" s="13"/>
    </row>
    <row r="985" spans="1:11" s="1" customFormat="1" ht="15" customHeight="1">
      <c r="A985" s="816"/>
      <c r="B985" s="805"/>
      <c r="C985" s="33">
        <f t="shared" si="151"/>
        <v>300</v>
      </c>
      <c r="D985" s="21" t="s">
        <v>755</v>
      </c>
      <c r="E985" s="211">
        <v>2045000</v>
      </c>
      <c r="G985" s="8">
        <v>300</v>
      </c>
      <c r="H985" s="11">
        <f t="shared" si="150"/>
        <v>0.7</v>
      </c>
      <c r="I985" s="12" t="e">
        <f>ROUND(#REF!*1000000/G985/H985,-3)</f>
        <v>#REF!</v>
      </c>
      <c r="J985" s="137"/>
      <c r="K985" s="13"/>
    </row>
    <row r="986" spans="1:11" s="1" customFormat="1" ht="15" customHeight="1">
      <c r="A986" s="816"/>
      <c r="B986" s="814" t="s">
        <v>756</v>
      </c>
      <c r="C986" s="20">
        <v>600</v>
      </c>
      <c r="D986" s="21" t="s">
        <v>754</v>
      </c>
      <c r="E986" s="211">
        <v>4925000</v>
      </c>
      <c r="G986" s="8">
        <v>600</v>
      </c>
      <c r="H986" s="11">
        <v>0.68</v>
      </c>
      <c r="I986" s="12" t="e">
        <f>ROUND(#REF!*1000000/G986/H986,-3)</f>
        <v>#REF!</v>
      </c>
      <c r="J986" s="137"/>
      <c r="K986" s="13"/>
    </row>
    <row r="987" spans="1:11" s="1" customFormat="1" ht="15" customHeight="1">
      <c r="A987" s="817"/>
      <c r="B987" s="805"/>
      <c r="C987" s="33">
        <f>C986</f>
        <v>600</v>
      </c>
      <c r="D987" s="21" t="s">
        <v>757</v>
      </c>
      <c r="E987" s="211">
        <v>5285000</v>
      </c>
      <c r="G987" s="8">
        <v>600</v>
      </c>
      <c r="H987" s="11">
        <v>0.68</v>
      </c>
      <c r="I987" s="12" t="e">
        <f>ROUND(#REF!*1000000/G987/H987,-3)</f>
        <v>#REF!</v>
      </c>
      <c r="J987" s="137"/>
      <c r="K987" s="13"/>
    </row>
    <row r="988" spans="1:11" ht="15" customHeight="1">
      <c r="A988" s="811" t="s">
        <v>758</v>
      </c>
      <c r="B988" s="810" t="s">
        <v>22</v>
      </c>
      <c r="C988" s="16">
        <v>122</v>
      </c>
      <c r="D988" s="29" t="s">
        <v>759</v>
      </c>
      <c r="E988" s="25">
        <v>490000</v>
      </c>
      <c r="G988" s="8">
        <v>122</v>
      </c>
      <c r="H988" s="11">
        <f t="shared" ref="H988:H995" si="152">0.788*1.091</f>
        <v>0.85970800000000003</v>
      </c>
      <c r="I988" s="12" t="e">
        <f>ROUND(#REF!*1000000/G988/H988,-3)</f>
        <v>#REF!</v>
      </c>
      <c r="J988" s="136">
        <v>170</v>
      </c>
      <c r="K988" s="13"/>
    </row>
    <row r="989" spans="1:11" ht="15" customHeight="1">
      <c r="A989" s="811"/>
      <c r="B989" s="810"/>
      <c r="C989" s="16">
        <v>151</v>
      </c>
      <c r="D989" s="29" t="s">
        <v>760</v>
      </c>
      <c r="E989" s="25">
        <v>600000</v>
      </c>
      <c r="G989" s="8">
        <v>151</v>
      </c>
      <c r="H989" s="11">
        <f t="shared" si="152"/>
        <v>0.85970800000000003</v>
      </c>
      <c r="I989" s="12" t="e">
        <f>ROUND(#REF!*1000000/G989/H989,-3)</f>
        <v>#REF!</v>
      </c>
      <c r="J989" s="136">
        <v>200</v>
      </c>
      <c r="K989" s="13"/>
    </row>
    <row r="990" spans="1:11" ht="15" customHeight="1">
      <c r="A990" s="811"/>
      <c r="B990" s="810"/>
      <c r="C990" s="16">
        <v>175</v>
      </c>
      <c r="D990" s="29" t="s">
        <v>760</v>
      </c>
      <c r="E990" s="25">
        <v>735000</v>
      </c>
      <c r="G990" s="8">
        <v>175</v>
      </c>
      <c r="H990" s="11">
        <f t="shared" si="152"/>
        <v>0.85970800000000003</v>
      </c>
      <c r="I990" s="12" t="e">
        <f>ROUND(#REF!*1000000/G990/H990,-3)</f>
        <v>#REF!</v>
      </c>
      <c r="J990" s="136">
        <v>235</v>
      </c>
      <c r="K990" s="13"/>
    </row>
    <row r="991" spans="1:11" ht="15" customHeight="1">
      <c r="A991" s="811"/>
      <c r="B991" s="810"/>
      <c r="C991" s="16">
        <v>204</v>
      </c>
      <c r="D991" s="29" t="s">
        <v>760</v>
      </c>
      <c r="E991" s="25">
        <v>875000</v>
      </c>
      <c r="G991" s="8">
        <v>204</v>
      </c>
      <c r="H991" s="11">
        <f t="shared" si="152"/>
        <v>0.85970800000000003</v>
      </c>
      <c r="I991" s="12" t="e">
        <f>ROUND(#REF!*1000000/G991/H991,-3)</f>
        <v>#REF!</v>
      </c>
      <c r="J991" s="136">
        <v>270</v>
      </c>
      <c r="K991" s="13"/>
    </row>
    <row r="992" spans="1:11" ht="15" customHeight="1">
      <c r="A992" s="811"/>
      <c r="B992" s="810"/>
      <c r="C992" s="16">
        <v>227</v>
      </c>
      <c r="D992" s="29" t="s">
        <v>760</v>
      </c>
      <c r="E992" s="25">
        <v>975000</v>
      </c>
      <c r="G992" s="8">
        <v>227</v>
      </c>
      <c r="H992" s="11">
        <f t="shared" si="152"/>
        <v>0.85970800000000003</v>
      </c>
      <c r="I992" s="12" t="e">
        <f>ROUND(#REF!*1000000/G992/H992,-3)</f>
        <v>#REF!</v>
      </c>
      <c r="J992" s="136">
        <v>305</v>
      </c>
      <c r="K992" s="13"/>
    </row>
    <row r="993" spans="1:11" ht="15" customHeight="1">
      <c r="A993" s="811"/>
      <c r="B993" s="810"/>
      <c r="C993" s="16">
        <v>250</v>
      </c>
      <c r="D993" s="29" t="s">
        <v>742</v>
      </c>
      <c r="E993" s="25">
        <v>1100000</v>
      </c>
      <c r="G993" s="8">
        <v>250</v>
      </c>
      <c r="H993" s="11">
        <f t="shared" si="152"/>
        <v>0.85970800000000003</v>
      </c>
      <c r="I993" s="12" t="e">
        <f>ROUND(#REF!*1000000/G993/H993,-3)</f>
        <v>#REF!</v>
      </c>
      <c r="J993" s="136">
        <v>325</v>
      </c>
      <c r="K993" s="13"/>
    </row>
    <row r="994" spans="1:11" ht="15" customHeight="1">
      <c r="A994" s="811"/>
      <c r="B994" s="810"/>
      <c r="C994" s="16">
        <v>273</v>
      </c>
      <c r="D994" s="29" t="s">
        <v>742</v>
      </c>
      <c r="E994" s="25">
        <v>1200000</v>
      </c>
      <c r="G994" s="8">
        <v>273</v>
      </c>
      <c r="H994" s="11">
        <f t="shared" si="152"/>
        <v>0.85970800000000003</v>
      </c>
      <c r="I994" s="12" t="e">
        <f>ROUND(#REF!*1000000/G994/H994,-3)</f>
        <v>#REF!</v>
      </c>
      <c r="J994" s="136">
        <v>370</v>
      </c>
      <c r="K994" s="13"/>
    </row>
    <row r="995" spans="1:11" ht="15" customHeight="1">
      <c r="A995" s="811"/>
      <c r="B995" s="810"/>
      <c r="C995" s="16">
        <v>320</v>
      </c>
      <c r="D995" s="29" t="s">
        <v>761</v>
      </c>
      <c r="E995" s="25">
        <v>1425000</v>
      </c>
      <c r="F995" s="68"/>
      <c r="G995" s="8">
        <v>320</v>
      </c>
      <c r="H995" s="11">
        <f t="shared" si="152"/>
        <v>0.85970800000000003</v>
      </c>
      <c r="I995" s="12" t="e">
        <f>ROUND(#REF!*1000000/G995/H995,-3)</f>
        <v>#REF!</v>
      </c>
      <c r="J995" s="136">
        <v>430</v>
      </c>
      <c r="K995" s="13"/>
    </row>
    <row r="996" spans="1:11" ht="15" customHeight="1">
      <c r="A996" s="811"/>
      <c r="B996" s="810" t="s">
        <v>347</v>
      </c>
      <c r="C996" s="16">
        <v>122</v>
      </c>
      <c r="D996" s="29" t="s">
        <v>759</v>
      </c>
      <c r="E996" s="25">
        <v>340000</v>
      </c>
      <c r="G996" s="8">
        <v>122</v>
      </c>
      <c r="H996" s="11">
        <f t="shared" ref="H996:H1011" si="153">0.636*0.939</f>
        <v>0.59720399999999996</v>
      </c>
      <c r="I996" s="12" t="e">
        <f>ROUND(#REF!*1000000/G996/H996,-3)</f>
        <v>#REF!</v>
      </c>
      <c r="J996" s="136">
        <v>170</v>
      </c>
      <c r="K996" s="13"/>
    </row>
    <row r="997" spans="1:11" ht="15" customHeight="1">
      <c r="A997" s="811"/>
      <c r="B997" s="810"/>
      <c r="C997" s="16">
        <v>151</v>
      </c>
      <c r="D997" s="29" t="s">
        <v>760</v>
      </c>
      <c r="E997" s="25">
        <v>420000</v>
      </c>
      <c r="G997" s="8">
        <v>151</v>
      </c>
      <c r="H997" s="11">
        <f t="shared" si="153"/>
        <v>0.59720399999999996</v>
      </c>
      <c r="I997" s="12" t="e">
        <f>ROUND(#REF!*1000000/G997/H997,-3)</f>
        <v>#REF!</v>
      </c>
      <c r="J997" s="136">
        <v>200</v>
      </c>
      <c r="K997" s="13"/>
    </row>
    <row r="998" spans="1:11" ht="15" customHeight="1">
      <c r="A998" s="811"/>
      <c r="B998" s="810"/>
      <c r="C998" s="16">
        <v>175</v>
      </c>
      <c r="D998" s="29" t="s">
        <v>760</v>
      </c>
      <c r="E998" s="25">
        <v>510000</v>
      </c>
      <c r="G998" s="8">
        <v>175</v>
      </c>
      <c r="H998" s="11">
        <f t="shared" si="153"/>
        <v>0.59720399999999996</v>
      </c>
      <c r="I998" s="12" t="e">
        <f>ROUND(#REF!*1000000/G998/H998,-3)</f>
        <v>#REF!</v>
      </c>
      <c r="J998" s="136">
        <v>235</v>
      </c>
      <c r="K998" s="13"/>
    </row>
    <row r="999" spans="1:11" ht="15" customHeight="1">
      <c r="A999" s="811"/>
      <c r="B999" s="810"/>
      <c r="C999" s="16">
        <v>204</v>
      </c>
      <c r="D999" s="29" t="s">
        <v>760</v>
      </c>
      <c r="E999" s="25">
        <v>600000</v>
      </c>
      <c r="G999" s="8">
        <v>204</v>
      </c>
      <c r="H999" s="11">
        <f t="shared" si="153"/>
        <v>0.59720399999999996</v>
      </c>
      <c r="I999" s="12" t="e">
        <f>ROUND(#REF!*1000000/G999/H999,-3)</f>
        <v>#REF!</v>
      </c>
      <c r="J999" s="136">
        <v>270</v>
      </c>
      <c r="K999" s="13"/>
    </row>
    <row r="1000" spans="1:11" ht="15" customHeight="1">
      <c r="A1000" s="811"/>
      <c r="B1000" s="810"/>
      <c r="C1000" s="16">
        <v>227</v>
      </c>
      <c r="D1000" s="29" t="s">
        <v>760</v>
      </c>
      <c r="E1000" s="25">
        <v>685000</v>
      </c>
      <c r="G1000" s="8">
        <v>227</v>
      </c>
      <c r="H1000" s="11">
        <f t="shared" si="153"/>
        <v>0.59720399999999996</v>
      </c>
      <c r="I1000" s="12" t="e">
        <f>ROUND(#REF!*1000000/G1000/H1000,-3)</f>
        <v>#REF!</v>
      </c>
      <c r="J1000" s="136">
        <v>305</v>
      </c>
      <c r="K1000" s="13"/>
    </row>
    <row r="1001" spans="1:11" ht="15" customHeight="1">
      <c r="A1001" s="811"/>
      <c r="B1001" s="810"/>
      <c r="C1001" s="16">
        <v>250</v>
      </c>
      <c r="D1001" s="29" t="s">
        <v>742</v>
      </c>
      <c r="E1001" s="25">
        <v>760000</v>
      </c>
      <c r="G1001" s="8">
        <v>250</v>
      </c>
      <c r="H1001" s="11">
        <f t="shared" si="153"/>
        <v>0.59720399999999996</v>
      </c>
      <c r="I1001" s="12" t="e">
        <f>ROUND(#REF!*1000000/G1001/H1001,-3)</f>
        <v>#REF!</v>
      </c>
      <c r="J1001" s="136">
        <v>325</v>
      </c>
      <c r="K1001" s="13"/>
    </row>
    <row r="1002" spans="1:11" ht="15" customHeight="1">
      <c r="A1002" s="811"/>
      <c r="B1002" s="810"/>
      <c r="C1002" s="16">
        <v>273</v>
      </c>
      <c r="D1002" s="29" t="s">
        <v>742</v>
      </c>
      <c r="E1002" s="25">
        <v>840000</v>
      </c>
      <c r="G1002" s="8">
        <v>273</v>
      </c>
      <c r="H1002" s="11">
        <f t="shared" si="153"/>
        <v>0.59720399999999996</v>
      </c>
      <c r="I1002" s="12" t="e">
        <f>ROUND(#REF!*1000000/G1002/H1002,-3)</f>
        <v>#REF!</v>
      </c>
      <c r="J1002" s="136">
        <v>370</v>
      </c>
      <c r="K1002" s="13"/>
    </row>
    <row r="1003" spans="1:11" ht="15" customHeight="1">
      <c r="A1003" s="811"/>
      <c r="B1003" s="810"/>
      <c r="C1003" s="16">
        <v>320</v>
      </c>
      <c r="D1003" s="29" t="s">
        <v>762</v>
      </c>
      <c r="E1003" s="25">
        <v>985000</v>
      </c>
      <c r="G1003" s="8">
        <v>320</v>
      </c>
      <c r="H1003" s="11">
        <f t="shared" si="153"/>
        <v>0.59720399999999996</v>
      </c>
      <c r="I1003" s="12" t="e">
        <f>ROUND(#REF!*1000000/G1003/H1003,-3)</f>
        <v>#REF!</v>
      </c>
      <c r="J1003" s="136">
        <v>430</v>
      </c>
      <c r="K1003" s="13"/>
    </row>
    <row r="1004" spans="1:11" ht="15" customHeight="1">
      <c r="A1004" s="811"/>
      <c r="B1004" s="814" t="s">
        <v>734</v>
      </c>
      <c r="C1004" s="16">
        <v>122</v>
      </c>
      <c r="D1004" s="29" t="s">
        <v>763</v>
      </c>
      <c r="E1004" s="25">
        <v>340000</v>
      </c>
      <c r="G1004" s="8">
        <v>122</v>
      </c>
      <c r="H1004" s="11">
        <f t="shared" si="153"/>
        <v>0.59720399999999996</v>
      </c>
      <c r="I1004" s="12" t="e">
        <f>ROUND(#REF!*1000000/G1004/H1004,-3)</f>
        <v>#REF!</v>
      </c>
      <c r="J1004" s="136">
        <v>170</v>
      </c>
      <c r="K1004" s="13"/>
    </row>
    <row r="1005" spans="1:11" ht="15" customHeight="1">
      <c r="A1005" s="811"/>
      <c r="B1005" s="804"/>
      <c r="C1005" s="16">
        <v>151</v>
      </c>
      <c r="D1005" s="29" t="s">
        <v>763</v>
      </c>
      <c r="E1005" s="25">
        <v>420000</v>
      </c>
      <c r="G1005" s="8">
        <v>151</v>
      </c>
      <c r="H1005" s="11">
        <f t="shared" si="153"/>
        <v>0.59720399999999996</v>
      </c>
      <c r="I1005" s="12" t="e">
        <f>ROUND(#REF!*1000000/G1005/H1005,-3)</f>
        <v>#REF!</v>
      </c>
      <c r="J1005" s="136">
        <v>200</v>
      </c>
      <c r="K1005" s="13"/>
    </row>
    <row r="1006" spans="1:11" ht="15" customHeight="1">
      <c r="A1006" s="811"/>
      <c r="B1006" s="804"/>
      <c r="C1006" s="16">
        <v>175</v>
      </c>
      <c r="D1006" s="29" t="s">
        <v>763</v>
      </c>
      <c r="E1006" s="25">
        <v>510000</v>
      </c>
      <c r="G1006" s="8">
        <v>175</v>
      </c>
      <c r="H1006" s="11">
        <f t="shared" si="153"/>
        <v>0.59720399999999996</v>
      </c>
      <c r="I1006" s="12" t="e">
        <f>ROUND(#REF!*1000000/G1006/H1006,-3)</f>
        <v>#REF!</v>
      </c>
      <c r="J1006" s="136">
        <v>235</v>
      </c>
      <c r="K1006" s="13"/>
    </row>
    <row r="1007" spans="1:11" ht="15" customHeight="1">
      <c r="A1007" s="811"/>
      <c r="B1007" s="804"/>
      <c r="C1007" s="16">
        <v>204</v>
      </c>
      <c r="D1007" s="29" t="s">
        <v>763</v>
      </c>
      <c r="E1007" s="25">
        <v>600000</v>
      </c>
      <c r="G1007" s="8">
        <v>204</v>
      </c>
      <c r="H1007" s="11">
        <f t="shared" si="153"/>
        <v>0.59720399999999996</v>
      </c>
      <c r="I1007" s="12" t="e">
        <f>ROUND(#REF!*1000000/G1007/H1007,-3)</f>
        <v>#REF!</v>
      </c>
      <c r="J1007" s="136">
        <v>270</v>
      </c>
      <c r="K1007" s="13"/>
    </row>
    <row r="1008" spans="1:11" ht="15" customHeight="1">
      <c r="A1008" s="811"/>
      <c r="B1008" s="804"/>
      <c r="C1008" s="16">
        <v>227</v>
      </c>
      <c r="D1008" s="29" t="s">
        <v>762</v>
      </c>
      <c r="E1008" s="25">
        <v>685000</v>
      </c>
      <c r="G1008" s="8">
        <v>227</v>
      </c>
      <c r="H1008" s="11">
        <f t="shared" si="153"/>
        <v>0.59720399999999996</v>
      </c>
      <c r="I1008" s="12" t="e">
        <f>ROUND(#REF!*1000000/G1008/H1008,-3)</f>
        <v>#REF!</v>
      </c>
      <c r="J1008" s="136">
        <v>305</v>
      </c>
      <c r="K1008" s="13"/>
    </row>
    <row r="1009" spans="1:11" ht="15" customHeight="1">
      <c r="A1009" s="811"/>
      <c r="B1009" s="804"/>
      <c r="C1009" s="16">
        <v>250</v>
      </c>
      <c r="D1009" s="29" t="s">
        <v>763</v>
      </c>
      <c r="E1009" s="25">
        <v>760000</v>
      </c>
      <c r="G1009" s="8">
        <v>250</v>
      </c>
      <c r="H1009" s="11">
        <f t="shared" si="153"/>
        <v>0.59720399999999996</v>
      </c>
      <c r="I1009" s="12" t="e">
        <f>ROUND(#REF!*1000000/G1009/H1009,-3)</f>
        <v>#REF!</v>
      </c>
      <c r="J1009" s="136">
        <v>325</v>
      </c>
      <c r="K1009" s="13"/>
    </row>
    <row r="1010" spans="1:11" ht="15" customHeight="1">
      <c r="A1010" s="811"/>
      <c r="B1010" s="804"/>
      <c r="C1010" s="16">
        <v>273</v>
      </c>
      <c r="D1010" s="29" t="s">
        <v>763</v>
      </c>
      <c r="E1010" s="25">
        <v>840000</v>
      </c>
      <c r="G1010" s="8">
        <v>273</v>
      </c>
      <c r="H1010" s="11">
        <f t="shared" si="153"/>
        <v>0.59720399999999996</v>
      </c>
      <c r="I1010" s="12" t="e">
        <f>ROUND(#REF!*1000000/G1010/H1010,-3)</f>
        <v>#REF!</v>
      </c>
      <c r="J1010" s="136">
        <v>370</v>
      </c>
      <c r="K1010" s="13"/>
    </row>
    <row r="1011" spans="1:11" ht="15" customHeight="1">
      <c r="A1011" s="811"/>
      <c r="B1011" s="805"/>
      <c r="C1011" s="16">
        <v>320</v>
      </c>
      <c r="D1011" s="29" t="s">
        <v>763</v>
      </c>
      <c r="E1011" s="25">
        <v>985000</v>
      </c>
      <c r="G1011" s="8">
        <v>320</v>
      </c>
      <c r="H1011" s="11">
        <f t="shared" si="153"/>
        <v>0.59720399999999996</v>
      </c>
      <c r="I1011" s="12" t="e">
        <f>ROUND(#REF!*1000000/G1011/H1011,-3)</f>
        <v>#REF!</v>
      </c>
      <c r="J1011" s="136">
        <v>430</v>
      </c>
      <c r="K1011" s="13"/>
    </row>
    <row r="1012" spans="1:11" ht="15" customHeight="1">
      <c r="A1012" s="811" t="s">
        <v>764</v>
      </c>
      <c r="B1012" s="810" t="s">
        <v>765</v>
      </c>
      <c r="C1012" s="16">
        <v>122</v>
      </c>
      <c r="D1012" s="29" t="s">
        <v>763</v>
      </c>
      <c r="E1012" s="25">
        <v>360000</v>
      </c>
      <c r="G1012" s="8">
        <v>122</v>
      </c>
      <c r="H1012" s="11">
        <f t="shared" ref="H1012:H1015" si="154">0.942*0.642</f>
        <v>0.60476399999999997</v>
      </c>
      <c r="I1012" s="12" t="e">
        <f>ROUND(#REF!*1000000/G1012/H1012,-3)</f>
        <v>#REF!</v>
      </c>
      <c r="J1012" s="137"/>
      <c r="K1012" s="13"/>
    </row>
    <row r="1013" spans="1:11" ht="15" customHeight="1">
      <c r="A1013" s="811"/>
      <c r="B1013" s="810"/>
      <c r="C1013" s="16">
        <v>151</v>
      </c>
      <c r="D1013" s="29" t="s">
        <v>763</v>
      </c>
      <c r="E1013" s="25">
        <v>445000</v>
      </c>
      <c r="G1013" s="8">
        <v>151</v>
      </c>
      <c r="H1013" s="11">
        <f t="shared" si="154"/>
        <v>0.60476399999999997</v>
      </c>
      <c r="I1013" s="12" t="e">
        <f>ROUND(#REF!*1000000/G1013/H1013,-3)</f>
        <v>#REF!</v>
      </c>
      <c r="J1013" s="137"/>
      <c r="K1013" s="13"/>
    </row>
    <row r="1014" spans="1:11" ht="15" customHeight="1">
      <c r="A1014" s="811"/>
      <c r="B1014" s="810"/>
      <c r="C1014" s="16">
        <v>175</v>
      </c>
      <c r="D1014" s="29" t="s">
        <v>763</v>
      </c>
      <c r="E1014" s="25">
        <v>535000</v>
      </c>
      <c r="G1014" s="8">
        <v>175</v>
      </c>
      <c r="H1014" s="11">
        <f t="shared" si="154"/>
        <v>0.60476399999999997</v>
      </c>
      <c r="I1014" s="12" t="e">
        <f>ROUND(#REF!*1000000/G1014/H1014,-3)</f>
        <v>#REF!</v>
      </c>
      <c r="J1014" s="137"/>
      <c r="K1014" s="13"/>
    </row>
    <row r="1015" spans="1:11" ht="15" customHeight="1">
      <c r="A1015" s="811"/>
      <c r="B1015" s="810"/>
      <c r="C1015" s="16">
        <v>227</v>
      </c>
      <c r="D1015" s="29" t="s">
        <v>763</v>
      </c>
      <c r="E1015" s="25">
        <v>700000</v>
      </c>
      <c r="G1015" s="8">
        <v>227</v>
      </c>
      <c r="H1015" s="11">
        <f t="shared" si="154"/>
        <v>0.60476399999999997</v>
      </c>
      <c r="I1015" s="12" t="e">
        <f>ROUND(#REF!*1000000/G1015/H1015,-3)</f>
        <v>#REF!</v>
      </c>
      <c r="J1015" s="137"/>
      <c r="K1015" s="13"/>
    </row>
    <row r="1016" spans="1:11" ht="15" customHeight="1">
      <c r="A1016" s="811" t="s">
        <v>766</v>
      </c>
      <c r="B1016" s="810" t="s">
        <v>236</v>
      </c>
      <c r="C1016" s="33">
        <v>110</v>
      </c>
      <c r="D1016" s="21" t="s">
        <v>767</v>
      </c>
      <c r="E1016" s="214">
        <v>975000</v>
      </c>
      <c r="G1016" s="8">
        <v>110</v>
      </c>
      <c r="H1016" s="11">
        <f t="shared" ref="H1016:H1019" si="155">0.7</f>
        <v>0.7</v>
      </c>
      <c r="I1016" s="12" t="e">
        <f>ROUND(#REF!*1000000/G1016/H1016,-3)</f>
        <v>#REF!</v>
      </c>
      <c r="J1016" s="137"/>
      <c r="K1016" s="13"/>
    </row>
    <row r="1017" spans="1:11" ht="15" customHeight="1">
      <c r="A1017" s="811"/>
      <c r="B1017" s="810"/>
      <c r="C1017" s="33">
        <v>300</v>
      </c>
      <c r="D1017" s="21" t="s">
        <v>768</v>
      </c>
      <c r="E1017" s="214">
        <v>1890000</v>
      </c>
      <c r="G1017" s="8">
        <v>300</v>
      </c>
      <c r="H1017" s="11">
        <f t="shared" si="155"/>
        <v>0.7</v>
      </c>
      <c r="I1017" s="12" t="e">
        <f>ROUND(#REF!*1000000/G1017/H1017,-3)</f>
        <v>#REF!</v>
      </c>
      <c r="J1017" s="137"/>
      <c r="K1017" s="13"/>
    </row>
    <row r="1018" spans="1:11" ht="15" customHeight="1">
      <c r="A1018" s="811"/>
      <c r="B1018" s="810"/>
      <c r="C1018" s="33">
        <f>C1017</f>
        <v>300</v>
      </c>
      <c r="D1018" s="21" t="s">
        <v>769</v>
      </c>
      <c r="E1018" s="214">
        <v>1275000</v>
      </c>
      <c r="G1018" s="8">
        <v>300</v>
      </c>
      <c r="H1018" s="11">
        <f t="shared" si="155"/>
        <v>0.7</v>
      </c>
      <c r="I1018" s="12" t="e">
        <f>ROUND(#REF!*1000000/G1018/H1018,-3)</f>
        <v>#REF!</v>
      </c>
      <c r="J1018" s="137"/>
      <c r="K1018" s="13"/>
    </row>
    <row r="1019" spans="1:11" ht="15" customHeight="1">
      <c r="A1019" s="811"/>
      <c r="B1019" s="7" t="s">
        <v>248</v>
      </c>
      <c r="C1019" s="33">
        <v>300</v>
      </c>
      <c r="D1019" s="21" t="s">
        <v>770</v>
      </c>
      <c r="E1019" s="214">
        <v>1200000</v>
      </c>
      <c r="G1019" s="8">
        <v>300</v>
      </c>
      <c r="H1019" s="11">
        <f t="shared" si="155"/>
        <v>0.7</v>
      </c>
      <c r="I1019" s="12" t="e">
        <f>ROUND(#REF!*1000000/G1019/H1019,-3)</f>
        <v>#REF!</v>
      </c>
      <c r="J1019" s="137"/>
      <c r="K1019" s="13"/>
    </row>
    <row r="1020" spans="1:11" ht="15" customHeight="1">
      <c r="A1020" s="811"/>
      <c r="B1020" s="810" t="s">
        <v>213</v>
      </c>
      <c r="C1020" s="33">
        <v>110</v>
      </c>
      <c r="D1020" s="21" t="s">
        <v>771</v>
      </c>
      <c r="E1020" s="214">
        <v>1195000</v>
      </c>
      <c r="G1020" s="8">
        <v>110</v>
      </c>
      <c r="H1020" s="11">
        <f t="shared" ref="H1020:H1053" si="156">0.788*1.091</f>
        <v>0.85970800000000003</v>
      </c>
      <c r="I1020" s="12" t="e">
        <f>ROUND(#REF!*1000000/G1020/H1020,-3)</f>
        <v>#REF!</v>
      </c>
      <c r="J1020" s="137"/>
      <c r="K1020" s="13"/>
    </row>
    <row r="1021" spans="1:11" ht="15" customHeight="1">
      <c r="A1021" s="811"/>
      <c r="B1021" s="810"/>
      <c r="C1021" s="33">
        <v>300</v>
      </c>
      <c r="D1021" s="21" t="s">
        <v>772</v>
      </c>
      <c r="E1021" s="214">
        <v>2320000</v>
      </c>
      <c r="G1021" s="8">
        <v>300</v>
      </c>
      <c r="H1021" s="11">
        <f t="shared" si="156"/>
        <v>0.85970800000000003</v>
      </c>
      <c r="I1021" s="12" t="e">
        <f>ROUND(#REF!*1000000/G1021/H1021,-3)</f>
        <v>#REF!</v>
      </c>
      <c r="J1021" s="137"/>
      <c r="K1021" s="13"/>
    </row>
    <row r="1022" spans="1:11" ht="15" customHeight="1">
      <c r="A1022" s="810" t="s">
        <v>773</v>
      </c>
      <c r="B1022" s="810" t="s">
        <v>595</v>
      </c>
      <c r="C1022" s="33">
        <v>115</v>
      </c>
      <c r="D1022" s="21" t="s">
        <v>775</v>
      </c>
      <c r="E1022" s="214">
        <v>106000</v>
      </c>
      <c r="G1022" s="8">
        <v>90</v>
      </c>
      <c r="H1022" s="11">
        <f t="shared" si="156"/>
        <v>0.85970800000000003</v>
      </c>
      <c r="I1022" s="12" t="e">
        <f>ROUND(#REF!*1000000/G1022/H1022,-3)</f>
        <v>#REF!</v>
      </c>
      <c r="J1022" s="137"/>
      <c r="K1022" s="13"/>
    </row>
    <row r="1023" spans="1:11" ht="15" customHeight="1">
      <c r="A1023" s="810"/>
      <c r="B1023" s="810"/>
      <c r="C1023" s="33">
        <v>300</v>
      </c>
      <c r="D1023" s="21" t="s">
        <v>776</v>
      </c>
      <c r="E1023" s="214">
        <v>283500</v>
      </c>
      <c r="G1023" s="8">
        <v>300</v>
      </c>
      <c r="H1023" s="11">
        <f t="shared" si="156"/>
        <v>0.85970800000000003</v>
      </c>
      <c r="I1023" s="12" t="e">
        <f>ROUND(#REF!*1000000/G1023/H1023,-3)</f>
        <v>#REF!</v>
      </c>
      <c r="J1023" s="137"/>
      <c r="K1023" s="13"/>
    </row>
    <row r="1024" spans="1:11" ht="15" customHeight="1">
      <c r="A1024" s="810"/>
      <c r="B1024" s="810" t="s">
        <v>336</v>
      </c>
      <c r="C1024" s="33">
        <v>90</v>
      </c>
      <c r="D1024" s="21" t="s">
        <v>774</v>
      </c>
      <c r="E1024" s="214">
        <v>58500</v>
      </c>
      <c r="G1024" s="8">
        <v>90</v>
      </c>
      <c r="H1024" s="11">
        <f t="shared" ref="H1024:H1028" si="157">0.636*0.939</f>
        <v>0.59720399999999996</v>
      </c>
      <c r="I1024" s="12" t="e">
        <f>ROUND(#REF!*1000000/G1024/H1024,-3)</f>
        <v>#REF!</v>
      </c>
      <c r="J1024" s="137"/>
      <c r="K1024" s="13"/>
    </row>
    <row r="1025" spans="1:11" ht="15" customHeight="1">
      <c r="A1025" s="810"/>
      <c r="B1025" s="810"/>
      <c r="C1025" s="33">
        <v>115</v>
      </c>
      <c r="D1025" s="21" t="s">
        <v>775</v>
      </c>
      <c r="E1025" s="214">
        <v>74000</v>
      </c>
      <c r="G1025" s="8">
        <v>115</v>
      </c>
      <c r="H1025" s="11">
        <f t="shared" si="157"/>
        <v>0.59720399999999996</v>
      </c>
      <c r="I1025" s="12" t="e">
        <f>ROUND(#REF!*1000000/G1025/H1025,-3)</f>
        <v>#REF!</v>
      </c>
      <c r="J1025" s="137"/>
      <c r="K1025" s="13"/>
    </row>
    <row r="1026" spans="1:11" ht="15" customHeight="1">
      <c r="A1026" s="810"/>
      <c r="B1026" s="810"/>
      <c r="C1026" s="33">
        <v>170</v>
      </c>
      <c r="D1026" s="21" t="s">
        <v>775</v>
      </c>
      <c r="E1026" s="214">
        <v>109500</v>
      </c>
      <c r="G1026" s="8">
        <v>170</v>
      </c>
      <c r="H1026" s="11">
        <f t="shared" si="157"/>
        <v>0.59720399999999996</v>
      </c>
      <c r="I1026" s="12" t="e">
        <f>ROUND(#REF!*1000000/G1026/H1026,-3)</f>
        <v>#REF!</v>
      </c>
      <c r="J1026" s="137"/>
      <c r="K1026" s="13"/>
    </row>
    <row r="1027" spans="1:11" ht="15" customHeight="1">
      <c r="A1027" s="810"/>
      <c r="B1027" s="810"/>
      <c r="C1027" s="33">
        <v>300</v>
      </c>
      <c r="D1027" s="21" t="s">
        <v>776</v>
      </c>
      <c r="E1027" s="214">
        <v>198000</v>
      </c>
      <c r="G1027" s="8">
        <v>300</v>
      </c>
      <c r="H1027" s="11">
        <f t="shared" si="157"/>
        <v>0.59720399999999996</v>
      </c>
      <c r="I1027" s="12" t="e">
        <f>ROUND(#REF!*1000000/G1027/H1027,-3)</f>
        <v>#REF!</v>
      </c>
      <c r="J1027" s="137"/>
      <c r="K1027" s="13"/>
    </row>
    <row r="1028" spans="1:11" ht="15" customHeight="1">
      <c r="A1028" s="810"/>
      <c r="B1028" s="810"/>
      <c r="C1028" s="20">
        <v>350</v>
      </c>
      <c r="D1028" s="21"/>
      <c r="E1028" s="214">
        <v>242000</v>
      </c>
      <c r="G1028" s="8">
        <v>350</v>
      </c>
      <c r="H1028" s="11">
        <f t="shared" si="157"/>
        <v>0.59720399999999996</v>
      </c>
      <c r="I1028" s="12" t="e">
        <f>ROUND(#REF!*1000000/G1028/H1028,-3)</f>
        <v>#REF!</v>
      </c>
      <c r="J1028" s="137"/>
      <c r="K1028" s="13"/>
    </row>
    <row r="1029" spans="1:11" ht="15" customHeight="1">
      <c r="A1029" s="811" t="s">
        <v>777</v>
      </c>
      <c r="B1029" s="810" t="s">
        <v>595</v>
      </c>
      <c r="C1029" s="33">
        <v>120</v>
      </c>
      <c r="D1029" s="21" t="s">
        <v>778</v>
      </c>
      <c r="E1029" s="214">
        <v>580000</v>
      </c>
      <c r="G1029" s="8">
        <v>120</v>
      </c>
      <c r="H1029" s="11">
        <f t="shared" si="156"/>
        <v>0.85970800000000003</v>
      </c>
      <c r="I1029" s="12" t="e">
        <f>ROUND(#REF!*1000000/G1029/H1029,-3)</f>
        <v>#REF!</v>
      </c>
      <c r="J1029" s="137"/>
      <c r="K1029" s="13"/>
    </row>
    <row r="1030" spans="1:11" ht="15" customHeight="1">
      <c r="A1030" s="810"/>
      <c r="B1030" s="810"/>
      <c r="C1030" s="33">
        <f t="shared" ref="C1030:C1031" si="158">C1029</f>
        <v>120</v>
      </c>
      <c r="D1030" s="21" t="s">
        <v>779</v>
      </c>
      <c r="E1030" s="214">
        <v>645000</v>
      </c>
      <c r="G1030" s="8">
        <v>120</v>
      </c>
      <c r="H1030" s="11">
        <f t="shared" si="156"/>
        <v>0.85970800000000003</v>
      </c>
      <c r="I1030" s="12" t="e">
        <f>ROUND(#REF!*1000000/G1030/H1030,-3)</f>
        <v>#REF!</v>
      </c>
      <c r="J1030" s="137"/>
      <c r="K1030" s="13"/>
    </row>
    <row r="1031" spans="1:11" ht="15" customHeight="1">
      <c r="A1031" s="810"/>
      <c r="B1031" s="810"/>
      <c r="C1031" s="33">
        <f t="shared" si="158"/>
        <v>120</v>
      </c>
      <c r="D1031" s="21" t="s">
        <v>780</v>
      </c>
      <c r="E1031" s="214">
        <v>755000</v>
      </c>
      <c r="G1031" s="8">
        <v>120</v>
      </c>
      <c r="H1031" s="11">
        <f t="shared" si="156"/>
        <v>0.85970800000000003</v>
      </c>
      <c r="I1031" s="12" t="e">
        <f>ROUND(#REF!*1000000/G1031/H1031,-3)</f>
        <v>#REF!</v>
      </c>
      <c r="J1031" s="137"/>
      <c r="K1031" s="13"/>
    </row>
    <row r="1032" spans="1:11" ht="15" customHeight="1">
      <c r="A1032" s="810"/>
      <c r="B1032" s="810"/>
      <c r="C1032" s="33">
        <v>300</v>
      </c>
      <c r="D1032" s="21" t="s">
        <v>781</v>
      </c>
      <c r="E1032" s="214">
        <v>1450000</v>
      </c>
      <c r="G1032" s="8">
        <v>300</v>
      </c>
      <c r="H1032" s="11">
        <f t="shared" si="156"/>
        <v>0.85970800000000003</v>
      </c>
      <c r="I1032" s="12" t="e">
        <f>ROUND(#REF!*1000000/G1032/H1032,-3)</f>
        <v>#REF!</v>
      </c>
      <c r="J1032" s="137"/>
      <c r="K1032" s="13"/>
    </row>
    <row r="1033" spans="1:11" ht="15" customHeight="1">
      <c r="A1033" s="810"/>
      <c r="B1033" s="810"/>
      <c r="C1033" s="33">
        <f t="shared" ref="C1033:C1034" si="159">C1032</f>
        <v>300</v>
      </c>
      <c r="D1033" s="21" t="s">
        <v>782</v>
      </c>
      <c r="E1033" s="214">
        <v>1615000</v>
      </c>
      <c r="G1033" s="8">
        <v>300</v>
      </c>
      <c r="H1033" s="11">
        <f t="shared" si="156"/>
        <v>0.85970800000000003</v>
      </c>
      <c r="I1033" s="12" t="e">
        <f>ROUND(#REF!*1000000/G1033/H1033,-3)</f>
        <v>#REF!</v>
      </c>
      <c r="J1033" s="137"/>
      <c r="K1033" s="13"/>
    </row>
    <row r="1034" spans="1:11" ht="15" customHeight="1">
      <c r="A1034" s="810"/>
      <c r="B1034" s="810"/>
      <c r="C1034" s="33">
        <f t="shared" si="159"/>
        <v>300</v>
      </c>
      <c r="D1034" s="21" t="s">
        <v>783</v>
      </c>
      <c r="E1034" s="214">
        <v>1885000</v>
      </c>
      <c r="G1034" s="8">
        <v>300</v>
      </c>
      <c r="H1034" s="11">
        <f t="shared" si="156"/>
        <v>0.85970800000000003</v>
      </c>
      <c r="I1034" s="12" t="e">
        <f>ROUND(#REF!*1000000/G1034/H1034,-3)</f>
        <v>#REF!</v>
      </c>
      <c r="J1034" s="137"/>
      <c r="K1034" s="13"/>
    </row>
    <row r="1035" spans="1:11" ht="15" customHeight="1">
      <c r="A1035" s="813" t="s">
        <v>784</v>
      </c>
      <c r="B1035" s="814" t="s">
        <v>343</v>
      </c>
      <c r="C1035" s="7">
        <v>116</v>
      </c>
      <c r="D1035" s="9" t="s">
        <v>785</v>
      </c>
      <c r="E1035" s="25">
        <v>620000</v>
      </c>
      <c r="G1035" s="8">
        <v>116</v>
      </c>
      <c r="H1035" s="11">
        <f t="shared" si="156"/>
        <v>0.85970800000000003</v>
      </c>
      <c r="I1035" s="12" t="e">
        <f>ROUND(#REF!*1000000/G1035/H1035,-3)</f>
        <v>#REF!</v>
      </c>
      <c r="J1035" s="137"/>
      <c r="K1035" s="13"/>
    </row>
    <row r="1036" spans="1:11" ht="15" customHeight="1">
      <c r="A1036" s="817"/>
      <c r="B1036" s="805"/>
      <c r="C1036" s="33">
        <f>C1035</f>
        <v>116</v>
      </c>
      <c r="D1036" s="21" t="s">
        <v>786</v>
      </c>
      <c r="E1036" s="25">
        <v>620000</v>
      </c>
      <c r="G1036" s="8">
        <v>116</v>
      </c>
      <c r="H1036" s="11">
        <f t="shared" si="156"/>
        <v>0.85970800000000003</v>
      </c>
      <c r="I1036" s="12" t="e">
        <f>ROUND(#REF!*1000000/G1036/H1036,-3)</f>
        <v>#REF!</v>
      </c>
      <c r="J1036" s="137"/>
      <c r="K1036" s="13"/>
    </row>
    <row r="1037" spans="1:11" ht="15" customHeight="1">
      <c r="A1037" s="810" t="s">
        <v>787</v>
      </c>
      <c r="B1037" s="810" t="s">
        <v>595</v>
      </c>
      <c r="C1037" s="7">
        <v>157</v>
      </c>
      <c r="D1037" s="9"/>
      <c r="E1037" s="148">
        <v>345000</v>
      </c>
      <c r="G1037" s="8">
        <v>157</v>
      </c>
      <c r="H1037" s="11">
        <f t="shared" si="156"/>
        <v>0.85970800000000003</v>
      </c>
      <c r="I1037" s="12" t="e">
        <f>ROUND(#REF!*1000000/G1037/H1037,-3)</f>
        <v>#REF!</v>
      </c>
      <c r="J1037" s="136">
        <v>158</v>
      </c>
      <c r="K1037" s="13"/>
    </row>
    <row r="1038" spans="1:11" ht="15" customHeight="1">
      <c r="A1038" s="810"/>
      <c r="B1038" s="810"/>
      <c r="C1038" s="7">
        <v>186</v>
      </c>
      <c r="D1038" s="9"/>
      <c r="E1038" s="148">
        <v>410000</v>
      </c>
      <c r="G1038" s="8">
        <v>186</v>
      </c>
      <c r="H1038" s="11">
        <f t="shared" si="156"/>
        <v>0.85970800000000003</v>
      </c>
      <c r="I1038" s="12" t="e">
        <f>ROUND(#REF!*1000000/G1038/H1038,-3)</f>
        <v>#REF!</v>
      </c>
      <c r="J1038" s="136">
        <v>193</v>
      </c>
      <c r="K1038" s="13"/>
    </row>
    <row r="1039" spans="1:11" ht="15" customHeight="1">
      <c r="A1039" s="810"/>
      <c r="B1039" s="810"/>
      <c r="C1039" s="7">
        <v>209</v>
      </c>
      <c r="D1039" s="9"/>
      <c r="E1039" s="148">
        <v>460000</v>
      </c>
      <c r="G1039" s="8">
        <v>209</v>
      </c>
      <c r="H1039" s="11">
        <f t="shared" si="156"/>
        <v>0.85970800000000003</v>
      </c>
      <c r="I1039" s="12" t="e">
        <f>ROUND(#REF!*1000000/G1039/H1039,-3)</f>
        <v>#REF!</v>
      </c>
      <c r="J1039" s="136">
        <v>220</v>
      </c>
      <c r="K1039" s="13"/>
    </row>
    <row r="1040" spans="1:11" ht="15" customHeight="1">
      <c r="A1040" s="810"/>
      <c r="B1040" s="810"/>
      <c r="C1040" s="7">
        <v>233</v>
      </c>
      <c r="D1040" s="9"/>
      <c r="E1040" s="148">
        <v>515000</v>
      </c>
      <c r="G1040" s="8">
        <v>233</v>
      </c>
      <c r="H1040" s="11">
        <f t="shared" si="156"/>
        <v>0.85970800000000003</v>
      </c>
      <c r="I1040" s="12" t="e">
        <f>ROUND(#REF!*1000000/G1040/H1040,-3)</f>
        <v>#REF!</v>
      </c>
      <c r="J1040" s="136">
        <v>247</v>
      </c>
      <c r="K1040" s="13"/>
    </row>
    <row r="1041" spans="1:11" ht="15" customHeight="1">
      <c r="A1041" s="810"/>
      <c r="B1041" s="810"/>
      <c r="C1041" s="7">
        <v>256</v>
      </c>
      <c r="D1041" s="9"/>
      <c r="E1041" s="148">
        <v>565000</v>
      </c>
      <c r="G1041" s="8">
        <v>256</v>
      </c>
      <c r="H1041" s="11">
        <f t="shared" si="156"/>
        <v>0.85970800000000003</v>
      </c>
      <c r="I1041" s="12" t="e">
        <f>ROUND(#REF!*1000000/G1041/H1041,-3)</f>
        <v>#REF!</v>
      </c>
      <c r="J1041" s="136">
        <v>280</v>
      </c>
      <c r="K1041" s="13"/>
    </row>
    <row r="1042" spans="1:11" ht="15" customHeight="1">
      <c r="A1042" s="810"/>
      <c r="B1042" s="810" t="s">
        <v>28</v>
      </c>
      <c r="C1042" s="7">
        <v>157</v>
      </c>
      <c r="D1042" s="9"/>
      <c r="E1042" s="148">
        <v>240000</v>
      </c>
      <c r="G1042" s="8">
        <v>157</v>
      </c>
      <c r="H1042" s="11">
        <f t="shared" ref="H1042:H1046" si="160">0.636*0.939</f>
        <v>0.59720399999999996</v>
      </c>
      <c r="I1042" s="12" t="e">
        <f>ROUND(#REF!*1000000/G1042/H1042,-3)</f>
        <v>#REF!</v>
      </c>
      <c r="J1042" s="136">
        <v>158</v>
      </c>
      <c r="K1042" s="13"/>
    </row>
    <row r="1043" spans="1:11" ht="15" customHeight="1">
      <c r="A1043" s="810"/>
      <c r="B1043" s="810"/>
      <c r="C1043" s="7">
        <v>186</v>
      </c>
      <c r="D1043" s="9"/>
      <c r="E1043" s="148">
        <v>285000</v>
      </c>
      <c r="G1043" s="8">
        <v>186</v>
      </c>
      <c r="H1043" s="11">
        <f t="shared" si="160"/>
        <v>0.59720399999999996</v>
      </c>
      <c r="I1043" s="12" t="e">
        <f>ROUND(#REF!*1000000/G1043/H1043,-3)</f>
        <v>#REF!</v>
      </c>
      <c r="J1043" s="136">
        <v>193</v>
      </c>
      <c r="K1043" s="13"/>
    </row>
    <row r="1044" spans="1:11" ht="15" customHeight="1">
      <c r="A1044" s="810"/>
      <c r="B1044" s="810"/>
      <c r="C1044" s="7">
        <v>209</v>
      </c>
      <c r="D1044" s="9"/>
      <c r="E1044" s="148">
        <v>320000</v>
      </c>
      <c r="G1044" s="8">
        <v>209</v>
      </c>
      <c r="H1044" s="11">
        <f t="shared" si="160"/>
        <v>0.59720399999999996</v>
      </c>
      <c r="I1044" s="12" t="e">
        <f>ROUND(#REF!*1000000/G1044/H1044,-3)</f>
        <v>#REF!</v>
      </c>
      <c r="J1044" s="136">
        <v>220</v>
      </c>
      <c r="K1044" s="13"/>
    </row>
    <row r="1045" spans="1:11" ht="15" customHeight="1">
      <c r="A1045" s="810"/>
      <c r="B1045" s="810"/>
      <c r="C1045" s="7">
        <v>233</v>
      </c>
      <c r="D1045" s="9"/>
      <c r="E1045" s="148">
        <v>360000</v>
      </c>
      <c r="G1045" s="8">
        <v>233</v>
      </c>
      <c r="H1045" s="11">
        <f t="shared" si="160"/>
        <v>0.59720399999999996</v>
      </c>
      <c r="I1045" s="12" t="e">
        <f>ROUND(#REF!*1000000/G1045/H1045,-3)</f>
        <v>#REF!</v>
      </c>
      <c r="J1045" s="136">
        <v>247</v>
      </c>
      <c r="K1045" s="13"/>
    </row>
    <row r="1046" spans="1:11" ht="15" customHeight="1">
      <c r="A1046" s="810"/>
      <c r="B1046" s="810"/>
      <c r="C1046" s="7">
        <v>256</v>
      </c>
      <c r="D1046" s="9"/>
      <c r="E1046" s="148">
        <v>390000</v>
      </c>
      <c r="G1046" s="8">
        <v>256</v>
      </c>
      <c r="H1046" s="11">
        <f t="shared" si="160"/>
        <v>0.59720399999999996</v>
      </c>
      <c r="I1046" s="12" t="e">
        <f>ROUND(#REF!*1000000/G1046/H1046,-3)</f>
        <v>#REF!</v>
      </c>
      <c r="J1046" s="136">
        <v>280</v>
      </c>
      <c r="K1046" s="13"/>
    </row>
    <row r="1047" spans="1:11" ht="15" customHeight="1">
      <c r="A1047" s="811" t="s">
        <v>788</v>
      </c>
      <c r="B1047" s="810" t="s">
        <v>213</v>
      </c>
      <c r="C1047" s="7">
        <v>125</v>
      </c>
      <c r="D1047" s="9"/>
      <c r="E1047" s="148">
        <v>165000</v>
      </c>
      <c r="G1047" s="8">
        <v>125</v>
      </c>
      <c r="H1047" s="11">
        <f t="shared" si="156"/>
        <v>0.85970800000000003</v>
      </c>
      <c r="I1047" s="12" t="e">
        <f>ROUND(#REF!*1000000/G1047/H1047,-3)</f>
        <v>#REF!</v>
      </c>
      <c r="J1047" s="137"/>
      <c r="K1047" s="13"/>
    </row>
    <row r="1048" spans="1:11" ht="15" customHeight="1">
      <c r="A1048" s="811"/>
      <c r="B1048" s="810"/>
      <c r="C1048" s="7">
        <v>135</v>
      </c>
      <c r="D1048" s="9"/>
      <c r="E1048" s="148">
        <v>177500</v>
      </c>
      <c r="G1048" s="8">
        <v>135</v>
      </c>
      <c r="H1048" s="11">
        <f t="shared" si="156"/>
        <v>0.85970800000000003</v>
      </c>
      <c r="I1048" s="12" t="e">
        <f>ROUND(#REF!*1000000/G1048/H1048,-3)</f>
        <v>#REF!</v>
      </c>
      <c r="J1048" s="137"/>
      <c r="K1048" s="13"/>
    </row>
    <row r="1049" spans="1:11" ht="15" customHeight="1">
      <c r="A1049" s="811"/>
      <c r="B1049" s="810"/>
      <c r="C1049" s="7">
        <v>175</v>
      </c>
      <c r="D1049" s="9"/>
      <c r="E1049" s="148">
        <v>230000</v>
      </c>
      <c r="G1049" s="8">
        <v>175</v>
      </c>
      <c r="H1049" s="11">
        <f t="shared" si="156"/>
        <v>0.85970800000000003</v>
      </c>
      <c r="I1049" s="12" t="e">
        <f>ROUND(#REF!*1000000/G1049/H1049,-3)</f>
        <v>#REF!</v>
      </c>
      <c r="J1049" s="137"/>
      <c r="K1049" s="13"/>
    </row>
    <row r="1050" spans="1:11" ht="15" customHeight="1">
      <c r="A1050" s="811"/>
      <c r="B1050" s="810"/>
      <c r="C1050" s="7">
        <v>200</v>
      </c>
      <c r="D1050" s="9"/>
      <c r="E1050" s="148">
        <v>262500</v>
      </c>
      <c r="G1050" s="8">
        <v>200</v>
      </c>
      <c r="H1050" s="11">
        <f t="shared" si="156"/>
        <v>0.85970800000000003</v>
      </c>
      <c r="I1050" s="12" t="e">
        <f>ROUND(#REF!*1000000/G1050/H1050,-3)</f>
        <v>#REF!</v>
      </c>
      <c r="J1050" s="137"/>
      <c r="K1050" s="13"/>
    </row>
    <row r="1051" spans="1:11" ht="15" customHeight="1">
      <c r="A1051" s="811"/>
      <c r="B1051" s="810"/>
      <c r="C1051" s="7">
        <v>250</v>
      </c>
      <c r="D1051" s="9"/>
      <c r="E1051" s="148">
        <v>330000</v>
      </c>
      <c r="G1051" s="8">
        <v>250</v>
      </c>
      <c r="H1051" s="11">
        <f t="shared" si="156"/>
        <v>0.85970800000000003</v>
      </c>
      <c r="I1051" s="12" t="e">
        <f>ROUND(#REF!*1000000/G1051/H1051,-3)</f>
        <v>#REF!</v>
      </c>
      <c r="J1051" s="137"/>
      <c r="K1051" s="13"/>
    </row>
    <row r="1052" spans="1:11" ht="15" customHeight="1">
      <c r="A1052" s="811"/>
      <c r="B1052" s="810"/>
      <c r="C1052" s="33">
        <v>280</v>
      </c>
      <c r="D1052" s="21" t="s">
        <v>789</v>
      </c>
      <c r="E1052" s="214">
        <v>359500</v>
      </c>
      <c r="G1052" s="8">
        <v>280</v>
      </c>
      <c r="H1052" s="11">
        <f t="shared" si="156"/>
        <v>0.85970800000000003</v>
      </c>
      <c r="I1052" s="12" t="e">
        <f>ROUND(#REF!*1000000/G1052/H1052,-3)</f>
        <v>#REF!</v>
      </c>
      <c r="J1052" s="137"/>
      <c r="K1052" s="13"/>
    </row>
    <row r="1053" spans="1:11" ht="15" customHeight="1">
      <c r="A1053" s="811"/>
      <c r="B1053" s="810"/>
      <c r="C1053" s="33">
        <v>325</v>
      </c>
      <c r="D1053" s="21" t="s">
        <v>789</v>
      </c>
      <c r="E1053" s="214">
        <v>417500</v>
      </c>
      <c r="G1053" s="8">
        <v>325</v>
      </c>
      <c r="H1053" s="11">
        <f t="shared" si="156"/>
        <v>0.85970800000000003</v>
      </c>
      <c r="I1053" s="12" t="e">
        <f>ROUND(#REF!*1000000/G1053/H1053,-3)</f>
        <v>#REF!</v>
      </c>
      <c r="J1053" s="137"/>
      <c r="K1053" s="13"/>
    </row>
    <row r="1054" spans="1:11" ht="15" customHeight="1">
      <c r="A1054" s="814" t="s">
        <v>790</v>
      </c>
      <c r="B1054" s="814" t="s">
        <v>791</v>
      </c>
      <c r="C1054" s="14">
        <v>110</v>
      </c>
      <c r="D1054" s="9" t="s">
        <v>2882</v>
      </c>
      <c r="E1054" s="148">
        <v>460000</v>
      </c>
      <c r="G1054" s="8">
        <v>110</v>
      </c>
      <c r="H1054" s="11">
        <f>0.787*1.092</f>
        <v>0.85940400000000006</v>
      </c>
      <c r="I1054" s="12" t="e">
        <f>ROUND(#REF!*1000000/G1054/H1054,-3)</f>
        <v>#REF!</v>
      </c>
      <c r="J1054" s="137"/>
      <c r="K1054" s="13"/>
    </row>
    <row r="1055" spans="1:11" ht="15" customHeight="1">
      <c r="A1055" s="805"/>
      <c r="B1055" s="805"/>
      <c r="C1055" s="33">
        <v>110</v>
      </c>
      <c r="D1055" s="63" t="s">
        <v>2883</v>
      </c>
      <c r="E1055" s="216">
        <v>410000</v>
      </c>
      <c r="G1055" s="8">
        <v>110</v>
      </c>
      <c r="H1055" s="11">
        <f>0.787*1.092</f>
        <v>0.85940400000000006</v>
      </c>
      <c r="I1055" s="12" t="e">
        <f>ROUND(#REF!*1000000/G1055/H1055,-3)</f>
        <v>#REF!</v>
      </c>
      <c r="J1055" s="137"/>
      <c r="K1055" s="13"/>
    </row>
    <row r="1056" spans="1:11" ht="15" customHeight="1">
      <c r="A1056" s="829" t="s">
        <v>792</v>
      </c>
      <c r="B1056" s="813" t="s">
        <v>793</v>
      </c>
      <c r="C1056" s="16">
        <v>110</v>
      </c>
      <c r="D1056" s="29" t="s">
        <v>794</v>
      </c>
      <c r="E1056" s="25" t="s">
        <v>4884</v>
      </c>
      <c r="G1056" s="8"/>
      <c r="H1056" s="11">
        <f>1.41*50</f>
        <v>70.5</v>
      </c>
      <c r="I1056" s="12" t="e">
        <f>ROUNDDOWN(#REF!/H1056,-2)</f>
        <v>#REF!</v>
      </c>
      <c r="J1056" s="137"/>
      <c r="K1056" s="13"/>
    </row>
    <row r="1057" spans="1:11" ht="15" customHeight="1">
      <c r="A1057" s="807"/>
      <c r="B1057" s="805"/>
      <c r="C1057" s="16">
        <v>110</v>
      </c>
      <c r="D1057" s="29" t="s">
        <v>795</v>
      </c>
      <c r="E1057" s="25" t="s">
        <v>4885</v>
      </c>
      <c r="G1057" s="8"/>
      <c r="H1057" s="11">
        <f>1.41*50</f>
        <v>70.5</v>
      </c>
      <c r="I1057" s="12" t="e">
        <f>ROUNDDOWN(#REF!/H1057,-2)</f>
        <v>#REF!</v>
      </c>
      <c r="J1057" s="137"/>
      <c r="K1057" s="13"/>
    </row>
    <row r="1058" spans="1:11" ht="15" customHeight="1">
      <c r="A1058" s="807"/>
      <c r="B1058" s="822" t="s">
        <v>796</v>
      </c>
      <c r="C1058" s="16">
        <v>110</v>
      </c>
      <c r="D1058" s="29" t="s">
        <v>4886</v>
      </c>
      <c r="E1058" s="25" t="s">
        <v>4887</v>
      </c>
      <c r="G1058" s="8"/>
      <c r="H1058" s="11">
        <f>1*50</f>
        <v>50</v>
      </c>
      <c r="I1058" s="12" t="e">
        <f>ROUNDDOWN(#REF!/H1058,-2)</f>
        <v>#REF!</v>
      </c>
      <c r="J1058" s="137"/>
      <c r="K1058" s="13"/>
    </row>
    <row r="1059" spans="1:11" ht="15" customHeight="1">
      <c r="A1059" s="807"/>
      <c r="B1059" s="823"/>
      <c r="C1059" s="16">
        <v>110</v>
      </c>
      <c r="D1059" s="29" t="s">
        <v>799</v>
      </c>
      <c r="E1059" s="25" t="s">
        <v>4888</v>
      </c>
      <c r="G1059" s="8"/>
      <c r="H1059" s="11">
        <f t="shared" ref="H1059" si="161">1*50</f>
        <v>50</v>
      </c>
      <c r="I1059" s="12" t="e">
        <f>ROUNDDOWN(#REF!/H1059,-2)</f>
        <v>#REF!</v>
      </c>
      <c r="J1059" s="137"/>
      <c r="K1059" s="13"/>
    </row>
    <row r="1060" spans="1:11" ht="15" customHeight="1">
      <c r="A1060" s="807"/>
      <c r="B1060" s="7" t="s">
        <v>800</v>
      </c>
      <c r="C1060" s="16">
        <v>110</v>
      </c>
      <c r="D1060" s="29" t="s">
        <v>801</v>
      </c>
      <c r="E1060" s="25" t="s">
        <v>4889</v>
      </c>
      <c r="G1060" s="8"/>
      <c r="H1060" s="11">
        <f>0.78*25</f>
        <v>19.5</v>
      </c>
      <c r="I1060" s="12" t="e">
        <f>ROUNDDOWN(#REF!/H1060,-2)</f>
        <v>#REF!</v>
      </c>
      <c r="J1060" s="137"/>
      <c r="K1060" s="13"/>
    </row>
    <row r="1061" spans="1:11" ht="15" customHeight="1">
      <c r="A1061" s="807"/>
      <c r="B1061" s="7" t="s">
        <v>793</v>
      </c>
      <c r="C1061" s="33">
        <v>110</v>
      </c>
      <c r="D1061" s="21" t="s">
        <v>802</v>
      </c>
      <c r="E1061" s="25">
        <v>0</v>
      </c>
      <c r="G1061" s="8"/>
      <c r="H1061" s="11">
        <f>1.41*50</f>
        <v>70.5</v>
      </c>
      <c r="I1061" s="12" t="e">
        <f>ROUNDDOWN(#REF!/H1061,-2)</f>
        <v>#REF!</v>
      </c>
      <c r="J1061" s="137"/>
      <c r="K1061" s="13"/>
    </row>
    <row r="1062" spans="1:11" ht="15" customHeight="1">
      <c r="A1062" s="807"/>
      <c r="B1062" s="7" t="s">
        <v>803</v>
      </c>
      <c r="C1062" s="33">
        <v>110</v>
      </c>
      <c r="D1062" s="21" t="s">
        <v>804</v>
      </c>
      <c r="E1062" s="25">
        <v>0</v>
      </c>
      <c r="G1062" s="8"/>
      <c r="H1062" s="11">
        <f>1.35*50</f>
        <v>67.5</v>
      </c>
      <c r="I1062" s="12" t="e">
        <f>ROUNDDOWN(#REF!/H1062,-2)</f>
        <v>#REF!</v>
      </c>
      <c r="J1062" s="137"/>
      <c r="K1062" s="13"/>
    </row>
    <row r="1063" spans="1:11" ht="15" customHeight="1">
      <c r="A1063" s="807"/>
      <c r="B1063" s="7" t="s">
        <v>805</v>
      </c>
      <c r="C1063" s="33">
        <v>110</v>
      </c>
      <c r="D1063" s="21" t="s">
        <v>806</v>
      </c>
      <c r="E1063" s="25">
        <v>0</v>
      </c>
      <c r="G1063" s="8"/>
      <c r="H1063" s="11">
        <f>1.4*50</f>
        <v>70</v>
      </c>
      <c r="I1063" s="12" t="e">
        <f>ROUNDDOWN(#REF!/H1063,-2)</f>
        <v>#REF!</v>
      </c>
      <c r="J1063" s="137"/>
      <c r="K1063" s="13"/>
    </row>
    <row r="1064" spans="1:11" ht="15" customHeight="1">
      <c r="A1064" s="807"/>
      <c r="B1064" s="814" t="s">
        <v>255</v>
      </c>
      <c r="C1064" s="33">
        <v>110</v>
      </c>
      <c r="D1064" s="21" t="s">
        <v>794</v>
      </c>
      <c r="E1064" s="214">
        <v>3815000</v>
      </c>
      <c r="G1064" s="8"/>
      <c r="H1064" s="11">
        <f>0.7*1</f>
        <v>0.7</v>
      </c>
      <c r="I1064" s="12" t="e">
        <f>ROUNDDOWN(#REF!/H1064,-2)</f>
        <v>#REF!</v>
      </c>
      <c r="J1064" s="137"/>
      <c r="K1064" s="13"/>
    </row>
    <row r="1065" spans="1:11" ht="15" customHeight="1">
      <c r="A1065" s="807"/>
      <c r="B1065" s="805"/>
      <c r="C1065" s="33">
        <v>110</v>
      </c>
      <c r="D1065" s="21" t="s">
        <v>795</v>
      </c>
      <c r="E1065" s="214">
        <v>3090000</v>
      </c>
      <c r="G1065" s="8"/>
      <c r="H1065" s="11">
        <f>0.7*1</f>
        <v>0.7</v>
      </c>
      <c r="I1065" s="12" t="e">
        <f>ROUNDDOWN(#REF!/H1065,-2)</f>
        <v>#REF!</v>
      </c>
      <c r="J1065" s="137"/>
      <c r="K1065" s="13"/>
    </row>
    <row r="1066" spans="1:11" ht="15" customHeight="1">
      <c r="A1066" s="807"/>
      <c r="B1066" s="814" t="s">
        <v>289</v>
      </c>
      <c r="C1066" s="33">
        <v>110</v>
      </c>
      <c r="D1066" s="21" t="s">
        <v>797</v>
      </c>
      <c r="E1066" s="214">
        <v>6785000</v>
      </c>
      <c r="G1066" s="8"/>
      <c r="H1066" s="11">
        <f>0.7*1</f>
        <v>0.7</v>
      </c>
      <c r="I1066" s="12" t="e">
        <f>ROUNDDOWN(#REF!/H1066,-2)</f>
        <v>#REF!</v>
      </c>
      <c r="J1066" s="137"/>
      <c r="K1066" s="13"/>
    </row>
    <row r="1067" spans="1:11" ht="15" customHeight="1">
      <c r="A1067" s="807"/>
      <c r="B1067" s="804"/>
      <c r="C1067" s="33">
        <v>110</v>
      </c>
      <c r="D1067" s="21" t="s">
        <v>798</v>
      </c>
      <c r="E1067" s="214">
        <v>6785000</v>
      </c>
      <c r="G1067" s="8"/>
      <c r="H1067" s="11">
        <f>0.7*1</f>
        <v>0.7</v>
      </c>
      <c r="I1067" s="12" t="e">
        <f>ROUNDDOWN(#REF!/H1067,-2)</f>
        <v>#REF!</v>
      </c>
      <c r="J1067" s="137"/>
      <c r="K1067" s="13"/>
    </row>
    <row r="1068" spans="1:11" ht="15" customHeight="1">
      <c r="A1068" s="807"/>
      <c r="B1068" s="805"/>
      <c r="C1068" s="33">
        <v>110</v>
      </c>
      <c r="D1068" s="21" t="s">
        <v>799</v>
      </c>
      <c r="E1068" s="214">
        <v>5200000</v>
      </c>
      <c r="G1068" s="8"/>
      <c r="H1068" s="11">
        <f>0.7*1</f>
        <v>0.7</v>
      </c>
      <c r="I1068" s="12" t="e">
        <f>ROUNDDOWN(#REF!/H1068,-2)</f>
        <v>#REF!</v>
      </c>
      <c r="J1068" s="137"/>
      <c r="K1068" s="13"/>
    </row>
    <row r="1069" spans="1:11" ht="15" customHeight="1">
      <c r="A1069" s="807"/>
      <c r="B1069" s="7" t="s">
        <v>807</v>
      </c>
      <c r="C1069" s="33">
        <v>110</v>
      </c>
      <c r="D1069" s="21" t="s">
        <v>801</v>
      </c>
      <c r="E1069" s="214">
        <v>8500000</v>
      </c>
      <c r="G1069" s="8"/>
      <c r="H1069" s="11">
        <f>0.78*1</f>
        <v>0.78</v>
      </c>
      <c r="I1069" s="12" t="e">
        <f>ROUNDDOWN(#REF!/H1069,-2)</f>
        <v>#REF!</v>
      </c>
      <c r="J1069" s="137"/>
      <c r="K1069" s="13"/>
    </row>
    <row r="1070" spans="1:11" ht="15" customHeight="1">
      <c r="A1070" s="807"/>
      <c r="B1070" s="19" t="s">
        <v>808</v>
      </c>
      <c r="C1070" s="33">
        <f t="shared" ref="C1070:C1071" si="162">C1069</f>
        <v>110</v>
      </c>
      <c r="D1070" s="21" t="s">
        <v>809</v>
      </c>
      <c r="E1070" s="214">
        <v>1925000</v>
      </c>
      <c r="G1070" s="8"/>
      <c r="H1070" s="11">
        <f>0.67*0.5</f>
        <v>0.33500000000000002</v>
      </c>
      <c r="I1070" s="12" t="e">
        <f>ROUNDDOWN(#REF!/H1070,-2)</f>
        <v>#REF!</v>
      </c>
      <c r="J1070" s="137"/>
      <c r="K1070" s="13"/>
    </row>
    <row r="1071" spans="1:11" ht="15" customHeight="1">
      <c r="A1071" s="808"/>
      <c r="B1071" s="7" t="s">
        <v>810</v>
      </c>
      <c r="C1071" s="33">
        <f t="shared" si="162"/>
        <v>110</v>
      </c>
      <c r="D1071" s="21" t="s">
        <v>811</v>
      </c>
      <c r="E1071" s="214">
        <v>3390000</v>
      </c>
      <c r="G1071" s="8"/>
      <c r="H1071" s="11">
        <f>0.69*0.5</f>
        <v>0.34499999999999997</v>
      </c>
      <c r="I1071" s="12" t="e">
        <f>ROUNDDOWN(#REF!/H1071,-2)</f>
        <v>#REF!</v>
      </c>
      <c r="J1071" s="137"/>
      <c r="K1071" s="13"/>
    </row>
    <row r="1072" spans="1:11" ht="15" customHeight="1">
      <c r="A1072" s="815" t="s">
        <v>812</v>
      </c>
      <c r="B1072" s="815" t="s">
        <v>343</v>
      </c>
      <c r="C1072" s="69">
        <v>111</v>
      </c>
      <c r="D1072" s="9"/>
      <c r="E1072" s="25">
        <v>530000</v>
      </c>
      <c r="G1072" s="69">
        <v>111</v>
      </c>
      <c r="H1072" s="11">
        <f t="shared" ref="H1072:H1091" si="163">0.788*1.091</f>
        <v>0.85970800000000003</v>
      </c>
      <c r="I1072" s="12" t="e">
        <f>ROUND(#REF!*1000000/G1072/H1072,-3)</f>
        <v>#REF!</v>
      </c>
      <c r="J1072" s="137"/>
      <c r="K1072" s="13"/>
    </row>
    <row r="1073" spans="1:11" ht="15" customHeight="1">
      <c r="A1073" s="815"/>
      <c r="B1073" s="815"/>
      <c r="C1073" s="69">
        <v>204</v>
      </c>
      <c r="D1073" s="9"/>
      <c r="E1073" s="25">
        <v>975000</v>
      </c>
      <c r="G1073" s="69">
        <v>204</v>
      </c>
      <c r="H1073" s="11">
        <f t="shared" si="163"/>
        <v>0.85970800000000003</v>
      </c>
      <c r="I1073" s="12" t="e">
        <f>ROUND(#REF!*1000000/G1073/H1073,-3)</f>
        <v>#REF!</v>
      </c>
      <c r="J1073" s="137"/>
      <c r="K1073" s="13"/>
    </row>
    <row r="1074" spans="1:11" ht="15" customHeight="1">
      <c r="A1074" s="819" t="s">
        <v>813</v>
      </c>
      <c r="B1074" s="822" t="s">
        <v>595</v>
      </c>
      <c r="C1074" s="69">
        <v>120</v>
      </c>
      <c r="D1074" s="9"/>
      <c r="E1074" s="25">
        <v>500000</v>
      </c>
      <c r="G1074" s="69">
        <v>120</v>
      </c>
      <c r="H1074" s="11">
        <f t="shared" si="163"/>
        <v>0.85970800000000003</v>
      </c>
      <c r="I1074" s="12" t="e">
        <f>ROUND(#REF!*1000000/G1074/H1074,-3)</f>
        <v>#REF!</v>
      </c>
      <c r="J1074" s="137"/>
      <c r="K1074" s="13"/>
    </row>
    <row r="1075" spans="1:11" ht="15" customHeight="1">
      <c r="A1075" s="823"/>
      <c r="B1075" s="823"/>
      <c r="C1075" s="69">
        <v>190</v>
      </c>
      <c r="D1075" s="9"/>
      <c r="E1075" s="25">
        <v>790000</v>
      </c>
      <c r="G1075" s="69">
        <v>190</v>
      </c>
      <c r="H1075" s="11">
        <f t="shared" si="163"/>
        <v>0.85970800000000003</v>
      </c>
      <c r="I1075" s="12" t="e">
        <f>ROUND(#REF!*1000000/G1075/H1075,-3)</f>
        <v>#REF!</v>
      </c>
      <c r="J1075" s="137"/>
      <c r="K1075" s="13"/>
    </row>
    <row r="1076" spans="1:11" ht="15" customHeight="1">
      <c r="A1076" s="823"/>
      <c r="B1076" s="823"/>
      <c r="C1076" s="69">
        <v>240</v>
      </c>
      <c r="D1076" s="9"/>
      <c r="E1076" s="25">
        <v>1000000</v>
      </c>
      <c r="G1076" s="69">
        <v>240</v>
      </c>
      <c r="H1076" s="11">
        <f t="shared" si="163"/>
        <v>0.85970800000000003</v>
      </c>
      <c r="I1076" s="12" t="e">
        <f>ROUND(#REF!*1000000/G1076/H1076,-3)</f>
        <v>#REF!</v>
      </c>
      <c r="J1076" s="137"/>
      <c r="K1076" s="13"/>
    </row>
    <row r="1077" spans="1:11" ht="15" customHeight="1">
      <c r="A1077" s="823"/>
      <c r="B1077" s="823"/>
      <c r="C1077" s="69">
        <v>290</v>
      </c>
      <c r="D1077" s="9"/>
      <c r="E1077" s="25">
        <v>1205000</v>
      </c>
      <c r="G1077" s="69">
        <v>290</v>
      </c>
      <c r="H1077" s="11">
        <f t="shared" si="163"/>
        <v>0.85970800000000003</v>
      </c>
      <c r="I1077" s="12" t="e">
        <f>ROUND(#REF!*1000000/G1077/H1077,-3)</f>
        <v>#REF!</v>
      </c>
      <c r="J1077" s="137"/>
      <c r="K1077" s="13"/>
    </row>
    <row r="1078" spans="1:11" ht="15" customHeight="1">
      <c r="A1078" s="823"/>
      <c r="B1078" s="823"/>
      <c r="C1078" s="69">
        <v>340</v>
      </c>
      <c r="D1078" s="9"/>
      <c r="E1078" s="25">
        <v>1415000</v>
      </c>
      <c r="G1078" s="69">
        <v>340</v>
      </c>
      <c r="H1078" s="11">
        <f t="shared" si="163"/>
        <v>0.85970800000000003</v>
      </c>
      <c r="I1078" s="12" t="e">
        <f>ROUND(#REF!*1000000/G1078/H1078,-3)</f>
        <v>#REF!</v>
      </c>
      <c r="J1078" s="137"/>
      <c r="K1078" s="13"/>
    </row>
    <row r="1079" spans="1:11" ht="15" customHeight="1">
      <c r="A1079" s="823"/>
      <c r="B1079" s="824"/>
      <c r="C1079" s="69">
        <v>380</v>
      </c>
      <c r="D1079" s="9"/>
      <c r="E1079" s="25">
        <v>1580000</v>
      </c>
      <c r="G1079" s="69">
        <v>380</v>
      </c>
      <c r="H1079" s="11">
        <f t="shared" si="163"/>
        <v>0.85970800000000003</v>
      </c>
      <c r="I1079" s="12" t="e">
        <f>ROUND(#REF!*1000000/G1079/H1079,-3)</f>
        <v>#REF!</v>
      </c>
      <c r="J1079" s="137"/>
      <c r="K1079" s="13"/>
    </row>
    <row r="1080" spans="1:11" ht="15" customHeight="1">
      <c r="A1080" s="823"/>
      <c r="B1080" s="69" t="s">
        <v>218</v>
      </c>
      <c r="C1080" s="69">
        <v>450</v>
      </c>
      <c r="D1080" s="9"/>
      <c r="E1080" s="25">
        <v>1965000</v>
      </c>
      <c r="G1080" s="69">
        <v>450</v>
      </c>
      <c r="H1080" s="11">
        <f t="shared" si="163"/>
        <v>0.85970800000000003</v>
      </c>
      <c r="I1080" s="12" t="e">
        <f>ROUND(#REF!*1000000/G1080/H1080,-3)</f>
        <v>#REF!</v>
      </c>
      <c r="J1080" s="137"/>
      <c r="K1080" s="13"/>
    </row>
    <row r="1081" spans="1:11" ht="15" customHeight="1">
      <c r="A1081" s="823"/>
      <c r="B1081" s="815" t="s">
        <v>734</v>
      </c>
      <c r="C1081" s="69">
        <v>120</v>
      </c>
      <c r="D1081" s="9"/>
      <c r="E1081" s="25">
        <v>345000</v>
      </c>
      <c r="G1081" s="69">
        <v>120</v>
      </c>
      <c r="H1081" s="11">
        <f>0.636*0.939</f>
        <v>0.59720399999999996</v>
      </c>
      <c r="I1081" s="12" t="e">
        <f>ROUND(#REF!*1000000/G1081/H1081,-3)</f>
        <v>#REF!</v>
      </c>
      <c r="J1081" s="137"/>
      <c r="K1081" s="13"/>
    </row>
    <row r="1082" spans="1:11" ht="15" customHeight="1">
      <c r="A1082" s="823"/>
      <c r="B1082" s="815"/>
      <c r="C1082" s="69">
        <v>190</v>
      </c>
      <c r="D1082" s="9"/>
      <c r="E1082" s="25">
        <v>550000</v>
      </c>
      <c r="G1082" s="69">
        <v>190</v>
      </c>
      <c r="H1082" s="11">
        <f t="shared" ref="H1082:H1087" si="164">0.636*0.939</f>
        <v>0.59720399999999996</v>
      </c>
      <c r="I1082" s="12" t="e">
        <f>ROUND(#REF!*1000000/G1082/H1082,-3)</f>
        <v>#REF!</v>
      </c>
      <c r="J1082" s="137"/>
      <c r="K1082" s="13"/>
    </row>
    <row r="1083" spans="1:11" ht="15" customHeight="1">
      <c r="A1083" s="823"/>
      <c r="B1083" s="815"/>
      <c r="C1083" s="69">
        <v>240</v>
      </c>
      <c r="D1083" s="9"/>
      <c r="E1083" s="25">
        <v>695000</v>
      </c>
      <c r="G1083" s="69">
        <v>240</v>
      </c>
      <c r="H1083" s="11">
        <f t="shared" si="164"/>
        <v>0.59720399999999996</v>
      </c>
      <c r="I1083" s="12" t="e">
        <f>ROUND(#REF!*1000000/G1083/H1083,-3)</f>
        <v>#REF!</v>
      </c>
      <c r="J1083" s="137"/>
      <c r="K1083" s="13"/>
    </row>
    <row r="1084" spans="1:11" ht="15" customHeight="1">
      <c r="A1084" s="823"/>
      <c r="B1084" s="815"/>
      <c r="C1084" s="69">
        <v>290</v>
      </c>
      <c r="D1084" s="9"/>
      <c r="E1084" s="25">
        <v>835000</v>
      </c>
      <c r="G1084" s="69">
        <v>290</v>
      </c>
      <c r="H1084" s="11">
        <f t="shared" si="164"/>
        <v>0.59720399999999996</v>
      </c>
      <c r="I1084" s="12" t="e">
        <f>ROUND(#REF!*1000000/G1084/H1084,-3)</f>
        <v>#REF!</v>
      </c>
      <c r="J1084" s="137"/>
      <c r="K1084" s="13"/>
    </row>
    <row r="1085" spans="1:11" ht="15" customHeight="1">
      <c r="A1085" s="823"/>
      <c r="B1085" s="815"/>
      <c r="C1085" s="69">
        <v>340</v>
      </c>
      <c r="D1085" s="9"/>
      <c r="E1085" s="25">
        <v>980000</v>
      </c>
      <c r="G1085" s="69">
        <v>340</v>
      </c>
      <c r="H1085" s="11">
        <f t="shared" si="164"/>
        <v>0.59720399999999996</v>
      </c>
      <c r="I1085" s="12" t="e">
        <f>ROUND(#REF!*1000000/G1085/H1085,-3)</f>
        <v>#REF!</v>
      </c>
      <c r="J1085" s="137"/>
      <c r="K1085" s="13"/>
    </row>
    <row r="1086" spans="1:11" ht="15" customHeight="1">
      <c r="A1086" s="823"/>
      <c r="B1086" s="815"/>
      <c r="C1086" s="69">
        <v>380</v>
      </c>
      <c r="D1086" s="9"/>
      <c r="E1086" s="25">
        <v>1100000</v>
      </c>
      <c r="G1086" s="69">
        <v>380</v>
      </c>
      <c r="H1086" s="11">
        <f t="shared" si="164"/>
        <v>0.59720399999999996</v>
      </c>
      <c r="I1086" s="12" t="e">
        <f>ROUND(#REF!*1000000/G1086/H1086,-3)</f>
        <v>#REF!</v>
      </c>
      <c r="J1086" s="137"/>
      <c r="K1086" s="13"/>
    </row>
    <row r="1087" spans="1:11" ht="15" customHeight="1">
      <c r="A1087" s="824"/>
      <c r="B1087" s="815"/>
      <c r="C1087" s="69">
        <v>450</v>
      </c>
      <c r="D1087" s="9"/>
      <c r="E1087" s="25">
        <v>1365000</v>
      </c>
      <c r="G1087" s="69">
        <v>450</v>
      </c>
      <c r="H1087" s="11">
        <f t="shared" si="164"/>
        <v>0.59720399999999996</v>
      </c>
      <c r="I1087" s="12" t="e">
        <f>ROUND(#REF!*1000000/G1087/H1087,-3)</f>
        <v>#REF!</v>
      </c>
      <c r="J1087" s="137"/>
      <c r="K1087" s="13"/>
    </row>
    <row r="1088" spans="1:11" ht="15" customHeight="1">
      <c r="A1088" s="815" t="s">
        <v>814</v>
      </c>
      <c r="B1088" s="815" t="s">
        <v>343</v>
      </c>
      <c r="C1088" s="69">
        <v>81.400000000000006</v>
      </c>
      <c r="D1088" s="9" t="s">
        <v>815</v>
      </c>
      <c r="E1088" s="25">
        <v>390000</v>
      </c>
      <c r="G1088" s="71">
        <v>81.400000000000006</v>
      </c>
      <c r="H1088" s="11">
        <f t="shared" si="163"/>
        <v>0.85970800000000003</v>
      </c>
      <c r="I1088" s="12" t="e">
        <f>ROUND(#REF!*1000000/G1088/H1088,-3)</f>
        <v>#REF!</v>
      </c>
      <c r="J1088" s="137"/>
      <c r="K1088" s="13"/>
    </row>
    <row r="1089" spans="1:11" ht="15" customHeight="1">
      <c r="A1089" s="815"/>
      <c r="B1089" s="815"/>
      <c r="C1089" s="69">
        <v>116</v>
      </c>
      <c r="D1089" s="9" t="s">
        <v>815</v>
      </c>
      <c r="E1089" s="25">
        <v>555000</v>
      </c>
      <c r="G1089" s="70">
        <v>116</v>
      </c>
      <c r="H1089" s="11">
        <f t="shared" si="163"/>
        <v>0.85970800000000003</v>
      </c>
      <c r="I1089" s="12" t="e">
        <f>ROUND(#REF!*1000000/G1089/H1089,-3)</f>
        <v>#REF!</v>
      </c>
      <c r="J1089" s="137"/>
      <c r="K1089" s="13"/>
    </row>
    <row r="1090" spans="1:11" ht="15" customHeight="1">
      <c r="A1090" s="815"/>
      <c r="B1090" s="815"/>
      <c r="C1090" s="69">
        <v>151</v>
      </c>
      <c r="D1090" s="9" t="s">
        <v>815</v>
      </c>
      <c r="E1090" s="25">
        <v>720000</v>
      </c>
      <c r="G1090" s="70">
        <v>151</v>
      </c>
      <c r="H1090" s="11">
        <f t="shared" si="163"/>
        <v>0.85970800000000003</v>
      </c>
      <c r="I1090" s="12" t="e">
        <f>ROUND(#REF!*1000000/G1090/H1090,-3)</f>
        <v>#REF!</v>
      </c>
      <c r="J1090" s="137"/>
      <c r="K1090" s="13"/>
    </row>
    <row r="1091" spans="1:11" ht="15" customHeight="1">
      <c r="A1091" s="815"/>
      <c r="B1091" s="815"/>
      <c r="C1091" s="69">
        <v>198</v>
      </c>
      <c r="D1091" s="9" t="s">
        <v>815</v>
      </c>
      <c r="E1091" s="25">
        <v>945000</v>
      </c>
      <c r="G1091" s="70">
        <v>198</v>
      </c>
      <c r="H1091" s="11">
        <f t="shared" si="163"/>
        <v>0.85970800000000003</v>
      </c>
      <c r="I1091" s="12" t="e">
        <f>ROUND(#REF!*1000000/G1091/H1091,-3)</f>
        <v>#REF!</v>
      </c>
      <c r="J1091" s="137"/>
      <c r="K1091" s="13"/>
    </row>
    <row r="1092" spans="1:11" ht="15" customHeight="1">
      <c r="A1092" s="815" t="s">
        <v>816</v>
      </c>
      <c r="B1092" s="815" t="s">
        <v>248</v>
      </c>
      <c r="C1092" s="69">
        <v>80</v>
      </c>
      <c r="D1092" s="9"/>
      <c r="E1092" s="25">
        <v>425000</v>
      </c>
      <c r="G1092" s="70">
        <v>80</v>
      </c>
      <c r="H1092" s="11">
        <v>0.7</v>
      </c>
      <c r="I1092" s="12" t="e">
        <f>ROUND(#REF!*1000000/G1092/H1092,-3)</f>
        <v>#REF!</v>
      </c>
      <c r="J1092" s="141">
        <v>85</v>
      </c>
      <c r="K1092" s="13"/>
    </row>
    <row r="1093" spans="1:11" ht="15" customHeight="1">
      <c r="A1093" s="815"/>
      <c r="B1093" s="815"/>
      <c r="C1093" s="69">
        <v>100</v>
      </c>
      <c r="D1093" s="9"/>
      <c r="E1093" s="25">
        <v>510000</v>
      </c>
      <c r="G1093" s="70">
        <v>100</v>
      </c>
      <c r="H1093" s="11">
        <v>0.7</v>
      </c>
      <c r="I1093" s="12" t="e">
        <f>ROUND(#REF!*1000000/G1093/H1093,-3)</f>
        <v>#REF!</v>
      </c>
      <c r="J1093" s="141">
        <v>110</v>
      </c>
      <c r="K1093" s="13"/>
    </row>
    <row r="1094" spans="1:11" ht="15" customHeight="1">
      <c r="A1094" s="815"/>
      <c r="B1094" s="815"/>
      <c r="C1094" s="69">
        <v>135</v>
      </c>
      <c r="D1094" s="9"/>
      <c r="E1094" s="25">
        <v>685000</v>
      </c>
      <c r="G1094" s="70">
        <v>135</v>
      </c>
      <c r="H1094" s="11">
        <v>0.7</v>
      </c>
      <c r="I1094" s="12" t="e">
        <f>ROUND(#REF!*1000000/G1094/H1094,-3)</f>
        <v>#REF!</v>
      </c>
      <c r="J1094" s="141">
        <v>140</v>
      </c>
      <c r="K1094" s="13"/>
    </row>
    <row r="1095" spans="1:11" ht="15" customHeight="1">
      <c r="A1095" s="815"/>
      <c r="B1095" s="815"/>
      <c r="C1095" s="69">
        <v>270</v>
      </c>
      <c r="D1095" s="9"/>
      <c r="E1095" s="25">
        <v>1370000</v>
      </c>
      <c r="G1095" s="70">
        <v>270</v>
      </c>
      <c r="H1095" s="11">
        <v>0.7</v>
      </c>
      <c r="I1095" s="12" t="e">
        <f>ROUND(#REF!*1000000/G1095/H1095,-3)</f>
        <v>#REF!</v>
      </c>
      <c r="J1095" s="141">
        <v>300</v>
      </c>
      <c r="K1095" s="13"/>
    </row>
    <row r="1096" spans="1:11" ht="15" customHeight="1">
      <c r="A1096" s="811" t="s">
        <v>817</v>
      </c>
      <c r="B1096" s="810" t="s">
        <v>343</v>
      </c>
      <c r="C1096" s="7">
        <v>110</v>
      </c>
      <c r="D1096" s="9" t="s">
        <v>2884</v>
      </c>
      <c r="E1096" s="148">
        <v>310000</v>
      </c>
      <c r="G1096" s="8">
        <v>110</v>
      </c>
      <c r="H1096" s="11">
        <f t="shared" ref="H1096:H1099" si="165">0.788*1.091</f>
        <v>0.85970800000000003</v>
      </c>
      <c r="I1096" s="12" t="e">
        <f>ROUND(#REF!*1000000/G1096/H1096,-3)</f>
        <v>#REF!</v>
      </c>
      <c r="J1096" s="137"/>
      <c r="K1096" s="13"/>
    </row>
    <row r="1097" spans="1:11" ht="15" customHeight="1">
      <c r="A1097" s="811"/>
      <c r="B1097" s="810"/>
      <c r="C1097" s="7">
        <f>C1096</f>
        <v>110</v>
      </c>
      <c r="D1097" s="9" t="s">
        <v>818</v>
      </c>
      <c r="E1097" s="148">
        <v>340000</v>
      </c>
      <c r="G1097" s="8">
        <v>110</v>
      </c>
      <c r="H1097" s="11">
        <f t="shared" si="165"/>
        <v>0.85970800000000003</v>
      </c>
      <c r="I1097" s="12" t="e">
        <f>ROUND(#REF!*1000000/G1097/H1097,-3)</f>
        <v>#REF!</v>
      </c>
      <c r="J1097" s="137"/>
      <c r="K1097" s="13"/>
    </row>
    <row r="1098" spans="1:11" ht="15" customHeight="1">
      <c r="A1098" s="811"/>
      <c r="B1098" s="810"/>
      <c r="C1098" s="7">
        <v>185</v>
      </c>
      <c r="D1098" s="9" t="s">
        <v>2885</v>
      </c>
      <c r="E1098" s="148">
        <v>520000</v>
      </c>
      <c r="G1098" s="8">
        <v>185</v>
      </c>
      <c r="H1098" s="11">
        <f t="shared" si="165"/>
        <v>0.85970800000000003</v>
      </c>
      <c r="I1098" s="12" t="e">
        <f>ROUND(#REF!*1000000/G1098/H1098,-3)</f>
        <v>#REF!</v>
      </c>
      <c r="J1098" s="137"/>
      <c r="K1098" s="13"/>
    </row>
    <row r="1099" spans="1:11" ht="15" customHeight="1">
      <c r="A1099" s="811"/>
      <c r="B1099" s="810"/>
      <c r="C1099" s="7">
        <f>C1098</f>
        <v>185</v>
      </c>
      <c r="D1099" s="9" t="s">
        <v>819</v>
      </c>
      <c r="E1099" s="148">
        <v>575000</v>
      </c>
      <c r="G1099" s="8">
        <v>185</v>
      </c>
      <c r="H1099" s="11">
        <f t="shared" si="165"/>
        <v>0.85970800000000003</v>
      </c>
      <c r="I1099" s="12" t="e">
        <f>ROUND(#REF!*1000000/G1099/H1099,-3)</f>
        <v>#REF!</v>
      </c>
      <c r="J1099" s="137"/>
      <c r="K1099" s="13"/>
    </row>
    <row r="1100" spans="1:11" ht="15" customHeight="1">
      <c r="A1100" s="813" t="s">
        <v>820</v>
      </c>
      <c r="B1100" s="814" t="s">
        <v>22</v>
      </c>
      <c r="C1100" s="16">
        <v>92</v>
      </c>
      <c r="D1100" s="29" t="s">
        <v>821</v>
      </c>
      <c r="E1100" s="148">
        <v>165000</v>
      </c>
      <c r="G1100" s="8">
        <v>92</v>
      </c>
      <c r="H1100" s="11">
        <f t="shared" ref="H1100:H1104" si="166">0.788*1.091</f>
        <v>0.85970800000000003</v>
      </c>
      <c r="I1100" s="12" t="e">
        <f>ROUND(#REF!*1000000/G1100/H1100,-3)</f>
        <v>#REF!</v>
      </c>
      <c r="J1100" s="136">
        <v>125</v>
      </c>
      <c r="K1100" s="13"/>
    </row>
    <row r="1101" spans="1:11" ht="15" customHeight="1">
      <c r="A1101" s="816"/>
      <c r="B1101" s="804"/>
      <c r="C1101" s="16">
        <v>100</v>
      </c>
      <c r="D1101" s="29" t="s">
        <v>821</v>
      </c>
      <c r="E1101" s="148">
        <v>180000</v>
      </c>
      <c r="G1101" s="8">
        <v>100</v>
      </c>
      <c r="H1101" s="11">
        <f t="shared" si="166"/>
        <v>0.85970800000000003</v>
      </c>
      <c r="I1101" s="12" t="e">
        <f>ROUND(#REF!*1000000/G1101/H1101,-3)</f>
        <v>#REF!</v>
      </c>
      <c r="J1101" s="136">
        <v>140</v>
      </c>
      <c r="K1101" s="13"/>
    </row>
    <row r="1102" spans="1:11" ht="15" customHeight="1">
      <c r="A1102" s="816"/>
      <c r="B1102" s="804"/>
      <c r="C1102" s="16">
        <v>115</v>
      </c>
      <c r="D1102" s="29" t="s">
        <v>821</v>
      </c>
      <c r="E1102" s="148">
        <v>200000</v>
      </c>
      <c r="G1102" s="8">
        <v>115</v>
      </c>
      <c r="H1102" s="11">
        <f t="shared" si="166"/>
        <v>0.85970800000000003</v>
      </c>
      <c r="I1102" s="12" t="e">
        <f>ROUND(#REF!*1000000/G1102/H1102,-3)</f>
        <v>#REF!</v>
      </c>
      <c r="J1102" s="136">
        <v>163</v>
      </c>
      <c r="K1102" s="13"/>
    </row>
    <row r="1103" spans="1:11" ht="15" customHeight="1">
      <c r="A1103" s="816"/>
      <c r="B1103" s="804"/>
      <c r="C1103" s="16">
        <v>140</v>
      </c>
      <c r="D1103" s="29" t="s">
        <v>822</v>
      </c>
      <c r="E1103" s="148">
        <v>252500</v>
      </c>
      <c r="G1103" s="8">
        <v>140</v>
      </c>
      <c r="H1103" s="11">
        <f t="shared" si="166"/>
        <v>0.85970800000000003</v>
      </c>
      <c r="I1103" s="12" t="e">
        <f>ROUND(#REF!*1000000/G1103/H1103,-3)</f>
        <v>#REF!</v>
      </c>
      <c r="J1103" s="136">
        <v>198</v>
      </c>
      <c r="K1103" s="13"/>
    </row>
    <row r="1104" spans="1:11" ht="15" customHeight="1">
      <c r="A1104" s="816"/>
      <c r="B1104" s="805"/>
      <c r="C1104" s="33">
        <v>83</v>
      </c>
      <c r="D1104" s="21" t="s">
        <v>822</v>
      </c>
      <c r="E1104" s="214">
        <v>142500</v>
      </c>
      <c r="G1104" s="8">
        <v>83</v>
      </c>
      <c r="H1104" s="11">
        <f t="shared" si="166"/>
        <v>0.85970800000000003</v>
      </c>
      <c r="I1104" s="12" t="e">
        <f>ROUND(#REF!*1000000/G1104/H1104,-3)</f>
        <v>#REF!</v>
      </c>
      <c r="J1104" s="136">
        <v>110</v>
      </c>
      <c r="K1104" s="13"/>
    </row>
    <row r="1105" spans="1:11" ht="15" customHeight="1">
      <c r="A1105" s="816"/>
      <c r="B1105" s="814" t="s">
        <v>28</v>
      </c>
      <c r="C1105" s="7">
        <v>92</v>
      </c>
      <c r="D1105" s="9" t="s">
        <v>821</v>
      </c>
      <c r="E1105" s="148">
        <v>115000</v>
      </c>
      <c r="G1105" s="8">
        <v>92</v>
      </c>
      <c r="H1105" s="11">
        <f t="shared" ref="H1105:H1108" si="167">0.636*0.939</f>
        <v>0.59720399999999996</v>
      </c>
      <c r="I1105" s="12" t="e">
        <f>ROUND(#REF!*1000000/G1105/H1105,-3)</f>
        <v>#REF!</v>
      </c>
      <c r="J1105" s="136">
        <v>125</v>
      </c>
      <c r="K1105" s="13"/>
    </row>
    <row r="1106" spans="1:11" ht="15" customHeight="1">
      <c r="A1106" s="816"/>
      <c r="B1106" s="804"/>
      <c r="C1106" s="7">
        <v>100</v>
      </c>
      <c r="D1106" s="9" t="s">
        <v>821</v>
      </c>
      <c r="E1106" s="148">
        <v>125000</v>
      </c>
      <c r="G1106" s="8">
        <v>100</v>
      </c>
      <c r="H1106" s="11">
        <f t="shared" si="167"/>
        <v>0.59720399999999996</v>
      </c>
      <c r="I1106" s="12" t="e">
        <f>ROUND(#REF!*1000000/G1106/H1106,-3)</f>
        <v>#REF!</v>
      </c>
      <c r="J1106" s="136">
        <v>140</v>
      </c>
      <c r="K1106" s="13"/>
    </row>
    <row r="1107" spans="1:11" ht="15" customHeight="1">
      <c r="A1107" s="816"/>
      <c r="B1107" s="804"/>
      <c r="C1107" s="7">
        <v>115</v>
      </c>
      <c r="D1107" s="9" t="s">
        <v>821</v>
      </c>
      <c r="E1107" s="148">
        <v>140000</v>
      </c>
      <c r="G1107" s="8">
        <v>115</v>
      </c>
      <c r="H1107" s="11">
        <f t="shared" si="167"/>
        <v>0.59720399999999996</v>
      </c>
      <c r="I1107" s="12" t="e">
        <f>ROUND(#REF!*1000000/G1107/H1107,-3)</f>
        <v>#REF!</v>
      </c>
      <c r="J1107" s="136">
        <v>163</v>
      </c>
      <c r="K1107" s="13"/>
    </row>
    <row r="1108" spans="1:11" ht="15" customHeight="1">
      <c r="A1108" s="816"/>
      <c r="B1108" s="804"/>
      <c r="C1108" s="7">
        <v>140</v>
      </c>
      <c r="D1108" s="9" t="s">
        <v>822</v>
      </c>
      <c r="E1108" s="148">
        <v>175000</v>
      </c>
      <c r="G1108" s="8">
        <v>140</v>
      </c>
      <c r="H1108" s="11">
        <f t="shared" si="167"/>
        <v>0.59720399999999996</v>
      </c>
      <c r="I1108" s="12" t="e">
        <f>ROUND(#REF!*1000000/G1108/H1108,-3)</f>
        <v>#REF!</v>
      </c>
      <c r="J1108" s="136">
        <v>198</v>
      </c>
      <c r="K1108" s="13"/>
    </row>
    <row r="1109" spans="1:11" s="1" customFormat="1" ht="15" customHeight="1">
      <c r="A1109" s="811" t="s">
        <v>823</v>
      </c>
      <c r="B1109" s="810" t="s">
        <v>27</v>
      </c>
      <c r="C1109" s="7">
        <v>120</v>
      </c>
      <c r="D1109" s="9" t="s">
        <v>824</v>
      </c>
      <c r="E1109" s="211">
        <v>285000</v>
      </c>
      <c r="G1109" s="8">
        <v>120</v>
      </c>
      <c r="H1109" s="11">
        <f t="shared" ref="H1109:H1139" si="168">0.788*1.091</f>
        <v>0.85970800000000003</v>
      </c>
      <c r="I1109" s="12" t="e">
        <f>ROUND(#REF!*1000000/G1109/H1109,-3)</f>
        <v>#REF!</v>
      </c>
      <c r="J1109" s="136">
        <v>132</v>
      </c>
      <c r="K1109" s="13"/>
    </row>
    <row r="1110" spans="1:11" s="1" customFormat="1" ht="15" customHeight="1">
      <c r="A1110" s="811"/>
      <c r="B1110" s="810"/>
      <c r="C1110" s="7">
        <v>160</v>
      </c>
      <c r="D1110" s="9" t="s">
        <v>824</v>
      </c>
      <c r="E1110" s="211">
        <v>380000</v>
      </c>
      <c r="G1110" s="8">
        <v>160</v>
      </c>
      <c r="H1110" s="11">
        <f t="shared" si="168"/>
        <v>0.85970800000000003</v>
      </c>
      <c r="I1110" s="12" t="e">
        <f>ROUND(#REF!*1000000/G1110/H1110,-3)</f>
        <v>#REF!</v>
      </c>
      <c r="J1110" s="136">
        <v>176</v>
      </c>
      <c r="K1110" s="13"/>
    </row>
    <row r="1111" spans="1:11" s="1" customFormat="1" ht="15" customHeight="1">
      <c r="A1111" s="811"/>
      <c r="B1111" s="810"/>
      <c r="C1111" s="7">
        <v>200</v>
      </c>
      <c r="D1111" s="9" t="s">
        <v>824</v>
      </c>
      <c r="E1111" s="211">
        <v>475000</v>
      </c>
      <c r="G1111" s="8">
        <v>200</v>
      </c>
      <c r="H1111" s="11">
        <f t="shared" si="168"/>
        <v>0.85970800000000003</v>
      </c>
      <c r="I1111" s="12" t="e">
        <f>ROUND(#REF!*1000000/G1111/H1111,-3)</f>
        <v>#REF!</v>
      </c>
      <c r="J1111" s="136">
        <v>216</v>
      </c>
      <c r="K1111" s="13"/>
    </row>
    <row r="1112" spans="1:11" s="1" customFormat="1" ht="15" customHeight="1">
      <c r="A1112" s="811"/>
      <c r="B1112" s="810"/>
      <c r="C1112" s="7">
        <v>250</v>
      </c>
      <c r="D1112" s="9" t="s">
        <v>824</v>
      </c>
      <c r="E1112" s="211">
        <v>595000</v>
      </c>
      <c r="G1112" s="8">
        <v>250</v>
      </c>
      <c r="H1112" s="11">
        <f t="shared" si="168"/>
        <v>0.85970800000000003</v>
      </c>
      <c r="I1112" s="12" t="e">
        <f>ROUND(#REF!*1000000/G1112/H1112,-3)</f>
        <v>#REF!</v>
      </c>
      <c r="J1112" s="136">
        <v>268</v>
      </c>
      <c r="K1112" s="13"/>
    </row>
    <row r="1113" spans="1:11" s="1" customFormat="1" ht="15" customHeight="1">
      <c r="A1113" s="811"/>
      <c r="B1113" s="810"/>
      <c r="C1113" s="7">
        <v>300</v>
      </c>
      <c r="D1113" s="9" t="s">
        <v>824</v>
      </c>
      <c r="E1113" s="211">
        <v>715000</v>
      </c>
      <c r="G1113" s="8">
        <v>300</v>
      </c>
      <c r="H1113" s="11">
        <f t="shared" si="168"/>
        <v>0.85970800000000003</v>
      </c>
      <c r="I1113" s="12" t="e">
        <f>ROUND(#REF!*1000000/G1113/H1113,-3)</f>
        <v>#REF!</v>
      </c>
      <c r="J1113" s="136">
        <v>318</v>
      </c>
      <c r="K1113" s="13"/>
    </row>
    <row r="1114" spans="1:11" s="1" customFormat="1" ht="15" customHeight="1">
      <c r="A1114" s="811"/>
      <c r="B1114" s="810"/>
      <c r="C1114" s="7">
        <v>350</v>
      </c>
      <c r="D1114" s="9" t="s">
        <v>824</v>
      </c>
      <c r="E1114" s="211">
        <v>845000</v>
      </c>
      <c r="G1114" s="8">
        <v>350</v>
      </c>
      <c r="H1114" s="11">
        <f t="shared" si="168"/>
        <v>0.85970800000000003</v>
      </c>
      <c r="I1114" s="12" t="e">
        <f>ROUND(#REF!*1000000/G1114/H1114,-3)</f>
        <v>#REF!</v>
      </c>
      <c r="J1114" s="136">
        <v>368</v>
      </c>
      <c r="K1114" s="13"/>
    </row>
    <row r="1115" spans="1:11" s="1" customFormat="1" ht="15" customHeight="1">
      <c r="A1115" s="811"/>
      <c r="B1115" s="810"/>
      <c r="C1115" s="7">
        <v>400</v>
      </c>
      <c r="D1115" s="9" t="s">
        <v>824</v>
      </c>
      <c r="E1115" s="211">
        <v>1080000</v>
      </c>
      <c r="G1115" s="8">
        <v>400</v>
      </c>
      <c r="H1115" s="11">
        <f t="shared" si="168"/>
        <v>0.85970800000000003</v>
      </c>
      <c r="I1115" s="12" t="e">
        <f>ROUND(#REF!*1000000/G1115/H1115,-3)</f>
        <v>#REF!</v>
      </c>
      <c r="J1115" s="136">
        <v>420</v>
      </c>
      <c r="K1115" s="13"/>
    </row>
    <row r="1116" spans="1:11" s="1" customFormat="1" ht="15" customHeight="1">
      <c r="A1116" s="811"/>
      <c r="B1116" s="810"/>
      <c r="C1116" s="7">
        <v>500</v>
      </c>
      <c r="D1116" s="9" t="s">
        <v>824</v>
      </c>
      <c r="E1116" s="211">
        <v>1425000</v>
      </c>
      <c r="G1116" s="8">
        <v>500</v>
      </c>
      <c r="H1116" s="11">
        <f t="shared" si="168"/>
        <v>0.85970800000000003</v>
      </c>
      <c r="I1116" s="12" t="e">
        <f>ROUND(#REF!*1000000/G1116/H1116,-3)</f>
        <v>#REF!</v>
      </c>
      <c r="J1116" s="136">
        <v>530</v>
      </c>
      <c r="K1116" s="13"/>
    </row>
    <row r="1117" spans="1:11" s="1" customFormat="1" ht="15" customHeight="1">
      <c r="A1117" s="811"/>
      <c r="B1117" s="810"/>
      <c r="C1117" s="7">
        <v>700</v>
      </c>
      <c r="D1117" s="9" t="s">
        <v>824</v>
      </c>
      <c r="E1117" s="211">
        <v>1995000</v>
      </c>
      <c r="G1117" s="8">
        <v>700</v>
      </c>
      <c r="H1117" s="11">
        <f t="shared" si="168"/>
        <v>0.85970800000000003</v>
      </c>
      <c r="I1117" s="12" t="e">
        <f>ROUND(#REF!*1000000/G1117/H1117,-3)</f>
        <v>#REF!</v>
      </c>
      <c r="J1117" s="136">
        <v>740</v>
      </c>
      <c r="K1117" s="13"/>
    </row>
    <row r="1118" spans="1:11" ht="15" customHeight="1">
      <c r="A1118" s="811"/>
      <c r="B1118" s="810"/>
      <c r="C1118" s="7">
        <v>120</v>
      </c>
      <c r="D1118" s="9" t="s">
        <v>825</v>
      </c>
      <c r="E1118" s="25">
        <v>272500</v>
      </c>
      <c r="G1118" s="8">
        <v>120</v>
      </c>
      <c r="H1118" s="11">
        <f t="shared" si="168"/>
        <v>0.85970800000000003</v>
      </c>
      <c r="I1118" s="12" t="e">
        <f>ROUND(#REF!*1000000/G1118/H1118,-3)</f>
        <v>#REF!</v>
      </c>
      <c r="J1118" s="136">
        <v>136</v>
      </c>
      <c r="K1118" s="13"/>
    </row>
    <row r="1119" spans="1:11" ht="15" customHeight="1">
      <c r="A1119" s="811"/>
      <c r="B1119" s="810"/>
      <c r="C1119" s="33">
        <v>170</v>
      </c>
      <c r="D1119" s="21" t="s">
        <v>826</v>
      </c>
      <c r="E1119" s="25">
        <v>375000</v>
      </c>
      <c r="G1119" s="8">
        <v>170</v>
      </c>
      <c r="H1119" s="11">
        <f t="shared" si="168"/>
        <v>0.85970800000000003</v>
      </c>
      <c r="I1119" s="12" t="e">
        <f>ROUND(#REF!*1000000/G1119/H1119,-3)</f>
        <v>#REF!</v>
      </c>
      <c r="J1119" s="136">
        <v>189</v>
      </c>
      <c r="K1119" s="13"/>
    </row>
    <row r="1120" spans="1:11" ht="15" customHeight="1">
      <c r="A1120" s="811"/>
      <c r="B1120" s="810"/>
      <c r="C1120" s="7">
        <v>200</v>
      </c>
      <c r="D1120" s="9" t="s">
        <v>825</v>
      </c>
      <c r="E1120" s="25">
        <v>440000</v>
      </c>
      <c r="G1120" s="8">
        <v>200</v>
      </c>
      <c r="H1120" s="11">
        <f t="shared" si="168"/>
        <v>0.85970800000000003</v>
      </c>
      <c r="I1120" s="12" t="e">
        <f>ROUND(#REF!*1000000/G1120/H1120,-3)</f>
        <v>#REF!</v>
      </c>
      <c r="J1120" s="136">
        <v>220</v>
      </c>
      <c r="K1120" s="13"/>
    </row>
    <row r="1121" spans="1:11" ht="15" customHeight="1">
      <c r="A1121" s="811"/>
      <c r="B1121" s="810"/>
      <c r="C1121" s="7">
        <v>240</v>
      </c>
      <c r="D1121" s="9" t="s">
        <v>825</v>
      </c>
      <c r="E1121" s="25">
        <v>530000</v>
      </c>
      <c r="G1121" s="8">
        <v>240</v>
      </c>
      <c r="H1121" s="11">
        <f t="shared" si="168"/>
        <v>0.85970800000000003</v>
      </c>
      <c r="I1121" s="12" t="e">
        <f>ROUND(#REF!*1000000/G1121/H1121,-3)</f>
        <v>#REF!</v>
      </c>
      <c r="J1121" s="136">
        <v>264</v>
      </c>
      <c r="K1121" s="13"/>
    </row>
    <row r="1122" spans="1:11" ht="15" customHeight="1">
      <c r="A1122" s="811"/>
      <c r="B1122" s="810"/>
      <c r="C1122" s="7">
        <v>280</v>
      </c>
      <c r="D1122" s="9" t="s">
        <v>825</v>
      </c>
      <c r="E1122" s="25">
        <v>615000</v>
      </c>
      <c r="G1122" s="8">
        <v>280</v>
      </c>
      <c r="H1122" s="11">
        <f t="shared" si="168"/>
        <v>0.85970800000000003</v>
      </c>
      <c r="I1122" s="12" t="e">
        <f>ROUND(#REF!*1000000/G1122/H1122,-3)</f>
        <v>#REF!</v>
      </c>
      <c r="J1122" s="136">
        <v>305</v>
      </c>
      <c r="K1122" s="13"/>
    </row>
    <row r="1123" spans="1:11" ht="15" customHeight="1">
      <c r="A1123" s="811"/>
      <c r="B1123" s="810"/>
      <c r="C1123" s="7">
        <v>320</v>
      </c>
      <c r="D1123" s="9" t="s">
        <v>825</v>
      </c>
      <c r="E1123" s="25">
        <v>705000</v>
      </c>
      <c r="G1123" s="8">
        <v>320</v>
      </c>
      <c r="H1123" s="11">
        <f t="shared" si="168"/>
        <v>0.85970800000000003</v>
      </c>
      <c r="I1123" s="12" t="e">
        <f>ROUND(#REF!*1000000/G1123/H1123,-3)</f>
        <v>#REF!</v>
      </c>
      <c r="J1123" s="136">
        <v>342</v>
      </c>
      <c r="K1123" s="13"/>
    </row>
    <row r="1124" spans="1:11" ht="15" customHeight="1">
      <c r="A1124" s="811"/>
      <c r="B1124" s="810"/>
      <c r="C1124" s="7">
        <v>360</v>
      </c>
      <c r="D1124" s="9" t="s">
        <v>825</v>
      </c>
      <c r="E1124" s="25">
        <v>790000</v>
      </c>
      <c r="G1124" s="8">
        <v>360</v>
      </c>
      <c r="H1124" s="11">
        <f t="shared" si="168"/>
        <v>0.85970800000000003</v>
      </c>
      <c r="I1124" s="12" t="e">
        <f>ROUND(#REF!*1000000/G1124/H1124,-3)</f>
        <v>#REF!</v>
      </c>
      <c r="J1124" s="136">
        <v>382</v>
      </c>
      <c r="K1124" s="13"/>
    </row>
    <row r="1125" spans="1:11" ht="15" customHeight="1">
      <c r="A1125" s="811"/>
      <c r="B1125" s="810"/>
      <c r="C1125" s="7">
        <v>400</v>
      </c>
      <c r="D1125" s="9" t="s">
        <v>825</v>
      </c>
      <c r="E1125" s="25">
        <v>1035000</v>
      </c>
      <c r="G1125" s="8">
        <v>400</v>
      </c>
      <c r="H1125" s="11">
        <f t="shared" si="168"/>
        <v>0.85970800000000003</v>
      </c>
      <c r="I1125" s="12" t="e">
        <f>ROUND(#REF!*1000000/G1125/H1125,-3)</f>
        <v>#REF!</v>
      </c>
      <c r="J1125" s="136">
        <v>424</v>
      </c>
      <c r="K1125" s="13"/>
    </row>
    <row r="1126" spans="1:11" ht="15" customHeight="1">
      <c r="A1126" s="811"/>
      <c r="B1126" s="810"/>
      <c r="C1126" s="7">
        <v>120</v>
      </c>
      <c r="D1126" s="9" t="s">
        <v>827</v>
      </c>
      <c r="E1126" s="25">
        <v>285000</v>
      </c>
      <c r="G1126" s="8">
        <v>120</v>
      </c>
      <c r="H1126" s="11">
        <f t="shared" si="168"/>
        <v>0.85970800000000003</v>
      </c>
      <c r="I1126" s="12" t="e">
        <f>ROUND(#REF!*1000000/G1126/H1126,-3)</f>
        <v>#REF!</v>
      </c>
      <c r="J1126" s="136">
        <v>128</v>
      </c>
      <c r="K1126" s="13"/>
    </row>
    <row r="1127" spans="1:11" ht="15" customHeight="1">
      <c r="A1127" s="811"/>
      <c r="B1127" s="810"/>
      <c r="C1127" s="7">
        <v>170</v>
      </c>
      <c r="D1127" s="9" t="s">
        <v>827</v>
      </c>
      <c r="E1127" s="25">
        <v>405000</v>
      </c>
      <c r="G1127" s="8">
        <v>170</v>
      </c>
      <c r="H1127" s="11">
        <f t="shared" si="168"/>
        <v>0.85970800000000003</v>
      </c>
      <c r="I1127" s="12" t="e">
        <f>ROUND(#REF!*1000000/G1127/H1127,-3)</f>
        <v>#REF!</v>
      </c>
      <c r="J1127" s="136">
        <v>183</v>
      </c>
      <c r="K1127" s="13"/>
    </row>
    <row r="1128" spans="1:11" ht="15" customHeight="1">
      <c r="A1128" s="811"/>
      <c r="B1128" s="810"/>
      <c r="C1128" s="7">
        <v>200</v>
      </c>
      <c r="D1128" s="9" t="s">
        <v>827</v>
      </c>
      <c r="E1128" s="25">
        <v>475000</v>
      </c>
      <c r="G1128" s="8">
        <v>200</v>
      </c>
      <c r="H1128" s="11">
        <f t="shared" si="168"/>
        <v>0.85970800000000003</v>
      </c>
      <c r="I1128" s="12" t="e">
        <f>ROUND(#REF!*1000000/G1128/H1128,-3)</f>
        <v>#REF!</v>
      </c>
      <c r="J1128" s="136">
        <v>214</v>
      </c>
      <c r="K1128" s="13"/>
    </row>
    <row r="1129" spans="1:11" ht="15" customHeight="1">
      <c r="A1129" s="811"/>
      <c r="B1129" s="810"/>
      <c r="C1129" s="7">
        <v>250</v>
      </c>
      <c r="D1129" s="9" t="s">
        <v>827</v>
      </c>
      <c r="E1129" s="25">
        <v>595000</v>
      </c>
      <c r="G1129" s="8">
        <v>250</v>
      </c>
      <c r="H1129" s="11">
        <f t="shared" si="168"/>
        <v>0.85970800000000003</v>
      </c>
      <c r="I1129" s="12" t="e">
        <f>ROUND(#REF!*1000000/G1129/H1129,-3)</f>
        <v>#REF!</v>
      </c>
      <c r="J1129" s="136">
        <v>266</v>
      </c>
      <c r="K1129" s="13"/>
    </row>
    <row r="1130" spans="1:11" ht="15" customHeight="1">
      <c r="A1130" s="811"/>
      <c r="B1130" s="810"/>
      <c r="C1130" s="7">
        <v>300</v>
      </c>
      <c r="D1130" s="9" t="s">
        <v>827</v>
      </c>
      <c r="E1130" s="25">
        <v>715000</v>
      </c>
      <c r="G1130" s="8">
        <v>300</v>
      </c>
      <c r="H1130" s="11">
        <f t="shared" si="168"/>
        <v>0.85970800000000003</v>
      </c>
      <c r="I1130" s="12" t="e">
        <f>ROUND(#REF!*1000000/G1130/H1130,-3)</f>
        <v>#REF!</v>
      </c>
      <c r="J1130" s="136">
        <v>322</v>
      </c>
      <c r="K1130" s="13"/>
    </row>
    <row r="1131" spans="1:11" ht="15" customHeight="1">
      <c r="A1131" s="811"/>
      <c r="B1131" s="810"/>
      <c r="C1131" s="7">
        <v>350</v>
      </c>
      <c r="D1131" s="9" t="s">
        <v>827</v>
      </c>
      <c r="E1131" s="25">
        <v>880000</v>
      </c>
      <c r="G1131" s="8">
        <v>350</v>
      </c>
      <c r="H1131" s="11">
        <f t="shared" si="168"/>
        <v>0.85970800000000003</v>
      </c>
      <c r="I1131" s="12" t="e">
        <f>ROUND(#REF!*1000000/G1131/H1131,-3)</f>
        <v>#REF!</v>
      </c>
      <c r="J1131" s="136">
        <v>375</v>
      </c>
      <c r="K1131" s="13"/>
    </row>
    <row r="1132" spans="1:11" ht="15" customHeight="1">
      <c r="A1132" s="814" t="s">
        <v>828</v>
      </c>
      <c r="B1132" s="814" t="s">
        <v>236</v>
      </c>
      <c r="C1132" s="7">
        <v>250</v>
      </c>
      <c r="D1132" s="9" t="s">
        <v>4890</v>
      </c>
      <c r="E1132" s="148">
        <v>1675000</v>
      </c>
      <c r="G1132" s="8">
        <v>250</v>
      </c>
      <c r="H1132" s="11">
        <v>0.7</v>
      </c>
      <c r="I1132" s="12" t="e">
        <f>ROUND(#REF!*1000000/G1132/H1132,-3)</f>
        <v>#REF!</v>
      </c>
      <c r="J1132" s="137"/>
      <c r="K1132" s="13"/>
    </row>
    <row r="1133" spans="1:11" ht="15" customHeight="1">
      <c r="A1133" s="804"/>
      <c r="B1133" s="804"/>
      <c r="C1133" s="7">
        <f>C1132</f>
        <v>250</v>
      </c>
      <c r="D1133" s="9" t="s">
        <v>4891</v>
      </c>
      <c r="E1133" s="148">
        <v>1725000</v>
      </c>
      <c r="G1133" s="8">
        <v>250</v>
      </c>
      <c r="H1133" s="11">
        <v>0.7</v>
      </c>
      <c r="I1133" s="12" t="e">
        <f>ROUND(#REF!*1000000/G1133/H1133,-3)</f>
        <v>#REF!</v>
      </c>
      <c r="J1133" s="137"/>
      <c r="K1133" s="13"/>
    </row>
    <row r="1134" spans="1:11" ht="15" customHeight="1">
      <c r="A1134" s="804"/>
      <c r="B1134" s="804"/>
      <c r="C1134" s="7">
        <f>C1133</f>
        <v>250</v>
      </c>
      <c r="D1134" s="9" t="s">
        <v>830</v>
      </c>
      <c r="E1134" s="148">
        <v>1900000</v>
      </c>
      <c r="G1134" s="8">
        <v>250</v>
      </c>
      <c r="H1134" s="11">
        <v>0.7</v>
      </c>
      <c r="I1134" s="12" t="e">
        <f>ROUND(#REF!*1000000/G1134/H1134,-3)</f>
        <v>#REF!</v>
      </c>
      <c r="J1134" s="137"/>
      <c r="K1134" s="13"/>
    </row>
    <row r="1135" spans="1:11" ht="15" customHeight="1">
      <c r="A1135" s="805"/>
      <c r="B1135" s="805"/>
      <c r="C1135" s="33">
        <f>C1134</f>
        <v>250</v>
      </c>
      <c r="D1135" s="21" t="s">
        <v>831</v>
      </c>
      <c r="E1135" s="214">
        <v>1025000</v>
      </c>
      <c r="G1135" s="8">
        <v>170</v>
      </c>
      <c r="H1135" s="11">
        <v>0.7</v>
      </c>
      <c r="I1135" s="12" t="e">
        <f>ROUND(#REF!*1000000/G1135/H1135,-3)</f>
        <v>#REF!</v>
      </c>
      <c r="J1135" s="137"/>
      <c r="K1135" s="13"/>
    </row>
    <row r="1136" spans="1:11" ht="15" customHeight="1">
      <c r="A1136" s="814" t="s">
        <v>832</v>
      </c>
      <c r="B1136" s="814" t="s">
        <v>218</v>
      </c>
      <c r="C1136" s="20">
        <v>52</v>
      </c>
      <c r="D1136" s="21" t="s">
        <v>833</v>
      </c>
      <c r="E1136" s="25">
        <v>235000</v>
      </c>
      <c r="G1136" s="8">
        <v>52</v>
      </c>
      <c r="H1136" s="11">
        <f t="shared" si="168"/>
        <v>0.85970800000000003</v>
      </c>
      <c r="I1136" s="12" t="e">
        <f>ROUND(#REF!*1000000/G1136/H1136,-3)</f>
        <v>#REF!</v>
      </c>
      <c r="J1136" s="137"/>
      <c r="K1136" s="13"/>
    </row>
    <row r="1137" spans="1:11" ht="15" customHeight="1">
      <c r="A1137" s="804"/>
      <c r="B1137" s="804"/>
      <c r="C1137" s="33">
        <f t="shared" ref="C1137:C1139" si="169">C1136</f>
        <v>52</v>
      </c>
      <c r="D1137" s="21" t="s">
        <v>834</v>
      </c>
      <c r="E1137" s="25">
        <v>270000</v>
      </c>
      <c r="G1137" s="8">
        <v>52</v>
      </c>
      <c r="H1137" s="11">
        <f t="shared" si="168"/>
        <v>0.85970800000000003</v>
      </c>
      <c r="I1137" s="12" t="e">
        <f>ROUND(#REF!*1000000/G1137/H1137,-3)</f>
        <v>#REF!</v>
      </c>
      <c r="J1137" s="137"/>
      <c r="K1137" s="13"/>
    </row>
    <row r="1138" spans="1:11" ht="15" customHeight="1">
      <c r="A1138" s="804"/>
      <c r="B1138" s="804"/>
      <c r="C1138" s="33">
        <f t="shared" si="169"/>
        <v>52</v>
      </c>
      <c r="D1138" s="21" t="s">
        <v>835</v>
      </c>
      <c r="E1138" s="25">
        <v>310000</v>
      </c>
      <c r="G1138" s="8">
        <v>52</v>
      </c>
      <c r="H1138" s="11">
        <f t="shared" si="168"/>
        <v>0.85970800000000003</v>
      </c>
      <c r="I1138" s="12" t="e">
        <f>ROUND(#REF!*1000000/G1138/H1138,-3)</f>
        <v>#REF!</v>
      </c>
      <c r="J1138" s="137"/>
      <c r="K1138" s="13"/>
    </row>
    <row r="1139" spans="1:11" ht="15" customHeight="1">
      <c r="A1139" s="805"/>
      <c r="B1139" s="805"/>
      <c r="C1139" s="33">
        <f t="shared" si="169"/>
        <v>52</v>
      </c>
      <c r="D1139" s="21" t="s">
        <v>836</v>
      </c>
      <c r="E1139" s="25">
        <v>325000</v>
      </c>
      <c r="G1139" s="8">
        <v>52</v>
      </c>
      <c r="H1139" s="11">
        <f t="shared" si="168"/>
        <v>0.85970800000000003</v>
      </c>
      <c r="I1139" s="12" t="e">
        <f>ROUND(#REF!*1000000/G1139/H1139,-3)</f>
        <v>#REF!</v>
      </c>
      <c r="J1139" s="137"/>
      <c r="K1139" s="13"/>
    </row>
    <row r="1140" spans="1:11" ht="15" customHeight="1">
      <c r="A1140" s="810" t="s">
        <v>837</v>
      </c>
      <c r="B1140" s="814" t="s">
        <v>838</v>
      </c>
      <c r="C1140" s="20">
        <v>120</v>
      </c>
      <c r="D1140" s="21" t="s">
        <v>839</v>
      </c>
      <c r="E1140" s="25">
        <v>560000</v>
      </c>
      <c r="G1140" s="8">
        <v>120</v>
      </c>
      <c r="H1140" s="11">
        <f>1.02*0.7</f>
        <v>0.71399999999999997</v>
      </c>
      <c r="I1140" s="12" t="e">
        <f>ROUND(#REF!*1000000/G1140/H1140,-3)</f>
        <v>#REF!</v>
      </c>
      <c r="J1140" s="137"/>
      <c r="K1140" s="13"/>
    </row>
    <row r="1141" spans="1:11" ht="15" customHeight="1">
      <c r="A1141" s="810"/>
      <c r="B1141" s="805"/>
      <c r="C1141" s="33">
        <f>C1140</f>
        <v>120</v>
      </c>
      <c r="D1141" s="21" t="s">
        <v>840</v>
      </c>
      <c r="E1141" s="25">
        <v>745000</v>
      </c>
      <c r="G1141" s="8">
        <v>120</v>
      </c>
      <c r="H1141" s="11">
        <f t="shared" ref="H1141" si="170">1.02*0.7</f>
        <v>0.71399999999999997</v>
      </c>
      <c r="I1141" s="12" t="e">
        <f>ROUND(#REF!*1000000/G1141/H1141,-3)</f>
        <v>#REF!</v>
      </c>
      <c r="J1141" s="137"/>
      <c r="K1141" s="13"/>
    </row>
    <row r="1142" spans="1:11" ht="15" customHeight="1">
      <c r="A1142" s="810"/>
      <c r="B1142" s="814" t="s">
        <v>255</v>
      </c>
      <c r="C1142" s="20">
        <v>200</v>
      </c>
      <c r="D1142" s="21" t="s">
        <v>841</v>
      </c>
      <c r="E1142" s="25">
        <v>800000</v>
      </c>
      <c r="G1142" s="8">
        <v>200</v>
      </c>
      <c r="H1142" s="11">
        <f>1*0.7</f>
        <v>0.7</v>
      </c>
      <c r="I1142" s="12" t="e">
        <f>ROUND(#REF!*1000000/G1142/H1142,-3)</f>
        <v>#REF!</v>
      </c>
      <c r="J1142" s="137"/>
      <c r="K1142" s="13"/>
    </row>
    <row r="1143" spans="1:11" ht="15" customHeight="1">
      <c r="A1143" s="810"/>
      <c r="B1143" s="805"/>
      <c r="C1143" s="20">
        <v>310</v>
      </c>
      <c r="D1143" s="21" t="s">
        <v>842</v>
      </c>
      <c r="E1143" s="25">
        <v>3235000</v>
      </c>
      <c r="G1143" s="8">
        <v>310</v>
      </c>
      <c r="H1143" s="11">
        <f>1*0.7</f>
        <v>0.7</v>
      </c>
      <c r="I1143" s="12" t="e">
        <f>ROUND(#REF!*1000000/G1143/H1143,-3)</f>
        <v>#REF!</v>
      </c>
      <c r="J1143" s="137"/>
      <c r="K1143" s="13"/>
    </row>
    <row r="1144" spans="1:11" ht="15" customHeight="1">
      <c r="A1144" s="810" t="s">
        <v>843</v>
      </c>
      <c r="B1144" s="810" t="s">
        <v>218</v>
      </c>
      <c r="C1144" s="33">
        <v>128</v>
      </c>
      <c r="D1144" s="21" t="s">
        <v>742</v>
      </c>
      <c r="E1144" s="25">
        <v>490000</v>
      </c>
      <c r="G1144" s="8">
        <v>128</v>
      </c>
      <c r="H1144" s="11">
        <f t="shared" ref="H1144:H1147" si="171">0.788*1.091</f>
        <v>0.85970800000000003</v>
      </c>
      <c r="I1144" s="12" t="e">
        <f>ROUND(#REF!*1000000/G1144/H1144,-3)</f>
        <v>#REF!</v>
      </c>
      <c r="J1144" s="137"/>
      <c r="K1144" s="13"/>
    </row>
    <row r="1145" spans="1:11" ht="15" customHeight="1">
      <c r="A1145" s="810"/>
      <c r="B1145" s="810"/>
      <c r="C1145" s="33">
        <v>151</v>
      </c>
      <c r="D1145" s="21" t="s">
        <v>742</v>
      </c>
      <c r="E1145" s="25">
        <v>575000</v>
      </c>
      <c r="G1145" s="8">
        <v>151</v>
      </c>
      <c r="H1145" s="11">
        <f t="shared" si="171"/>
        <v>0.85970800000000003</v>
      </c>
      <c r="I1145" s="12" t="e">
        <f>ROUND(#REF!*1000000/G1145/H1145,-3)</f>
        <v>#REF!</v>
      </c>
      <c r="J1145" s="137"/>
      <c r="K1145" s="13"/>
    </row>
    <row r="1146" spans="1:11" ht="15" customHeight="1">
      <c r="A1146" s="810"/>
      <c r="B1146" s="810"/>
      <c r="C1146" s="33">
        <v>186</v>
      </c>
      <c r="D1146" s="21" t="s">
        <v>742</v>
      </c>
      <c r="E1146" s="25">
        <v>710000</v>
      </c>
      <c r="G1146" s="8">
        <v>186</v>
      </c>
      <c r="H1146" s="11">
        <f t="shared" si="171"/>
        <v>0.85970800000000003</v>
      </c>
      <c r="I1146" s="12" t="e">
        <f>ROUND(#REF!*1000000/G1146/H1146,-3)</f>
        <v>#REF!</v>
      </c>
      <c r="J1146" s="137"/>
      <c r="K1146" s="13"/>
    </row>
    <row r="1147" spans="1:11" ht="15" customHeight="1">
      <c r="A1147" s="810"/>
      <c r="B1147" s="810"/>
      <c r="C1147" s="33">
        <v>372</v>
      </c>
      <c r="D1147" s="21" t="s">
        <v>844</v>
      </c>
      <c r="E1147" s="25">
        <v>1415000</v>
      </c>
      <c r="G1147" s="8">
        <v>372</v>
      </c>
      <c r="H1147" s="11">
        <f t="shared" si="171"/>
        <v>0.85970800000000003</v>
      </c>
      <c r="I1147" s="12" t="e">
        <f>ROUND(#REF!*1000000/G1147/H1147,-3)</f>
        <v>#REF!</v>
      </c>
      <c r="J1147" s="137"/>
      <c r="K1147" s="13"/>
    </row>
    <row r="1148" spans="1:11" ht="15" customHeight="1">
      <c r="A1148" s="814" t="s">
        <v>845</v>
      </c>
      <c r="B1148" s="814" t="s">
        <v>255</v>
      </c>
      <c r="C1148" s="33">
        <v>310</v>
      </c>
      <c r="D1148" s="21" t="s">
        <v>846</v>
      </c>
      <c r="E1148" s="25">
        <v>2375000</v>
      </c>
      <c r="G1148" s="8">
        <v>310</v>
      </c>
      <c r="H1148" s="11">
        <v>0.7</v>
      </c>
      <c r="I1148" s="12" t="e">
        <f>ROUND(#REF!*1000000/G1148/H1148,-3)</f>
        <v>#REF!</v>
      </c>
      <c r="J1148" s="137"/>
      <c r="K1148" s="13"/>
    </row>
    <row r="1149" spans="1:11" ht="15" customHeight="1">
      <c r="A1149" s="804"/>
      <c r="B1149" s="804"/>
      <c r="C1149" s="33">
        <f t="shared" ref="C1149:C1150" si="172">C1148</f>
        <v>310</v>
      </c>
      <c r="D1149" s="21" t="s">
        <v>847</v>
      </c>
      <c r="E1149" s="25">
        <v>2580000</v>
      </c>
      <c r="G1149" s="8">
        <v>310</v>
      </c>
      <c r="H1149" s="11">
        <v>0.7</v>
      </c>
      <c r="I1149" s="12" t="e">
        <f>ROUND(#REF!*1000000/G1149/H1149,-3)</f>
        <v>#REF!</v>
      </c>
      <c r="J1149" s="137"/>
      <c r="K1149" s="13"/>
    </row>
    <row r="1150" spans="1:11" ht="15" customHeight="1">
      <c r="A1150" s="805"/>
      <c r="B1150" s="805"/>
      <c r="C1150" s="33">
        <f t="shared" si="172"/>
        <v>310</v>
      </c>
      <c r="D1150" s="21" t="s">
        <v>848</v>
      </c>
      <c r="E1150" s="25">
        <v>2740000</v>
      </c>
      <c r="G1150" s="8">
        <v>310</v>
      </c>
      <c r="H1150" s="11">
        <v>0.7</v>
      </c>
      <c r="I1150" s="12" t="e">
        <f>ROUND(#REF!*1000000/G1150/H1150,-3)</f>
        <v>#REF!</v>
      </c>
      <c r="J1150" s="137"/>
      <c r="K1150" s="13"/>
    </row>
    <row r="1151" spans="1:11" ht="15" customHeight="1">
      <c r="A1151" s="811" t="s">
        <v>849</v>
      </c>
      <c r="B1151" s="810" t="s">
        <v>850</v>
      </c>
      <c r="C1151" s="14">
        <v>280</v>
      </c>
      <c r="D1151" s="9" t="s">
        <v>851</v>
      </c>
      <c r="E1151" s="25">
        <v>0</v>
      </c>
      <c r="G1151" s="8"/>
      <c r="H1151" s="11"/>
      <c r="I1151" s="12"/>
      <c r="J1151" s="137"/>
      <c r="K1151" s="13"/>
    </row>
    <row r="1152" spans="1:11" ht="15" customHeight="1">
      <c r="A1152" s="811"/>
      <c r="B1152" s="810"/>
      <c r="C1152" s="7">
        <f t="shared" ref="C1152:C1153" si="173">C1151</f>
        <v>280</v>
      </c>
      <c r="D1152" s="9" t="s">
        <v>852</v>
      </c>
      <c r="E1152" s="25">
        <v>0</v>
      </c>
      <c r="G1152" s="8"/>
      <c r="H1152" s="11"/>
      <c r="I1152" s="12"/>
      <c r="J1152" s="137"/>
      <c r="K1152" s="13"/>
    </row>
    <row r="1153" spans="1:11" ht="15" customHeight="1">
      <c r="A1153" s="811"/>
      <c r="B1153" s="810"/>
      <c r="C1153" s="7">
        <f t="shared" si="173"/>
        <v>280</v>
      </c>
      <c r="D1153" s="9" t="s">
        <v>853</v>
      </c>
      <c r="E1153" s="25">
        <v>0</v>
      </c>
      <c r="G1153" s="8"/>
      <c r="H1153" s="11"/>
      <c r="I1153" s="12"/>
      <c r="J1153" s="137"/>
      <c r="K1153" s="13"/>
    </row>
    <row r="1154" spans="1:11" ht="15" customHeight="1">
      <c r="A1154" s="811"/>
      <c r="B1154" s="810" t="s">
        <v>216</v>
      </c>
      <c r="C1154" s="14">
        <v>280</v>
      </c>
      <c r="D1154" s="9" t="s">
        <v>851</v>
      </c>
      <c r="E1154" s="25">
        <v>0</v>
      </c>
      <c r="G1154" s="8"/>
      <c r="H1154" s="11"/>
      <c r="I1154" s="12"/>
      <c r="J1154" s="137"/>
      <c r="K1154" s="13"/>
    </row>
    <row r="1155" spans="1:11" ht="15" customHeight="1">
      <c r="A1155" s="811"/>
      <c r="B1155" s="810"/>
      <c r="C1155" s="7">
        <f t="shared" ref="C1155:C1156" si="174">C1154</f>
        <v>280</v>
      </c>
      <c r="D1155" s="9" t="s">
        <v>852</v>
      </c>
      <c r="E1155" s="25">
        <v>0</v>
      </c>
      <c r="G1155" s="8"/>
      <c r="H1155" s="11"/>
      <c r="I1155" s="12"/>
      <c r="J1155" s="137"/>
      <c r="K1155" s="13"/>
    </row>
    <row r="1156" spans="1:11" ht="15" customHeight="1">
      <c r="A1156" s="811"/>
      <c r="B1156" s="810"/>
      <c r="C1156" s="7">
        <f t="shared" si="174"/>
        <v>280</v>
      </c>
      <c r="D1156" s="9" t="s">
        <v>853</v>
      </c>
      <c r="E1156" s="25">
        <v>0</v>
      </c>
      <c r="G1156" s="8"/>
      <c r="H1156" s="11"/>
      <c r="I1156" s="12"/>
      <c r="J1156" s="137"/>
      <c r="K1156" s="13"/>
    </row>
    <row r="1157" spans="1:11" ht="15" customHeight="1">
      <c r="A1157" s="15" t="s">
        <v>854</v>
      </c>
      <c r="B1157" s="7" t="s">
        <v>22</v>
      </c>
      <c r="C1157" s="33">
        <v>116</v>
      </c>
      <c r="D1157" s="21" t="s">
        <v>228</v>
      </c>
      <c r="E1157" s="25">
        <v>835000</v>
      </c>
      <c r="G1157" s="8">
        <v>116</v>
      </c>
      <c r="H1157" s="11">
        <f t="shared" ref="H1157" si="175">0.788*1.091</f>
        <v>0.85970800000000003</v>
      </c>
      <c r="I1157" s="12" t="e">
        <f>ROUND(#REF!*1000000/G1157/H1157,-3)</f>
        <v>#REF!</v>
      </c>
      <c r="J1157" s="137"/>
      <c r="K1157" s="13"/>
    </row>
    <row r="1158" spans="1:11" ht="15" customHeight="1">
      <c r="A1158" s="810" t="s">
        <v>855</v>
      </c>
      <c r="B1158" s="7" t="s">
        <v>344</v>
      </c>
      <c r="C1158" s="33">
        <v>250</v>
      </c>
      <c r="D1158" s="21" t="s">
        <v>856</v>
      </c>
      <c r="E1158" s="25">
        <v>585000</v>
      </c>
      <c r="G1158" s="8">
        <v>250</v>
      </c>
      <c r="H1158" s="11">
        <f t="shared" ref="H1158" si="176">0.636*0.939</f>
        <v>0.59720399999999996</v>
      </c>
      <c r="I1158" s="12" t="e">
        <f>ROUND(#REF!*1000000/G1158/H1158,-3)</f>
        <v>#REF!</v>
      </c>
      <c r="J1158" s="137"/>
      <c r="K1158" s="13"/>
    </row>
    <row r="1159" spans="1:11" ht="15" customHeight="1">
      <c r="A1159" s="810"/>
      <c r="B1159" s="7" t="s">
        <v>213</v>
      </c>
      <c r="C1159" s="33">
        <v>200</v>
      </c>
      <c r="D1159" s="21" t="s">
        <v>857</v>
      </c>
      <c r="E1159" s="25">
        <v>727500</v>
      </c>
      <c r="G1159" s="8">
        <v>200</v>
      </c>
      <c r="H1159" s="11">
        <f t="shared" ref="H1159:H1198" si="177">0.788*1.091</f>
        <v>0.85970800000000003</v>
      </c>
      <c r="I1159" s="12" t="e">
        <f>ROUND(#REF!*1000000/G1159/H1159,-3)</f>
        <v>#REF!</v>
      </c>
      <c r="J1159" s="137"/>
      <c r="K1159" s="13"/>
    </row>
    <row r="1160" spans="1:11" ht="15" customHeight="1">
      <c r="A1160" s="810" t="s">
        <v>858</v>
      </c>
      <c r="B1160" s="810" t="s">
        <v>213</v>
      </c>
      <c r="C1160" s="7">
        <v>105</v>
      </c>
      <c r="D1160" s="9" t="s">
        <v>859</v>
      </c>
      <c r="E1160" s="25">
        <v>685000</v>
      </c>
      <c r="G1160" s="8">
        <v>105</v>
      </c>
      <c r="H1160" s="11">
        <f t="shared" si="177"/>
        <v>0.85970800000000003</v>
      </c>
      <c r="I1160" s="12" t="e">
        <f>ROUND(#REF!*1000000/G1160/H1160,-3)</f>
        <v>#REF!</v>
      </c>
      <c r="J1160" s="137"/>
      <c r="K1160" s="13"/>
    </row>
    <row r="1161" spans="1:11" ht="15" customHeight="1">
      <c r="A1161" s="810"/>
      <c r="B1161" s="810"/>
      <c r="C1161" s="7">
        <f>C1160</f>
        <v>105</v>
      </c>
      <c r="D1161" s="7" t="str">
        <f>D1160</f>
        <v>CC.CS</v>
      </c>
      <c r="E1161" s="25">
        <v>800000</v>
      </c>
      <c r="G1161" s="8">
        <v>105</v>
      </c>
      <c r="H1161" s="11">
        <f t="shared" si="177"/>
        <v>0.85970800000000003</v>
      </c>
      <c r="I1161" s="12" t="e">
        <f>ROUND(#REF!*1000000/G1161/H1161,-3)</f>
        <v>#REF!</v>
      </c>
      <c r="J1161" s="137"/>
      <c r="K1161" s="13"/>
    </row>
    <row r="1162" spans="1:11" ht="15" customHeight="1">
      <c r="A1162" s="810"/>
      <c r="B1162" s="810"/>
      <c r="C1162" s="7">
        <v>135</v>
      </c>
      <c r="D1162" s="9" t="s">
        <v>860</v>
      </c>
      <c r="E1162" s="25">
        <v>970000</v>
      </c>
      <c r="G1162" s="8">
        <v>135</v>
      </c>
      <c r="H1162" s="11">
        <f t="shared" si="177"/>
        <v>0.85970800000000003</v>
      </c>
      <c r="I1162" s="12" t="e">
        <f>ROUND(#REF!*1000000/G1162/H1162,-3)</f>
        <v>#REF!</v>
      </c>
      <c r="J1162" s="137"/>
      <c r="K1162" s="13"/>
    </row>
    <row r="1163" spans="1:11" ht="15" customHeight="1">
      <c r="A1163" s="810"/>
      <c r="B1163" s="810"/>
      <c r="C1163" s="7">
        <v>175</v>
      </c>
      <c r="D1163" s="9" t="s">
        <v>859</v>
      </c>
      <c r="E1163" s="25">
        <v>970000</v>
      </c>
      <c r="G1163" s="8">
        <v>175</v>
      </c>
      <c r="H1163" s="11">
        <f t="shared" si="177"/>
        <v>0.85970800000000003</v>
      </c>
      <c r="I1163" s="12" t="e">
        <f>ROUND(#REF!*1000000/G1163/H1163,-3)</f>
        <v>#REF!</v>
      </c>
      <c r="J1163" s="137"/>
      <c r="K1163" s="13"/>
    </row>
    <row r="1164" spans="1:11" ht="15" customHeight="1">
      <c r="A1164" s="810"/>
      <c r="B1164" s="810"/>
      <c r="C1164" s="7">
        <f>C1163</f>
        <v>175</v>
      </c>
      <c r="D1164" s="9" t="s">
        <v>860</v>
      </c>
      <c r="E1164" s="25">
        <v>1130000</v>
      </c>
      <c r="G1164" s="8">
        <v>175</v>
      </c>
      <c r="H1164" s="11">
        <f t="shared" si="177"/>
        <v>0.85970800000000003</v>
      </c>
      <c r="I1164" s="12" t="e">
        <f>ROUND(#REF!*1000000/G1164/H1164,-3)</f>
        <v>#REF!</v>
      </c>
      <c r="J1164" s="137"/>
      <c r="K1164" s="13"/>
    </row>
    <row r="1165" spans="1:11" ht="15" customHeight="1">
      <c r="A1165" s="15" t="s">
        <v>861</v>
      </c>
      <c r="B1165" s="7" t="s">
        <v>22</v>
      </c>
      <c r="C1165" s="33">
        <v>209</v>
      </c>
      <c r="D1165" s="21" t="s">
        <v>862</v>
      </c>
      <c r="E1165" s="25">
        <v>1390000</v>
      </c>
      <c r="G1165" s="8">
        <v>209</v>
      </c>
      <c r="H1165" s="11">
        <f t="shared" si="177"/>
        <v>0.85970800000000003</v>
      </c>
      <c r="I1165" s="12" t="e">
        <f>ROUND(#REF!*1000000/G1165/H1165,-3)</f>
        <v>#REF!</v>
      </c>
      <c r="J1165" s="137"/>
      <c r="K1165" s="13"/>
    </row>
    <row r="1166" spans="1:11" ht="15" customHeight="1">
      <c r="A1166" s="814" t="s">
        <v>863</v>
      </c>
      <c r="B1166" s="814" t="s">
        <v>864</v>
      </c>
      <c r="C1166" s="20">
        <v>300</v>
      </c>
      <c r="D1166" s="21"/>
      <c r="E1166" s="25">
        <v>2155000</v>
      </c>
      <c r="G1166" s="14">
        <v>300</v>
      </c>
      <c r="H1166" s="11">
        <f t="shared" ref="H1166:H1167" si="178">0.71*1.01</f>
        <v>0.71709999999999996</v>
      </c>
      <c r="I1166" s="12" t="e">
        <f>ROUND(#REF!*1000000/G1166/H1166,-3)</f>
        <v>#REF!</v>
      </c>
      <c r="J1166" s="137"/>
      <c r="K1166" s="13"/>
    </row>
    <row r="1167" spans="1:11" ht="15" customHeight="1">
      <c r="A1167" s="805"/>
      <c r="B1167" s="805"/>
      <c r="C1167" s="20">
        <v>380</v>
      </c>
      <c r="D1167" s="21"/>
      <c r="E1167" s="25">
        <v>2205000</v>
      </c>
      <c r="G1167" s="14">
        <v>380</v>
      </c>
      <c r="H1167" s="11">
        <f t="shared" si="178"/>
        <v>0.71709999999999996</v>
      </c>
      <c r="I1167" s="12" t="e">
        <f>ROUND(#REF!*1000000/G1167/H1167,-3)</f>
        <v>#REF!</v>
      </c>
      <c r="J1167" s="137"/>
      <c r="K1167" s="13"/>
    </row>
    <row r="1168" spans="1:11" ht="15" customHeight="1">
      <c r="A1168" s="810" t="s">
        <v>865</v>
      </c>
      <c r="B1168" s="809" t="s">
        <v>343</v>
      </c>
      <c r="C1168" s="33">
        <v>118</v>
      </c>
      <c r="D1168" s="21" t="s">
        <v>866</v>
      </c>
      <c r="E1168" s="214">
        <v>440000</v>
      </c>
      <c r="G1168" s="8">
        <v>118</v>
      </c>
      <c r="H1168" s="11">
        <f t="shared" ref="H1168:H1173" si="179">0.788*1.091</f>
        <v>0.85970800000000003</v>
      </c>
      <c r="I1168" s="12" t="e">
        <f>ROUND(#REF!*1000000/G1168/H1168,-3)</f>
        <v>#REF!</v>
      </c>
      <c r="J1168" s="137"/>
      <c r="K1168" s="13"/>
    </row>
    <row r="1169" spans="1:11" ht="15" customHeight="1">
      <c r="A1169" s="810"/>
      <c r="B1169" s="804"/>
      <c r="C1169" s="33">
        <v>216</v>
      </c>
      <c r="D1169" s="21" t="s">
        <v>867</v>
      </c>
      <c r="E1169" s="214">
        <v>705000</v>
      </c>
      <c r="G1169" s="8">
        <v>216</v>
      </c>
      <c r="H1169" s="11">
        <f t="shared" si="179"/>
        <v>0.85970800000000003</v>
      </c>
      <c r="I1169" s="12" t="e">
        <f>ROUND(#REF!*1000000/G1169/H1169,-3)</f>
        <v>#REF!</v>
      </c>
      <c r="J1169" s="137"/>
      <c r="K1169" s="13"/>
    </row>
    <row r="1170" spans="1:11" ht="15" customHeight="1">
      <c r="A1170" s="810"/>
      <c r="B1170" s="804"/>
      <c r="C1170" s="33">
        <f t="shared" ref="C1170:C1172" si="180">C1169</f>
        <v>216</v>
      </c>
      <c r="D1170" s="21" t="s">
        <v>868</v>
      </c>
      <c r="E1170" s="214">
        <v>1240000</v>
      </c>
      <c r="G1170" s="8">
        <v>216</v>
      </c>
      <c r="H1170" s="11">
        <f t="shared" si="179"/>
        <v>0.85970800000000003</v>
      </c>
      <c r="I1170" s="12" t="e">
        <f>ROUND(#REF!*1000000/G1170/H1170,-3)</f>
        <v>#REF!</v>
      </c>
      <c r="J1170" s="137"/>
      <c r="K1170" s="13"/>
    </row>
    <row r="1171" spans="1:11" ht="15" customHeight="1">
      <c r="A1171" s="810"/>
      <c r="B1171" s="804"/>
      <c r="C1171" s="33">
        <f t="shared" si="180"/>
        <v>216</v>
      </c>
      <c r="D1171" s="21" t="s">
        <v>869</v>
      </c>
      <c r="E1171" s="214">
        <v>1185000</v>
      </c>
      <c r="G1171" s="8"/>
      <c r="H1171" s="11"/>
      <c r="I1171" s="12"/>
      <c r="J1171" s="137"/>
      <c r="K1171" s="13"/>
    </row>
    <row r="1172" spans="1:11" ht="15" customHeight="1">
      <c r="A1172" s="810"/>
      <c r="B1172" s="805"/>
      <c r="C1172" s="33">
        <f t="shared" si="180"/>
        <v>216</v>
      </c>
      <c r="D1172" s="21" t="s">
        <v>870</v>
      </c>
      <c r="E1172" s="214">
        <v>990000</v>
      </c>
      <c r="G1172" s="8">
        <v>216</v>
      </c>
      <c r="H1172" s="11">
        <f t="shared" si="179"/>
        <v>0.85970800000000003</v>
      </c>
      <c r="I1172" s="12" t="e">
        <f>ROUND(#REF!*1000000/G1172/H1172,-3)</f>
        <v>#REF!</v>
      </c>
      <c r="J1172" s="137"/>
      <c r="K1172" s="13"/>
    </row>
    <row r="1173" spans="1:11" ht="15" customHeight="1">
      <c r="A1173" s="810"/>
      <c r="B1173" s="24" t="s">
        <v>2886</v>
      </c>
      <c r="C1173" s="20">
        <v>216</v>
      </c>
      <c r="D1173" s="21" t="s">
        <v>871</v>
      </c>
      <c r="E1173" s="214">
        <v>265000</v>
      </c>
      <c r="G1173" s="8">
        <v>216</v>
      </c>
      <c r="H1173" s="11">
        <f t="shared" si="179"/>
        <v>0.85970800000000003</v>
      </c>
      <c r="I1173" s="12" t="e">
        <f>ROUND(#REF!*1000000/G1173/H1173,-3)</f>
        <v>#REF!</v>
      </c>
      <c r="J1173" s="137"/>
      <c r="K1173" s="13"/>
    </row>
    <row r="1174" spans="1:11" ht="15" customHeight="1">
      <c r="A1174" s="810"/>
      <c r="B1174" s="7" t="s">
        <v>344</v>
      </c>
      <c r="C1174" s="20">
        <v>216</v>
      </c>
      <c r="D1174" s="21" t="s">
        <v>871</v>
      </c>
      <c r="E1174" s="214">
        <v>490000</v>
      </c>
      <c r="G1174" s="8">
        <v>216</v>
      </c>
      <c r="H1174" s="11">
        <f>0.636*0.939</f>
        <v>0.59720399999999996</v>
      </c>
      <c r="I1174" s="12" t="e">
        <f>ROUND(#REF!*1000000/G1174/H1174,-3)</f>
        <v>#REF!</v>
      </c>
      <c r="J1174" s="137"/>
      <c r="K1174" s="13"/>
    </row>
    <row r="1175" spans="1:11" ht="15" customHeight="1">
      <c r="A1175" s="814" t="s">
        <v>872</v>
      </c>
      <c r="B1175" s="814" t="s">
        <v>873</v>
      </c>
      <c r="C1175" s="7">
        <v>30</v>
      </c>
      <c r="D1175" s="9" t="s">
        <v>874</v>
      </c>
      <c r="E1175" s="25">
        <v>465000</v>
      </c>
      <c r="G1175" s="8">
        <v>30</v>
      </c>
      <c r="H1175" s="11">
        <f t="shared" ref="H1175:H1179" si="181">0.546*0.788</f>
        <v>0.43024800000000007</v>
      </c>
      <c r="I1175" s="12" t="e">
        <f>ROUND(#REF!*1000000/G1175/H1175,-3)</f>
        <v>#REF!</v>
      </c>
      <c r="J1175" s="137"/>
      <c r="K1175" s="13"/>
    </row>
    <row r="1176" spans="1:11" ht="15" customHeight="1">
      <c r="A1176" s="804"/>
      <c r="B1176" s="804"/>
      <c r="C1176" s="7">
        <v>60</v>
      </c>
      <c r="D1176" s="9" t="s">
        <v>874</v>
      </c>
      <c r="E1176" s="25">
        <v>800000</v>
      </c>
      <c r="G1176" s="8">
        <v>60</v>
      </c>
      <c r="H1176" s="11">
        <f t="shared" si="181"/>
        <v>0.43024800000000007</v>
      </c>
      <c r="I1176" s="12" t="e">
        <f>ROUND(#REF!*1000000/G1176/H1176,-3)</f>
        <v>#REF!</v>
      </c>
      <c r="J1176" s="137"/>
      <c r="K1176" s="13"/>
    </row>
    <row r="1177" spans="1:11" ht="15" customHeight="1">
      <c r="A1177" s="804"/>
      <c r="B1177" s="804"/>
      <c r="C1177" s="7">
        <v>120</v>
      </c>
      <c r="D1177" s="9" t="s">
        <v>874</v>
      </c>
      <c r="E1177" s="25">
        <v>1505000</v>
      </c>
      <c r="G1177" s="8">
        <v>120</v>
      </c>
      <c r="H1177" s="11">
        <f t="shared" si="181"/>
        <v>0.43024800000000007</v>
      </c>
      <c r="I1177" s="12" t="e">
        <f>ROUND(#REF!*1000000/G1177/H1177,-3)</f>
        <v>#REF!</v>
      </c>
      <c r="J1177" s="137"/>
      <c r="K1177" s="13"/>
    </row>
    <row r="1178" spans="1:11" ht="15" customHeight="1">
      <c r="A1178" s="804"/>
      <c r="B1178" s="804"/>
      <c r="C1178" s="33">
        <v>60</v>
      </c>
      <c r="D1178" s="21" t="s">
        <v>875</v>
      </c>
      <c r="E1178" s="25">
        <v>460000</v>
      </c>
      <c r="G1178" s="8">
        <v>60</v>
      </c>
      <c r="H1178" s="11">
        <f t="shared" si="181"/>
        <v>0.43024800000000007</v>
      </c>
      <c r="I1178" s="12" t="e">
        <f>ROUND(#REF!*1000000/G1178/H1178,-3)</f>
        <v>#REF!</v>
      </c>
      <c r="J1178" s="137"/>
      <c r="K1178" s="13"/>
    </row>
    <row r="1179" spans="1:11" ht="15" customHeight="1">
      <c r="A1179" s="804"/>
      <c r="B1179" s="805"/>
      <c r="C1179" s="33">
        <v>120</v>
      </c>
      <c r="D1179" s="21" t="s">
        <v>875</v>
      </c>
      <c r="E1179" s="25">
        <v>810000</v>
      </c>
      <c r="G1179" s="8">
        <v>120</v>
      </c>
      <c r="H1179" s="11">
        <f t="shared" si="181"/>
        <v>0.43024800000000007</v>
      </c>
      <c r="I1179" s="12" t="e">
        <f>ROUND(#REF!*1000000/G1179/H1179,-3)</f>
        <v>#REF!</v>
      </c>
      <c r="J1179" s="137"/>
      <c r="K1179" s="13"/>
    </row>
    <row r="1180" spans="1:11" ht="15" customHeight="1">
      <c r="A1180" s="804"/>
      <c r="B1180" s="810" t="s">
        <v>595</v>
      </c>
      <c r="C1180" s="7">
        <v>230</v>
      </c>
      <c r="D1180" s="9" t="s">
        <v>876</v>
      </c>
      <c r="E1180" s="25">
        <v>1080000</v>
      </c>
      <c r="G1180" s="8">
        <v>230</v>
      </c>
      <c r="H1180" s="11">
        <f t="shared" ref="H1180:H1181" si="182">0.788*1.091</f>
        <v>0.85970800000000003</v>
      </c>
      <c r="I1180" s="12" t="e">
        <f>ROUND(#REF!*1000000/G1180/H1180,-3)</f>
        <v>#REF!</v>
      </c>
      <c r="J1180" s="137"/>
      <c r="K1180" s="13"/>
    </row>
    <row r="1181" spans="1:11" ht="15" customHeight="1">
      <c r="A1181" s="805"/>
      <c r="B1181" s="810"/>
      <c r="C1181" s="7">
        <v>300</v>
      </c>
      <c r="D1181" s="9" t="s">
        <v>876</v>
      </c>
      <c r="E1181" s="25">
        <v>1410000</v>
      </c>
      <c r="G1181" s="8">
        <v>300</v>
      </c>
      <c r="H1181" s="11">
        <f t="shared" si="182"/>
        <v>0.85970800000000003</v>
      </c>
      <c r="I1181" s="12" t="e">
        <f>ROUND(#REF!*1000000/G1181/H1181,-3)</f>
        <v>#REF!</v>
      </c>
      <c r="J1181" s="137"/>
      <c r="K1181" s="13"/>
    </row>
    <row r="1182" spans="1:11" ht="15" customHeight="1">
      <c r="A1182" s="811" t="s">
        <v>877</v>
      </c>
      <c r="B1182" s="810" t="s">
        <v>878</v>
      </c>
      <c r="C1182" s="33">
        <v>99</v>
      </c>
      <c r="D1182" s="21" t="s">
        <v>879</v>
      </c>
      <c r="E1182" s="214">
        <v>815000</v>
      </c>
      <c r="G1182" s="8">
        <v>99</v>
      </c>
      <c r="H1182" s="11">
        <f t="shared" ref="H1182:H1190" si="183">1.07*0.788</f>
        <v>0.84316000000000013</v>
      </c>
      <c r="I1182" s="12" t="e">
        <f>ROUND(#REF!*1000000/G1182/H1182,-3)</f>
        <v>#REF!</v>
      </c>
      <c r="J1182" s="137"/>
      <c r="K1182" s="13"/>
    </row>
    <row r="1183" spans="1:11" ht="15" customHeight="1">
      <c r="A1183" s="811"/>
      <c r="B1183" s="810"/>
      <c r="C1183" s="33">
        <v>122</v>
      </c>
      <c r="D1183" s="21" t="s">
        <v>879</v>
      </c>
      <c r="E1183" s="214">
        <v>910000</v>
      </c>
      <c r="G1183" s="8">
        <v>122</v>
      </c>
      <c r="H1183" s="11">
        <f t="shared" si="183"/>
        <v>0.84316000000000013</v>
      </c>
      <c r="I1183" s="12" t="e">
        <f>ROUND(#REF!*1000000/G1183/H1183,-3)</f>
        <v>#REF!</v>
      </c>
      <c r="J1183" s="137"/>
      <c r="K1183" s="13"/>
    </row>
    <row r="1184" spans="1:11" ht="15" customHeight="1">
      <c r="A1184" s="811"/>
      <c r="B1184" s="810"/>
      <c r="C1184" s="33">
        <f t="shared" ref="C1184:C1187" si="184">C1183</f>
        <v>122</v>
      </c>
      <c r="D1184" s="21" t="s">
        <v>880</v>
      </c>
      <c r="E1184" s="214">
        <v>1220000</v>
      </c>
      <c r="G1184" s="8">
        <v>122</v>
      </c>
      <c r="H1184" s="11">
        <f t="shared" si="183"/>
        <v>0.84316000000000013</v>
      </c>
      <c r="I1184" s="12" t="e">
        <f>ROUND(#REF!*1000000/G1184/H1184,-3)</f>
        <v>#REF!</v>
      </c>
      <c r="J1184" s="137"/>
      <c r="K1184" s="13"/>
    </row>
    <row r="1185" spans="1:11" ht="15" customHeight="1">
      <c r="A1185" s="811"/>
      <c r="B1185" s="810"/>
      <c r="C1185" s="33">
        <f t="shared" si="184"/>
        <v>122</v>
      </c>
      <c r="D1185" s="21" t="s">
        <v>881</v>
      </c>
      <c r="E1185" s="214">
        <v>910000</v>
      </c>
      <c r="G1185" s="8">
        <v>122</v>
      </c>
      <c r="H1185" s="11">
        <f t="shared" si="183"/>
        <v>0.84316000000000013</v>
      </c>
      <c r="I1185" s="12" t="e">
        <f>ROUND(#REF!*1000000/G1185/H1185,-3)</f>
        <v>#REF!</v>
      </c>
      <c r="J1185" s="137"/>
      <c r="K1185" s="13"/>
    </row>
    <row r="1186" spans="1:11" ht="15" customHeight="1">
      <c r="A1186" s="811"/>
      <c r="B1186" s="810"/>
      <c r="C1186" s="33">
        <f t="shared" si="184"/>
        <v>122</v>
      </c>
      <c r="D1186" s="21" t="s">
        <v>882</v>
      </c>
      <c r="E1186" s="214">
        <v>945000</v>
      </c>
      <c r="G1186" s="8"/>
      <c r="H1186" s="11"/>
      <c r="I1186" s="12"/>
      <c r="J1186" s="137"/>
      <c r="K1186" s="13"/>
    </row>
    <row r="1187" spans="1:11" ht="15" customHeight="1">
      <c r="A1187" s="811"/>
      <c r="B1187" s="810"/>
      <c r="C1187" s="33">
        <f t="shared" si="184"/>
        <v>122</v>
      </c>
      <c r="D1187" s="21" t="s">
        <v>883</v>
      </c>
      <c r="E1187" s="214">
        <v>985000</v>
      </c>
      <c r="G1187" s="8">
        <v>122</v>
      </c>
      <c r="H1187" s="11">
        <f t="shared" si="183"/>
        <v>0.84316000000000013</v>
      </c>
      <c r="I1187" s="12" t="e">
        <f>ROUND(#REF!*1000000/G1187/H1187,-3)</f>
        <v>#REF!</v>
      </c>
      <c r="J1187" s="137"/>
      <c r="K1187" s="13"/>
    </row>
    <row r="1188" spans="1:11" ht="15" customHeight="1">
      <c r="A1188" s="811"/>
      <c r="B1188" s="810"/>
      <c r="C1188" s="20">
        <v>157</v>
      </c>
      <c r="D1188" s="21" t="s">
        <v>879</v>
      </c>
      <c r="E1188" s="214">
        <v>1075000</v>
      </c>
      <c r="G1188" s="8">
        <v>122</v>
      </c>
      <c r="H1188" s="11">
        <f t="shared" si="183"/>
        <v>0.84316000000000013</v>
      </c>
      <c r="I1188" s="12" t="e">
        <f>ROUND(#REF!*1000000/G1188/H1188,-3)</f>
        <v>#REF!</v>
      </c>
      <c r="J1188" s="137"/>
      <c r="K1188" s="13"/>
    </row>
    <row r="1189" spans="1:11" ht="15" customHeight="1">
      <c r="A1189" s="811"/>
      <c r="B1189" s="810"/>
      <c r="C1189" s="33">
        <v>204</v>
      </c>
      <c r="D1189" s="21" t="s">
        <v>879</v>
      </c>
      <c r="E1189" s="214">
        <v>1295000</v>
      </c>
      <c r="G1189" s="8">
        <v>157</v>
      </c>
      <c r="H1189" s="11">
        <f t="shared" si="183"/>
        <v>0.84316000000000013</v>
      </c>
      <c r="I1189" s="12" t="e">
        <f>ROUND(#REF!*1000000/G1189/H1189,-3)</f>
        <v>#REF!</v>
      </c>
      <c r="J1189" s="137"/>
      <c r="K1189" s="13"/>
    </row>
    <row r="1190" spans="1:11" ht="15" customHeight="1">
      <c r="A1190" s="811"/>
      <c r="B1190" s="810"/>
      <c r="C1190" s="33">
        <v>250</v>
      </c>
      <c r="D1190" s="21" t="s">
        <v>879</v>
      </c>
      <c r="E1190" s="214">
        <v>1495000</v>
      </c>
      <c r="G1190" s="8">
        <v>250</v>
      </c>
      <c r="H1190" s="11">
        <f t="shared" si="183"/>
        <v>0.84316000000000013</v>
      </c>
      <c r="I1190" s="12" t="e">
        <f>ROUND(#REF!*1000000/G1190/H1190,-3)</f>
        <v>#REF!</v>
      </c>
      <c r="J1190" s="137"/>
      <c r="K1190" s="13"/>
    </row>
    <row r="1191" spans="1:11" ht="15" customHeight="1">
      <c r="A1191" s="814" t="s">
        <v>884</v>
      </c>
      <c r="B1191" s="814" t="s">
        <v>791</v>
      </c>
      <c r="C1191" s="69">
        <v>112</v>
      </c>
      <c r="D1191" s="11" t="s">
        <v>885</v>
      </c>
      <c r="E1191" s="25">
        <v>605000</v>
      </c>
      <c r="G1191" s="70">
        <v>112</v>
      </c>
      <c r="H1191" s="11">
        <f>0.787*1.092</f>
        <v>0.85940400000000006</v>
      </c>
      <c r="I1191" s="12" t="e">
        <f>ROUND(#REF!*1000000/G1191/H1191,-3)</f>
        <v>#REF!</v>
      </c>
      <c r="J1191" s="137"/>
      <c r="K1191" s="13"/>
    </row>
    <row r="1192" spans="1:11" ht="15" customHeight="1">
      <c r="A1192" s="805"/>
      <c r="B1192" s="805"/>
      <c r="C1192" s="218">
        <f>C1191</f>
        <v>112</v>
      </c>
      <c r="D1192" s="73" t="s">
        <v>886</v>
      </c>
      <c r="E1192" s="25">
        <v>565000</v>
      </c>
      <c r="G1192" s="70">
        <v>112</v>
      </c>
      <c r="H1192" s="11">
        <f>0.787*1.092</f>
        <v>0.85940400000000006</v>
      </c>
      <c r="I1192" s="12" t="e">
        <f>ROUND(#REF!*1000000/G1192/H1192,-3)</f>
        <v>#REF!</v>
      </c>
      <c r="J1192" s="137"/>
      <c r="K1192" s="13"/>
    </row>
    <row r="1193" spans="1:11" ht="15" customHeight="1">
      <c r="A1193" s="814" t="s">
        <v>887</v>
      </c>
      <c r="B1193" s="814" t="s">
        <v>343</v>
      </c>
      <c r="C1193" s="7">
        <v>93</v>
      </c>
      <c r="D1193" s="9" t="s">
        <v>888</v>
      </c>
      <c r="E1193" s="25">
        <v>965000</v>
      </c>
      <c r="G1193" s="8">
        <v>93</v>
      </c>
      <c r="H1193" s="11">
        <f>0.788*1.091</f>
        <v>0.85970800000000003</v>
      </c>
      <c r="I1193" s="12" t="e">
        <f>ROUND(#REF!*1000000/G1193/H1193,-3)</f>
        <v>#REF!</v>
      </c>
      <c r="J1193" s="137"/>
      <c r="K1193" s="13"/>
    </row>
    <row r="1194" spans="1:11" ht="15" customHeight="1">
      <c r="A1194" s="804"/>
      <c r="B1194" s="804"/>
      <c r="C1194" s="7">
        <v>140</v>
      </c>
      <c r="D1194" s="9" t="s">
        <v>888</v>
      </c>
      <c r="E1194" s="25">
        <v>1455000</v>
      </c>
      <c r="G1194" s="8">
        <v>140</v>
      </c>
      <c r="H1194" s="11">
        <f t="shared" si="177"/>
        <v>0.85970800000000003</v>
      </c>
      <c r="I1194" s="12" t="e">
        <f>ROUND(#REF!*1000000/G1194/H1194,-3)</f>
        <v>#REF!</v>
      </c>
      <c r="J1194" s="137"/>
      <c r="K1194" s="13"/>
    </row>
    <row r="1195" spans="1:11" ht="15" customHeight="1">
      <c r="A1195" s="804"/>
      <c r="B1195" s="804"/>
      <c r="C1195" s="33">
        <v>93</v>
      </c>
      <c r="D1195" s="21" t="s">
        <v>889</v>
      </c>
      <c r="E1195" s="25">
        <v>695000</v>
      </c>
      <c r="G1195" s="8">
        <v>93</v>
      </c>
      <c r="H1195" s="11">
        <f>0.788*1.091</f>
        <v>0.85970800000000003</v>
      </c>
      <c r="I1195" s="12" t="e">
        <f>ROUND(#REF!*1000000/G1195/H1195,-3)</f>
        <v>#REF!</v>
      </c>
      <c r="J1195" s="137"/>
      <c r="K1195" s="13"/>
    </row>
    <row r="1196" spans="1:11" ht="15" customHeight="1">
      <c r="A1196" s="810" t="s">
        <v>890</v>
      </c>
      <c r="B1196" s="810" t="s">
        <v>22</v>
      </c>
      <c r="C1196" s="7">
        <v>81.400000000000006</v>
      </c>
      <c r="D1196" s="9"/>
      <c r="E1196" s="25">
        <v>755000</v>
      </c>
      <c r="G1196" s="34">
        <v>81.400000000000006</v>
      </c>
      <c r="H1196" s="11">
        <f t="shared" si="177"/>
        <v>0.85970800000000003</v>
      </c>
      <c r="I1196" s="12" t="e">
        <f>ROUND(#REF!*1000000/G1196/H1196,-3)</f>
        <v>#REF!</v>
      </c>
      <c r="J1196" s="137"/>
      <c r="K1196" s="13"/>
    </row>
    <row r="1197" spans="1:11" ht="15" customHeight="1">
      <c r="A1197" s="810"/>
      <c r="B1197" s="810"/>
      <c r="C1197" s="7">
        <v>116</v>
      </c>
      <c r="D1197" s="9"/>
      <c r="E1197" s="25">
        <v>1080000</v>
      </c>
      <c r="G1197" s="8">
        <v>116</v>
      </c>
      <c r="H1197" s="11">
        <f t="shared" si="177"/>
        <v>0.85970800000000003</v>
      </c>
      <c r="I1197" s="12" t="e">
        <f>ROUND(#REF!*1000000/G1197/H1197,-3)</f>
        <v>#REF!</v>
      </c>
      <c r="J1197" s="137"/>
      <c r="K1197" s="13"/>
    </row>
    <row r="1198" spans="1:11" ht="15" customHeight="1">
      <c r="A1198" s="810"/>
      <c r="B1198" s="810"/>
      <c r="C1198" s="7">
        <v>186</v>
      </c>
      <c r="D1198" s="9"/>
      <c r="E1198" s="25">
        <v>1730000</v>
      </c>
      <c r="G1198" s="8">
        <v>186</v>
      </c>
      <c r="H1198" s="11">
        <f t="shared" si="177"/>
        <v>0.85970800000000003</v>
      </c>
      <c r="I1198" s="12" t="e">
        <f>ROUND(#REF!*1000000/G1198/H1198,-3)</f>
        <v>#REF!</v>
      </c>
      <c r="J1198" s="137"/>
      <c r="K1198" s="13"/>
    </row>
    <row r="1199" spans="1:11" s="1" customFormat="1" ht="15" customHeight="1">
      <c r="A1199" s="811" t="s">
        <v>891</v>
      </c>
      <c r="B1199" s="810" t="s">
        <v>20</v>
      </c>
      <c r="C1199" s="7">
        <v>180</v>
      </c>
      <c r="D1199" s="9"/>
      <c r="E1199" s="211">
        <v>600000</v>
      </c>
      <c r="G1199" s="8">
        <v>180</v>
      </c>
      <c r="H1199" s="11">
        <v>0.88</v>
      </c>
      <c r="I1199" s="12" t="e">
        <f>ROUND(#REF!*1000000/G1199/H1199,-3)</f>
        <v>#REF!</v>
      </c>
      <c r="J1199" s="136">
        <v>260</v>
      </c>
      <c r="K1199" s="13"/>
    </row>
    <row r="1200" spans="1:11" s="1" customFormat="1" ht="15" customHeight="1">
      <c r="A1200" s="811"/>
      <c r="B1200" s="810"/>
      <c r="C1200" s="7">
        <v>240</v>
      </c>
      <c r="D1200" s="9"/>
      <c r="E1200" s="211">
        <v>800000</v>
      </c>
      <c r="G1200" s="8">
        <v>240</v>
      </c>
      <c r="H1200" s="11">
        <v>0.88</v>
      </c>
      <c r="I1200" s="12" t="e">
        <f>ROUND(#REF!*1000000/G1200/H1200,-3)</f>
        <v>#REF!</v>
      </c>
      <c r="J1200" s="136">
        <v>340</v>
      </c>
      <c r="K1200" s="13"/>
    </row>
    <row r="1201" spans="1:11" s="1" customFormat="1" ht="15" customHeight="1">
      <c r="A1201" s="811"/>
      <c r="B1201" s="810"/>
      <c r="C1201" s="7">
        <v>280</v>
      </c>
      <c r="D1201" s="9"/>
      <c r="E1201" s="211">
        <v>935000</v>
      </c>
      <c r="G1201" s="8">
        <v>280</v>
      </c>
      <c r="H1201" s="11">
        <v>0.88</v>
      </c>
      <c r="I1201" s="12" t="e">
        <f>ROUND(#REF!*1000000/G1201/H1201,-3)</f>
        <v>#REF!</v>
      </c>
      <c r="J1201" s="136">
        <v>410</v>
      </c>
      <c r="K1201" s="13"/>
    </row>
    <row r="1202" spans="1:11" s="1" customFormat="1" ht="15" customHeight="1">
      <c r="A1202" s="811"/>
      <c r="B1202" s="810"/>
      <c r="C1202" s="7">
        <v>310</v>
      </c>
      <c r="D1202" s="9"/>
      <c r="E1202" s="211">
        <v>1035000</v>
      </c>
      <c r="G1202" s="8">
        <v>310</v>
      </c>
      <c r="H1202" s="11">
        <v>0.88</v>
      </c>
      <c r="I1202" s="12" t="e">
        <f>ROUND(#REF!*1000000/G1202/H1202,-3)</f>
        <v>#REF!</v>
      </c>
      <c r="J1202" s="136">
        <v>450</v>
      </c>
      <c r="K1202" s="13"/>
    </row>
    <row r="1203" spans="1:11" s="1" customFormat="1" ht="15" customHeight="1">
      <c r="A1203" s="811"/>
      <c r="B1203" s="810"/>
      <c r="C1203" s="7">
        <v>350</v>
      </c>
      <c r="D1203" s="9"/>
      <c r="E1203" s="211">
        <v>1165000</v>
      </c>
      <c r="G1203" s="8">
        <v>350</v>
      </c>
      <c r="H1203" s="11">
        <v>0.88</v>
      </c>
      <c r="I1203" s="12" t="e">
        <f>ROUND(#REF!*1000000/G1203/H1203,-3)</f>
        <v>#REF!</v>
      </c>
      <c r="J1203" s="136">
        <v>530</v>
      </c>
      <c r="K1203" s="13"/>
    </row>
    <row r="1204" spans="1:11" s="1" customFormat="1" ht="15" customHeight="1">
      <c r="A1204" s="811"/>
      <c r="B1204" s="810"/>
      <c r="C1204" s="7">
        <v>620</v>
      </c>
      <c r="D1204" s="9"/>
      <c r="E1204" s="211">
        <v>2500000</v>
      </c>
      <c r="G1204" s="8">
        <v>620</v>
      </c>
      <c r="H1204" s="11">
        <v>0.88</v>
      </c>
      <c r="I1204" s="12" t="e">
        <f>ROUND(#REF!*1000000/G1204/H1204,-3)</f>
        <v>#REF!</v>
      </c>
      <c r="J1204" s="136">
        <v>920</v>
      </c>
      <c r="K1204" s="13"/>
    </row>
    <row r="1205" spans="1:11" s="1" customFormat="1" ht="15" customHeight="1">
      <c r="A1205" s="811"/>
      <c r="B1205" s="810"/>
      <c r="C1205" s="7">
        <v>700</v>
      </c>
      <c r="D1205" s="9"/>
      <c r="E1205" s="211">
        <v>2825000</v>
      </c>
      <c r="G1205" s="8">
        <v>700</v>
      </c>
      <c r="H1205" s="11">
        <v>0.88</v>
      </c>
      <c r="I1205" s="12" t="e">
        <f>ROUND(#REF!*1000000/G1205/H1205,-3)</f>
        <v>#REF!</v>
      </c>
      <c r="J1205" s="136">
        <v>1050</v>
      </c>
      <c r="K1205" s="13"/>
    </row>
    <row r="1206" spans="1:11" s="1" customFormat="1" ht="15" customHeight="1">
      <c r="A1206" s="811" t="s">
        <v>892</v>
      </c>
      <c r="B1206" s="811" t="s">
        <v>595</v>
      </c>
      <c r="C1206" s="7">
        <v>100</v>
      </c>
      <c r="D1206" s="9"/>
      <c r="E1206" s="211">
        <v>312500</v>
      </c>
      <c r="G1206" s="8">
        <v>100</v>
      </c>
      <c r="H1206" s="11">
        <f t="shared" ref="H1206:H1209" si="185">0.788*1.091</f>
        <v>0.85970800000000003</v>
      </c>
      <c r="I1206" s="12" t="e">
        <f>ROUND(#REF!*1000000/G1206/H1206,-3)</f>
        <v>#REF!</v>
      </c>
      <c r="J1206" s="137"/>
      <c r="K1206" s="13"/>
    </row>
    <row r="1207" spans="1:11" s="1" customFormat="1" ht="15" customHeight="1">
      <c r="A1207" s="811"/>
      <c r="B1207" s="810"/>
      <c r="C1207" s="7">
        <v>110</v>
      </c>
      <c r="D1207" s="9"/>
      <c r="E1207" s="211">
        <v>342500</v>
      </c>
      <c r="G1207" s="8">
        <v>110</v>
      </c>
      <c r="H1207" s="11">
        <f t="shared" si="185"/>
        <v>0.85970800000000003</v>
      </c>
      <c r="I1207" s="12" t="e">
        <f>ROUND(#REF!*1000000/G1207/H1207,-3)</f>
        <v>#REF!</v>
      </c>
      <c r="J1207" s="137"/>
      <c r="K1207" s="13"/>
    </row>
    <row r="1208" spans="1:11" s="1" customFormat="1" ht="15" customHeight="1">
      <c r="A1208" s="811"/>
      <c r="B1208" s="810"/>
      <c r="C1208" s="7">
        <v>130</v>
      </c>
      <c r="D1208" s="9"/>
      <c r="E1208" s="211">
        <v>405000</v>
      </c>
      <c r="G1208" s="8">
        <v>130</v>
      </c>
      <c r="H1208" s="11">
        <f t="shared" si="185"/>
        <v>0.85970800000000003</v>
      </c>
      <c r="I1208" s="12" t="e">
        <f>ROUND(#REF!*1000000/G1208/H1208,-3)</f>
        <v>#REF!</v>
      </c>
      <c r="J1208" s="137"/>
      <c r="K1208" s="13"/>
    </row>
    <row r="1209" spans="1:11" s="1" customFormat="1" ht="15" customHeight="1">
      <c r="A1209" s="811"/>
      <c r="B1209" s="810"/>
      <c r="C1209" s="7">
        <v>150</v>
      </c>
      <c r="D1209" s="9"/>
      <c r="E1209" s="211">
        <v>490000</v>
      </c>
      <c r="G1209" s="8">
        <v>150</v>
      </c>
      <c r="H1209" s="11">
        <f t="shared" si="185"/>
        <v>0.85970800000000003</v>
      </c>
      <c r="I1209" s="12" t="e">
        <f>ROUND(#REF!*1000000/G1209/H1209,-3)</f>
        <v>#REF!</v>
      </c>
      <c r="J1209" s="137"/>
      <c r="K1209" s="13"/>
    </row>
    <row r="1210" spans="1:11" s="1" customFormat="1" ht="15" customHeight="1">
      <c r="A1210" s="813" t="s">
        <v>893</v>
      </c>
      <c r="B1210" s="811" t="s">
        <v>864</v>
      </c>
      <c r="C1210" s="7">
        <v>700</v>
      </c>
      <c r="D1210" s="9" t="s">
        <v>894</v>
      </c>
      <c r="E1210" s="211">
        <v>2225000</v>
      </c>
      <c r="G1210" s="8">
        <v>700</v>
      </c>
      <c r="H1210" s="11">
        <f t="shared" ref="H1210:H1220" si="186">0.71*1.01</f>
        <v>0.71709999999999996</v>
      </c>
      <c r="I1210" s="12" t="e">
        <f>ROUND(#REF!*1000000/G1210/H1210,-3)</f>
        <v>#REF!</v>
      </c>
      <c r="J1210" s="136">
        <v>1000</v>
      </c>
      <c r="K1210" s="13"/>
    </row>
    <row r="1211" spans="1:11" s="1" customFormat="1" ht="15" customHeight="1">
      <c r="A1211" s="816"/>
      <c r="B1211" s="811"/>
      <c r="C1211" s="7">
        <f t="shared" ref="C1211:C1214" si="187">C1210</f>
        <v>700</v>
      </c>
      <c r="D1211" s="9" t="s">
        <v>895</v>
      </c>
      <c r="E1211" s="211">
        <v>2250000</v>
      </c>
      <c r="G1211" s="8">
        <v>700</v>
      </c>
      <c r="H1211" s="11">
        <f t="shared" si="186"/>
        <v>0.71709999999999996</v>
      </c>
      <c r="I1211" s="12" t="e">
        <f>ROUND(#REF!*1000000/G1211/H1211,-3)</f>
        <v>#REF!</v>
      </c>
      <c r="J1211" s="136">
        <v>1000</v>
      </c>
      <c r="K1211" s="13"/>
    </row>
    <row r="1212" spans="1:11" s="1" customFormat="1" ht="15" customHeight="1">
      <c r="A1212" s="816"/>
      <c r="B1212" s="811"/>
      <c r="C1212" s="7">
        <f t="shared" si="187"/>
        <v>700</v>
      </c>
      <c r="D1212" s="9" t="s">
        <v>896</v>
      </c>
      <c r="E1212" s="211">
        <v>2420000</v>
      </c>
      <c r="G1212" s="8">
        <v>700</v>
      </c>
      <c r="H1212" s="11">
        <f t="shared" si="186"/>
        <v>0.71709999999999996</v>
      </c>
      <c r="I1212" s="12" t="e">
        <f>ROUND(#REF!*1000000/G1212/H1212,-3)</f>
        <v>#REF!</v>
      </c>
      <c r="J1212" s="136">
        <v>1000</v>
      </c>
      <c r="K1212" s="13"/>
    </row>
    <row r="1213" spans="1:11" s="1" customFormat="1" ht="15" customHeight="1">
      <c r="A1213" s="816"/>
      <c r="B1213" s="811"/>
      <c r="C1213" s="7">
        <f t="shared" si="187"/>
        <v>700</v>
      </c>
      <c r="D1213" s="9" t="s">
        <v>897</v>
      </c>
      <c r="E1213" s="211">
        <v>2625000</v>
      </c>
      <c r="G1213" s="8">
        <v>700</v>
      </c>
      <c r="H1213" s="11">
        <f t="shared" si="186"/>
        <v>0.71709999999999996</v>
      </c>
      <c r="I1213" s="12" t="e">
        <f>ROUND(#REF!*1000000/G1213/H1213,-3)</f>
        <v>#REF!</v>
      </c>
      <c r="J1213" s="136">
        <v>1000</v>
      </c>
      <c r="K1213" s="13"/>
    </row>
    <row r="1214" spans="1:11" s="1" customFormat="1" ht="15" customHeight="1">
      <c r="A1214" s="816"/>
      <c r="B1214" s="811"/>
      <c r="C1214" s="7">
        <f t="shared" si="187"/>
        <v>700</v>
      </c>
      <c r="D1214" s="9" t="s">
        <v>898</v>
      </c>
      <c r="E1214" s="211">
        <v>2665000</v>
      </c>
      <c r="G1214" s="8">
        <v>700</v>
      </c>
      <c r="H1214" s="11">
        <f t="shared" si="186"/>
        <v>0.71709999999999996</v>
      </c>
      <c r="I1214" s="12" t="e">
        <f>ROUND(#REF!*1000000/G1214/H1214,-3)</f>
        <v>#REF!</v>
      </c>
      <c r="J1214" s="136">
        <v>100</v>
      </c>
      <c r="K1214" s="13"/>
    </row>
    <row r="1215" spans="1:11" s="1" customFormat="1" ht="15" customHeight="1">
      <c r="A1215" s="816"/>
      <c r="B1215" s="811"/>
      <c r="C1215" s="7">
        <v>1050</v>
      </c>
      <c r="D1215" s="9" t="s">
        <v>894</v>
      </c>
      <c r="E1215" s="211">
        <v>3340000</v>
      </c>
      <c r="G1215" s="8">
        <v>1050</v>
      </c>
      <c r="H1215" s="11">
        <f t="shared" si="186"/>
        <v>0.71709999999999996</v>
      </c>
      <c r="I1215" s="12" t="e">
        <f>ROUND(#REF!*1000000/G1215/H1215,-3)</f>
        <v>#REF!</v>
      </c>
      <c r="J1215" s="136">
        <v>1500</v>
      </c>
      <c r="K1215" s="13"/>
    </row>
    <row r="1216" spans="1:11" s="1" customFormat="1" ht="15" customHeight="1">
      <c r="A1216" s="816"/>
      <c r="B1216" s="811"/>
      <c r="C1216" s="7">
        <f>C1215</f>
        <v>1050</v>
      </c>
      <c r="D1216" s="9" t="s">
        <v>897</v>
      </c>
      <c r="E1216" s="211">
        <v>3940000</v>
      </c>
      <c r="G1216" s="8">
        <v>1050</v>
      </c>
      <c r="H1216" s="11">
        <f t="shared" si="186"/>
        <v>0.71709999999999996</v>
      </c>
      <c r="I1216" s="12" t="e">
        <f>ROUND(#REF!*1000000/G1216/H1216,-3)</f>
        <v>#REF!</v>
      </c>
      <c r="J1216" s="136">
        <v>1500</v>
      </c>
      <c r="K1216" s="13"/>
    </row>
    <row r="1217" spans="1:11" s="1" customFormat="1" ht="15" customHeight="1">
      <c r="A1217" s="816"/>
      <c r="B1217" s="811"/>
      <c r="C1217" s="7">
        <v>1350</v>
      </c>
      <c r="D1217" s="9" t="s">
        <v>894</v>
      </c>
      <c r="E1217" s="211">
        <v>4295000</v>
      </c>
      <c r="G1217" s="8">
        <v>1350</v>
      </c>
      <c r="H1217" s="11">
        <f t="shared" si="186"/>
        <v>0.71709999999999996</v>
      </c>
      <c r="I1217" s="12" t="e">
        <f>ROUND(#REF!*1000000/G1217/H1217,-3)</f>
        <v>#REF!</v>
      </c>
      <c r="J1217" s="136">
        <v>2000</v>
      </c>
      <c r="K1217" s="13"/>
    </row>
    <row r="1218" spans="1:11" s="1" customFormat="1" ht="15" customHeight="1">
      <c r="A1218" s="816"/>
      <c r="B1218" s="811"/>
      <c r="C1218" s="7">
        <f>C1217</f>
        <v>1350</v>
      </c>
      <c r="D1218" s="9" t="s">
        <v>897</v>
      </c>
      <c r="E1218" s="211">
        <v>5065000</v>
      </c>
      <c r="G1218" s="8">
        <v>1350</v>
      </c>
      <c r="H1218" s="11">
        <f t="shared" si="186"/>
        <v>0.71709999999999996</v>
      </c>
      <c r="I1218" s="12" t="e">
        <f>ROUND(#REF!*1000000/G1218/H1218,-3)</f>
        <v>#REF!</v>
      </c>
      <c r="J1218" s="136">
        <v>2000</v>
      </c>
      <c r="K1218" s="13"/>
    </row>
    <row r="1219" spans="1:11" s="1" customFormat="1" ht="15" customHeight="1">
      <c r="A1219" s="816"/>
      <c r="B1219" s="811"/>
      <c r="C1219" s="7">
        <v>2150</v>
      </c>
      <c r="D1219" s="9" t="s">
        <v>894</v>
      </c>
      <c r="E1219" s="211">
        <v>7585000</v>
      </c>
      <c r="G1219" s="8">
        <v>2150</v>
      </c>
      <c r="H1219" s="11">
        <f t="shared" si="186"/>
        <v>0.71709999999999996</v>
      </c>
      <c r="I1219" s="12" t="e">
        <f>ROUND(#REF!*1000000/G1219/H1219,-3)</f>
        <v>#REF!</v>
      </c>
      <c r="J1219" s="136">
        <v>3000</v>
      </c>
      <c r="K1219" s="13"/>
    </row>
    <row r="1220" spans="1:11" s="1" customFormat="1" ht="15" customHeight="1">
      <c r="A1220" s="816"/>
      <c r="B1220" s="811"/>
      <c r="C1220" s="7">
        <f>C1219</f>
        <v>2150</v>
      </c>
      <c r="D1220" s="9" t="s">
        <v>897</v>
      </c>
      <c r="E1220" s="211">
        <v>8810000</v>
      </c>
      <c r="G1220" s="8">
        <v>2150</v>
      </c>
      <c r="H1220" s="11">
        <f t="shared" si="186"/>
        <v>0.71709999999999996</v>
      </c>
      <c r="I1220" s="12" t="e">
        <f>ROUND(#REF!*1000000/G1220/H1220,-3)</f>
        <v>#REF!</v>
      </c>
      <c r="J1220" s="136">
        <v>3000</v>
      </c>
      <c r="K1220" s="13"/>
    </row>
    <row r="1221" spans="1:11" ht="15" customHeight="1">
      <c r="A1221" s="811" t="s">
        <v>899</v>
      </c>
      <c r="B1221" s="810" t="s">
        <v>22</v>
      </c>
      <c r="C1221" s="7">
        <v>130</v>
      </c>
      <c r="D1221" s="9" t="s">
        <v>900</v>
      </c>
      <c r="E1221" s="25">
        <v>605000</v>
      </c>
      <c r="G1221" s="8">
        <v>130</v>
      </c>
      <c r="H1221" s="11">
        <f t="shared" ref="H1221:H1276" si="188">0.788*1.091</f>
        <v>0.85970800000000003</v>
      </c>
      <c r="I1221" s="12" t="e">
        <f>ROUND(#REF!*1000000/G1221/H1221,-3)</f>
        <v>#REF!</v>
      </c>
      <c r="J1221" s="137"/>
      <c r="K1221" s="13"/>
    </row>
    <row r="1222" spans="1:11" ht="15" customHeight="1">
      <c r="A1222" s="811"/>
      <c r="B1222" s="810"/>
      <c r="C1222" s="7">
        <v>170</v>
      </c>
      <c r="D1222" s="9" t="s">
        <v>901</v>
      </c>
      <c r="E1222" s="25">
        <v>795000</v>
      </c>
      <c r="G1222" s="8">
        <v>170</v>
      </c>
      <c r="H1222" s="11">
        <f t="shared" si="188"/>
        <v>0.85970800000000003</v>
      </c>
      <c r="I1222" s="12" t="e">
        <f>ROUND(#REF!*1000000/G1222/H1222,-3)</f>
        <v>#REF!</v>
      </c>
      <c r="J1222" s="137"/>
      <c r="K1222" s="13"/>
    </row>
    <row r="1223" spans="1:11" ht="15" customHeight="1">
      <c r="A1223" s="811"/>
      <c r="B1223" s="810"/>
      <c r="C1223" s="7">
        <v>220</v>
      </c>
      <c r="D1223" s="9" t="s">
        <v>902</v>
      </c>
      <c r="E1223" s="25">
        <v>1025000</v>
      </c>
      <c r="G1223" s="8">
        <v>220</v>
      </c>
      <c r="H1223" s="11">
        <f t="shared" si="188"/>
        <v>0.85970800000000003</v>
      </c>
      <c r="I1223" s="12" t="e">
        <f>ROUND(#REF!*1000000/G1223/H1223,-3)</f>
        <v>#REF!</v>
      </c>
      <c r="J1223" s="137"/>
      <c r="K1223" s="13"/>
    </row>
    <row r="1224" spans="1:11" ht="15" customHeight="1">
      <c r="A1224" s="813" t="s">
        <v>903</v>
      </c>
      <c r="B1224" s="814" t="s">
        <v>22</v>
      </c>
      <c r="C1224" s="20">
        <v>116</v>
      </c>
      <c r="D1224" s="21" t="s">
        <v>904</v>
      </c>
      <c r="E1224" s="25">
        <v>405000</v>
      </c>
      <c r="G1224" s="8">
        <v>116</v>
      </c>
      <c r="H1224" s="11">
        <f t="shared" si="188"/>
        <v>0.85970800000000003</v>
      </c>
      <c r="I1224" s="12" t="e">
        <f>ROUND(#REF!*1000000/G1224/H1224,-3)</f>
        <v>#REF!</v>
      </c>
      <c r="J1224" s="137"/>
      <c r="K1224" s="13"/>
    </row>
    <row r="1225" spans="1:11" ht="15" customHeight="1">
      <c r="A1225" s="816"/>
      <c r="B1225" s="804"/>
      <c r="C1225" s="33">
        <f>C1224</f>
        <v>116</v>
      </c>
      <c r="D1225" s="21" t="s">
        <v>41</v>
      </c>
      <c r="E1225" s="25">
        <v>435000</v>
      </c>
      <c r="G1225" s="8">
        <v>116</v>
      </c>
      <c r="H1225" s="11">
        <f t="shared" si="188"/>
        <v>0.85970800000000003</v>
      </c>
      <c r="I1225" s="12" t="e">
        <f>ROUND(#REF!*1000000/G1225/H1225,-3)</f>
        <v>#REF!</v>
      </c>
      <c r="J1225" s="137"/>
      <c r="K1225" s="13"/>
    </row>
    <row r="1226" spans="1:11" ht="15" customHeight="1">
      <c r="A1226" s="816"/>
      <c r="B1226" s="804"/>
      <c r="C1226" s="33">
        <v>128</v>
      </c>
      <c r="D1226" s="21" t="s">
        <v>905</v>
      </c>
      <c r="E1226" s="25">
        <v>505000</v>
      </c>
      <c r="G1226" s="8">
        <v>128</v>
      </c>
      <c r="H1226" s="11">
        <f t="shared" si="188"/>
        <v>0.85970800000000003</v>
      </c>
      <c r="I1226" s="12" t="e">
        <f>ROUND(#REF!*1000000/G1226/H1226,-3)</f>
        <v>#REF!</v>
      </c>
      <c r="J1226" s="137"/>
      <c r="K1226" s="13"/>
    </row>
    <row r="1227" spans="1:11" ht="15" customHeight="1">
      <c r="A1227" s="816"/>
      <c r="B1227" s="804"/>
      <c r="C1227" s="33">
        <f t="shared" ref="C1227:C1228" si="189">C1226</f>
        <v>128</v>
      </c>
      <c r="D1227" s="21" t="s">
        <v>906</v>
      </c>
      <c r="E1227" s="25">
        <v>540000</v>
      </c>
      <c r="G1227" s="8">
        <v>128</v>
      </c>
      <c r="H1227" s="11">
        <f t="shared" si="188"/>
        <v>0.85970800000000003</v>
      </c>
      <c r="I1227" s="12" t="e">
        <f>ROUND(#REF!*1000000/G1227/H1227,-3)</f>
        <v>#REF!</v>
      </c>
      <c r="J1227" s="137"/>
      <c r="K1227" s="13"/>
    </row>
    <row r="1228" spans="1:11" ht="15" customHeight="1">
      <c r="A1228" s="816"/>
      <c r="B1228" s="804"/>
      <c r="C1228" s="33">
        <f t="shared" si="189"/>
        <v>128</v>
      </c>
      <c r="D1228" s="21" t="s">
        <v>907</v>
      </c>
      <c r="E1228" s="25">
        <v>565000</v>
      </c>
      <c r="G1228" s="8">
        <v>128</v>
      </c>
      <c r="H1228" s="11">
        <f t="shared" si="188"/>
        <v>0.85970800000000003</v>
      </c>
      <c r="I1228" s="12" t="e">
        <f>ROUND(#REF!*1000000/G1228/H1228,-3)</f>
        <v>#REF!</v>
      </c>
      <c r="J1228" s="137"/>
      <c r="K1228" s="13"/>
    </row>
    <row r="1229" spans="1:11" ht="15" customHeight="1">
      <c r="A1229" s="816"/>
      <c r="B1229" s="804"/>
      <c r="C1229" s="20">
        <v>151</v>
      </c>
      <c r="D1229" s="21" t="s">
        <v>908</v>
      </c>
      <c r="E1229" s="25">
        <v>530000</v>
      </c>
      <c r="G1229" s="8">
        <v>151</v>
      </c>
      <c r="H1229" s="11">
        <f t="shared" si="188"/>
        <v>0.85970800000000003</v>
      </c>
      <c r="I1229" s="12" t="e">
        <f>ROUND(#REF!*1000000/G1229/H1229,-3)</f>
        <v>#REF!</v>
      </c>
      <c r="J1229" s="137"/>
      <c r="K1229" s="13"/>
    </row>
    <row r="1230" spans="1:11" ht="15" customHeight="1">
      <c r="A1230" s="816"/>
      <c r="B1230" s="804"/>
      <c r="C1230" s="33">
        <v>174</v>
      </c>
      <c r="D1230" s="21" t="s">
        <v>909</v>
      </c>
      <c r="E1230" s="25">
        <v>670000</v>
      </c>
      <c r="G1230" s="8">
        <v>174</v>
      </c>
      <c r="H1230" s="11">
        <f t="shared" si="188"/>
        <v>0.85970800000000003</v>
      </c>
      <c r="I1230" s="12" t="e">
        <f>ROUND(#REF!*1000000/G1230/H1230,-3)</f>
        <v>#REF!</v>
      </c>
      <c r="J1230" s="137"/>
      <c r="K1230" s="13"/>
    </row>
    <row r="1231" spans="1:11" ht="15" customHeight="1">
      <c r="A1231" s="817"/>
      <c r="B1231" s="805"/>
      <c r="C1231" s="33">
        <v>209</v>
      </c>
      <c r="D1231" s="21" t="s">
        <v>910</v>
      </c>
      <c r="E1231" s="25">
        <v>815000</v>
      </c>
      <c r="G1231" s="8">
        <v>209</v>
      </c>
      <c r="H1231" s="11">
        <f t="shared" si="188"/>
        <v>0.85970800000000003</v>
      </c>
      <c r="I1231" s="12" t="e">
        <f>ROUND(#REF!*1000000/G1231/H1231,-3)</f>
        <v>#REF!</v>
      </c>
      <c r="J1231" s="137"/>
      <c r="K1231" s="13"/>
    </row>
    <row r="1232" spans="1:11" ht="15" customHeight="1">
      <c r="A1232" s="813" t="s">
        <v>911</v>
      </c>
      <c r="B1232" s="810" t="s">
        <v>213</v>
      </c>
      <c r="C1232" s="7">
        <v>110</v>
      </c>
      <c r="D1232" s="9" t="s">
        <v>912</v>
      </c>
      <c r="E1232" s="25">
        <v>635000</v>
      </c>
      <c r="G1232" s="8">
        <v>110</v>
      </c>
      <c r="H1232" s="11">
        <f t="shared" si="188"/>
        <v>0.85970800000000003</v>
      </c>
      <c r="I1232" s="12" t="e">
        <f>ROUND(#REF!*1000000/G1232/H1232,-3)</f>
        <v>#REF!</v>
      </c>
      <c r="J1232" s="137"/>
      <c r="K1232" s="13"/>
    </row>
    <row r="1233" spans="1:11" ht="15" customHeight="1">
      <c r="A1233" s="816"/>
      <c r="B1233" s="810"/>
      <c r="C1233" s="7">
        <f t="shared" ref="C1233:C1241" si="190">C1232</f>
        <v>110</v>
      </c>
      <c r="D1233" s="9" t="s">
        <v>913</v>
      </c>
      <c r="E1233" s="25">
        <v>685000</v>
      </c>
      <c r="G1233" s="8">
        <v>110</v>
      </c>
      <c r="H1233" s="11">
        <f t="shared" si="188"/>
        <v>0.85970800000000003</v>
      </c>
      <c r="I1233" s="12" t="e">
        <f>ROUND(#REF!*1000000/G1233/H1233,-3)</f>
        <v>#REF!</v>
      </c>
      <c r="J1233" s="137"/>
      <c r="K1233" s="13"/>
    </row>
    <row r="1234" spans="1:11" ht="15" customHeight="1">
      <c r="A1234" s="816"/>
      <c r="B1234" s="810"/>
      <c r="C1234" s="7">
        <f t="shared" si="190"/>
        <v>110</v>
      </c>
      <c r="D1234" s="9" t="s">
        <v>914</v>
      </c>
      <c r="E1234" s="25">
        <v>800000</v>
      </c>
      <c r="G1234" s="8">
        <v>110</v>
      </c>
      <c r="H1234" s="11">
        <f t="shared" si="188"/>
        <v>0.85970800000000003</v>
      </c>
      <c r="I1234" s="12" t="e">
        <f>ROUND(#REF!*1000000/G1234/H1234,-3)</f>
        <v>#REF!</v>
      </c>
      <c r="J1234" s="137"/>
      <c r="K1234" s="13"/>
    </row>
    <row r="1235" spans="1:11" ht="15" customHeight="1">
      <c r="A1235" s="816"/>
      <c r="B1235" s="810"/>
      <c r="C1235" s="7">
        <f t="shared" si="190"/>
        <v>110</v>
      </c>
      <c r="D1235" s="9" t="s">
        <v>915</v>
      </c>
      <c r="E1235" s="25">
        <v>855000</v>
      </c>
      <c r="G1235" s="8">
        <v>110</v>
      </c>
      <c r="H1235" s="11">
        <f t="shared" si="188"/>
        <v>0.85970800000000003</v>
      </c>
      <c r="I1235" s="12" t="e">
        <f>ROUND(#REF!*1000000/G1235/H1235,-3)</f>
        <v>#REF!</v>
      </c>
      <c r="J1235" s="137"/>
      <c r="K1235" s="13"/>
    </row>
    <row r="1236" spans="1:11" ht="15" customHeight="1">
      <c r="A1236" s="816"/>
      <c r="B1236" s="810"/>
      <c r="C1236" s="7">
        <f t="shared" si="190"/>
        <v>110</v>
      </c>
      <c r="D1236" s="9" t="s">
        <v>916</v>
      </c>
      <c r="E1236" s="25">
        <v>1110000</v>
      </c>
      <c r="G1236" s="8">
        <v>110</v>
      </c>
      <c r="H1236" s="11">
        <f t="shared" si="188"/>
        <v>0.85970800000000003</v>
      </c>
      <c r="I1236" s="12" t="e">
        <f>ROUND(#REF!*1000000/G1236/H1236,-3)</f>
        <v>#REF!</v>
      </c>
      <c r="J1236" s="137"/>
      <c r="K1236" s="13"/>
    </row>
    <row r="1237" spans="1:11" ht="15" customHeight="1">
      <c r="A1237" s="816"/>
      <c r="B1237" s="810"/>
      <c r="C1237" s="33">
        <f t="shared" si="190"/>
        <v>110</v>
      </c>
      <c r="D1237" s="21" t="s">
        <v>917</v>
      </c>
      <c r="E1237" s="25">
        <v>515000</v>
      </c>
      <c r="G1237" s="8">
        <v>110</v>
      </c>
      <c r="H1237" s="11">
        <f t="shared" si="188"/>
        <v>0.85970800000000003</v>
      </c>
      <c r="I1237" s="12" t="e">
        <f>ROUND(#REF!*1000000/G1237/H1237,-3)</f>
        <v>#REF!</v>
      </c>
      <c r="J1237" s="137"/>
      <c r="K1237" s="13"/>
    </row>
    <row r="1238" spans="1:11" ht="15" customHeight="1">
      <c r="A1238" s="816"/>
      <c r="B1238" s="810"/>
      <c r="C1238" s="33">
        <f t="shared" si="190"/>
        <v>110</v>
      </c>
      <c r="D1238" s="21" t="s">
        <v>918</v>
      </c>
      <c r="E1238" s="25">
        <v>600000</v>
      </c>
      <c r="G1238" s="8">
        <v>110</v>
      </c>
      <c r="H1238" s="11">
        <f t="shared" si="188"/>
        <v>0.85970800000000003</v>
      </c>
      <c r="I1238" s="12" t="e">
        <f>ROUND(#REF!*1000000/G1238/H1238,-3)</f>
        <v>#REF!</v>
      </c>
      <c r="J1238" s="137"/>
      <c r="K1238" s="13"/>
    </row>
    <row r="1239" spans="1:11" ht="15" customHeight="1">
      <c r="A1239" s="816"/>
      <c r="B1239" s="810"/>
      <c r="C1239" s="33">
        <f t="shared" si="190"/>
        <v>110</v>
      </c>
      <c r="D1239" s="21" t="s">
        <v>919</v>
      </c>
      <c r="E1239" s="25">
        <v>650000</v>
      </c>
      <c r="G1239" s="8">
        <v>110</v>
      </c>
      <c r="H1239" s="11">
        <f t="shared" si="188"/>
        <v>0.85970800000000003</v>
      </c>
      <c r="I1239" s="12" t="e">
        <f>ROUND(#REF!*1000000/G1239/H1239,-3)</f>
        <v>#REF!</v>
      </c>
      <c r="J1239" s="137"/>
      <c r="K1239" s="13"/>
    </row>
    <row r="1240" spans="1:11" ht="15" customHeight="1">
      <c r="A1240" s="816"/>
      <c r="B1240" s="810"/>
      <c r="C1240" s="33">
        <f t="shared" si="190"/>
        <v>110</v>
      </c>
      <c r="D1240" s="21" t="s">
        <v>920</v>
      </c>
      <c r="E1240" s="25">
        <v>785000</v>
      </c>
      <c r="G1240" s="8">
        <v>110</v>
      </c>
      <c r="H1240" s="11">
        <f t="shared" si="188"/>
        <v>0.85970800000000003</v>
      </c>
      <c r="I1240" s="12" t="e">
        <f>ROUND(#REF!*1000000/G1240/H1240,-3)</f>
        <v>#REF!</v>
      </c>
      <c r="J1240" s="137"/>
      <c r="K1240" s="13"/>
    </row>
    <row r="1241" spans="1:11" ht="15" customHeight="1">
      <c r="A1241" s="816"/>
      <c r="B1241" s="810"/>
      <c r="C1241" s="33">
        <f t="shared" si="190"/>
        <v>110</v>
      </c>
      <c r="D1241" s="21" t="s">
        <v>921</v>
      </c>
      <c r="E1241" s="25">
        <v>955000</v>
      </c>
      <c r="G1241" s="8">
        <v>110</v>
      </c>
      <c r="H1241" s="11">
        <f t="shared" si="188"/>
        <v>0.85970800000000003</v>
      </c>
      <c r="I1241" s="12" t="e">
        <f>ROUND(#REF!*1000000/G1241/H1241,-3)</f>
        <v>#REF!</v>
      </c>
      <c r="J1241" s="137"/>
      <c r="K1241" s="13"/>
    </row>
    <row r="1242" spans="1:11" ht="15" customHeight="1">
      <c r="A1242" s="816"/>
      <c r="B1242" s="810"/>
      <c r="C1242" s="7">
        <v>120</v>
      </c>
      <c r="D1242" s="9" t="s">
        <v>922</v>
      </c>
      <c r="E1242" s="25">
        <v>755000</v>
      </c>
      <c r="G1242" s="8">
        <v>120</v>
      </c>
      <c r="H1242" s="11">
        <f t="shared" si="188"/>
        <v>0.85970800000000003</v>
      </c>
      <c r="I1242" s="12" t="e">
        <f>ROUND(#REF!*1000000/G1242/H1242,-3)</f>
        <v>#REF!</v>
      </c>
      <c r="J1242" s="137"/>
      <c r="K1242" s="13"/>
    </row>
    <row r="1243" spans="1:11" ht="15" customHeight="1">
      <c r="A1243" s="816"/>
      <c r="B1243" s="810"/>
      <c r="C1243" s="7">
        <f t="shared" ref="C1243:C1250" si="191">C1242</f>
        <v>120</v>
      </c>
      <c r="D1243" s="9" t="s">
        <v>923</v>
      </c>
      <c r="E1243" s="25">
        <v>805000</v>
      </c>
      <c r="G1243" s="8">
        <v>120</v>
      </c>
      <c r="H1243" s="11">
        <f t="shared" si="188"/>
        <v>0.85970800000000003</v>
      </c>
      <c r="I1243" s="12" t="e">
        <f>ROUND(#REF!*1000000/G1243/H1243,-3)</f>
        <v>#REF!</v>
      </c>
      <c r="J1243" s="137"/>
      <c r="K1243" s="13"/>
    </row>
    <row r="1244" spans="1:11" ht="15" customHeight="1">
      <c r="A1244" s="816"/>
      <c r="B1244" s="810"/>
      <c r="C1244" s="7">
        <f t="shared" si="191"/>
        <v>120</v>
      </c>
      <c r="D1244" s="9" t="s">
        <v>924</v>
      </c>
      <c r="E1244" s="25">
        <v>840000</v>
      </c>
      <c r="G1244" s="8">
        <v>120</v>
      </c>
      <c r="H1244" s="11">
        <f t="shared" si="188"/>
        <v>0.85970800000000003</v>
      </c>
      <c r="I1244" s="12" t="e">
        <f>ROUND(#REF!*1000000/G1244/H1244,-3)</f>
        <v>#REF!</v>
      </c>
      <c r="J1244" s="137"/>
      <c r="K1244" s="13"/>
    </row>
    <row r="1245" spans="1:11" ht="15" customHeight="1">
      <c r="A1245" s="816"/>
      <c r="B1245" s="810"/>
      <c r="C1245" s="7">
        <f t="shared" si="191"/>
        <v>120</v>
      </c>
      <c r="D1245" s="9" t="s">
        <v>925</v>
      </c>
      <c r="E1245" s="25">
        <v>955000</v>
      </c>
      <c r="G1245" s="8">
        <v>120</v>
      </c>
      <c r="H1245" s="11">
        <f t="shared" si="188"/>
        <v>0.85970800000000003</v>
      </c>
      <c r="I1245" s="12" t="e">
        <f>ROUND(#REF!*1000000/G1245/H1245,-3)</f>
        <v>#REF!</v>
      </c>
      <c r="J1245" s="137"/>
      <c r="K1245" s="13"/>
    </row>
    <row r="1246" spans="1:11" ht="15" customHeight="1">
      <c r="A1246" s="816"/>
      <c r="B1246" s="810"/>
      <c r="C1246" s="7">
        <f t="shared" si="191"/>
        <v>120</v>
      </c>
      <c r="D1246" s="9" t="s">
        <v>926</v>
      </c>
      <c r="E1246" s="25">
        <v>985000</v>
      </c>
      <c r="G1246" s="8">
        <v>120</v>
      </c>
      <c r="H1246" s="11">
        <f t="shared" si="188"/>
        <v>0.85970800000000003</v>
      </c>
      <c r="I1246" s="12" t="e">
        <f>ROUND(#REF!*1000000/G1246/H1246,-3)</f>
        <v>#REF!</v>
      </c>
      <c r="J1246" s="137"/>
      <c r="K1246" s="13"/>
    </row>
    <row r="1247" spans="1:11" ht="15" customHeight="1">
      <c r="A1247" s="816"/>
      <c r="B1247" s="810"/>
      <c r="C1247" s="7">
        <f t="shared" si="191"/>
        <v>120</v>
      </c>
      <c r="D1247" s="9" t="s">
        <v>927</v>
      </c>
      <c r="E1247" s="25">
        <v>1205000</v>
      </c>
      <c r="G1247" s="8">
        <v>120</v>
      </c>
      <c r="H1247" s="11">
        <f t="shared" si="188"/>
        <v>0.85970800000000003</v>
      </c>
      <c r="I1247" s="12" t="e">
        <f>ROUND(#REF!*1000000/G1247/H1247,-3)</f>
        <v>#REF!</v>
      </c>
      <c r="J1247" s="137"/>
      <c r="K1247" s="13"/>
    </row>
    <row r="1248" spans="1:11" ht="15" customHeight="1">
      <c r="A1248" s="816"/>
      <c r="B1248" s="810"/>
      <c r="C1248" s="7">
        <f t="shared" si="191"/>
        <v>120</v>
      </c>
      <c r="D1248" s="9" t="s">
        <v>900</v>
      </c>
      <c r="E1248" s="25">
        <v>1335000</v>
      </c>
      <c r="G1248" s="8">
        <v>120</v>
      </c>
      <c r="H1248" s="11">
        <f t="shared" si="188"/>
        <v>0.85970800000000003</v>
      </c>
      <c r="I1248" s="12" t="e">
        <f>ROUND(#REF!*1000000/G1248/H1248,-3)</f>
        <v>#REF!</v>
      </c>
      <c r="J1248" s="137"/>
      <c r="K1248" s="13"/>
    </row>
    <row r="1249" spans="1:11" ht="15" customHeight="1">
      <c r="A1249" s="816"/>
      <c r="B1249" s="810"/>
      <c r="C1249" s="33">
        <f t="shared" si="191"/>
        <v>120</v>
      </c>
      <c r="D1249" s="21" t="s">
        <v>928</v>
      </c>
      <c r="E1249" s="25">
        <v>965000</v>
      </c>
      <c r="G1249" s="8">
        <v>120</v>
      </c>
      <c r="H1249" s="11">
        <f t="shared" si="188"/>
        <v>0.85970800000000003</v>
      </c>
      <c r="I1249" s="12" t="e">
        <f>ROUND(#REF!*1000000/G1249/H1249,-3)</f>
        <v>#REF!</v>
      </c>
      <c r="J1249" s="137"/>
      <c r="K1249" s="13"/>
    </row>
    <row r="1250" spans="1:11" ht="15" customHeight="1">
      <c r="A1250" s="816"/>
      <c r="B1250" s="810"/>
      <c r="C1250" s="33">
        <f t="shared" si="191"/>
        <v>120</v>
      </c>
      <c r="D1250" s="21" t="s">
        <v>929</v>
      </c>
      <c r="E1250" s="25">
        <v>1335000</v>
      </c>
      <c r="G1250" s="8">
        <v>120</v>
      </c>
      <c r="H1250" s="11">
        <f t="shared" si="188"/>
        <v>0.85970800000000003</v>
      </c>
      <c r="I1250" s="12" t="e">
        <f>ROUND(#REF!*1000000/G1250/H1250,-3)</f>
        <v>#REF!</v>
      </c>
      <c r="J1250" s="137"/>
      <c r="K1250" s="13"/>
    </row>
    <row r="1251" spans="1:11" ht="15" customHeight="1">
      <c r="A1251" s="816"/>
      <c r="B1251" s="810"/>
      <c r="C1251" s="7">
        <v>240</v>
      </c>
      <c r="D1251" s="9" t="s">
        <v>930</v>
      </c>
      <c r="E1251" s="25">
        <v>1250000</v>
      </c>
      <c r="G1251" s="8">
        <v>240</v>
      </c>
      <c r="H1251" s="11">
        <f t="shared" si="188"/>
        <v>0.85970800000000003</v>
      </c>
      <c r="I1251" s="12" t="e">
        <f>ROUND(#REF!*1000000/G1251/H1251,-3)</f>
        <v>#REF!</v>
      </c>
      <c r="J1251" s="137"/>
      <c r="K1251" s="13"/>
    </row>
    <row r="1252" spans="1:11" ht="15" customHeight="1">
      <c r="A1252" s="816"/>
      <c r="B1252" s="810"/>
      <c r="C1252" s="7">
        <f t="shared" ref="C1252:C1261" si="192">C1251</f>
        <v>240</v>
      </c>
      <c r="D1252" s="9" t="s">
        <v>931</v>
      </c>
      <c r="E1252" s="25">
        <v>1325000</v>
      </c>
      <c r="G1252" s="8">
        <v>240</v>
      </c>
      <c r="H1252" s="11">
        <f t="shared" si="188"/>
        <v>0.85970800000000003</v>
      </c>
      <c r="I1252" s="12" t="e">
        <f>ROUND(#REF!*1000000/G1252/H1252,-3)</f>
        <v>#REF!</v>
      </c>
      <c r="J1252" s="137"/>
      <c r="K1252" s="13"/>
    </row>
    <row r="1253" spans="1:11" ht="15" customHeight="1">
      <c r="A1253" s="816"/>
      <c r="B1253" s="810"/>
      <c r="C1253" s="7">
        <f t="shared" si="192"/>
        <v>240</v>
      </c>
      <c r="D1253" s="9" t="s">
        <v>932</v>
      </c>
      <c r="E1253" s="25">
        <v>1390000</v>
      </c>
      <c r="G1253" s="8">
        <v>240</v>
      </c>
      <c r="H1253" s="11">
        <f t="shared" si="188"/>
        <v>0.85970800000000003</v>
      </c>
      <c r="I1253" s="12" t="e">
        <f>ROUND(#REF!*1000000/G1253/H1253,-3)</f>
        <v>#REF!</v>
      </c>
      <c r="J1253" s="137"/>
      <c r="K1253" s="13"/>
    </row>
    <row r="1254" spans="1:11" ht="15" customHeight="1">
      <c r="A1254" s="816"/>
      <c r="B1254" s="810"/>
      <c r="C1254" s="7">
        <f t="shared" si="192"/>
        <v>240</v>
      </c>
      <c r="D1254" s="9" t="s">
        <v>933</v>
      </c>
      <c r="E1254" s="25">
        <v>1440000</v>
      </c>
      <c r="G1254" s="8">
        <v>240</v>
      </c>
      <c r="H1254" s="11">
        <f t="shared" si="188"/>
        <v>0.85970800000000003</v>
      </c>
      <c r="I1254" s="12" t="e">
        <f>ROUND(#REF!*1000000/G1254/H1254,-3)</f>
        <v>#REF!</v>
      </c>
      <c r="J1254" s="137"/>
      <c r="K1254" s="13"/>
    </row>
    <row r="1255" spans="1:11" ht="15" customHeight="1">
      <c r="A1255" s="816"/>
      <c r="B1255" s="810"/>
      <c r="C1255" s="7">
        <f t="shared" si="192"/>
        <v>240</v>
      </c>
      <c r="D1255" s="9" t="s">
        <v>934</v>
      </c>
      <c r="E1255" s="25">
        <v>1610000</v>
      </c>
      <c r="G1255" s="8">
        <v>240</v>
      </c>
      <c r="H1255" s="11">
        <f t="shared" si="188"/>
        <v>0.85970800000000003</v>
      </c>
      <c r="I1255" s="12" t="e">
        <f>ROUND(#REF!*1000000/G1255/H1255,-3)</f>
        <v>#REF!</v>
      </c>
      <c r="J1255" s="137"/>
      <c r="K1255" s="13"/>
    </row>
    <row r="1256" spans="1:11" ht="15" customHeight="1">
      <c r="A1256" s="816"/>
      <c r="B1256" s="810"/>
      <c r="C1256" s="7">
        <f t="shared" si="192"/>
        <v>240</v>
      </c>
      <c r="D1256" s="9" t="s">
        <v>935</v>
      </c>
      <c r="E1256" s="25">
        <v>1695000</v>
      </c>
      <c r="G1256" s="8">
        <v>240</v>
      </c>
      <c r="H1256" s="11">
        <f t="shared" si="188"/>
        <v>0.85970800000000003</v>
      </c>
      <c r="I1256" s="12" t="e">
        <f>ROUND(#REF!*1000000/G1256/H1256,-3)</f>
        <v>#REF!</v>
      </c>
      <c r="J1256" s="137"/>
      <c r="K1256" s="13"/>
    </row>
    <row r="1257" spans="1:11" ht="15" customHeight="1">
      <c r="A1257" s="816"/>
      <c r="B1257" s="810"/>
      <c r="C1257" s="7">
        <f t="shared" si="192"/>
        <v>240</v>
      </c>
      <c r="D1257" s="9" t="s">
        <v>936</v>
      </c>
      <c r="E1257" s="25">
        <v>1840000</v>
      </c>
      <c r="G1257" s="8">
        <v>240</v>
      </c>
      <c r="H1257" s="11">
        <f t="shared" si="188"/>
        <v>0.85970800000000003</v>
      </c>
      <c r="I1257" s="12" t="e">
        <f>ROUND(#REF!*1000000/G1257/H1257,-3)</f>
        <v>#REF!</v>
      </c>
      <c r="J1257" s="137"/>
      <c r="K1257" s="13"/>
    </row>
    <row r="1258" spans="1:11" ht="15" customHeight="1">
      <c r="A1258" s="816"/>
      <c r="B1258" s="810"/>
      <c r="C1258" s="7">
        <f t="shared" si="192"/>
        <v>240</v>
      </c>
      <c r="D1258" s="9" t="s">
        <v>829</v>
      </c>
      <c r="E1258" s="25">
        <v>1910000</v>
      </c>
      <c r="G1258" s="8">
        <v>240</v>
      </c>
      <c r="H1258" s="11">
        <f t="shared" si="188"/>
        <v>0.85970800000000003</v>
      </c>
      <c r="I1258" s="12" t="e">
        <f>ROUND(#REF!*1000000/G1258/H1258,-3)</f>
        <v>#REF!</v>
      </c>
      <c r="J1258" s="137"/>
      <c r="K1258" s="13"/>
    </row>
    <row r="1259" spans="1:11" ht="15" customHeight="1">
      <c r="A1259" s="816"/>
      <c r="B1259" s="810"/>
      <c r="C1259" s="7">
        <f t="shared" si="192"/>
        <v>240</v>
      </c>
      <c r="D1259" s="9" t="s">
        <v>937</v>
      </c>
      <c r="E1259" s="25">
        <v>1970000</v>
      </c>
      <c r="G1259" s="8">
        <v>240</v>
      </c>
      <c r="H1259" s="11">
        <f t="shared" si="188"/>
        <v>0.85970800000000003</v>
      </c>
      <c r="I1259" s="12" t="e">
        <f>ROUND(#REF!*1000000/G1259/H1259,-3)</f>
        <v>#REF!</v>
      </c>
      <c r="J1259" s="137"/>
      <c r="K1259" s="13"/>
    </row>
    <row r="1260" spans="1:11" ht="15" customHeight="1">
      <c r="A1260" s="816"/>
      <c r="B1260" s="810"/>
      <c r="C1260" s="33">
        <f t="shared" si="192"/>
        <v>240</v>
      </c>
      <c r="D1260" s="21" t="s">
        <v>938</v>
      </c>
      <c r="E1260" s="25">
        <v>1435000</v>
      </c>
      <c r="G1260" s="8">
        <v>240</v>
      </c>
      <c r="H1260" s="11">
        <f t="shared" si="188"/>
        <v>0.85970800000000003</v>
      </c>
      <c r="I1260" s="12" t="e">
        <f>ROUND(#REF!*1000000/G1260/H1260,-3)</f>
        <v>#REF!</v>
      </c>
      <c r="J1260" s="137"/>
      <c r="K1260" s="13"/>
    </row>
    <row r="1261" spans="1:11" ht="15" customHeight="1">
      <c r="A1261" s="816"/>
      <c r="B1261" s="810"/>
      <c r="C1261" s="33">
        <f t="shared" si="192"/>
        <v>240</v>
      </c>
      <c r="D1261" s="21" t="s">
        <v>939</v>
      </c>
      <c r="E1261" s="25">
        <v>1715000</v>
      </c>
      <c r="G1261" s="8">
        <v>240</v>
      </c>
      <c r="H1261" s="11">
        <f t="shared" si="188"/>
        <v>0.85970800000000003</v>
      </c>
      <c r="I1261" s="12" t="e">
        <f>ROUND(#REF!*1000000/G1261/H1261,-3)</f>
        <v>#REF!</v>
      </c>
      <c r="J1261" s="137"/>
      <c r="K1261" s="13"/>
    </row>
    <row r="1262" spans="1:11" ht="15" customHeight="1">
      <c r="A1262" s="816"/>
      <c r="B1262" s="810"/>
      <c r="C1262" s="7">
        <v>340</v>
      </c>
      <c r="D1262" s="9" t="s">
        <v>940</v>
      </c>
      <c r="E1262" s="25">
        <v>1925000</v>
      </c>
      <c r="G1262" s="8">
        <v>340</v>
      </c>
      <c r="H1262" s="11">
        <f t="shared" si="188"/>
        <v>0.85970800000000003</v>
      </c>
      <c r="I1262" s="12" t="e">
        <f>ROUND(#REF!*1000000/G1262/H1262,-3)</f>
        <v>#REF!</v>
      </c>
      <c r="J1262" s="137"/>
      <c r="K1262" s="13"/>
    </row>
    <row r="1263" spans="1:11" ht="15" customHeight="1">
      <c r="A1263" s="816"/>
      <c r="B1263" s="810"/>
      <c r="C1263" s="7">
        <f t="shared" ref="C1263:C1271" si="193">C1262</f>
        <v>340</v>
      </c>
      <c r="D1263" s="9" t="s">
        <v>941</v>
      </c>
      <c r="E1263" s="25">
        <v>2040000</v>
      </c>
      <c r="G1263" s="8">
        <v>340</v>
      </c>
      <c r="H1263" s="11">
        <f t="shared" si="188"/>
        <v>0.85970800000000003</v>
      </c>
      <c r="I1263" s="12" t="e">
        <f>ROUND(#REF!*1000000/G1263/H1263,-3)</f>
        <v>#REF!</v>
      </c>
      <c r="J1263" s="137"/>
      <c r="K1263" s="13"/>
    </row>
    <row r="1264" spans="1:11" ht="15" customHeight="1">
      <c r="A1264" s="816"/>
      <c r="B1264" s="810"/>
      <c r="C1264" s="7">
        <f t="shared" si="193"/>
        <v>340</v>
      </c>
      <c r="D1264" s="9" t="s">
        <v>942</v>
      </c>
      <c r="E1264" s="25">
        <v>2080000</v>
      </c>
      <c r="G1264" s="8">
        <v>340</v>
      </c>
      <c r="H1264" s="11">
        <f t="shared" si="188"/>
        <v>0.85970800000000003</v>
      </c>
      <c r="I1264" s="12" t="e">
        <f>ROUND(#REF!*1000000/G1264/H1264,-3)</f>
        <v>#REF!</v>
      </c>
      <c r="J1264" s="137"/>
      <c r="K1264" s="13"/>
    </row>
    <row r="1265" spans="1:11" ht="15" customHeight="1">
      <c r="A1265" s="816"/>
      <c r="B1265" s="810"/>
      <c r="C1265" s="7">
        <f t="shared" si="193"/>
        <v>340</v>
      </c>
      <c r="D1265" s="9" t="s">
        <v>943</v>
      </c>
      <c r="E1265" s="25">
        <v>2400000</v>
      </c>
      <c r="G1265" s="8">
        <v>340</v>
      </c>
      <c r="H1265" s="11">
        <f t="shared" si="188"/>
        <v>0.85970800000000003</v>
      </c>
      <c r="I1265" s="12" t="e">
        <f>ROUND(#REF!*1000000/G1265/H1265,-3)</f>
        <v>#REF!</v>
      </c>
      <c r="J1265" s="137"/>
      <c r="K1265" s="13"/>
    </row>
    <row r="1266" spans="1:11" ht="15" customHeight="1">
      <c r="A1266" s="816"/>
      <c r="B1266" s="810"/>
      <c r="C1266" s="7">
        <f t="shared" si="193"/>
        <v>340</v>
      </c>
      <c r="D1266" s="9">
        <v>350.351</v>
      </c>
      <c r="E1266" s="25">
        <v>2650000</v>
      </c>
      <c r="G1266" s="8">
        <v>340</v>
      </c>
      <c r="H1266" s="11">
        <f t="shared" si="188"/>
        <v>0.85970800000000003</v>
      </c>
      <c r="I1266" s="12" t="e">
        <f>ROUND(#REF!*1000000/G1266/H1266,-3)</f>
        <v>#REF!</v>
      </c>
      <c r="J1266" s="137"/>
      <c r="K1266" s="13"/>
    </row>
    <row r="1267" spans="1:11" ht="15" customHeight="1">
      <c r="A1267" s="816"/>
      <c r="B1267" s="810"/>
      <c r="C1267" s="33">
        <f t="shared" si="193"/>
        <v>340</v>
      </c>
      <c r="D1267" s="21" t="s">
        <v>944</v>
      </c>
      <c r="E1267" s="25">
        <v>1815000</v>
      </c>
      <c r="G1267" s="8">
        <v>340</v>
      </c>
      <c r="H1267" s="11">
        <f t="shared" si="188"/>
        <v>0.85970800000000003</v>
      </c>
      <c r="I1267" s="12" t="e">
        <f>ROUND(#REF!*1000000/G1267/H1267,-3)</f>
        <v>#REF!</v>
      </c>
      <c r="J1267" s="137"/>
      <c r="K1267" s="13"/>
    </row>
    <row r="1268" spans="1:11" ht="15" customHeight="1">
      <c r="A1268" s="816"/>
      <c r="B1268" s="810"/>
      <c r="C1268" s="33">
        <f t="shared" si="193"/>
        <v>340</v>
      </c>
      <c r="D1268" s="21" t="s">
        <v>945</v>
      </c>
      <c r="E1268" s="25">
        <v>1930000</v>
      </c>
      <c r="G1268" s="8">
        <v>340</v>
      </c>
      <c r="H1268" s="11">
        <f t="shared" si="188"/>
        <v>0.85970800000000003</v>
      </c>
      <c r="I1268" s="12" t="e">
        <f>ROUND(#REF!*1000000/G1268/H1268,-3)</f>
        <v>#REF!</v>
      </c>
      <c r="J1268" s="137"/>
      <c r="K1268" s="13"/>
    </row>
    <row r="1269" spans="1:11" ht="15" customHeight="1">
      <c r="A1269" s="816"/>
      <c r="B1269" s="810"/>
      <c r="C1269" s="33">
        <f t="shared" si="193"/>
        <v>340</v>
      </c>
      <c r="D1269" s="21" t="s">
        <v>946</v>
      </c>
      <c r="E1269" s="25">
        <v>1985000</v>
      </c>
      <c r="G1269" s="8">
        <v>340</v>
      </c>
      <c r="H1269" s="11">
        <f t="shared" si="188"/>
        <v>0.85970800000000003</v>
      </c>
      <c r="I1269" s="12" t="e">
        <f>ROUND(#REF!*1000000/G1269/H1269,-3)</f>
        <v>#REF!</v>
      </c>
      <c r="J1269" s="137"/>
      <c r="K1269" s="13"/>
    </row>
    <row r="1270" spans="1:11" ht="15" customHeight="1">
      <c r="A1270" s="816"/>
      <c r="B1270" s="810"/>
      <c r="C1270" s="33">
        <f t="shared" si="193"/>
        <v>340</v>
      </c>
      <c r="D1270" s="21" t="s">
        <v>947</v>
      </c>
      <c r="E1270" s="25">
        <v>2075000</v>
      </c>
      <c r="G1270" s="8">
        <v>340</v>
      </c>
      <c r="H1270" s="11">
        <f t="shared" si="188"/>
        <v>0.85970800000000003</v>
      </c>
      <c r="I1270" s="12" t="e">
        <f>ROUND(#REF!*1000000/G1270/H1270,-3)</f>
        <v>#REF!</v>
      </c>
      <c r="J1270" s="137"/>
      <c r="K1270" s="13"/>
    </row>
    <row r="1271" spans="1:11" ht="15" customHeight="1">
      <c r="A1271" s="816"/>
      <c r="B1271" s="810"/>
      <c r="C1271" s="33">
        <f t="shared" si="193"/>
        <v>340</v>
      </c>
      <c r="D1271" s="21" t="s">
        <v>948</v>
      </c>
      <c r="E1271" s="25">
        <v>2790000</v>
      </c>
      <c r="G1271" s="8">
        <v>340</v>
      </c>
      <c r="H1271" s="11">
        <f t="shared" si="188"/>
        <v>0.85970800000000003</v>
      </c>
      <c r="I1271" s="12" t="e">
        <f>ROUND(#REF!*1000000/G1271/H1271,-3)</f>
        <v>#REF!</v>
      </c>
      <c r="J1271" s="137"/>
      <c r="K1271" s="13"/>
    </row>
    <row r="1272" spans="1:11" ht="15" customHeight="1">
      <c r="A1272" s="816"/>
      <c r="B1272" s="810"/>
      <c r="C1272" s="33">
        <v>420</v>
      </c>
      <c r="D1272" s="21" t="s">
        <v>949</v>
      </c>
      <c r="E1272" s="25">
        <v>2195000</v>
      </c>
      <c r="G1272" s="8">
        <v>420</v>
      </c>
      <c r="H1272" s="11">
        <f t="shared" si="188"/>
        <v>0.85970800000000003</v>
      </c>
      <c r="I1272" s="12" t="e">
        <f>ROUND(#REF!*1000000/G1272/H1272,-3)</f>
        <v>#REF!</v>
      </c>
      <c r="J1272" s="137"/>
      <c r="K1272" s="13"/>
    </row>
    <row r="1273" spans="1:11" ht="15" customHeight="1">
      <c r="A1273" s="816"/>
      <c r="B1273" s="810"/>
      <c r="C1273" s="33">
        <f t="shared" ref="C1273:C1276" si="194">C1272</f>
        <v>420</v>
      </c>
      <c r="D1273" s="21" t="s">
        <v>950</v>
      </c>
      <c r="E1273" s="25">
        <v>2385000</v>
      </c>
      <c r="G1273" s="8">
        <v>420</v>
      </c>
      <c r="H1273" s="11">
        <f t="shared" si="188"/>
        <v>0.85970800000000003</v>
      </c>
      <c r="I1273" s="12" t="e">
        <f>ROUND(#REF!*1000000/G1273/H1273,-3)</f>
        <v>#REF!</v>
      </c>
      <c r="J1273" s="137"/>
      <c r="K1273" s="13"/>
    </row>
    <row r="1274" spans="1:11" ht="15" customHeight="1">
      <c r="A1274" s="816"/>
      <c r="B1274" s="810"/>
      <c r="C1274" s="33">
        <f t="shared" si="194"/>
        <v>420</v>
      </c>
      <c r="D1274" s="21" t="s">
        <v>951</v>
      </c>
      <c r="E1274" s="25">
        <v>2780000</v>
      </c>
      <c r="G1274" s="8">
        <v>420</v>
      </c>
      <c r="H1274" s="11">
        <f t="shared" si="188"/>
        <v>0.85970800000000003</v>
      </c>
      <c r="I1274" s="12" t="e">
        <f>ROUND(#REF!*1000000/G1274/H1274,-3)</f>
        <v>#REF!</v>
      </c>
      <c r="J1274" s="137"/>
      <c r="K1274" s="13"/>
    </row>
    <row r="1275" spans="1:11" ht="15" customHeight="1">
      <c r="A1275" s="816"/>
      <c r="B1275" s="810"/>
      <c r="C1275" s="33">
        <f t="shared" si="194"/>
        <v>420</v>
      </c>
      <c r="D1275" s="21" t="s">
        <v>952</v>
      </c>
      <c r="E1275" s="25">
        <v>2505000</v>
      </c>
      <c r="G1275" s="8">
        <v>420</v>
      </c>
      <c r="H1275" s="11">
        <f t="shared" si="188"/>
        <v>0.85970800000000003</v>
      </c>
      <c r="I1275" s="12" t="e">
        <f>ROUND(#REF!*1000000/G1275/H1275,-3)</f>
        <v>#REF!</v>
      </c>
      <c r="J1275" s="137"/>
      <c r="K1275" s="13"/>
    </row>
    <row r="1276" spans="1:11" ht="15" customHeight="1">
      <c r="A1276" s="816"/>
      <c r="B1276" s="810"/>
      <c r="C1276" s="33">
        <f t="shared" si="194"/>
        <v>420</v>
      </c>
      <c r="D1276" s="21" t="s">
        <v>953</v>
      </c>
      <c r="E1276" s="25">
        <v>3215000</v>
      </c>
      <c r="G1276" s="8">
        <v>420</v>
      </c>
      <c r="H1276" s="11">
        <f t="shared" si="188"/>
        <v>0.85970800000000003</v>
      </c>
      <c r="I1276" s="12" t="e">
        <f>ROUND(#REF!*1000000/G1276/H1276,-3)</f>
        <v>#REF!</v>
      </c>
      <c r="J1276" s="137"/>
      <c r="K1276" s="13"/>
    </row>
    <row r="1277" spans="1:11" ht="15" customHeight="1">
      <c r="A1277" s="816"/>
      <c r="B1277" s="814" t="s">
        <v>954</v>
      </c>
      <c r="C1277" s="14">
        <v>240</v>
      </c>
      <c r="D1277" s="9" t="s">
        <v>930</v>
      </c>
      <c r="E1277" s="25">
        <v>870000</v>
      </c>
      <c r="G1277" s="8">
        <v>240</v>
      </c>
      <c r="H1277" s="11">
        <f t="shared" ref="H1277:H1281" si="195">0.636*0.939</f>
        <v>0.59720399999999996</v>
      </c>
      <c r="I1277" s="12" t="e">
        <f>ROUND(#REF!*1000000/G1277/H1277,-3)</f>
        <v>#REF!</v>
      </c>
      <c r="J1277" s="137"/>
      <c r="K1277" s="13"/>
    </row>
    <row r="1278" spans="1:11" ht="15" customHeight="1">
      <c r="A1278" s="816"/>
      <c r="B1278" s="804"/>
      <c r="C1278" s="7">
        <f t="shared" ref="C1278:C1280" si="196">C1277</f>
        <v>240</v>
      </c>
      <c r="D1278" s="9" t="s">
        <v>955</v>
      </c>
      <c r="E1278" s="25">
        <v>920000</v>
      </c>
      <c r="G1278" s="8">
        <v>240</v>
      </c>
      <c r="H1278" s="11">
        <f t="shared" si="195"/>
        <v>0.59720399999999996</v>
      </c>
      <c r="I1278" s="12" t="e">
        <f>ROUND(#REF!*1000000/G1278/H1278,-3)</f>
        <v>#REF!</v>
      </c>
      <c r="J1278" s="137"/>
      <c r="K1278" s="13"/>
    </row>
    <row r="1279" spans="1:11" ht="15" customHeight="1">
      <c r="A1279" s="816"/>
      <c r="B1279" s="804"/>
      <c r="C1279" s="33">
        <f t="shared" si="196"/>
        <v>240</v>
      </c>
      <c r="D1279" s="21" t="s">
        <v>956</v>
      </c>
      <c r="E1279" s="25">
        <v>870000</v>
      </c>
      <c r="G1279" s="8">
        <v>240</v>
      </c>
      <c r="H1279" s="11">
        <f t="shared" si="195"/>
        <v>0.59720399999999996</v>
      </c>
      <c r="I1279" s="12" t="e">
        <f>ROUND(#REF!*1000000/G1279/H1279,-3)</f>
        <v>#REF!</v>
      </c>
      <c r="J1279" s="137"/>
      <c r="K1279" s="13"/>
    </row>
    <row r="1280" spans="1:11" ht="15" customHeight="1">
      <c r="A1280" s="816"/>
      <c r="B1280" s="804"/>
      <c r="C1280" s="33">
        <f t="shared" si="196"/>
        <v>240</v>
      </c>
      <c r="D1280" s="21" t="s">
        <v>957</v>
      </c>
      <c r="E1280" s="25">
        <v>730000</v>
      </c>
      <c r="G1280" s="8">
        <v>240</v>
      </c>
      <c r="H1280" s="11">
        <f t="shared" si="195"/>
        <v>0.59720399999999996</v>
      </c>
      <c r="I1280" s="12" t="e">
        <f>ROUND(#REF!*1000000/G1280/H1280,-3)</f>
        <v>#REF!</v>
      </c>
      <c r="J1280" s="137"/>
      <c r="K1280" s="13"/>
    </row>
    <row r="1281" spans="1:11" ht="15" customHeight="1">
      <c r="A1281" s="817"/>
      <c r="B1281" s="805"/>
      <c r="C1281" s="20">
        <v>120</v>
      </c>
      <c r="D1281" s="21" t="s">
        <v>925</v>
      </c>
      <c r="E1281" s="25">
        <v>665000</v>
      </c>
      <c r="G1281" s="8">
        <v>120</v>
      </c>
      <c r="H1281" s="11">
        <f t="shared" si="195"/>
        <v>0.59720399999999996</v>
      </c>
      <c r="I1281" s="12" t="e">
        <f>ROUND(#REF!*1000000/G1281/H1281,-3)</f>
        <v>#REF!</v>
      </c>
      <c r="J1281" s="137"/>
      <c r="K1281" s="13"/>
    </row>
    <row r="1282" spans="1:11" ht="15" customHeight="1">
      <c r="A1282" s="811" t="s">
        <v>958</v>
      </c>
      <c r="B1282" s="812" t="s">
        <v>27</v>
      </c>
      <c r="C1282" s="16">
        <v>110</v>
      </c>
      <c r="D1282" s="29" t="s">
        <v>959</v>
      </c>
      <c r="E1282" s="148">
        <v>635000</v>
      </c>
      <c r="F1282" s="3"/>
      <c r="G1282" s="10">
        <v>110</v>
      </c>
      <c r="H1282" s="74">
        <f t="shared" ref="H1282:H1293" si="197">0.788*1.091</f>
        <v>0.85970800000000003</v>
      </c>
      <c r="I1282" s="75" t="e">
        <f>ROUND(#REF!*1000000/G1282/H1282,-3)</f>
        <v>#REF!</v>
      </c>
      <c r="J1282" s="137"/>
      <c r="K1282" s="13"/>
    </row>
    <row r="1283" spans="1:11" ht="15" customHeight="1">
      <c r="A1283" s="811"/>
      <c r="B1283" s="812"/>
      <c r="C1283" s="33">
        <f>C1282</f>
        <v>110</v>
      </c>
      <c r="D1283" s="21" t="s">
        <v>960</v>
      </c>
      <c r="E1283" s="214">
        <v>590000</v>
      </c>
      <c r="F1283" s="3"/>
      <c r="G1283" s="10">
        <v>110</v>
      </c>
      <c r="H1283" s="74">
        <f t="shared" si="197"/>
        <v>0.85970800000000003</v>
      </c>
      <c r="I1283" s="75" t="e">
        <f>ROUND(#REF!*1000000/G1283/H1283,-3)</f>
        <v>#REF!</v>
      </c>
      <c r="J1283" s="137"/>
      <c r="K1283" s="13"/>
    </row>
    <row r="1284" spans="1:11" ht="15" customHeight="1">
      <c r="A1284" s="811"/>
      <c r="B1284" s="812"/>
      <c r="C1284" s="16">
        <v>240</v>
      </c>
      <c r="D1284" s="29" t="s">
        <v>961</v>
      </c>
      <c r="E1284" s="148">
        <v>1385000</v>
      </c>
      <c r="G1284" s="8">
        <v>240</v>
      </c>
      <c r="H1284" s="11">
        <f t="shared" si="197"/>
        <v>0.85970800000000003</v>
      </c>
      <c r="I1284" s="12" t="e">
        <f>ROUND(#REF!*1000000/G1284/H1284,-3)</f>
        <v>#REF!</v>
      </c>
      <c r="J1284" s="137"/>
      <c r="K1284" s="13"/>
    </row>
    <row r="1285" spans="1:11" ht="15" customHeight="1">
      <c r="A1285" s="811"/>
      <c r="B1285" s="812"/>
      <c r="C1285" s="33">
        <f>C1284</f>
        <v>240</v>
      </c>
      <c r="D1285" s="21" t="s">
        <v>962</v>
      </c>
      <c r="E1285" s="214">
        <v>1265000</v>
      </c>
      <c r="G1285" s="8">
        <v>240</v>
      </c>
      <c r="H1285" s="11">
        <f t="shared" si="197"/>
        <v>0.85970800000000003</v>
      </c>
      <c r="I1285" s="12" t="e">
        <f>ROUND(#REF!*1000000/G1285/H1285,-3)</f>
        <v>#REF!</v>
      </c>
      <c r="J1285" s="137"/>
      <c r="K1285" s="13"/>
    </row>
    <row r="1286" spans="1:11" ht="15" customHeight="1">
      <c r="A1286" s="811" t="s">
        <v>963</v>
      </c>
      <c r="B1286" s="812" t="s">
        <v>27</v>
      </c>
      <c r="C1286" s="16">
        <v>110</v>
      </c>
      <c r="D1286" s="29" t="s">
        <v>964</v>
      </c>
      <c r="E1286" s="148">
        <v>635000</v>
      </c>
      <c r="F1286" s="3"/>
      <c r="G1286" s="10">
        <v>110</v>
      </c>
      <c r="H1286" s="74">
        <f t="shared" si="197"/>
        <v>0.85970800000000003</v>
      </c>
      <c r="I1286" s="75" t="e">
        <f>ROUND(#REF!*1000000/G1286/H1286,-3)</f>
        <v>#REF!</v>
      </c>
      <c r="J1286" s="137"/>
      <c r="K1286" s="13"/>
    </row>
    <row r="1287" spans="1:11" ht="15" customHeight="1">
      <c r="A1287" s="811"/>
      <c r="B1287" s="812"/>
      <c r="C1287" s="33">
        <f t="shared" ref="C1287:C1288" si="198">C1286</f>
        <v>110</v>
      </c>
      <c r="D1287" s="21" t="s">
        <v>965</v>
      </c>
      <c r="E1287" s="25">
        <v>370000</v>
      </c>
      <c r="G1287" s="8">
        <v>110</v>
      </c>
      <c r="H1287" s="11">
        <f>0.788*1.091</f>
        <v>0.85970800000000003</v>
      </c>
      <c r="I1287" s="12" t="e">
        <f>ROUND(#REF!*1000000/G1287/H1287,-3)</f>
        <v>#REF!</v>
      </c>
      <c r="J1287" s="137"/>
      <c r="K1287" s="13"/>
    </row>
    <row r="1288" spans="1:11" ht="15" customHeight="1">
      <c r="A1288" s="811"/>
      <c r="B1288" s="812"/>
      <c r="C1288" s="33">
        <f t="shared" si="198"/>
        <v>110</v>
      </c>
      <c r="D1288" s="21" t="s">
        <v>966</v>
      </c>
      <c r="E1288" s="25">
        <v>660000</v>
      </c>
      <c r="G1288" s="8">
        <v>110</v>
      </c>
      <c r="H1288" s="11">
        <f t="shared" si="197"/>
        <v>0.85970800000000003</v>
      </c>
      <c r="I1288" s="12" t="e">
        <f>ROUND(#REF!*1000000/G1288/H1288,-3)</f>
        <v>#REF!</v>
      </c>
      <c r="J1288" s="137"/>
      <c r="K1288" s="13"/>
    </row>
    <row r="1289" spans="1:11" ht="15" customHeight="1">
      <c r="A1289" s="811"/>
      <c r="B1289" s="812"/>
      <c r="C1289" s="16">
        <v>240</v>
      </c>
      <c r="D1289" s="29" t="s">
        <v>967</v>
      </c>
      <c r="E1289" s="25">
        <v>1385000</v>
      </c>
      <c r="G1289" s="8">
        <v>240</v>
      </c>
      <c r="H1289" s="11">
        <f t="shared" si="197"/>
        <v>0.85970800000000003</v>
      </c>
      <c r="I1289" s="12" t="e">
        <f>ROUND(#REF!*1000000/G1289/H1289,-3)</f>
        <v>#REF!</v>
      </c>
      <c r="J1289" s="137"/>
      <c r="K1289" s="13"/>
    </row>
    <row r="1290" spans="1:11" ht="15" customHeight="1">
      <c r="A1290" s="811"/>
      <c r="B1290" s="812"/>
      <c r="C1290" s="33">
        <f>C1289</f>
        <v>240</v>
      </c>
      <c r="D1290" s="21" t="s">
        <v>968</v>
      </c>
      <c r="E1290" s="25">
        <v>795000</v>
      </c>
      <c r="G1290" s="8">
        <v>240</v>
      </c>
      <c r="H1290" s="11">
        <f t="shared" si="197"/>
        <v>0.85970800000000003</v>
      </c>
      <c r="I1290" s="12" t="e">
        <f>ROUND(#REF!*1000000/G1290/H1290,-3)</f>
        <v>#REF!</v>
      </c>
      <c r="J1290" s="137"/>
      <c r="K1290" s="13"/>
    </row>
    <row r="1291" spans="1:11" ht="15" customHeight="1">
      <c r="A1291" s="811"/>
      <c r="B1291" s="812"/>
      <c r="C1291" s="20">
        <v>340</v>
      </c>
      <c r="D1291" s="21" t="s">
        <v>969</v>
      </c>
      <c r="E1291" s="25">
        <v>1485000</v>
      </c>
      <c r="G1291" s="8">
        <v>340</v>
      </c>
      <c r="H1291" s="11">
        <f t="shared" si="197"/>
        <v>0.85970800000000003</v>
      </c>
      <c r="I1291" s="12" t="e">
        <f>ROUND(#REF!*1000000/G1291/H1291,-3)</f>
        <v>#REF!</v>
      </c>
      <c r="J1291" s="137"/>
      <c r="K1291" s="13"/>
    </row>
    <row r="1292" spans="1:11" ht="15" customHeight="1">
      <c r="A1292" s="811"/>
      <c r="B1292" s="812"/>
      <c r="C1292" s="20">
        <v>420</v>
      </c>
      <c r="D1292" s="21" t="s">
        <v>970</v>
      </c>
      <c r="E1292" s="25">
        <v>1840000</v>
      </c>
      <c r="G1292" s="8">
        <v>420</v>
      </c>
      <c r="H1292" s="11">
        <f t="shared" si="197"/>
        <v>0.85970800000000003</v>
      </c>
      <c r="I1292" s="12" t="e">
        <f>ROUND(#REF!*1000000/G1292/H1292,-3)</f>
        <v>#REF!</v>
      </c>
      <c r="J1292" s="137"/>
      <c r="K1292" s="13"/>
    </row>
    <row r="1293" spans="1:11" ht="15" customHeight="1">
      <c r="A1293" s="811"/>
      <c r="B1293" s="812"/>
      <c r="C1293" s="33">
        <f>C1292</f>
        <v>420</v>
      </c>
      <c r="D1293" s="21" t="s">
        <v>971</v>
      </c>
      <c r="E1293" s="25">
        <v>2570000</v>
      </c>
      <c r="G1293" s="8">
        <v>420</v>
      </c>
      <c r="H1293" s="11">
        <f t="shared" si="197"/>
        <v>0.85970800000000003</v>
      </c>
      <c r="I1293" s="12" t="e">
        <f>ROUND(#REF!*1000000/G1293/H1293,-3)</f>
        <v>#REF!</v>
      </c>
      <c r="J1293" s="137"/>
      <c r="K1293" s="13"/>
    </row>
    <row r="1294" spans="1:11" s="1" customFormat="1" ht="15" customHeight="1">
      <c r="A1294" s="811" t="s">
        <v>972</v>
      </c>
      <c r="B1294" s="811" t="s">
        <v>724</v>
      </c>
      <c r="C1294" s="33">
        <v>110</v>
      </c>
      <c r="D1294" s="21" t="s">
        <v>973</v>
      </c>
      <c r="E1294" s="211">
        <v>480000</v>
      </c>
      <c r="G1294" s="8">
        <v>110</v>
      </c>
      <c r="H1294" s="11">
        <f t="shared" ref="H1294:H1299" si="199">0.72*1.02</f>
        <v>0.73439999999999994</v>
      </c>
      <c r="I1294" s="12" t="e">
        <f>ROUND(#REF!*1000000/G1294/H1294,-3)</f>
        <v>#REF!</v>
      </c>
      <c r="J1294" s="137"/>
      <c r="K1294" s="13"/>
    </row>
    <row r="1295" spans="1:11" s="1" customFormat="1" ht="15" customHeight="1">
      <c r="A1295" s="811"/>
      <c r="B1295" s="811"/>
      <c r="C1295" s="33">
        <f>C1294</f>
        <v>110</v>
      </c>
      <c r="D1295" s="21" t="s">
        <v>974</v>
      </c>
      <c r="E1295" s="211">
        <v>600000</v>
      </c>
      <c r="G1295" s="8">
        <v>110</v>
      </c>
      <c r="H1295" s="11">
        <f t="shared" si="199"/>
        <v>0.73439999999999994</v>
      </c>
      <c r="I1295" s="12" t="e">
        <f>ROUND(#REF!*1000000/G1295/H1295,-3)</f>
        <v>#REF!</v>
      </c>
      <c r="J1295" s="137"/>
      <c r="K1295" s="13"/>
    </row>
    <row r="1296" spans="1:11" s="1" customFormat="1" ht="15" customHeight="1">
      <c r="A1296" s="811"/>
      <c r="B1296" s="811"/>
      <c r="C1296" s="33">
        <v>200</v>
      </c>
      <c r="D1296" s="21" t="s">
        <v>975</v>
      </c>
      <c r="E1296" s="211">
        <v>790000</v>
      </c>
      <c r="G1296" s="8">
        <v>200</v>
      </c>
      <c r="H1296" s="11">
        <f t="shared" si="199"/>
        <v>0.73439999999999994</v>
      </c>
      <c r="I1296" s="12" t="e">
        <f>ROUND(#REF!*1000000/G1296/H1296,-3)</f>
        <v>#REF!</v>
      </c>
      <c r="J1296" s="137"/>
      <c r="K1296" s="13"/>
    </row>
    <row r="1297" spans="1:11" s="1" customFormat="1" ht="15" customHeight="1">
      <c r="A1297" s="811"/>
      <c r="B1297" s="811"/>
      <c r="C1297" s="33">
        <f>C1296</f>
        <v>200</v>
      </c>
      <c r="D1297" s="21" t="s">
        <v>976</v>
      </c>
      <c r="E1297" s="211">
        <v>1000000</v>
      </c>
      <c r="G1297" s="8">
        <v>200</v>
      </c>
      <c r="H1297" s="11">
        <f t="shared" si="199"/>
        <v>0.73439999999999994</v>
      </c>
      <c r="I1297" s="12" t="e">
        <f>ROUND(#REF!*1000000/G1297/H1297,-3)</f>
        <v>#REF!</v>
      </c>
      <c r="J1297" s="137"/>
      <c r="K1297" s="13"/>
    </row>
    <row r="1298" spans="1:11" s="1" customFormat="1" ht="15" customHeight="1">
      <c r="A1298" s="811"/>
      <c r="B1298" s="811"/>
      <c r="C1298" s="33">
        <v>340</v>
      </c>
      <c r="D1298" s="21" t="s">
        <v>977</v>
      </c>
      <c r="E1298" s="211">
        <v>1335000</v>
      </c>
      <c r="G1298" s="8">
        <v>340</v>
      </c>
      <c r="H1298" s="11">
        <f t="shared" si="199"/>
        <v>0.73439999999999994</v>
      </c>
      <c r="I1298" s="12" t="e">
        <f>ROUND(#REF!*1000000/G1298/H1298,-3)</f>
        <v>#REF!</v>
      </c>
      <c r="J1298" s="137"/>
      <c r="K1298" s="13"/>
    </row>
    <row r="1299" spans="1:11" s="1" customFormat="1" ht="15" customHeight="1">
      <c r="A1299" s="811"/>
      <c r="B1299" s="811"/>
      <c r="C1299" s="33">
        <f>C1298</f>
        <v>340</v>
      </c>
      <c r="D1299" s="21" t="s">
        <v>978</v>
      </c>
      <c r="E1299" s="211">
        <v>1690000</v>
      </c>
      <c r="G1299" s="8">
        <v>340</v>
      </c>
      <c r="H1299" s="11">
        <f t="shared" si="199"/>
        <v>0.73439999999999994</v>
      </c>
      <c r="I1299" s="12" t="e">
        <f>ROUND(#REF!*1000000/G1299/H1299,-3)</f>
        <v>#REF!</v>
      </c>
      <c r="J1299" s="137"/>
      <c r="K1299" s="13"/>
    </row>
    <row r="1300" spans="1:11" ht="15" customHeight="1">
      <c r="A1300" s="810" t="s">
        <v>979</v>
      </c>
      <c r="B1300" s="7" t="s">
        <v>336</v>
      </c>
      <c r="C1300" s="20">
        <v>300</v>
      </c>
      <c r="D1300" s="21" t="s">
        <v>980</v>
      </c>
      <c r="E1300" s="25">
        <v>217500</v>
      </c>
      <c r="G1300" s="8">
        <v>300</v>
      </c>
      <c r="H1300" s="11">
        <f>0.939*0.636</f>
        <v>0.59720399999999996</v>
      </c>
      <c r="I1300" s="12" t="e">
        <f>ROUND(#REF!*1000000/G1300/H1300,-3)</f>
        <v>#REF!</v>
      </c>
      <c r="J1300" s="137"/>
      <c r="K1300" s="13"/>
    </row>
    <row r="1301" spans="1:11" ht="15" customHeight="1">
      <c r="A1301" s="810"/>
      <c r="B1301" s="7" t="s">
        <v>595</v>
      </c>
      <c r="C1301" s="33">
        <f>C1300</f>
        <v>300</v>
      </c>
      <c r="D1301" s="21" t="s">
        <v>980</v>
      </c>
      <c r="E1301" s="25">
        <v>312500</v>
      </c>
      <c r="G1301" s="8">
        <v>300</v>
      </c>
      <c r="H1301" s="11">
        <f>0.788*1.091</f>
        <v>0.85970800000000003</v>
      </c>
      <c r="I1301" s="12" t="e">
        <f>ROUND(#REF!*1000000/G1301/H1301,-3)</f>
        <v>#REF!</v>
      </c>
      <c r="J1301" s="137"/>
      <c r="K1301" s="13"/>
    </row>
    <row r="1302" spans="1:11" ht="15" customHeight="1">
      <c r="A1302" s="810" t="s">
        <v>981</v>
      </c>
      <c r="B1302" s="810" t="s">
        <v>236</v>
      </c>
      <c r="C1302" s="33">
        <v>300</v>
      </c>
      <c r="D1302" s="21" t="s">
        <v>982</v>
      </c>
      <c r="E1302" s="25">
        <v>1215000</v>
      </c>
      <c r="G1302" s="8">
        <v>300</v>
      </c>
      <c r="H1302" s="11">
        <v>0.7</v>
      </c>
      <c r="I1302" s="12" t="e">
        <f>ROUND(#REF!*1000000/G1302/H1302,-3)</f>
        <v>#REF!</v>
      </c>
      <c r="J1302" s="137"/>
      <c r="K1302" s="13"/>
    </row>
    <row r="1303" spans="1:11" ht="15" customHeight="1">
      <c r="A1303" s="810"/>
      <c r="B1303" s="810"/>
      <c r="C1303" s="33">
        <f>C1302</f>
        <v>300</v>
      </c>
      <c r="D1303" s="21" t="s">
        <v>983</v>
      </c>
      <c r="E1303" s="25">
        <v>1560000</v>
      </c>
      <c r="G1303" s="8">
        <v>300</v>
      </c>
      <c r="H1303" s="11">
        <v>0.7</v>
      </c>
      <c r="I1303" s="12" t="e">
        <f>ROUND(#REF!*1000000/G1303/H1303,-3)</f>
        <v>#REF!</v>
      </c>
      <c r="J1303" s="137"/>
      <c r="K1303" s="13"/>
    </row>
    <row r="1304" spans="1:11" ht="15" customHeight="1">
      <c r="A1304" s="810"/>
      <c r="B1304" s="810"/>
      <c r="C1304" s="33">
        <v>310</v>
      </c>
      <c r="D1304" s="21" t="s">
        <v>984</v>
      </c>
      <c r="E1304" s="25">
        <v>1905000</v>
      </c>
      <c r="G1304" s="8">
        <v>310</v>
      </c>
      <c r="H1304" s="11">
        <v>0.7</v>
      </c>
      <c r="I1304" s="12" t="e">
        <f>ROUND(#REF!*1000000/G1304/H1304,-3)</f>
        <v>#REF!</v>
      </c>
      <c r="J1304" s="137"/>
      <c r="K1304" s="13"/>
    </row>
    <row r="1305" spans="1:11" ht="15" customHeight="1">
      <c r="A1305" s="810"/>
      <c r="B1305" s="810"/>
      <c r="C1305" s="33">
        <f>C1304</f>
        <v>310</v>
      </c>
      <c r="D1305" s="21" t="s">
        <v>985</v>
      </c>
      <c r="E1305" s="25">
        <v>2250000</v>
      </c>
      <c r="G1305" s="8">
        <v>310</v>
      </c>
      <c r="H1305" s="11">
        <v>0.7</v>
      </c>
      <c r="I1305" s="12" t="e">
        <f>ROUND(#REF!*1000000/G1305/H1305,-3)</f>
        <v>#REF!</v>
      </c>
      <c r="J1305" s="137"/>
      <c r="K1305" s="13"/>
    </row>
    <row r="1306" spans="1:11" ht="15" customHeight="1">
      <c r="A1306" s="811" t="s">
        <v>986</v>
      </c>
      <c r="B1306" s="810" t="s">
        <v>343</v>
      </c>
      <c r="C1306" s="33">
        <v>85</v>
      </c>
      <c r="D1306" s="21" t="s">
        <v>987</v>
      </c>
      <c r="E1306" s="25">
        <v>715000</v>
      </c>
      <c r="G1306" s="8">
        <v>85</v>
      </c>
      <c r="H1306" s="11">
        <f t="shared" ref="H1306:H1311" si="200">0.788*1.091</f>
        <v>0.85970800000000003</v>
      </c>
      <c r="I1306" s="12" t="e">
        <f>ROUND(#REF!*1000000/G1306/H1306,-3)</f>
        <v>#REF!</v>
      </c>
      <c r="J1306" s="137"/>
      <c r="K1306" s="13"/>
    </row>
    <row r="1307" spans="1:11" ht="15" customHeight="1">
      <c r="A1307" s="811"/>
      <c r="B1307" s="810"/>
      <c r="C1307" s="33">
        <f>C1306</f>
        <v>85</v>
      </c>
      <c r="D1307" s="21" t="s">
        <v>988</v>
      </c>
      <c r="E1307" s="25">
        <v>865000</v>
      </c>
      <c r="G1307" s="8">
        <v>85</v>
      </c>
      <c r="H1307" s="11">
        <f t="shared" si="200"/>
        <v>0.85970800000000003</v>
      </c>
      <c r="I1307" s="12" t="e">
        <f>ROUND(#REF!*1000000/G1307/H1307,-3)</f>
        <v>#REF!</v>
      </c>
      <c r="J1307" s="137"/>
      <c r="K1307" s="13"/>
    </row>
    <row r="1308" spans="1:11" ht="15" customHeight="1">
      <c r="A1308" s="811"/>
      <c r="B1308" s="810"/>
      <c r="C1308" s="33">
        <v>128</v>
      </c>
      <c r="D1308" s="21" t="s">
        <v>987</v>
      </c>
      <c r="E1308" s="25">
        <v>1085000</v>
      </c>
      <c r="G1308" s="8">
        <v>128</v>
      </c>
      <c r="H1308" s="11">
        <f t="shared" si="200"/>
        <v>0.85970800000000003</v>
      </c>
      <c r="I1308" s="12" t="e">
        <f>ROUND(#REF!*1000000/G1308/H1308,-3)</f>
        <v>#REF!</v>
      </c>
      <c r="J1308" s="137"/>
      <c r="K1308" s="13"/>
    </row>
    <row r="1309" spans="1:11" ht="15" customHeight="1">
      <c r="A1309" s="811"/>
      <c r="B1309" s="810"/>
      <c r="C1309" s="33">
        <f>C1308</f>
        <v>128</v>
      </c>
      <c r="D1309" s="21" t="s">
        <v>988</v>
      </c>
      <c r="E1309" s="25">
        <v>1290000</v>
      </c>
      <c r="G1309" s="8">
        <v>128</v>
      </c>
      <c r="H1309" s="11">
        <f t="shared" si="200"/>
        <v>0.85970800000000003</v>
      </c>
      <c r="I1309" s="12" t="e">
        <f>ROUND(#REF!*1000000/G1309/H1309,-3)</f>
        <v>#REF!</v>
      </c>
      <c r="J1309" s="137"/>
      <c r="K1309" s="13"/>
    </row>
    <row r="1310" spans="1:11" ht="15" customHeight="1">
      <c r="A1310" s="811"/>
      <c r="B1310" s="810"/>
      <c r="C1310" s="33">
        <v>157</v>
      </c>
      <c r="D1310" s="21" t="s">
        <v>987</v>
      </c>
      <c r="E1310" s="25">
        <v>1290000</v>
      </c>
      <c r="G1310" s="8">
        <v>157</v>
      </c>
      <c r="H1310" s="11">
        <f t="shared" si="200"/>
        <v>0.85970800000000003</v>
      </c>
      <c r="I1310" s="12" t="e">
        <f>ROUND(#REF!*1000000/G1310/H1310,-3)</f>
        <v>#REF!</v>
      </c>
      <c r="J1310" s="137"/>
      <c r="K1310" s="13"/>
    </row>
    <row r="1311" spans="1:11" ht="15" customHeight="1">
      <c r="A1311" s="811"/>
      <c r="B1311" s="810"/>
      <c r="C1311" s="33">
        <f>C1310</f>
        <v>157</v>
      </c>
      <c r="D1311" s="21" t="s">
        <v>988</v>
      </c>
      <c r="E1311" s="25">
        <v>1530000</v>
      </c>
      <c r="G1311" s="8">
        <v>157</v>
      </c>
      <c r="H1311" s="11">
        <f t="shared" si="200"/>
        <v>0.85970800000000003</v>
      </c>
      <c r="I1311" s="12" t="e">
        <f>ROUND(#REF!*1000000/G1311/H1311,-3)</f>
        <v>#REF!</v>
      </c>
      <c r="J1311" s="137"/>
      <c r="K1311" s="13"/>
    </row>
    <row r="1312" spans="1:11" ht="15" customHeight="1">
      <c r="A1312" s="813" t="s">
        <v>989</v>
      </c>
      <c r="B1312" s="814" t="s">
        <v>990</v>
      </c>
      <c r="C1312" s="30">
        <v>128</v>
      </c>
      <c r="D1312" s="29" t="s">
        <v>991</v>
      </c>
      <c r="E1312" s="25">
        <v>5405000</v>
      </c>
      <c r="G1312" s="8">
        <v>128</v>
      </c>
      <c r="H1312" s="11">
        <f t="shared" ref="H1312:H1327" si="201">0.79*1.09</f>
        <v>0.86110000000000009</v>
      </c>
      <c r="I1312" s="12" t="e">
        <f>ROUND(#REF!*1000000/G1312/H1312,-3)</f>
        <v>#REF!</v>
      </c>
      <c r="J1312" s="137"/>
      <c r="K1312" s="13"/>
    </row>
    <row r="1313" spans="1:11" ht="15" customHeight="1">
      <c r="A1313" s="816"/>
      <c r="B1313" s="804"/>
      <c r="C1313" s="16">
        <v>157</v>
      </c>
      <c r="D1313" s="29" t="s">
        <v>992</v>
      </c>
      <c r="E1313" s="25">
        <v>2250000</v>
      </c>
      <c r="G1313" s="8">
        <v>157</v>
      </c>
      <c r="H1313" s="11">
        <f t="shared" si="201"/>
        <v>0.86110000000000009</v>
      </c>
      <c r="I1313" s="12" t="e">
        <f>ROUND(#REF!*1000000/G1313/H1313,-3)</f>
        <v>#REF!</v>
      </c>
      <c r="J1313" s="137"/>
      <c r="K1313" s="13"/>
    </row>
    <row r="1314" spans="1:11" ht="15" customHeight="1">
      <c r="A1314" s="816"/>
      <c r="B1314" s="804"/>
      <c r="C1314" s="16">
        <f>C1313</f>
        <v>157</v>
      </c>
      <c r="D1314" s="29" t="s">
        <v>993</v>
      </c>
      <c r="E1314" s="25">
        <v>3875000</v>
      </c>
      <c r="G1314" s="8">
        <v>157</v>
      </c>
      <c r="H1314" s="11">
        <f t="shared" si="201"/>
        <v>0.86110000000000009</v>
      </c>
      <c r="I1314" s="12" t="e">
        <f>ROUND(#REF!*1000000/G1314/H1314,-3)</f>
        <v>#REF!</v>
      </c>
      <c r="J1314" s="137"/>
      <c r="K1314" s="13"/>
    </row>
    <row r="1315" spans="1:11" ht="15" customHeight="1">
      <c r="A1315" s="816"/>
      <c r="B1315" s="804"/>
      <c r="C1315" s="16">
        <v>315</v>
      </c>
      <c r="D1315" s="29" t="s">
        <v>994</v>
      </c>
      <c r="E1315" s="25">
        <v>2900000</v>
      </c>
      <c r="G1315" s="8">
        <v>315</v>
      </c>
      <c r="H1315" s="11">
        <f t="shared" si="201"/>
        <v>0.86110000000000009</v>
      </c>
      <c r="I1315" s="12" t="e">
        <f>ROUND(#REF!*1000000/G1315/H1315,-3)</f>
        <v>#REF!</v>
      </c>
      <c r="J1315" s="137"/>
      <c r="K1315" s="13"/>
    </row>
    <row r="1316" spans="1:11" ht="15" customHeight="1">
      <c r="A1316" s="816"/>
      <c r="B1316" s="804"/>
      <c r="C1316" s="16">
        <f t="shared" ref="C1316:C1321" si="202">C1315</f>
        <v>315</v>
      </c>
      <c r="D1316" s="29" t="s">
        <v>995</v>
      </c>
      <c r="E1316" s="25">
        <v>2735000</v>
      </c>
      <c r="G1316" s="8">
        <v>315</v>
      </c>
      <c r="H1316" s="11">
        <f t="shared" si="201"/>
        <v>0.86110000000000009</v>
      </c>
      <c r="I1316" s="12" t="e">
        <f>ROUND(#REF!*1000000/G1316/H1316,-3)</f>
        <v>#REF!</v>
      </c>
      <c r="J1316" s="137"/>
      <c r="K1316" s="13"/>
    </row>
    <row r="1317" spans="1:11" ht="15" customHeight="1">
      <c r="A1317" s="816"/>
      <c r="B1317" s="804"/>
      <c r="C1317" s="16">
        <f t="shared" si="202"/>
        <v>315</v>
      </c>
      <c r="D1317" s="29" t="s">
        <v>996</v>
      </c>
      <c r="E1317" s="25">
        <v>2885000</v>
      </c>
      <c r="G1317" s="8">
        <v>315</v>
      </c>
      <c r="H1317" s="11">
        <f t="shared" si="201"/>
        <v>0.86110000000000009</v>
      </c>
      <c r="I1317" s="12" t="e">
        <f>ROUND(#REF!*1000000/G1317/H1317,-3)</f>
        <v>#REF!</v>
      </c>
      <c r="J1317" s="137"/>
      <c r="K1317" s="13"/>
    </row>
    <row r="1318" spans="1:11" ht="15" customHeight="1">
      <c r="A1318" s="816"/>
      <c r="B1318" s="804"/>
      <c r="C1318" s="16">
        <f t="shared" si="202"/>
        <v>315</v>
      </c>
      <c r="D1318" s="29" t="s">
        <v>997</v>
      </c>
      <c r="E1318" s="25">
        <v>3125000</v>
      </c>
      <c r="G1318" s="8">
        <v>315</v>
      </c>
      <c r="H1318" s="11">
        <f t="shared" si="201"/>
        <v>0.86110000000000009</v>
      </c>
      <c r="I1318" s="12" t="e">
        <f>ROUND(#REF!*1000000/G1318/H1318,-3)</f>
        <v>#REF!</v>
      </c>
      <c r="J1318" s="137"/>
      <c r="K1318" s="13"/>
    </row>
    <row r="1319" spans="1:11" ht="15" customHeight="1">
      <c r="A1319" s="816"/>
      <c r="B1319" s="804"/>
      <c r="C1319" s="16">
        <f t="shared" si="202"/>
        <v>315</v>
      </c>
      <c r="D1319" s="29" t="s">
        <v>998</v>
      </c>
      <c r="E1319" s="25">
        <v>3275000</v>
      </c>
      <c r="G1319" s="8">
        <v>315</v>
      </c>
      <c r="H1319" s="11">
        <f t="shared" si="201"/>
        <v>0.86110000000000009</v>
      </c>
      <c r="I1319" s="12" t="e">
        <f>ROUND(#REF!*1000000/G1319/H1319,-3)</f>
        <v>#REF!</v>
      </c>
      <c r="J1319" s="137"/>
      <c r="K1319" s="13"/>
    </row>
    <row r="1320" spans="1:11" ht="15" customHeight="1">
      <c r="A1320" s="816"/>
      <c r="B1320" s="804"/>
      <c r="C1320" s="16">
        <f t="shared" si="202"/>
        <v>315</v>
      </c>
      <c r="D1320" s="29" t="s">
        <v>999</v>
      </c>
      <c r="E1320" s="25">
        <v>3575000</v>
      </c>
      <c r="G1320" s="8">
        <v>315</v>
      </c>
      <c r="H1320" s="11">
        <f t="shared" si="201"/>
        <v>0.86110000000000009</v>
      </c>
      <c r="I1320" s="12" t="e">
        <f>ROUND(#REF!*1000000/G1320/H1320,-3)</f>
        <v>#REF!</v>
      </c>
      <c r="J1320" s="137"/>
      <c r="K1320" s="13"/>
    </row>
    <row r="1321" spans="1:11" ht="15" customHeight="1">
      <c r="A1321" s="816"/>
      <c r="B1321" s="805"/>
      <c r="C1321" s="16">
        <f t="shared" si="202"/>
        <v>315</v>
      </c>
      <c r="D1321" s="29" t="s">
        <v>1000</v>
      </c>
      <c r="E1321" s="25">
        <v>6250000</v>
      </c>
      <c r="G1321" s="8">
        <v>315</v>
      </c>
      <c r="H1321" s="11">
        <f t="shared" si="201"/>
        <v>0.86110000000000009</v>
      </c>
      <c r="I1321" s="12" t="e">
        <f>ROUND(#REF!*1000000/G1321/H1321,-3)</f>
        <v>#REF!</v>
      </c>
      <c r="J1321" s="137"/>
      <c r="K1321" s="13"/>
    </row>
    <row r="1322" spans="1:11" ht="15" customHeight="1">
      <c r="A1322" s="816"/>
      <c r="B1322" s="7" t="s">
        <v>1001</v>
      </c>
      <c r="C1322" s="16">
        <v>315</v>
      </c>
      <c r="D1322" s="29" t="s">
        <v>1002</v>
      </c>
      <c r="E1322" s="25">
        <v>3930000</v>
      </c>
      <c r="G1322" s="8">
        <v>315</v>
      </c>
      <c r="H1322" s="11">
        <f>0.8*0.545</f>
        <v>0.43600000000000005</v>
      </c>
      <c r="I1322" s="12" t="e">
        <f>ROUND(#REF!*1000000/G1322/H1322,-3)</f>
        <v>#REF!</v>
      </c>
      <c r="J1322" s="137"/>
      <c r="K1322" s="13"/>
    </row>
    <row r="1323" spans="1:11" ht="15" customHeight="1">
      <c r="A1323" s="816"/>
      <c r="B1323" s="7" t="s">
        <v>1003</v>
      </c>
      <c r="C1323" s="16">
        <v>128</v>
      </c>
      <c r="D1323" s="29" t="s">
        <v>1004</v>
      </c>
      <c r="E1323" s="25">
        <v>2890000</v>
      </c>
      <c r="G1323" s="8">
        <v>128</v>
      </c>
      <c r="H1323" s="11">
        <f>0.79*0.545</f>
        <v>0.43055000000000004</v>
      </c>
      <c r="I1323" s="12" t="e">
        <f>ROUND(#REF!*1000000/G1323/H1323,-3)</f>
        <v>#REF!</v>
      </c>
      <c r="J1323" s="137"/>
      <c r="K1323" s="13"/>
    </row>
    <row r="1324" spans="1:11" ht="15" customHeight="1">
      <c r="A1324" s="816"/>
      <c r="B1324" s="814" t="s">
        <v>990</v>
      </c>
      <c r="C1324" s="20">
        <v>279</v>
      </c>
      <c r="D1324" s="21" t="s">
        <v>1005</v>
      </c>
      <c r="E1324" s="25">
        <v>1775000</v>
      </c>
      <c r="G1324" s="8">
        <v>279</v>
      </c>
      <c r="H1324" s="11">
        <f t="shared" si="201"/>
        <v>0.86110000000000009</v>
      </c>
      <c r="I1324" s="12" t="e">
        <f>ROUND(#REF!*1000000/G1324/H1324,-3)</f>
        <v>#REF!</v>
      </c>
      <c r="J1324" s="137"/>
      <c r="K1324" s="13"/>
    </row>
    <row r="1325" spans="1:11" ht="15" customHeight="1">
      <c r="A1325" s="816"/>
      <c r="B1325" s="804"/>
      <c r="C1325" s="20">
        <v>315</v>
      </c>
      <c r="D1325" s="21" t="s">
        <v>1006</v>
      </c>
      <c r="E1325" s="25">
        <v>2400000</v>
      </c>
      <c r="G1325" s="8">
        <v>315</v>
      </c>
      <c r="H1325" s="11">
        <f t="shared" si="201"/>
        <v>0.86110000000000009</v>
      </c>
      <c r="I1325" s="12" t="e">
        <f>ROUND(#REF!*1000000/G1325/H1325,-3)</f>
        <v>#REF!</v>
      </c>
      <c r="J1325" s="137"/>
      <c r="K1325" s="13"/>
    </row>
    <row r="1326" spans="1:11" ht="15" customHeight="1">
      <c r="A1326" s="816"/>
      <c r="B1326" s="804"/>
      <c r="C1326" s="33">
        <f t="shared" ref="C1326:C1327" si="203">C1325</f>
        <v>315</v>
      </c>
      <c r="D1326" s="21" t="s">
        <v>1007</v>
      </c>
      <c r="E1326" s="25">
        <v>2895000</v>
      </c>
      <c r="G1326" s="8">
        <v>315</v>
      </c>
      <c r="H1326" s="11">
        <f t="shared" si="201"/>
        <v>0.86110000000000009</v>
      </c>
      <c r="I1326" s="12" t="e">
        <f>ROUND(#REF!*1000000/G1326/H1326,-3)</f>
        <v>#REF!</v>
      </c>
      <c r="J1326" s="137"/>
      <c r="K1326" s="13"/>
    </row>
    <row r="1327" spans="1:11" ht="15" customHeight="1">
      <c r="A1327" s="816"/>
      <c r="B1327" s="805"/>
      <c r="C1327" s="33">
        <f t="shared" si="203"/>
        <v>315</v>
      </c>
      <c r="D1327" s="21" t="s">
        <v>1008</v>
      </c>
      <c r="E1327" s="25">
        <v>1610000</v>
      </c>
      <c r="G1327" s="8">
        <v>315</v>
      </c>
      <c r="H1327" s="11">
        <f t="shared" si="201"/>
        <v>0.86110000000000009</v>
      </c>
      <c r="I1327" s="12" t="e">
        <f>ROUND(#REF!*1000000/G1327/H1327,-3)</f>
        <v>#REF!</v>
      </c>
      <c r="J1327" s="137"/>
      <c r="K1327" s="13"/>
    </row>
    <row r="1328" spans="1:11" ht="15" customHeight="1">
      <c r="A1328" s="816"/>
      <c r="B1328" s="7" t="s">
        <v>1009</v>
      </c>
      <c r="C1328" s="20">
        <v>315</v>
      </c>
      <c r="D1328" s="21" t="s">
        <v>1010</v>
      </c>
      <c r="E1328" s="25">
        <v>6700000</v>
      </c>
      <c r="G1328" s="8">
        <v>315</v>
      </c>
      <c r="H1328" s="11">
        <f>0.79*0.605</f>
        <v>0.47794999999999999</v>
      </c>
      <c r="I1328" s="12" t="e">
        <f>ROUND(#REF!*1000000/G1328/H1328,-3)</f>
        <v>#REF!</v>
      </c>
      <c r="J1328" s="137"/>
      <c r="K1328" s="13"/>
    </row>
    <row r="1329" spans="1:11" ht="15" customHeight="1">
      <c r="A1329" s="814" t="s">
        <v>1011</v>
      </c>
      <c r="B1329" s="814" t="s">
        <v>213</v>
      </c>
      <c r="C1329" s="7">
        <v>80</v>
      </c>
      <c r="D1329" s="9" t="s">
        <v>1012</v>
      </c>
      <c r="E1329" s="25">
        <v>120000</v>
      </c>
      <c r="G1329" s="8">
        <v>80</v>
      </c>
      <c r="H1329" s="11">
        <f t="shared" ref="H1329:H1332" si="204">0.788*1.091</f>
        <v>0.85970800000000003</v>
      </c>
      <c r="I1329" s="12" t="e">
        <f>ROUND(#REF!*1000000/G1329/H1329,-3)</f>
        <v>#REF!</v>
      </c>
      <c r="J1329" s="137"/>
      <c r="K1329" s="13"/>
    </row>
    <row r="1330" spans="1:11" ht="15" customHeight="1">
      <c r="A1330" s="804"/>
      <c r="B1330" s="804"/>
      <c r="C1330" s="7">
        <f>C1329</f>
        <v>80</v>
      </c>
      <c r="D1330" s="9" t="s">
        <v>1013</v>
      </c>
      <c r="E1330" s="25">
        <v>140000</v>
      </c>
      <c r="G1330" s="8">
        <v>80</v>
      </c>
      <c r="H1330" s="11">
        <f t="shared" si="204"/>
        <v>0.85970800000000003</v>
      </c>
      <c r="I1330" s="12" t="e">
        <f>ROUND(#REF!*1000000/G1330/H1330,-3)</f>
        <v>#REF!</v>
      </c>
      <c r="J1330" s="137"/>
      <c r="K1330" s="13"/>
    </row>
    <row r="1331" spans="1:11" ht="15" customHeight="1">
      <c r="A1331" s="804"/>
      <c r="B1331" s="804"/>
      <c r="C1331" s="7">
        <v>120</v>
      </c>
      <c r="D1331" s="9" t="s">
        <v>1014</v>
      </c>
      <c r="E1331" s="25">
        <v>180000</v>
      </c>
      <c r="G1331" s="8">
        <v>120</v>
      </c>
      <c r="H1331" s="11">
        <f t="shared" si="204"/>
        <v>0.85970800000000003</v>
      </c>
      <c r="I1331" s="12" t="e">
        <f>ROUND(#REF!*1000000/G1331/H1331,-3)</f>
        <v>#REF!</v>
      </c>
      <c r="J1331" s="137"/>
      <c r="K1331" s="13"/>
    </row>
    <row r="1332" spans="1:11" ht="15" customHeight="1">
      <c r="A1332" s="804"/>
      <c r="B1332" s="804"/>
      <c r="C1332" s="7">
        <f>C1331</f>
        <v>120</v>
      </c>
      <c r="D1332" s="9" t="s">
        <v>1015</v>
      </c>
      <c r="E1332" s="25">
        <v>210000</v>
      </c>
      <c r="G1332" s="8">
        <v>120</v>
      </c>
      <c r="H1332" s="11">
        <f t="shared" si="204"/>
        <v>0.85970800000000003</v>
      </c>
      <c r="I1332" s="12" t="e">
        <f>ROUND(#REF!*1000000/G1332/H1332,-3)</f>
        <v>#REF!</v>
      </c>
      <c r="J1332" s="137"/>
      <c r="K1332" s="13"/>
    </row>
    <row r="1333" spans="1:11" ht="15" customHeight="1">
      <c r="A1333" s="804"/>
      <c r="B1333" s="811" t="s">
        <v>1016</v>
      </c>
      <c r="C1333" s="7">
        <v>75</v>
      </c>
      <c r="D1333" s="9" t="s">
        <v>1017</v>
      </c>
      <c r="E1333" s="25">
        <v>100000</v>
      </c>
      <c r="G1333" s="8">
        <v>75</v>
      </c>
      <c r="H1333" s="11">
        <f>0.902*0.635</f>
        <v>0.57277</v>
      </c>
      <c r="I1333" s="12" t="e">
        <f>ROUND(#REF!*1000000/G1333/H1333,-3)</f>
        <v>#REF!</v>
      </c>
      <c r="J1333" s="137"/>
      <c r="K1333" s="13"/>
    </row>
    <row r="1334" spans="1:11" ht="15" customHeight="1">
      <c r="A1334" s="804"/>
      <c r="B1334" s="811"/>
      <c r="C1334" s="7">
        <v>80</v>
      </c>
      <c r="D1334" s="9" t="s">
        <v>1018</v>
      </c>
      <c r="E1334" s="25">
        <v>80000</v>
      </c>
      <c r="G1334" s="8">
        <v>80</v>
      </c>
      <c r="H1334" s="11">
        <f t="shared" ref="H1334:H1336" si="205">0.902*0.635</f>
        <v>0.57277</v>
      </c>
      <c r="I1334" s="12" t="e">
        <f>ROUND(#REF!*1000000/G1334/H1334,-3)</f>
        <v>#REF!</v>
      </c>
      <c r="J1334" s="137"/>
      <c r="K1334" s="13"/>
    </row>
    <row r="1335" spans="1:11" ht="15" customHeight="1">
      <c r="A1335" s="804"/>
      <c r="B1335" s="811"/>
      <c r="C1335" s="7">
        <f>C1334</f>
        <v>80</v>
      </c>
      <c r="D1335" s="9" t="s">
        <v>1019</v>
      </c>
      <c r="E1335" s="25">
        <v>90000</v>
      </c>
      <c r="G1335" s="8">
        <v>80</v>
      </c>
      <c r="H1335" s="11">
        <f t="shared" si="205"/>
        <v>0.57277</v>
      </c>
      <c r="I1335" s="12" t="e">
        <f>ROUND(#REF!*1000000/G1335/H1335,-3)</f>
        <v>#REF!</v>
      </c>
      <c r="J1335" s="137"/>
      <c r="K1335" s="13"/>
    </row>
    <row r="1336" spans="1:11" ht="15" customHeight="1">
      <c r="A1336" s="805"/>
      <c r="B1336" s="811"/>
      <c r="C1336" s="7">
        <v>120</v>
      </c>
      <c r="D1336" s="9" t="s">
        <v>1017</v>
      </c>
      <c r="E1336" s="25">
        <v>120000</v>
      </c>
      <c r="G1336" s="8">
        <v>120</v>
      </c>
      <c r="H1336" s="11">
        <f t="shared" si="205"/>
        <v>0.57277</v>
      </c>
      <c r="I1336" s="12" t="e">
        <f>ROUND(#REF!*1000000/G1336/H1336,-3)</f>
        <v>#REF!</v>
      </c>
      <c r="J1336" s="137"/>
      <c r="K1336" s="13"/>
    </row>
    <row r="1337" spans="1:11" ht="15" customHeight="1">
      <c r="A1337" s="19" t="s">
        <v>1020</v>
      </c>
      <c r="B1337" s="18" t="s">
        <v>337</v>
      </c>
      <c r="C1337" s="20">
        <v>300</v>
      </c>
      <c r="D1337" s="21"/>
      <c r="E1337" s="25">
        <v>290000</v>
      </c>
      <c r="G1337" s="8">
        <v>300</v>
      </c>
      <c r="H1337" s="11">
        <f>0.787*1.092</f>
        <v>0.85940400000000006</v>
      </c>
      <c r="I1337" s="12" t="e">
        <f>ROUND(#REF!*1000000/G1337/H1337,-3)</f>
        <v>#REF!</v>
      </c>
      <c r="J1337" s="137"/>
      <c r="K1337" s="13"/>
    </row>
    <row r="1338" spans="1:11" ht="15" customHeight="1">
      <c r="A1338" s="813" t="s">
        <v>1021</v>
      </c>
      <c r="B1338" s="814" t="s">
        <v>644</v>
      </c>
      <c r="C1338" s="20">
        <v>90</v>
      </c>
      <c r="D1338" s="21" t="s">
        <v>1022</v>
      </c>
      <c r="E1338" s="25">
        <v>145000</v>
      </c>
      <c r="G1338" s="8">
        <v>90</v>
      </c>
      <c r="H1338" s="11">
        <f>0.7*1</f>
        <v>0.7</v>
      </c>
      <c r="I1338" s="12" t="e">
        <f>ROUND(#REF!*1000000/G1338/H1338,-3)</f>
        <v>#REF!</v>
      </c>
      <c r="J1338" s="137"/>
      <c r="K1338" s="13"/>
    </row>
    <row r="1339" spans="1:11" ht="15" customHeight="1">
      <c r="A1339" s="816"/>
      <c r="B1339" s="804"/>
      <c r="C1339" s="33">
        <v>120</v>
      </c>
      <c r="D1339" s="21" t="s">
        <v>1023</v>
      </c>
      <c r="E1339" s="25">
        <v>205000</v>
      </c>
      <c r="G1339" s="8">
        <v>120</v>
      </c>
      <c r="H1339" s="11">
        <f t="shared" ref="H1339:H1342" si="206">0.7*1</f>
        <v>0.7</v>
      </c>
      <c r="I1339" s="12" t="e">
        <f>ROUND(#REF!*1000000/G1339/H1339,-3)</f>
        <v>#REF!</v>
      </c>
      <c r="J1339" s="137"/>
      <c r="K1339" s="13"/>
    </row>
    <row r="1340" spans="1:11" ht="15" customHeight="1">
      <c r="A1340" s="816"/>
      <c r="B1340" s="804"/>
      <c r="C1340" s="33">
        <v>250</v>
      </c>
      <c r="D1340" s="21" t="s">
        <v>1024</v>
      </c>
      <c r="E1340" s="25">
        <v>425000</v>
      </c>
      <c r="G1340" s="8">
        <v>250</v>
      </c>
      <c r="H1340" s="11">
        <f t="shared" si="206"/>
        <v>0.7</v>
      </c>
      <c r="I1340" s="12" t="e">
        <f>ROUND(#REF!*1000000/G1340/H1340,-3)</f>
        <v>#REF!</v>
      </c>
      <c r="J1340" s="137"/>
      <c r="K1340" s="13"/>
    </row>
    <row r="1341" spans="1:11" ht="15" customHeight="1">
      <c r="A1341" s="816"/>
      <c r="B1341" s="804"/>
      <c r="C1341" s="20">
        <v>250</v>
      </c>
      <c r="D1341" s="21" t="s">
        <v>1025</v>
      </c>
      <c r="E1341" s="25">
        <v>380000</v>
      </c>
      <c r="G1341" s="8">
        <v>250</v>
      </c>
      <c r="H1341" s="11">
        <f t="shared" si="206"/>
        <v>0.7</v>
      </c>
      <c r="I1341" s="12" t="e">
        <f>ROUND(#REF!*1000000/G1341/H1341,-3)</f>
        <v>#REF!</v>
      </c>
      <c r="J1341" s="137"/>
      <c r="K1341" s="13"/>
    </row>
    <row r="1342" spans="1:11" ht="15" customHeight="1">
      <c r="A1342" s="816"/>
      <c r="B1342" s="804"/>
      <c r="C1342" s="33">
        <v>90</v>
      </c>
      <c r="D1342" s="21" t="s">
        <v>1026</v>
      </c>
      <c r="E1342" s="25">
        <v>145000</v>
      </c>
      <c r="G1342" s="8">
        <v>90</v>
      </c>
      <c r="H1342" s="11">
        <f t="shared" si="206"/>
        <v>0.7</v>
      </c>
      <c r="I1342" s="12" t="e">
        <f>ROUND(#REF!*1000000/G1342/H1342,-3)</f>
        <v>#REF!</v>
      </c>
      <c r="J1342" s="137"/>
      <c r="K1342" s="13"/>
    </row>
    <row r="1343" spans="1:11" ht="15" customHeight="1">
      <c r="A1343" s="816"/>
      <c r="B1343" s="7" t="s">
        <v>724</v>
      </c>
      <c r="C1343" s="33">
        <v>300</v>
      </c>
      <c r="D1343" s="21" t="s">
        <v>1027</v>
      </c>
      <c r="E1343" s="25">
        <v>535000</v>
      </c>
      <c r="G1343" s="8">
        <v>300</v>
      </c>
      <c r="H1343" s="11">
        <f>0.72*1.02</f>
        <v>0.73439999999999994</v>
      </c>
      <c r="I1343" s="12" t="e">
        <f>ROUND(#REF!*1000000/G1343/H1343,-3)</f>
        <v>#REF!</v>
      </c>
      <c r="J1343" s="137"/>
      <c r="K1343" s="13"/>
    </row>
    <row r="1344" spans="1:11" s="1" customFormat="1" ht="15" customHeight="1">
      <c r="A1344" s="811" t="s">
        <v>1028</v>
      </c>
      <c r="B1344" s="810" t="s">
        <v>602</v>
      </c>
      <c r="C1344" s="7">
        <v>120</v>
      </c>
      <c r="D1344" s="9" t="s">
        <v>1029</v>
      </c>
      <c r="E1344" s="211">
        <v>317500</v>
      </c>
      <c r="G1344" s="8">
        <v>120</v>
      </c>
      <c r="H1344" s="11">
        <f t="shared" ref="H1344:H1353" si="207">0.72*1.02</f>
        <v>0.73439999999999994</v>
      </c>
      <c r="I1344" s="12" t="e">
        <f>ROUND(#REF!*1000000/G1344/H1344,-3)</f>
        <v>#REF!</v>
      </c>
      <c r="J1344" s="137"/>
      <c r="K1344" s="13"/>
    </row>
    <row r="1345" spans="1:11" s="1" customFormat="1" ht="15" customHeight="1">
      <c r="A1345" s="811"/>
      <c r="B1345" s="810"/>
      <c r="C1345" s="7">
        <v>200</v>
      </c>
      <c r="D1345" s="9" t="s">
        <v>1029</v>
      </c>
      <c r="E1345" s="211">
        <v>530000</v>
      </c>
      <c r="G1345" s="8">
        <v>200</v>
      </c>
      <c r="H1345" s="11">
        <f t="shared" si="207"/>
        <v>0.73439999999999994</v>
      </c>
      <c r="I1345" s="12" t="e">
        <f>ROUND(#REF!*1000000/G1345/H1345,-3)</f>
        <v>#REF!</v>
      </c>
      <c r="J1345" s="137"/>
      <c r="K1345" s="13"/>
    </row>
    <row r="1346" spans="1:11" s="1" customFormat="1" ht="15" customHeight="1">
      <c r="A1346" s="811"/>
      <c r="B1346" s="810"/>
      <c r="C1346" s="7">
        <v>250</v>
      </c>
      <c r="D1346" s="9" t="s">
        <v>1029</v>
      </c>
      <c r="E1346" s="211">
        <v>660000</v>
      </c>
      <c r="G1346" s="8">
        <v>250</v>
      </c>
      <c r="H1346" s="11">
        <f t="shared" si="207"/>
        <v>0.73439999999999994</v>
      </c>
      <c r="I1346" s="12" t="e">
        <f>ROUND(#REF!*1000000/G1346/H1346,-3)</f>
        <v>#REF!</v>
      </c>
      <c r="J1346" s="137"/>
      <c r="K1346" s="13"/>
    </row>
    <row r="1347" spans="1:11" s="1" customFormat="1" ht="15" customHeight="1">
      <c r="A1347" s="811"/>
      <c r="B1347" s="810"/>
      <c r="C1347" s="7">
        <v>350</v>
      </c>
      <c r="D1347" s="9" t="s">
        <v>1029</v>
      </c>
      <c r="E1347" s="211">
        <v>925000</v>
      </c>
      <c r="G1347" s="8">
        <v>350</v>
      </c>
      <c r="H1347" s="11">
        <f t="shared" si="207"/>
        <v>0.73439999999999994</v>
      </c>
      <c r="I1347" s="12" t="e">
        <f>ROUND(#REF!*1000000/G1347/H1347,-3)</f>
        <v>#REF!</v>
      </c>
      <c r="J1347" s="137"/>
      <c r="K1347" s="13"/>
    </row>
    <row r="1348" spans="1:11" ht="15" customHeight="1">
      <c r="A1348" s="810" t="s">
        <v>1030</v>
      </c>
      <c r="B1348" s="810" t="s">
        <v>724</v>
      </c>
      <c r="C1348" s="33">
        <v>130</v>
      </c>
      <c r="D1348" s="21" t="s">
        <v>1008</v>
      </c>
      <c r="E1348" s="25">
        <v>570000</v>
      </c>
      <c r="G1348" s="8">
        <v>130</v>
      </c>
      <c r="H1348" s="11">
        <f t="shared" si="207"/>
        <v>0.73439999999999994</v>
      </c>
      <c r="I1348" s="12" t="e">
        <f>ROUND(#REF!*1000000/G1348/H1348,-3)</f>
        <v>#REF!</v>
      </c>
      <c r="J1348" s="137"/>
      <c r="K1348" s="13"/>
    </row>
    <row r="1349" spans="1:11" ht="15" customHeight="1">
      <c r="A1349" s="810"/>
      <c r="B1349" s="810"/>
      <c r="C1349" s="33">
        <f>C1348</f>
        <v>130</v>
      </c>
      <c r="D1349" s="21" t="s">
        <v>1031</v>
      </c>
      <c r="E1349" s="25">
        <v>750000</v>
      </c>
      <c r="G1349" s="8">
        <v>130</v>
      </c>
      <c r="H1349" s="11">
        <f t="shared" si="207"/>
        <v>0.73439999999999994</v>
      </c>
      <c r="I1349" s="12" t="e">
        <f>ROUND(#REF!*1000000/G1349/H1349,-3)</f>
        <v>#REF!</v>
      </c>
      <c r="J1349" s="137"/>
      <c r="K1349" s="13"/>
    </row>
    <row r="1350" spans="1:11" ht="15" customHeight="1">
      <c r="A1350" s="810"/>
      <c r="B1350" s="810"/>
      <c r="C1350" s="33">
        <v>250</v>
      </c>
      <c r="D1350" s="21" t="s">
        <v>1032</v>
      </c>
      <c r="E1350" s="25">
        <v>925000</v>
      </c>
      <c r="G1350" s="8">
        <v>250</v>
      </c>
      <c r="H1350" s="11">
        <f t="shared" si="207"/>
        <v>0.73439999999999994</v>
      </c>
      <c r="I1350" s="12" t="e">
        <f>ROUND(#REF!*1000000/G1350/H1350,-3)</f>
        <v>#REF!</v>
      </c>
      <c r="J1350" s="137"/>
      <c r="K1350" s="13"/>
    </row>
    <row r="1351" spans="1:11" ht="15" customHeight="1">
      <c r="A1351" s="810"/>
      <c r="B1351" s="810"/>
      <c r="C1351" s="33">
        <f>C1350</f>
        <v>250</v>
      </c>
      <c r="D1351" s="21" t="s">
        <v>1033</v>
      </c>
      <c r="E1351" s="25">
        <v>1240000</v>
      </c>
      <c r="G1351" s="8">
        <v>250</v>
      </c>
      <c r="H1351" s="11">
        <f t="shared" si="207"/>
        <v>0.73439999999999994</v>
      </c>
      <c r="I1351" s="12" t="e">
        <f>ROUND(#REF!*1000000/G1351/H1351,-3)</f>
        <v>#REF!</v>
      </c>
      <c r="J1351" s="137"/>
      <c r="K1351" s="13"/>
    </row>
    <row r="1352" spans="1:11" ht="15" customHeight="1">
      <c r="A1352" s="810"/>
      <c r="B1352" s="810"/>
      <c r="C1352" s="33">
        <v>350</v>
      </c>
      <c r="D1352" s="21" t="s">
        <v>1034</v>
      </c>
      <c r="E1352" s="25">
        <v>1290000</v>
      </c>
      <c r="G1352" s="8">
        <v>350</v>
      </c>
      <c r="H1352" s="11">
        <f t="shared" si="207"/>
        <v>0.73439999999999994</v>
      </c>
      <c r="I1352" s="12" t="e">
        <f>ROUND(#REF!*1000000/G1352/H1352,-3)</f>
        <v>#REF!</v>
      </c>
      <c r="J1352" s="137"/>
      <c r="K1352" s="13"/>
    </row>
    <row r="1353" spans="1:11" ht="15" customHeight="1">
      <c r="A1353" s="810"/>
      <c r="B1353" s="810"/>
      <c r="C1353" s="33">
        <f>C1352</f>
        <v>350</v>
      </c>
      <c r="D1353" s="21" t="s">
        <v>1035</v>
      </c>
      <c r="E1353" s="25">
        <v>1735000</v>
      </c>
      <c r="G1353" s="8">
        <v>350</v>
      </c>
      <c r="H1353" s="11">
        <f t="shared" si="207"/>
        <v>0.73439999999999994</v>
      </c>
      <c r="I1353" s="12" t="e">
        <f>ROUND(#REF!*1000000/G1353/H1353,-3)</f>
        <v>#REF!</v>
      </c>
      <c r="J1353" s="137"/>
      <c r="K1353" s="13"/>
    </row>
    <row r="1354" spans="1:11" ht="15" customHeight="1">
      <c r="A1354" s="813" t="s">
        <v>1036</v>
      </c>
      <c r="B1354" s="809" t="s">
        <v>213</v>
      </c>
      <c r="C1354" s="7">
        <v>81.400000000000006</v>
      </c>
      <c r="D1354" s="9"/>
      <c r="E1354" s="148">
        <v>116000</v>
      </c>
      <c r="G1354" s="34">
        <v>81.400000000000006</v>
      </c>
      <c r="H1354" s="11">
        <f t="shared" ref="H1354:H1358" si="208">0.788*1.091</f>
        <v>0.85970800000000003</v>
      </c>
      <c r="I1354" s="12" t="e">
        <f>ROUND(#REF!*1000000/G1354/H1354,-3)</f>
        <v>#REF!</v>
      </c>
      <c r="J1354" s="136">
        <v>95</v>
      </c>
      <c r="K1354" s="13"/>
    </row>
    <row r="1355" spans="1:11" ht="15" customHeight="1">
      <c r="A1355" s="816"/>
      <c r="B1355" s="804"/>
      <c r="C1355" s="7">
        <v>105</v>
      </c>
      <c r="D1355" s="9"/>
      <c r="E1355" s="148">
        <v>150500</v>
      </c>
      <c r="G1355" s="8">
        <v>105</v>
      </c>
      <c r="H1355" s="11">
        <f t="shared" si="208"/>
        <v>0.85970800000000003</v>
      </c>
      <c r="I1355" s="12" t="e">
        <f>ROUND(#REF!*1000000/G1355/H1355,-3)</f>
        <v>#REF!</v>
      </c>
      <c r="J1355" s="136">
        <v>123</v>
      </c>
      <c r="K1355" s="13"/>
    </row>
    <row r="1356" spans="1:11" ht="15" customHeight="1">
      <c r="A1356" s="816"/>
      <c r="B1356" s="804"/>
      <c r="C1356" s="7">
        <v>128</v>
      </c>
      <c r="D1356" s="9"/>
      <c r="E1356" s="148">
        <v>183500</v>
      </c>
      <c r="G1356" s="8">
        <v>128</v>
      </c>
      <c r="H1356" s="11">
        <f t="shared" si="208"/>
        <v>0.85970800000000003</v>
      </c>
      <c r="I1356" s="12" t="e">
        <f>ROUND(#REF!*1000000/G1356/H1356,-3)</f>
        <v>#REF!</v>
      </c>
      <c r="J1356" s="136">
        <v>148</v>
      </c>
      <c r="K1356" s="13"/>
    </row>
    <row r="1357" spans="1:11" ht="15" customHeight="1">
      <c r="A1357" s="816"/>
      <c r="B1357" s="804"/>
      <c r="C1357" s="7">
        <v>157</v>
      </c>
      <c r="D1357" s="9"/>
      <c r="E1357" s="148">
        <v>225500</v>
      </c>
      <c r="G1357" s="8">
        <v>157</v>
      </c>
      <c r="H1357" s="11">
        <f t="shared" si="208"/>
        <v>0.85970800000000003</v>
      </c>
      <c r="I1357" s="12" t="e">
        <f>ROUND(#REF!*1000000/G1357/H1357,-3)</f>
        <v>#REF!</v>
      </c>
      <c r="J1357" s="136">
        <v>181</v>
      </c>
      <c r="K1357" s="13"/>
    </row>
    <row r="1358" spans="1:11" ht="15" customHeight="1">
      <c r="A1358" s="816"/>
      <c r="B1358" s="804"/>
      <c r="C1358" s="7">
        <v>209</v>
      </c>
      <c r="D1358" s="9"/>
      <c r="E1358" s="148">
        <v>311500</v>
      </c>
      <c r="G1358" s="8">
        <v>209</v>
      </c>
      <c r="H1358" s="11">
        <f t="shared" si="208"/>
        <v>0.85970800000000003</v>
      </c>
      <c r="I1358" s="12" t="e">
        <f>ROUND(#REF!*1000000/G1358/H1358,-3)</f>
        <v>#REF!</v>
      </c>
      <c r="J1358" s="136">
        <v>234</v>
      </c>
      <c r="K1358" s="13"/>
    </row>
    <row r="1359" spans="1:11" ht="15" customHeight="1">
      <c r="A1359" s="816"/>
      <c r="B1359" s="809" t="s">
        <v>28</v>
      </c>
      <c r="C1359" s="7">
        <v>81.400000000000006</v>
      </c>
      <c r="D1359" s="9"/>
      <c r="E1359" s="148">
        <v>80500</v>
      </c>
      <c r="F1359" s="76"/>
      <c r="G1359" s="34">
        <v>81.400000000000006</v>
      </c>
      <c r="H1359" s="11">
        <f t="shared" ref="H1359:H1363" si="209">0.636*0.939</f>
        <v>0.59720399999999996</v>
      </c>
      <c r="I1359" s="12" t="e">
        <f>ROUND(#REF!*1000000/G1359/H1359,-3)</f>
        <v>#REF!</v>
      </c>
      <c r="J1359" s="136">
        <v>95</v>
      </c>
      <c r="K1359" s="13"/>
    </row>
    <row r="1360" spans="1:11" ht="15" customHeight="1">
      <c r="A1360" s="816"/>
      <c r="B1360" s="804"/>
      <c r="C1360" s="7">
        <v>105</v>
      </c>
      <c r="D1360" s="9"/>
      <c r="E1360" s="148">
        <v>104500</v>
      </c>
      <c r="F1360" s="76"/>
      <c r="G1360" s="8">
        <v>105</v>
      </c>
      <c r="H1360" s="11">
        <f t="shared" si="209"/>
        <v>0.59720399999999996</v>
      </c>
      <c r="I1360" s="12" t="e">
        <f>ROUND(#REF!*1000000/G1360/H1360,-3)</f>
        <v>#REF!</v>
      </c>
      <c r="J1360" s="136">
        <v>123</v>
      </c>
      <c r="K1360" s="13"/>
    </row>
    <row r="1361" spans="1:11" ht="15" customHeight="1">
      <c r="A1361" s="816"/>
      <c r="B1361" s="804"/>
      <c r="C1361" s="7">
        <v>128</v>
      </c>
      <c r="D1361" s="9"/>
      <c r="E1361" s="148">
        <v>127500</v>
      </c>
      <c r="F1361" s="76"/>
      <c r="G1361" s="8">
        <v>157</v>
      </c>
      <c r="H1361" s="11">
        <f t="shared" si="209"/>
        <v>0.59720399999999996</v>
      </c>
      <c r="I1361" s="12" t="e">
        <f>ROUND(#REF!*1000000/G1361/H1361,-3)</f>
        <v>#REF!</v>
      </c>
      <c r="J1361" s="136">
        <v>181</v>
      </c>
      <c r="K1361" s="13"/>
    </row>
    <row r="1362" spans="1:11" ht="15" customHeight="1">
      <c r="A1362" s="816"/>
      <c r="B1362" s="804"/>
      <c r="C1362" s="7">
        <v>157</v>
      </c>
      <c r="D1362" s="9"/>
      <c r="E1362" s="148">
        <v>156500</v>
      </c>
      <c r="F1362" s="76"/>
      <c r="G1362" s="8">
        <v>209</v>
      </c>
      <c r="H1362" s="11">
        <f t="shared" si="209"/>
        <v>0.59720399999999996</v>
      </c>
      <c r="I1362" s="12" t="e">
        <f>ROUND(#REF!*1000000/G1362/H1362,-3)</f>
        <v>#REF!</v>
      </c>
      <c r="J1362" s="136">
        <v>234</v>
      </c>
      <c r="K1362" s="13"/>
    </row>
    <row r="1363" spans="1:11" ht="15" customHeight="1">
      <c r="A1363" s="817"/>
      <c r="B1363" s="804"/>
      <c r="C1363" s="7">
        <v>209</v>
      </c>
      <c r="D1363" s="21"/>
      <c r="E1363" s="148">
        <v>216500</v>
      </c>
      <c r="F1363" s="76"/>
      <c r="G1363" s="8">
        <v>64</v>
      </c>
      <c r="H1363" s="11">
        <f t="shared" si="209"/>
        <v>0.59720399999999996</v>
      </c>
      <c r="I1363" s="12" t="e">
        <f>ROUND(#REF!*1000000/G1363/H1363,-3)</f>
        <v>#REF!</v>
      </c>
      <c r="J1363" s="136">
        <v>79</v>
      </c>
      <c r="K1363" s="13"/>
    </row>
    <row r="1364" spans="1:11" ht="15" customHeight="1">
      <c r="A1364" s="811" t="s">
        <v>1037</v>
      </c>
      <c r="B1364" s="7" t="s">
        <v>343</v>
      </c>
      <c r="C1364" s="31">
        <v>140</v>
      </c>
      <c r="D1364" s="32"/>
      <c r="E1364" s="25">
        <v>340000</v>
      </c>
      <c r="G1364" s="8">
        <v>140</v>
      </c>
      <c r="H1364" s="11">
        <f t="shared" ref="H1364:H1377" si="210">0.788*1.091</f>
        <v>0.85970800000000003</v>
      </c>
      <c r="I1364" s="12" t="e">
        <f>ROUND(#REF!*1000000/G1364/H1364,-3)</f>
        <v>#REF!</v>
      </c>
      <c r="J1364" s="137"/>
      <c r="K1364" s="13"/>
    </row>
    <row r="1365" spans="1:11" ht="15" customHeight="1">
      <c r="A1365" s="810"/>
      <c r="B1365" s="7" t="s">
        <v>216</v>
      </c>
      <c r="C1365" s="31">
        <f>C1364</f>
        <v>140</v>
      </c>
      <c r="D1365" s="32"/>
      <c r="E1365" s="25">
        <v>0</v>
      </c>
      <c r="G1365" s="8"/>
      <c r="H1365" s="11"/>
      <c r="I1365" s="12"/>
      <c r="J1365" s="137"/>
      <c r="K1365" s="13"/>
    </row>
    <row r="1366" spans="1:11" ht="15" customHeight="1">
      <c r="A1366" s="811" t="s">
        <v>1038</v>
      </c>
      <c r="B1366" s="810" t="s">
        <v>595</v>
      </c>
      <c r="C1366" s="33">
        <v>70</v>
      </c>
      <c r="D1366" s="21" t="s">
        <v>1039</v>
      </c>
      <c r="E1366" s="25">
        <v>116500</v>
      </c>
      <c r="G1366" s="8">
        <v>70</v>
      </c>
      <c r="H1366" s="11">
        <f t="shared" ref="H1366:H1367" si="211">0.788*1.091</f>
        <v>0.85970800000000003</v>
      </c>
      <c r="I1366" s="12" t="e">
        <f>ROUND(#REF!*1000000/G1366/H1366,-3)</f>
        <v>#REF!</v>
      </c>
      <c r="J1366" s="136">
        <v>130</v>
      </c>
      <c r="K1366" s="13"/>
    </row>
    <row r="1367" spans="1:11" ht="15" customHeight="1">
      <c r="A1367" s="811"/>
      <c r="B1367" s="810"/>
      <c r="C1367" s="33">
        <v>76</v>
      </c>
      <c r="D1367" s="21" t="s">
        <v>1039</v>
      </c>
      <c r="E1367" s="25">
        <v>128500</v>
      </c>
      <c r="G1367" s="8">
        <v>76</v>
      </c>
      <c r="H1367" s="11">
        <f t="shared" si="211"/>
        <v>0.85970800000000003</v>
      </c>
      <c r="I1367" s="12" t="e">
        <f>ROUND(#REF!*1000000/G1367/H1367,-3)</f>
        <v>#REF!</v>
      </c>
      <c r="J1367" s="136">
        <v>145</v>
      </c>
      <c r="K1367" s="13"/>
    </row>
    <row r="1368" spans="1:11" ht="15" customHeight="1">
      <c r="A1368" s="811"/>
      <c r="B1368" s="810" t="s">
        <v>734</v>
      </c>
      <c r="C1368" s="33">
        <v>70</v>
      </c>
      <c r="D1368" s="21" t="s">
        <v>1039</v>
      </c>
      <c r="E1368" s="25">
        <v>81000</v>
      </c>
      <c r="G1368" s="8">
        <v>70</v>
      </c>
      <c r="H1368" s="11">
        <f t="shared" ref="H1368:H1369" si="212">0.636*0.939</f>
        <v>0.59720399999999996</v>
      </c>
      <c r="I1368" s="12" t="e">
        <f>ROUND(#REF!*1000000/G1368/H1368,-3)</f>
        <v>#REF!</v>
      </c>
      <c r="J1368" s="136">
        <v>130</v>
      </c>
      <c r="K1368" s="13"/>
    </row>
    <row r="1369" spans="1:11" ht="15" customHeight="1">
      <c r="A1369" s="811"/>
      <c r="B1369" s="810"/>
      <c r="C1369" s="33">
        <v>76</v>
      </c>
      <c r="D1369" s="21" t="s">
        <v>1039</v>
      </c>
      <c r="E1369" s="25">
        <v>89000</v>
      </c>
      <c r="G1369" s="8">
        <v>76</v>
      </c>
      <c r="H1369" s="11">
        <f t="shared" si="212"/>
        <v>0.59720399999999996</v>
      </c>
      <c r="I1369" s="12" t="e">
        <f>ROUND(#REF!*1000000/G1369/H1369,-3)</f>
        <v>#REF!</v>
      </c>
      <c r="J1369" s="136">
        <v>145</v>
      </c>
      <c r="K1369" s="13"/>
    </row>
    <row r="1370" spans="1:11" ht="15" customHeight="1">
      <c r="A1370" s="7" t="s">
        <v>1040</v>
      </c>
      <c r="B1370" s="7" t="s">
        <v>22</v>
      </c>
      <c r="C1370" s="33">
        <v>93</v>
      </c>
      <c r="D1370" s="21" t="s">
        <v>1041</v>
      </c>
      <c r="E1370" s="25">
        <v>440000</v>
      </c>
      <c r="G1370" s="8">
        <v>93</v>
      </c>
      <c r="H1370" s="11">
        <f t="shared" si="210"/>
        <v>0.85970800000000003</v>
      </c>
      <c r="I1370" s="12" t="e">
        <f>ROUND(#REF!*1000000/G1370/H1370,-3)</f>
        <v>#REF!</v>
      </c>
      <c r="J1370" s="137"/>
      <c r="K1370" s="13"/>
    </row>
    <row r="1371" spans="1:11" ht="15" customHeight="1">
      <c r="A1371" s="811" t="s">
        <v>1042</v>
      </c>
      <c r="B1371" s="810" t="s">
        <v>343</v>
      </c>
      <c r="C1371" s="7">
        <v>105</v>
      </c>
      <c r="D1371" s="9" t="s">
        <v>760</v>
      </c>
      <c r="E1371" s="25">
        <v>425000</v>
      </c>
      <c r="G1371" s="8">
        <v>105</v>
      </c>
      <c r="H1371" s="11">
        <f t="shared" si="210"/>
        <v>0.85970800000000003</v>
      </c>
      <c r="I1371" s="12" t="e">
        <f>ROUND(#REF!*1000000/G1371/H1371,-3)</f>
        <v>#REF!</v>
      </c>
      <c r="J1371" s="136">
        <v>145</v>
      </c>
      <c r="K1371" s="13"/>
    </row>
    <row r="1372" spans="1:11" ht="15" customHeight="1">
      <c r="A1372" s="811"/>
      <c r="B1372" s="810"/>
      <c r="C1372" s="7">
        <f>C1371</f>
        <v>105</v>
      </c>
      <c r="D1372" s="9" t="s">
        <v>1043</v>
      </c>
      <c r="E1372" s="25">
        <v>445000</v>
      </c>
      <c r="G1372" s="8">
        <v>105</v>
      </c>
      <c r="H1372" s="11">
        <f t="shared" si="210"/>
        <v>0.85970800000000003</v>
      </c>
      <c r="I1372" s="12" t="e">
        <f>ROUND(#REF!*1000000/G1372/H1372,-3)</f>
        <v>#REF!</v>
      </c>
      <c r="J1372" s="136">
        <v>145</v>
      </c>
      <c r="K1372" s="13"/>
    </row>
    <row r="1373" spans="1:11" ht="15" customHeight="1">
      <c r="A1373" s="810"/>
      <c r="B1373" s="810"/>
      <c r="C1373" s="7">
        <v>128</v>
      </c>
      <c r="D1373" s="9" t="s">
        <v>1044</v>
      </c>
      <c r="E1373" s="25">
        <v>520000</v>
      </c>
      <c r="G1373" s="8">
        <v>128</v>
      </c>
      <c r="H1373" s="11">
        <f t="shared" si="210"/>
        <v>0.85970800000000003</v>
      </c>
      <c r="I1373" s="12" t="e">
        <f>ROUND(#REF!*1000000/G1373/H1373,-3)</f>
        <v>#REF!</v>
      </c>
      <c r="J1373" s="136">
        <v>180</v>
      </c>
      <c r="K1373" s="13"/>
    </row>
    <row r="1374" spans="1:11" ht="15" customHeight="1">
      <c r="A1374" s="810"/>
      <c r="B1374" s="810"/>
      <c r="C1374" s="7">
        <v>151</v>
      </c>
      <c r="D1374" s="9" t="s">
        <v>760</v>
      </c>
      <c r="E1374" s="25">
        <v>615000</v>
      </c>
      <c r="G1374" s="8">
        <v>151</v>
      </c>
      <c r="H1374" s="11">
        <f t="shared" si="210"/>
        <v>0.85970800000000003</v>
      </c>
      <c r="I1374" s="12" t="e">
        <f>ROUND(#REF!*1000000/G1374/H1374,-3)</f>
        <v>#REF!</v>
      </c>
      <c r="J1374" s="136">
        <v>210</v>
      </c>
      <c r="K1374" s="13"/>
    </row>
    <row r="1375" spans="1:11" ht="15" customHeight="1">
      <c r="A1375" s="810"/>
      <c r="B1375" s="810"/>
      <c r="C1375" s="7">
        <f>C1374</f>
        <v>151</v>
      </c>
      <c r="D1375" s="9" t="s">
        <v>1043</v>
      </c>
      <c r="E1375" s="25">
        <v>640000</v>
      </c>
      <c r="G1375" s="8">
        <v>151</v>
      </c>
      <c r="H1375" s="11">
        <f t="shared" si="210"/>
        <v>0.85970800000000003</v>
      </c>
      <c r="I1375" s="12" t="e">
        <f>ROUND(#REF!*1000000/G1375/H1375,-3)</f>
        <v>#REF!</v>
      </c>
      <c r="J1375" s="136">
        <v>210</v>
      </c>
      <c r="K1375" s="13"/>
    </row>
    <row r="1376" spans="1:11" ht="15" customHeight="1">
      <c r="A1376" s="810"/>
      <c r="B1376" s="810"/>
      <c r="C1376" s="7">
        <v>186</v>
      </c>
      <c r="D1376" s="9" t="s">
        <v>1045</v>
      </c>
      <c r="E1376" s="25">
        <v>755000</v>
      </c>
      <c r="G1376" s="8">
        <v>186</v>
      </c>
      <c r="H1376" s="11">
        <f t="shared" si="210"/>
        <v>0.85970800000000003</v>
      </c>
      <c r="I1376" s="12" t="e">
        <f>ROUND(#REF!*1000000/G1376/H1376,-3)</f>
        <v>#REF!</v>
      </c>
      <c r="J1376" s="136">
        <v>260</v>
      </c>
      <c r="K1376" s="13"/>
    </row>
    <row r="1377" spans="1:11" ht="15" customHeight="1">
      <c r="A1377" s="810"/>
      <c r="B1377" s="810"/>
      <c r="C1377" s="7">
        <v>233</v>
      </c>
      <c r="D1377" s="9" t="s">
        <v>1045</v>
      </c>
      <c r="E1377" s="25">
        <v>945000</v>
      </c>
      <c r="G1377" s="8">
        <v>233</v>
      </c>
      <c r="H1377" s="11">
        <f t="shared" si="210"/>
        <v>0.85970800000000003</v>
      </c>
      <c r="I1377" s="12" t="e">
        <f>ROUND(#REF!*1000000/G1377/H1377,-3)</f>
        <v>#REF!</v>
      </c>
      <c r="J1377" s="136">
        <v>325</v>
      </c>
      <c r="K1377" s="13"/>
    </row>
    <row r="1378" spans="1:11" ht="15" customHeight="1">
      <c r="A1378" s="810"/>
      <c r="B1378" s="811" t="s">
        <v>28</v>
      </c>
      <c r="C1378" s="7">
        <v>105</v>
      </c>
      <c r="D1378" s="9" t="s">
        <v>1045</v>
      </c>
      <c r="E1378" s="25">
        <v>295000</v>
      </c>
      <c r="G1378" s="8">
        <v>105</v>
      </c>
      <c r="H1378" s="11">
        <f t="shared" ref="H1378:H1382" si="213">0.636*0.939</f>
        <v>0.59720399999999996</v>
      </c>
      <c r="I1378" s="12" t="e">
        <f>ROUND(#REF!*1000000/G1378/H1378,-3)</f>
        <v>#REF!</v>
      </c>
      <c r="J1378" s="136">
        <v>145</v>
      </c>
      <c r="K1378" s="13"/>
    </row>
    <row r="1379" spans="1:11" ht="15" customHeight="1">
      <c r="A1379" s="810"/>
      <c r="B1379" s="811"/>
      <c r="C1379" s="7">
        <v>128</v>
      </c>
      <c r="D1379" s="9" t="s">
        <v>1045</v>
      </c>
      <c r="E1379" s="25">
        <v>360000</v>
      </c>
      <c r="G1379" s="8">
        <v>128</v>
      </c>
      <c r="H1379" s="11">
        <f t="shared" si="213"/>
        <v>0.59720399999999996</v>
      </c>
      <c r="I1379" s="12" t="e">
        <f>ROUND(#REF!*1000000/G1379/H1379,-3)</f>
        <v>#REF!</v>
      </c>
      <c r="J1379" s="136">
        <v>180</v>
      </c>
      <c r="K1379" s="13"/>
    </row>
    <row r="1380" spans="1:11" ht="15" customHeight="1">
      <c r="A1380" s="810"/>
      <c r="B1380" s="811"/>
      <c r="C1380" s="7">
        <v>151</v>
      </c>
      <c r="D1380" s="9" t="s">
        <v>1045</v>
      </c>
      <c r="E1380" s="25">
        <v>425000</v>
      </c>
      <c r="G1380" s="8">
        <v>151</v>
      </c>
      <c r="H1380" s="11">
        <f t="shared" si="213"/>
        <v>0.59720399999999996</v>
      </c>
      <c r="I1380" s="12" t="e">
        <f>ROUND(#REF!*1000000/G1380/H1380,-3)</f>
        <v>#REF!</v>
      </c>
      <c r="J1380" s="136">
        <v>210</v>
      </c>
      <c r="K1380" s="13"/>
    </row>
    <row r="1381" spans="1:11" ht="15" customHeight="1">
      <c r="A1381" s="810"/>
      <c r="B1381" s="811"/>
      <c r="C1381" s="7">
        <v>186</v>
      </c>
      <c r="D1381" s="9" t="s">
        <v>1045</v>
      </c>
      <c r="E1381" s="25">
        <v>525000</v>
      </c>
      <c r="G1381" s="8">
        <v>186</v>
      </c>
      <c r="H1381" s="11">
        <f t="shared" si="213"/>
        <v>0.59720399999999996</v>
      </c>
      <c r="I1381" s="12" t="e">
        <f>ROUND(#REF!*1000000/G1381/H1381,-3)</f>
        <v>#REF!</v>
      </c>
      <c r="J1381" s="136">
        <v>260</v>
      </c>
      <c r="K1381" s="13"/>
    </row>
    <row r="1382" spans="1:11" ht="15" customHeight="1">
      <c r="A1382" s="810"/>
      <c r="B1382" s="811"/>
      <c r="C1382" s="7">
        <v>233</v>
      </c>
      <c r="D1382" s="9" t="s">
        <v>1045</v>
      </c>
      <c r="E1382" s="25">
        <v>655000</v>
      </c>
      <c r="G1382" s="8">
        <v>233</v>
      </c>
      <c r="H1382" s="11">
        <f t="shared" si="213"/>
        <v>0.59720399999999996</v>
      </c>
      <c r="I1382" s="12" t="e">
        <f>ROUND(#REF!*1000000/G1382/H1382,-3)</f>
        <v>#REF!</v>
      </c>
      <c r="J1382" s="136">
        <v>325</v>
      </c>
      <c r="K1382" s="13"/>
    </row>
    <row r="1383" spans="1:11" s="1" customFormat="1" ht="15" customHeight="1">
      <c r="A1383" s="811" t="s">
        <v>1046</v>
      </c>
      <c r="B1383" s="810" t="s">
        <v>595</v>
      </c>
      <c r="C1383" s="7">
        <v>160</v>
      </c>
      <c r="D1383" s="9"/>
      <c r="E1383" s="148">
        <v>427500</v>
      </c>
      <c r="G1383" s="8">
        <v>160</v>
      </c>
      <c r="H1383" s="11">
        <f t="shared" ref="H1383:H1397" si="214">0.788*1.091</f>
        <v>0.85970800000000003</v>
      </c>
      <c r="I1383" s="12" t="e">
        <f>ROUND(#REF!*1000000/G1383/H1383,-3)</f>
        <v>#REF!</v>
      </c>
      <c r="J1383" s="136">
        <v>224</v>
      </c>
      <c r="K1383" s="13"/>
    </row>
    <row r="1384" spans="1:11" s="1" customFormat="1" ht="15" customHeight="1">
      <c r="A1384" s="811"/>
      <c r="B1384" s="810"/>
      <c r="C1384" s="7">
        <v>200</v>
      </c>
      <c r="D1384" s="9"/>
      <c r="E1384" s="148">
        <v>535000</v>
      </c>
      <c r="G1384" s="8">
        <v>200</v>
      </c>
      <c r="H1384" s="11">
        <f t="shared" si="214"/>
        <v>0.85970800000000003</v>
      </c>
      <c r="I1384" s="12" t="e">
        <f>ROUND(#REF!*1000000/G1384/H1384,-3)</f>
        <v>#REF!</v>
      </c>
      <c r="J1384" s="136">
        <v>280</v>
      </c>
      <c r="K1384" s="13"/>
    </row>
    <row r="1385" spans="1:11" s="1" customFormat="1" ht="15" customHeight="1">
      <c r="A1385" s="811"/>
      <c r="B1385" s="810"/>
      <c r="C1385" s="7">
        <v>240</v>
      </c>
      <c r="D1385" s="9"/>
      <c r="E1385" s="148">
        <v>640000</v>
      </c>
      <c r="G1385" s="8">
        <v>240</v>
      </c>
      <c r="H1385" s="11">
        <f t="shared" si="214"/>
        <v>0.85970800000000003</v>
      </c>
      <c r="I1385" s="12" t="e">
        <f>ROUND(#REF!*1000000/G1385/H1385,-3)</f>
        <v>#REF!</v>
      </c>
      <c r="J1385" s="136">
        <v>336</v>
      </c>
      <c r="K1385" s="13"/>
    </row>
    <row r="1386" spans="1:11" s="1" customFormat="1" ht="15" customHeight="1">
      <c r="A1386" s="811"/>
      <c r="B1386" s="810"/>
      <c r="C1386" s="7">
        <v>280</v>
      </c>
      <c r="D1386" s="9"/>
      <c r="E1386" s="148">
        <v>700000</v>
      </c>
      <c r="G1386" s="8">
        <v>280</v>
      </c>
      <c r="H1386" s="11">
        <f t="shared" si="214"/>
        <v>0.85970800000000003</v>
      </c>
      <c r="I1386" s="12" t="e">
        <f>ROUND(#REF!*1000000/G1386/H1386,-3)</f>
        <v>#REF!</v>
      </c>
      <c r="J1386" s="136">
        <v>392</v>
      </c>
      <c r="K1386" s="13"/>
    </row>
    <row r="1387" spans="1:11" s="1" customFormat="1" ht="15" customHeight="1">
      <c r="A1387" s="811"/>
      <c r="B1387" s="810"/>
      <c r="C1387" s="7">
        <v>320</v>
      </c>
      <c r="D1387" s="9"/>
      <c r="E1387" s="148">
        <v>800000</v>
      </c>
      <c r="G1387" s="8">
        <v>320</v>
      </c>
      <c r="H1387" s="11">
        <f t="shared" si="214"/>
        <v>0.85970800000000003</v>
      </c>
      <c r="I1387" s="12" t="e">
        <f>ROUND(#REF!*1000000/G1387/H1387,-3)</f>
        <v>#REF!</v>
      </c>
      <c r="J1387" s="136">
        <v>450</v>
      </c>
      <c r="K1387" s="13"/>
    </row>
    <row r="1388" spans="1:11" s="1" customFormat="1" ht="15" customHeight="1">
      <c r="A1388" s="811"/>
      <c r="B1388" s="810"/>
      <c r="C1388" s="7">
        <v>350</v>
      </c>
      <c r="D1388" s="9"/>
      <c r="E1388" s="148">
        <v>935000</v>
      </c>
      <c r="G1388" s="8">
        <v>350</v>
      </c>
      <c r="H1388" s="11">
        <f t="shared" si="214"/>
        <v>0.85970800000000003</v>
      </c>
      <c r="I1388" s="12" t="e">
        <f>ROUND(#REF!*1000000/G1388/H1388,-3)</f>
        <v>#REF!</v>
      </c>
      <c r="J1388" s="136">
        <v>490</v>
      </c>
      <c r="K1388" s="13"/>
    </row>
    <row r="1389" spans="1:11" s="1" customFormat="1" ht="15" customHeight="1">
      <c r="A1389" s="811"/>
      <c r="B1389" s="810"/>
      <c r="C1389" s="7">
        <v>450</v>
      </c>
      <c r="D1389" s="9"/>
      <c r="E1389" s="148">
        <v>1200000</v>
      </c>
      <c r="G1389" s="8">
        <v>450</v>
      </c>
      <c r="H1389" s="11">
        <f t="shared" si="214"/>
        <v>0.85970800000000003</v>
      </c>
      <c r="I1389" s="12" t="e">
        <f>ROUND(#REF!*1000000/G1389/H1389,-3)</f>
        <v>#REF!</v>
      </c>
      <c r="J1389" s="136">
        <v>630</v>
      </c>
      <c r="K1389" s="13"/>
    </row>
    <row r="1390" spans="1:11" s="1" customFormat="1" ht="15" customHeight="1">
      <c r="A1390" s="811" t="s">
        <v>1047</v>
      </c>
      <c r="B1390" s="810" t="s">
        <v>595</v>
      </c>
      <c r="C1390" s="7">
        <v>125</v>
      </c>
      <c r="D1390" s="9"/>
      <c r="E1390" s="148">
        <v>335000</v>
      </c>
      <c r="G1390" s="8">
        <v>125</v>
      </c>
      <c r="H1390" s="11">
        <f t="shared" si="214"/>
        <v>0.85970800000000003</v>
      </c>
      <c r="I1390" s="12" t="e">
        <f>ROUND(#REF!*1000000/G1390/H1390,-3)</f>
        <v>#REF!</v>
      </c>
      <c r="J1390" s="136">
        <v>168</v>
      </c>
      <c r="K1390" s="13"/>
    </row>
    <row r="1391" spans="1:11" s="1" customFormat="1" ht="15" customHeight="1">
      <c r="A1391" s="810"/>
      <c r="B1391" s="810"/>
      <c r="C1391" s="7">
        <v>145</v>
      </c>
      <c r="D1391" s="9"/>
      <c r="E1391" s="148">
        <v>387500</v>
      </c>
      <c r="G1391" s="8">
        <v>145</v>
      </c>
      <c r="H1391" s="11">
        <f t="shared" si="214"/>
        <v>0.85970800000000003</v>
      </c>
      <c r="I1391" s="12" t="e">
        <f>ROUND(#REF!*1000000/G1391/H1391,-3)</f>
        <v>#REF!</v>
      </c>
      <c r="J1391" s="136">
        <v>194</v>
      </c>
      <c r="K1391" s="13"/>
    </row>
    <row r="1392" spans="1:11" s="1" customFormat="1" ht="15" customHeight="1">
      <c r="A1392" s="810"/>
      <c r="B1392" s="810"/>
      <c r="C1392" s="7">
        <v>200</v>
      </c>
      <c r="D1392" s="9"/>
      <c r="E1392" s="148">
        <v>535000</v>
      </c>
      <c r="G1392" s="8">
        <v>200</v>
      </c>
      <c r="H1392" s="11">
        <f t="shared" si="214"/>
        <v>0.85970800000000003</v>
      </c>
      <c r="I1392" s="12" t="e">
        <f>ROUND(#REF!*1000000/G1392/H1392,-3)</f>
        <v>#REF!</v>
      </c>
      <c r="J1392" s="136">
        <v>270</v>
      </c>
      <c r="K1392" s="13"/>
    </row>
    <row r="1393" spans="1:11" s="1" customFormat="1" ht="15" customHeight="1">
      <c r="A1393" s="810"/>
      <c r="B1393" s="810"/>
      <c r="C1393" s="7">
        <v>250</v>
      </c>
      <c r="D1393" s="9"/>
      <c r="E1393" s="148">
        <v>630000</v>
      </c>
      <c r="G1393" s="8">
        <v>250</v>
      </c>
      <c r="H1393" s="11">
        <f t="shared" si="214"/>
        <v>0.85970800000000003</v>
      </c>
      <c r="I1393" s="12" t="e">
        <f>ROUND(#REF!*1000000/G1393/H1393,-3)</f>
        <v>#REF!</v>
      </c>
      <c r="J1393" s="136">
        <v>326</v>
      </c>
      <c r="K1393" s="13"/>
    </row>
    <row r="1394" spans="1:11" s="1" customFormat="1" ht="15" customHeight="1">
      <c r="A1394" s="810"/>
      <c r="B1394" s="810"/>
      <c r="C1394" s="7">
        <v>280</v>
      </c>
      <c r="D1394" s="9"/>
      <c r="E1394" s="148">
        <v>705000</v>
      </c>
      <c r="G1394" s="8">
        <v>280</v>
      </c>
      <c r="H1394" s="11">
        <f t="shared" si="214"/>
        <v>0.85970800000000003</v>
      </c>
      <c r="I1394" s="12" t="e">
        <f>ROUND(#REF!*1000000/G1394/H1394,-3)</f>
        <v>#REF!</v>
      </c>
      <c r="J1394" s="136">
        <v>368</v>
      </c>
      <c r="K1394" s="13"/>
    </row>
    <row r="1395" spans="1:11" s="1" customFormat="1" ht="15" customHeight="1">
      <c r="A1395" s="810"/>
      <c r="B1395" s="810"/>
      <c r="C1395" s="7">
        <v>320</v>
      </c>
      <c r="D1395" s="9"/>
      <c r="E1395" s="148">
        <v>807500</v>
      </c>
      <c r="G1395" s="8">
        <v>320</v>
      </c>
      <c r="H1395" s="11">
        <f t="shared" si="214"/>
        <v>0.85970800000000003</v>
      </c>
      <c r="I1395" s="12" t="e">
        <f>ROUND(#REF!*1000000/G1395/H1395,-3)</f>
        <v>#REF!</v>
      </c>
      <c r="J1395" s="136">
        <v>425</v>
      </c>
      <c r="K1395" s="13"/>
    </row>
    <row r="1396" spans="1:11" s="1" customFormat="1" ht="15" customHeight="1">
      <c r="A1396" s="810"/>
      <c r="B1396" s="810"/>
      <c r="C1396" s="7">
        <v>350</v>
      </c>
      <c r="D1396" s="9"/>
      <c r="E1396" s="148">
        <v>937500</v>
      </c>
      <c r="G1396" s="8">
        <v>350</v>
      </c>
      <c r="H1396" s="11">
        <f t="shared" si="214"/>
        <v>0.85970800000000003</v>
      </c>
      <c r="I1396" s="12" t="e">
        <f>ROUND(#REF!*1000000/G1396/H1396,-3)</f>
        <v>#REF!</v>
      </c>
      <c r="J1396" s="136">
        <v>465</v>
      </c>
      <c r="K1396" s="13"/>
    </row>
    <row r="1397" spans="1:11" s="1" customFormat="1" ht="15" customHeight="1">
      <c r="A1397" s="810"/>
      <c r="B1397" s="810"/>
      <c r="C1397" s="7">
        <v>400</v>
      </c>
      <c r="D1397" s="9"/>
      <c r="E1397" s="148">
        <v>1070000</v>
      </c>
      <c r="G1397" s="8">
        <v>400</v>
      </c>
      <c r="H1397" s="11">
        <f t="shared" si="214"/>
        <v>0.85970800000000003</v>
      </c>
      <c r="I1397" s="12" t="e">
        <f>ROUND(#REF!*1000000/G1397/H1397,-3)</f>
        <v>#REF!</v>
      </c>
      <c r="J1397" s="136">
        <v>520</v>
      </c>
      <c r="K1397" s="13"/>
    </row>
    <row r="1398" spans="1:11" s="1" customFormat="1" ht="15" customHeight="1">
      <c r="A1398" s="811" t="s">
        <v>1048</v>
      </c>
      <c r="B1398" s="7" t="s">
        <v>344</v>
      </c>
      <c r="C1398" s="16">
        <v>220</v>
      </c>
      <c r="D1398" s="29" t="s">
        <v>1049</v>
      </c>
      <c r="E1398" s="211">
        <v>492500</v>
      </c>
      <c r="G1398" s="8">
        <v>220</v>
      </c>
      <c r="H1398" s="11">
        <f>0.636*0.939</f>
        <v>0.59720399999999996</v>
      </c>
      <c r="I1398" s="12" t="e">
        <f>ROUND(#REF!*1000000/G1398/H1398,-3)</f>
        <v>#REF!</v>
      </c>
      <c r="J1398" s="137"/>
      <c r="K1398" s="13"/>
    </row>
    <row r="1399" spans="1:11" s="1" customFormat="1" ht="15" customHeight="1">
      <c r="A1399" s="811"/>
      <c r="B1399" s="19" t="s">
        <v>27</v>
      </c>
      <c r="C1399" s="16">
        <v>220</v>
      </c>
      <c r="D1399" s="29" t="s">
        <v>1049</v>
      </c>
      <c r="E1399" s="211">
        <v>710000</v>
      </c>
      <c r="G1399" s="8">
        <v>220</v>
      </c>
      <c r="H1399" s="11">
        <f>0.788*1.091</f>
        <v>0.85970800000000003</v>
      </c>
      <c r="I1399" s="12" t="e">
        <f>ROUND(#REF!*1000000/G1399/H1399,-3)</f>
        <v>#REF!</v>
      </c>
      <c r="J1399" s="137"/>
      <c r="K1399" s="13"/>
    </row>
    <row r="1400" spans="1:11" s="1" customFormat="1" ht="15" customHeight="1">
      <c r="A1400" s="816" t="s">
        <v>1050</v>
      </c>
      <c r="B1400" s="814" t="s">
        <v>27</v>
      </c>
      <c r="C1400" s="7">
        <v>210</v>
      </c>
      <c r="D1400" s="9" t="s">
        <v>1051</v>
      </c>
      <c r="E1400" s="211">
        <v>500000</v>
      </c>
      <c r="G1400" s="8">
        <v>210</v>
      </c>
      <c r="H1400" s="11">
        <f t="shared" ref="H1400:H1408" si="215">0.788*1.091</f>
        <v>0.85970800000000003</v>
      </c>
      <c r="I1400" s="12" t="e">
        <f>ROUND(#REF!*1000000/G1400/H1400,-3)</f>
        <v>#REF!</v>
      </c>
      <c r="J1400" s="137"/>
      <c r="K1400" s="13"/>
    </row>
    <row r="1401" spans="1:11" s="1" customFormat="1" ht="15" customHeight="1">
      <c r="A1401" s="816"/>
      <c r="B1401" s="804"/>
      <c r="C1401" s="7">
        <v>250</v>
      </c>
      <c r="D1401" s="9" t="s">
        <v>1051</v>
      </c>
      <c r="E1401" s="211">
        <v>595000</v>
      </c>
      <c r="G1401" s="8">
        <v>250</v>
      </c>
      <c r="H1401" s="11">
        <f t="shared" si="215"/>
        <v>0.85970800000000003</v>
      </c>
      <c r="I1401" s="12" t="e">
        <f>ROUND(#REF!*1000000/G1401/H1401,-3)</f>
        <v>#REF!</v>
      </c>
      <c r="J1401" s="137"/>
      <c r="K1401" s="13"/>
    </row>
    <row r="1402" spans="1:11" s="1" customFormat="1" ht="15" customHeight="1">
      <c r="A1402" s="816"/>
      <c r="B1402" s="804"/>
      <c r="C1402" s="7">
        <v>300</v>
      </c>
      <c r="D1402" s="9" t="s">
        <v>1051</v>
      </c>
      <c r="E1402" s="211">
        <v>710000</v>
      </c>
      <c r="G1402" s="8">
        <v>300</v>
      </c>
      <c r="H1402" s="11">
        <f t="shared" si="215"/>
        <v>0.85970800000000003</v>
      </c>
      <c r="I1402" s="12" t="e">
        <f>ROUND(#REF!*1000000/G1402/H1402,-3)</f>
        <v>#REF!</v>
      </c>
      <c r="J1402" s="137"/>
      <c r="K1402" s="13"/>
    </row>
    <row r="1403" spans="1:11" s="1" customFormat="1" ht="15" customHeight="1">
      <c r="A1403" s="816"/>
      <c r="B1403" s="804"/>
      <c r="C1403" s="7">
        <v>330</v>
      </c>
      <c r="D1403" s="9" t="s">
        <v>1051</v>
      </c>
      <c r="E1403" s="211">
        <v>785000</v>
      </c>
      <c r="G1403" s="8">
        <v>330</v>
      </c>
      <c r="H1403" s="11">
        <f t="shared" si="215"/>
        <v>0.85970800000000003</v>
      </c>
      <c r="I1403" s="12" t="e">
        <f>ROUND(#REF!*1000000/G1403/H1403,-3)</f>
        <v>#REF!</v>
      </c>
      <c r="J1403" s="137"/>
      <c r="K1403" s="13"/>
    </row>
    <row r="1404" spans="1:11" s="1" customFormat="1" ht="15" customHeight="1">
      <c r="A1404" s="816"/>
      <c r="B1404" s="804"/>
      <c r="C1404" s="7">
        <v>350</v>
      </c>
      <c r="D1404" s="9" t="s">
        <v>1051</v>
      </c>
      <c r="E1404" s="211">
        <v>830000</v>
      </c>
      <c r="G1404" s="8">
        <v>350</v>
      </c>
      <c r="H1404" s="11">
        <f t="shared" si="215"/>
        <v>0.85970800000000003</v>
      </c>
      <c r="I1404" s="12" t="e">
        <f>ROUND(#REF!*1000000/G1404/H1404,-3)</f>
        <v>#REF!</v>
      </c>
      <c r="J1404" s="137"/>
      <c r="K1404" s="13"/>
    </row>
    <row r="1405" spans="1:11" s="1" customFormat="1" ht="15" customHeight="1">
      <c r="A1405" s="816"/>
      <c r="B1405" s="804"/>
      <c r="C1405" s="33">
        <v>80</v>
      </c>
      <c r="D1405" s="21" t="s">
        <v>1052</v>
      </c>
      <c r="E1405" s="211">
        <v>200000</v>
      </c>
      <c r="G1405" s="8">
        <v>80</v>
      </c>
      <c r="H1405" s="11">
        <f>0.788*1.091</f>
        <v>0.85970800000000003</v>
      </c>
      <c r="I1405" s="12" t="e">
        <f>ROUND(#REF!*1000000/G1405/H1405,-3)</f>
        <v>#REF!</v>
      </c>
      <c r="J1405" s="137"/>
      <c r="K1405" s="13"/>
    </row>
    <row r="1406" spans="1:11" s="1" customFormat="1" ht="15" customHeight="1">
      <c r="A1406" s="816"/>
      <c r="B1406" s="804"/>
      <c r="C1406" s="33">
        <v>120</v>
      </c>
      <c r="D1406" s="21" t="s">
        <v>1052</v>
      </c>
      <c r="E1406" s="211">
        <v>285000</v>
      </c>
      <c r="G1406" s="8">
        <v>120</v>
      </c>
      <c r="H1406" s="11">
        <f t="shared" si="215"/>
        <v>0.85970800000000003</v>
      </c>
      <c r="I1406" s="12" t="e">
        <f>ROUND(#REF!*1000000/G1406/H1406,-3)</f>
        <v>#REF!</v>
      </c>
      <c r="J1406" s="137"/>
      <c r="K1406" s="13"/>
    </row>
    <row r="1407" spans="1:11" s="1" customFormat="1" ht="15" customHeight="1">
      <c r="A1407" s="816"/>
      <c r="B1407" s="804"/>
      <c r="C1407" s="33">
        <v>180</v>
      </c>
      <c r="D1407" s="21" t="s">
        <v>1051</v>
      </c>
      <c r="E1407" s="211">
        <v>430000</v>
      </c>
      <c r="G1407" s="8">
        <v>180</v>
      </c>
      <c r="H1407" s="11">
        <f t="shared" si="215"/>
        <v>0.85970800000000003</v>
      </c>
      <c r="I1407" s="12" t="e">
        <f>ROUND(#REF!*1000000/G1407/H1407,-3)</f>
        <v>#REF!</v>
      </c>
      <c r="J1407" s="137"/>
      <c r="K1407" s="13"/>
    </row>
    <row r="1408" spans="1:11" s="1" customFormat="1" ht="15" customHeight="1">
      <c r="A1408" s="817"/>
      <c r="B1408" s="805"/>
      <c r="C1408" s="33">
        <v>270</v>
      </c>
      <c r="D1408" s="21" t="s">
        <v>1051</v>
      </c>
      <c r="E1408" s="211">
        <v>640000</v>
      </c>
      <c r="G1408" s="8">
        <v>270</v>
      </c>
      <c r="H1408" s="11">
        <f t="shared" si="215"/>
        <v>0.85970800000000003</v>
      </c>
      <c r="I1408" s="12" t="e">
        <f>ROUND(#REF!*1000000/G1408/H1408,-3)</f>
        <v>#REF!</v>
      </c>
      <c r="J1408" s="137"/>
      <c r="K1408" s="13"/>
    </row>
    <row r="1409" spans="1:11" ht="15" customHeight="1">
      <c r="A1409" s="810" t="s">
        <v>1053</v>
      </c>
      <c r="B1409" s="810" t="s">
        <v>27</v>
      </c>
      <c r="C1409" s="7">
        <v>128</v>
      </c>
      <c r="D1409" s="9"/>
      <c r="E1409" s="25">
        <v>200000</v>
      </c>
      <c r="G1409" s="8">
        <v>128</v>
      </c>
      <c r="H1409" s="11">
        <f t="shared" si="99"/>
        <v>0.85970800000000003</v>
      </c>
      <c r="I1409" s="12" t="e">
        <f>ROUND(#REF!*1000000/G1409/H1409,-3)</f>
        <v>#REF!</v>
      </c>
      <c r="J1409" s="136">
        <v>106</v>
      </c>
      <c r="K1409" s="13"/>
    </row>
    <row r="1410" spans="1:11" ht="15" customHeight="1">
      <c r="A1410" s="810"/>
      <c r="B1410" s="810"/>
      <c r="C1410" s="7">
        <v>157</v>
      </c>
      <c r="D1410" s="9"/>
      <c r="E1410" s="25">
        <v>245000</v>
      </c>
      <c r="G1410" s="8">
        <v>157</v>
      </c>
      <c r="H1410" s="11">
        <f t="shared" si="99"/>
        <v>0.85970800000000003</v>
      </c>
      <c r="I1410" s="12" t="e">
        <f>ROUND(#REF!*1000000/G1410/H1410,-3)</f>
        <v>#REF!</v>
      </c>
      <c r="J1410" s="136">
        <v>136</v>
      </c>
      <c r="K1410" s="13"/>
    </row>
    <row r="1411" spans="1:11" ht="15" customHeight="1">
      <c r="A1411" s="810"/>
      <c r="B1411" s="810"/>
      <c r="C1411" s="7">
        <v>210</v>
      </c>
      <c r="D1411" s="9"/>
      <c r="E1411" s="25">
        <v>330000</v>
      </c>
      <c r="G1411" s="8">
        <v>210</v>
      </c>
      <c r="H1411" s="11">
        <f t="shared" si="99"/>
        <v>0.85970800000000003</v>
      </c>
      <c r="I1411" s="12" t="e">
        <f>ROUND(#REF!*1000000/G1411/H1411,-3)</f>
        <v>#REF!</v>
      </c>
      <c r="J1411" s="136">
        <v>193</v>
      </c>
      <c r="K1411" s="13"/>
    </row>
    <row r="1412" spans="1:11" ht="15" customHeight="1">
      <c r="A1412" s="810"/>
      <c r="B1412" s="810"/>
      <c r="C1412" s="7">
        <v>256</v>
      </c>
      <c r="D1412" s="9"/>
      <c r="E1412" s="25">
        <v>400000</v>
      </c>
      <c r="G1412" s="8">
        <v>256</v>
      </c>
      <c r="H1412" s="11">
        <f t="shared" si="99"/>
        <v>0.85970800000000003</v>
      </c>
      <c r="I1412" s="12" t="e">
        <f>ROUND(#REF!*1000000/G1412/H1412,-3)</f>
        <v>#REF!</v>
      </c>
      <c r="J1412" s="136">
        <v>261</v>
      </c>
      <c r="K1412" s="13"/>
    </row>
    <row r="1413" spans="1:11" ht="15" customHeight="1">
      <c r="A1413" s="810"/>
      <c r="B1413" s="810" t="s">
        <v>28</v>
      </c>
      <c r="C1413" s="7">
        <v>128</v>
      </c>
      <c r="D1413" s="9"/>
      <c r="E1413" s="25">
        <v>140000</v>
      </c>
      <c r="G1413" s="8">
        <v>128</v>
      </c>
      <c r="H1413" s="11">
        <f t="shared" ref="H1413:H1416" si="216">0.636*0.939</f>
        <v>0.59720399999999996</v>
      </c>
      <c r="I1413" s="12" t="e">
        <f>ROUND(#REF!*1000000/G1413/H1413,-3)</f>
        <v>#REF!</v>
      </c>
      <c r="J1413" s="136">
        <v>106</v>
      </c>
      <c r="K1413" s="13"/>
    </row>
    <row r="1414" spans="1:11" ht="15" customHeight="1">
      <c r="A1414" s="810"/>
      <c r="B1414" s="810"/>
      <c r="C1414" s="7">
        <v>157</v>
      </c>
      <c r="D1414" s="9"/>
      <c r="E1414" s="25">
        <v>170000</v>
      </c>
      <c r="G1414" s="8">
        <v>157</v>
      </c>
      <c r="H1414" s="11">
        <f t="shared" si="216"/>
        <v>0.59720399999999996</v>
      </c>
      <c r="I1414" s="12" t="e">
        <f>ROUND(#REF!*1000000/G1414/H1414,-3)</f>
        <v>#REF!</v>
      </c>
      <c r="J1414" s="136">
        <v>136</v>
      </c>
      <c r="K1414" s="13"/>
    </row>
    <row r="1415" spans="1:11" ht="15" customHeight="1">
      <c r="A1415" s="810"/>
      <c r="B1415" s="810"/>
      <c r="C1415" s="7">
        <v>210</v>
      </c>
      <c r="D1415" s="9"/>
      <c r="E1415" s="25">
        <v>230000</v>
      </c>
      <c r="G1415" s="8">
        <v>210</v>
      </c>
      <c r="H1415" s="11">
        <f t="shared" si="216"/>
        <v>0.59720399999999996</v>
      </c>
      <c r="I1415" s="12" t="e">
        <f>ROUND(#REF!*1000000/G1415/H1415,-3)</f>
        <v>#REF!</v>
      </c>
      <c r="J1415" s="136">
        <v>193</v>
      </c>
      <c r="K1415" s="13"/>
    </row>
    <row r="1416" spans="1:11" ht="15" customHeight="1">
      <c r="A1416" s="810"/>
      <c r="B1416" s="810"/>
      <c r="C1416" s="7">
        <v>256</v>
      </c>
      <c r="D1416" s="9"/>
      <c r="E1416" s="25">
        <v>280000</v>
      </c>
      <c r="G1416" s="8">
        <v>256</v>
      </c>
      <c r="H1416" s="11">
        <f t="shared" si="216"/>
        <v>0.59720399999999996</v>
      </c>
      <c r="I1416" s="12" t="e">
        <f>ROUND(#REF!*1000000/G1416/H1416,-3)</f>
        <v>#REF!</v>
      </c>
      <c r="J1416" s="136">
        <v>261</v>
      </c>
      <c r="K1416" s="13"/>
    </row>
    <row r="1417" spans="1:11" ht="15" customHeight="1">
      <c r="A1417" s="811" t="s">
        <v>1054</v>
      </c>
      <c r="B1417" s="69" t="s">
        <v>1055</v>
      </c>
      <c r="C1417" s="814">
        <f t="shared" ref="C1417:C1442" si="217">C1416</f>
        <v>256</v>
      </c>
      <c r="D1417" s="36" t="s">
        <v>1056</v>
      </c>
      <c r="E1417" s="25">
        <v>0</v>
      </c>
      <c r="G1417" s="8"/>
      <c r="H1417" s="11"/>
      <c r="I1417" s="12"/>
      <c r="J1417" s="137"/>
      <c r="K1417" s="13"/>
    </row>
    <row r="1418" spans="1:11" ht="15" customHeight="1">
      <c r="A1418" s="810"/>
      <c r="B1418" s="69" t="s">
        <v>1057</v>
      </c>
      <c r="C1418" s="804"/>
      <c r="D1418" s="36" t="s">
        <v>1058</v>
      </c>
      <c r="E1418" s="25">
        <v>0</v>
      </c>
      <c r="G1418" s="8"/>
      <c r="H1418" s="11"/>
      <c r="I1418" s="12"/>
      <c r="J1418" s="137"/>
      <c r="K1418" s="13"/>
    </row>
    <row r="1419" spans="1:11" ht="15" customHeight="1">
      <c r="A1419" s="810"/>
      <c r="B1419" s="69" t="s">
        <v>1059</v>
      </c>
      <c r="C1419" s="804"/>
      <c r="D1419" s="36" t="s">
        <v>1060</v>
      </c>
      <c r="E1419" s="25">
        <v>0</v>
      </c>
      <c r="G1419" s="8"/>
      <c r="H1419" s="11"/>
      <c r="I1419" s="12"/>
      <c r="J1419" s="137"/>
      <c r="K1419" s="13"/>
    </row>
    <row r="1420" spans="1:11" ht="15" customHeight="1">
      <c r="A1420" s="810"/>
      <c r="B1420" s="69" t="s">
        <v>1061</v>
      </c>
      <c r="C1420" s="804"/>
      <c r="D1420" s="36" t="s">
        <v>1062</v>
      </c>
      <c r="E1420" s="25">
        <v>0</v>
      </c>
      <c r="G1420" s="8"/>
      <c r="H1420" s="11"/>
      <c r="I1420" s="12"/>
      <c r="J1420" s="137"/>
      <c r="K1420" s="13"/>
    </row>
    <row r="1421" spans="1:11" ht="15" customHeight="1">
      <c r="A1421" s="810"/>
      <c r="B1421" s="69" t="s">
        <v>1059</v>
      </c>
      <c r="C1421" s="804"/>
      <c r="D1421" s="36" t="s">
        <v>1063</v>
      </c>
      <c r="E1421" s="25">
        <v>0</v>
      </c>
      <c r="G1421" s="8"/>
      <c r="H1421" s="11"/>
      <c r="I1421" s="12"/>
      <c r="J1421" s="137"/>
      <c r="K1421" s="13"/>
    </row>
    <row r="1422" spans="1:11" ht="15" customHeight="1">
      <c r="A1422" s="810"/>
      <c r="B1422" s="77" t="s">
        <v>1061</v>
      </c>
      <c r="C1422" s="805"/>
      <c r="D1422" s="36" t="s">
        <v>1064</v>
      </c>
      <c r="E1422" s="25">
        <v>0</v>
      </c>
      <c r="G1422" s="8"/>
      <c r="H1422" s="11"/>
      <c r="I1422" s="12"/>
      <c r="J1422" s="137"/>
      <c r="K1422" s="13"/>
    </row>
    <row r="1423" spans="1:11" ht="15" customHeight="1">
      <c r="A1423" s="810"/>
      <c r="B1423" s="77" t="s">
        <v>1055</v>
      </c>
      <c r="C1423" s="814">
        <f t="shared" si="217"/>
        <v>0</v>
      </c>
      <c r="D1423" s="36" t="s">
        <v>1065</v>
      </c>
      <c r="E1423" s="25">
        <v>0</v>
      </c>
      <c r="G1423" s="8"/>
      <c r="H1423" s="11"/>
      <c r="I1423" s="12"/>
      <c r="J1423" s="137"/>
      <c r="K1423" s="13"/>
    </row>
    <row r="1424" spans="1:11" ht="15" customHeight="1">
      <c r="A1424" s="810"/>
      <c r="B1424" s="77" t="s">
        <v>1057</v>
      </c>
      <c r="C1424" s="804"/>
      <c r="D1424" s="36" t="s">
        <v>1066</v>
      </c>
      <c r="E1424" s="25">
        <v>0</v>
      </c>
      <c r="G1424" s="8"/>
      <c r="H1424" s="11"/>
      <c r="I1424" s="12"/>
      <c r="J1424" s="137"/>
      <c r="K1424" s="13"/>
    </row>
    <row r="1425" spans="1:11" ht="15" customHeight="1">
      <c r="A1425" s="810"/>
      <c r="B1425" s="77" t="s">
        <v>1059</v>
      </c>
      <c r="C1425" s="804"/>
      <c r="D1425" s="36" t="s">
        <v>1067</v>
      </c>
      <c r="E1425" s="25">
        <v>0</v>
      </c>
      <c r="G1425" s="8"/>
      <c r="H1425" s="11"/>
      <c r="I1425" s="12"/>
      <c r="J1425" s="137"/>
      <c r="K1425" s="13"/>
    </row>
    <row r="1426" spans="1:11" ht="15" customHeight="1">
      <c r="A1426" s="810"/>
      <c r="B1426" s="77" t="s">
        <v>1061</v>
      </c>
      <c r="C1426" s="804"/>
      <c r="D1426" s="36" t="s">
        <v>1068</v>
      </c>
      <c r="E1426" s="25">
        <v>0</v>
      </c>
      <c r="G1426" s="8"/>
      <c r="H1426" s="11"/>
      <c r="I1426" s="12"/>
      <c r="J1426" s="137"/>
      <c r="K1426" s="13"/>
    </row>
    <row r="1427" spans="1:11" ht="15" customHeight="1">
      <c r="A1427" s="810"/>
      <c r="B1427" s="77" t="s">
        <v>1069</v>
      </c>
      <c r="C1427" s="804"/>
      <c r="D1427" s="36" t="s">
        <v>1070</v>
      </c>
      <c r="E1427" s="25">
        <v>0</v>
      </c>
      <c r="G1427" s="8"/>
      <c r="H1427" s="11"/>
      <c r="I1427" s="12"/>
      <c r="J1427" s="137"/>
      <c r="K1427" s="13"/>
    </row>
    <row r="1428" spans="1:11" ht="15" customHeight="1">
      <c r="A1428" s="810"/>
      <c r="B1428" s="77" t="s">
        <v>1059</v>
      </c>
      <c r="C1428" s="804"/>
      <c r="D1428" s="36" t="s">
        <v>1071</v>
      </c>
      <c r="E1428" s="25">
        <v>0</v>
      </c>
      <c r="G1428" s="8"/>
      <c r="H1428" s="11"/>
      <c r="I1428" s="12"/>
      <c r="J1428" s="137"/>
      <c r="K1428" s="13"/>
    </row>
    <row r="1429" spans="1:11" ht="15" customHeight="1">
      <c r="A1429" s="810"/>
      <c r="B1429" s="77" t="s">
        <v>1061</v>
      </c>
      <c r="C1429" s="804"/>
      <c r="D1429" s="36" t="s">
        <v>1072</v>
      </c>
      <c r="E1429" s="25">
        <v>0</v>
      </c>
      <c r="G1429" s="8"/>
      <c r="H1429" s="11"/>
      <c r="I1429" s="12"/>
      <c r="J1429" s="137"/>
      <c r="K1429" s="13"/>
    </row>
    <row r="1430" spans="1:11" ht="15" customHeight="1">
      <c r="A1430" s="810"/>
      <c r="B1430" s="77" t="s">
        <v>1069</v>
      </c>
      <c r="C1430" s="805"/>
      <c r="D1430" s="36" t="s">
        <v>1073</v>
      </c>
      <c r="E1430" s="25">
        <v>0</v>
      </c>
      <c r="G1430" s="8"/>
      <c r="H1430" s="11"/>
      <c r="I1430" s="12"/>
      <c r="J1430" s="137"/>
      <c r="K1430" s="13"/>
    </row>
    <row r="1431" spans="1:11" ht="15" customHeight="1">
      <c r="A1431" s="810"/>
      <c r="B1431" s="77" t="s">
        <v>1074</v>
      </c>
      <c r="C1431" s="814">
        <f t="shared" si="217"/>
        <v>0</v>
      </c>
      <c r="D1431" s="36" t="s">
        <v>1075</v>
      </c>
      <c r="E1431" s="25">
        <v>0</v>
      </c>
      <c r="G1431" s="8"/>
      <c r="H1431" s="11"/>
      <c r="I1431" s="12"/>
      <c r="J1431" s="137"/>
      <c r="K1431" s="13"/>
    </row>
    <row r="1432" spans="1:11" ht="15" customHeight="1">
      <c r="A1432" s="810"/>
      <c r="B1432" s="77" t="s">
        <v>1077</v>
      </c>
      <c r="C1432" s="804"/>
      <c r="D1432" s="36" t="s">
        <v>1078</v>
      </c>
      <c r="E1432" s="25">
        <v>0</v>
      </c>
      <c r="G1432" s="8"/>
      <c r="H1432" s="11"/>
      <c r="I1432" s="12"/>
      <c r="J1432" s="137"/>
      <c r="K1432" s="13"/>
    </row>
    <row r="1433" spans="1:11" ht="15" customHeight="1">
      <c r="A1433" s="810"/>
      <c r="B1433" s="77" t="s">
        <v>1055</v>
      </c>
      <c r="C1433" s="804"/>
      <c r="D1433" s="36" t="s">
        <v>1079</v>
      </c>
      <c r="E1433" s="25">
        <v>0</v>
      </c>
      <c r="G1433" s="8"/>
      <c r="H1433" s="11"/>
      <c r="I1433" s="12"/>
      <c r="J1433" s="137"/>
      <c r="K1433" s="13"/>
    </row>
    <row r="1434" spans="1:11" ht="15" customHeight="1">
      <c r="A1434" s="810"/>
      <c r="B1434" s="77" t="s">
        <v>1059</v>
      </c>
      <c r="C1434" s="804"/>
      <c r="D1434" s="36" t="s">
        <v>1080</v>
      </c>
      <c r="E1434" s="25">
        <v>0</v>
      </c>
      <c r="G1434" s="8"/>
      <c r="H1434" s="11"/>
      <c r="I1434" s="12"/>
      <c r="J1434" s="137"/>
      <c r="K1434" s="13"/>
    </row>
    <row r="1435" spans="1:11" ht="15" customHeight="1">
      <c r="A1435" s="810"/>
      <c r="B1435" s="77" t="s">
        <v>1061</v>
      </c>
      <c r="C1435" s="804"/>
      <c r="D1435" s="36" t="s">
        <v>1081</v>
      </c>
      <c r="E1435" s="25">
        <v>0</v>
      </c>
      <c r="G1435" s="8"/>
      <c r="H1435" s="11"/>
      <c r="I1435" s="12"/>
      <c r="J1435" s="137"/>
      <c r="K1435" s="13"/>
    </row>
    <row r="1436" spans="1:11" ht="15" customHeight="1">
      <c r="A1436" s="810"/>
      <c r="B1436" s="77" t="s">
        <v>1069</v>
      </c>
      <c r="C1436" s="804"/>
      <c r="D1436" s="36" t="s">
        <v>1082</v>
      </c>
      <c r="E1436" s="25">
        <v>0</v>
      </c>
      <c r="G1436" s="8"/>
      <c r="H1436" s="11"/>
      <c r="I1436" s="12"/>
      <c r="J1436" s="137"/>
      <c r="K1436" s="13"/>
    </row>
    <row r="1437" spans="1:11" ht="15" customHeight="1">
      <c r="A1437" s="810"/>
      <c r="B1437" s="77" t="s">
        <v>1083</v>
      </c>
      <c r="C1437" s="804"/>
      <c r="D1437" s="36" t="s">
        <v>1084</v>
      </c>
      <c r="E1437" s="25">
        <v>0</v>
      </c>
      <c r="G1437" s="8"/>
      <c r="H1437" s="11"/>
      <c r="I1437" s="12"/>
      <c r="J1437" s="137"/>
      <c r="K1437" s="13"/>
    </row>
    <row r="1438" spans="1:11" ht="15" customHeight="1">
      <c r="A1438" s="810"/>
      <c r="B1438" s="77" t="s">
        <v>1059</v>
      </c>
      <c r="C1438" s="804"/>
      <c r="D1438" s="36" t="s">
        <v>1085</v>
      </c>
      <c r="E1438" s="25">
        <v>0</v>
      </c>
      <c r="G1438" s="8"/>
      <c r="H1438" s="11"/>
      <c r="I1438" s="12"/>
      <c r="J1438" s="137"/>
      <c r="K1438" s="13"/>
    </row>
    <row r="1439" spans="1:11" ht="15" customHeight="1">
      <c r="A1439" s="810"/>
      <c r="B1439" s="77" t="s">
        <v>1061</v>
      </c>
      <c r="C1439" s="804"/>
      <c r="D1439" s="36" t="s">
        <v>1086</v>
      </c>
      <c r="E1439" s="25">
        <v>0</v>
      </c>
      <c r="G1439" s="8"/>
      <c r="H1439" s="11"/>
      <c r="I1439" s="12"/>
      <c r="J1439" s="137"/>
      <c r="K1439" s="13"/>
    </row>
    <row r="1440" spans="1:11" ht="15" customHeight="1">
      <c r="A1440" s="810"/>
      <c r="B1440" s="77" t="s">
        <v>1069</v>
      </c>
      <c r="C1440" s="804"/>
      <c r="D1440" s="36" t="s">
        <v>1087</v>
      </c>
      <c r="E1440" s="25">
        <v>0</v>
      </c>
      <c r="G1440" s="8"/>
      <c r="H1440" s="11"/>
      <c r="I1440" s="12"/>
      <c r="J1440" s="137"/>
      <c r="K1440" s="13"/>
    </row>
    <row r="1441" spans="1:11" ht="15" customHeight="1">
      <c r="A1441" s="810"/>
      <c r="B1441" s="77" t="s">
        <v>1083</v>
      </c>
      <c r="C1441" s="805"/>
      <c r="D1441" s="36" t="s">
        <v>1088</v>
      </c>
      <c r="E1441" s="25">
        <v>0</v>
      </c>
      <c r="G1441" s="8"/>
      <c r="H1441" s="11"/>
      <c r="I1441" s="12"/>
      <c r="J1441" s="137"/>
      <c r="K1441" s="13"/>
    </row>
    <row r="1442" spans="1:11" ht="15" customHeight="1">
      <c r="A1442" s="810"/>
      <c r="B1442" s="77" t="s">
        <v>1074</v>
      </c>
      <c r="C1442" s="814">
        <f t="shared" si="217"/>
        <v>0</v>
      </c>
      <c r="D1442" s="36" t="s">
        <v>1089</v>
      </c>
      <c r="E1442" s="25">
        <v>0</v>
      </c>
      <c r="G1442" s="8"/>
      <c r="H1442" s="11"/>
      <c r="I1442" s="12"/>
      <c r="J1442" s="137"/>
      <c r="K1442" s="13"/>
    </row>
    <row r="1443" spans="1:11" ht="15" customHeight="1">
      <c r="A1443" s="810"/>
      <c r="B1443" s="77" t="s">
        <v>1077</v>
      </c>
      <c r="C1443" s="804"/>
      <c r="D1443" s="36" t="s">
        <v>1090</v>
      </c>
      <c r="E1443" s="25">
        <v>0</v>
      </c>
      <c r="G1443" s="8"/>
      <c r="H1443" s="11"/>
      <c r="I1443" s="12"/>
      <c r="J1443" s="137"/>
      <c r="K1443" s="13"/>
    </row>
    <row r="1444" spans="1:11" ht="15" customHeight="1">
      <c r="A1444" s="810"/>
      <c r="B1444" s="77" t="s">
        <v>1055</v>
      </c>
      <c r="C1444" s="804"/>
      <c r="D1444" s="36" t="s">
        <v>1091</v>
      </c>
      <c r="E1444" s="25">
        <v>0</v>
      </c>
      <c r="G1444" s="8"/>
      <c r="H1444" s="11"/>
      <c r="I1444" s="12"/>
      <c r="J1444" s="137"/>
      <c r="K1444" s="13"/>
    </row>
    <row r="1445" spans="1:11" ht="15" customHeight="1">
      <c r="A1445" s="810"/>
      <c r="B1445" s="77" t="s">
        <v>1059</v>
      </c>
      <c r="C1445" s="804"/>
      <c r="D1445" s="36" t="s">
        <v>1092</v>
      </c>
      <c r="E1445" s="25">
        <v>0</v>
      </c>
      <c r="G1445" s="8"/>
      <c r="H1445" s="11"/>
      <c r="I1445" s="12"/>
      <c r="J1445" s="137"/>
      <c r="K1445" s="13"/>
    </row>
    <row r="1446" spans="1:11" ht="15" customHeight="1">
      <c r="A1446" s="810"/>
      <c r="B1446" s="77" t="s">
        <v>1061</v>
      </c>
      <c r="C1446" s="804"/>
      <c r="D1446" s="36" t="s">
        <v>1093</v>
      </c>
      <c r="E1446" s="25">
        <v>0</v>
      </c>
      <c r="G1446" s="8"/>
      <c r="H1446" s="11"/>
      <c r="I1446" s="12"/>
      <c r="J1446" s="137"/>
      <c r="K1446" s="13"/>
    </row>
    <row r="1447" spans="1:11" ht="15" customHeight="1">
      <c r="A1447" s="810"/>
      <c r="B1447" s="77" t="s">
        <v>1069</v>
      </c>
      <c r="C1447" s="804"/>
      <c r="D1447" s="36" t="s">
        <v>1094</v>
      </c>
      <c r="E1447" s="25">
        <v>0</v>
      </c>
      <c r="G1447" s="8"/>
      <c r="H1447" s="11"/>
      <c r="I1447" s="12"/>
      <c r="J1447" s="137"/>
      <c r="K1447" s="13"/>
    </row>
    <row r="1448" spans="1:11" ht="15" customHeight="1">
      <c r="A1448" s="810"/>
      <c r="B1448" s="77" t="s">
        <v>1083</v>
      </c>
      <c r="C1448" s="804"/>
      <c r="D1448" s="36" t="s">
        <v>1095</v>
      </c>
      <c r="E1448" s="25">
        <v>0</v>
      </c>
      <c r="G1448" s="8"/>
      <c r="H1448" s="11"/>
      <c r="I1448" s="12"/>
      <c r="J1448" s="137"/>
      <c r="K1448" s="13"/>
    </row>
    <row r="1449" spans="1:11" ht="15" customHeight="1">
      <c r="A1449" s="810"/>
      <c r="B1449" s="77" t="s">
        <v>1059</v>
      </c>
      <c r="C1449" s="804"/>
      <c r="D1449" s="36" t="s">
        <v>1096</v>
      </c>
      <c r="E1449" s="25">
        <v>0</v>
      </c>
      <c r="G1449" s="8"/>
      <c r="H1449" s="11"/>
      <c r="I1449" s="12"/>
      <c r="J1449" s="137"/>
      <c r="K1449" s="13"/>
    </row>
    <row r="1450" spans="1:11" ht="15" customHeight="1">
      <c r="A1450" s="810"/>
      <c r="B1450" s="77" t="s">
        <v>1061</v>
      </c>
      <c r="C1450" s="804"/>
      <c r="D1450" s="36" t="s">
        <v>1097</v>
      </c>
      <c r="E1450" s="25">
        <v>0</v>
      </c>
      <c r="G1450" s="8"/>
      <c r="H1450" s="11"/>
      <c r="I1450" s="12"/>
      <c r="J1450" s="137"/>
      <c r="K1450" s="13"/>
    </row>
    <row r="1451" spans="1:11" ht="15" customHeight="1">
      <c r="A1451" s="810"/>
      <c r="B1451" s="77" t="s">
        <v>1069</v>
      </c>
      <c r="C1451" s="804"/>
      <c r="D1451" s="36" t="s">
        <v>1098</v>
      </c>
      <c r="E1451" s="25">
        <v>0</v>
      </c>
      <c r="G1451" s="8"/>
      <c r="H1451" s="11"/>
      <c r="I1451" s="12"/>
      <c r="J1451" s="137"/>
      <c r="K1451" s="13"/>
    </row>
    <row r="1452" spans="1:11" ht="15" customHeight="1">
      <c r="A1452" s="810"/>
      <c r="B1452" s="77" t="s">
        <v>1083</v>
      </c>
      <c r="C1452" s="805"/>
      <c r="D1452" s="36" t="s">
        <v>1099</v>
      </c>
      <c r="E1452" s="25">
        <v>0</v>
      </c>
      <c r="G1452" s="8"/>
      <c r="H1452" s="11"/>
      <c r="I1452" s="12"/>
      <c r="J1452" s="137"/>
      <c r="K1452" s="13"/>
    </row>
    <row r="1453" spans="1:11" ht="15" customHeight="1">
      <c r="A1453" s="811" t="s">
        <v>1100</v>
      </c>
      <c r="B1453" s="810" t="s">
        <v>213</v>
      </c>
      <c r="C1453" s="33">
        <v>128</v>
      </c>
      <c r="D1453" s="21" t="s">
        <v>1101</v>
      </c>
      <c r="E1453" s="25">
        <v>1465000</v>
      </c>
      <c r="G1453" s="8">
        <v>128</v>
      </c>
      <c r="H1453" s="11">
        <f t="shared" ref="H1453:H1455" si="218">0.788*1.091</f>
        <v>0.85970800000000003</v>
      </c>
      <c r="I1453" s="12" t="e">
        <f>ROUND(#REF!*1000000/G1453/H1453,-3)</f>
        <v>#REF!</v>
      </c>
      <c r="J1453" s="137"/>
      <c r="K1453" s="13"/>
    </row>
    <row r="1454" spans="1:11" ht="15" customHeight="1">
      <c r="A1454" s="811"/>
      <c r="B1454" s="810"/>
      <c r="C1454" s="33">
        <f t="shared" ref="C1454:C1455" si="219">C1453</f>
        <v>128</v>
      </c>
      <c r="D1454" s="21" t="s">
        <v>1102</v>
      </c>
      <c r="E1454" s="25">
        <v>3690000</v>
      </c>
      <c r="G1454" s="8">
        <v>128</v>
      </c>
      <c r="H1454" s="11">
        <f t="shared" si="218"/>
        <v>0.85970800000000003</v>
      </c>
      <c r="I1454" s="12" t="e">
        <f>ROUND(#REF!*1000000/G1454/H1454,-3)</f>
        <v>#REF!</v>
      </c>
      <c r="J1454" s="137"/>
      <c r="K1454" s="13"/>
    </row>
    <row r="1455" spans="1:11" ht="15" customHeight="1">
      <c r="A1455" s="811"/>
      <c r="B1455" s="810"/>
      <c r="C1455" s="33">
        <f t="shared" si="219"/>
        <v>128</v>
      </c>
      <c r="D1455" s="21" t="s">
        <v>1103</v>
      </c>
      <c r="E1455" s="25">
        <v>1405000</v>
      </c>
      <c r="G1455" s="8">
        <v>128</v>
      </c>
      <c r="H1455" s="11">
        <f t="shared" si="218"/>
        <v>0.85970800000000003</v>
      </c>
      <c r="I1455" s="12" t="e">
        <f>ROUND(#REF!*1000000/G1455/H1455,-3)</f>
        <v>#REF!</v>
      </c>
      <c r="J1455" s="137"/>
      <c r="K1455" s="13"/>
    </row>
    <row r="1456" spans="1:11" s="1" customFormat="1" ht="15" customHeight="1">
      <c r="A1456" s="810" t="s">
        <v>2749</v>
      </c>
      <c r="B1456" s="810" t="s">
        <v>791</v>
      </c>
      <c r="C1456" s="7">
        <v>120</v>
      </c>
      <c r="D1456" s="9"/>
      <c r="E1456" s="148">
        <v>375000</v>
      </c>
      <c r="G1456" s="8">
        <v>120</v>
      </c>
      <c r="H1456" s="11">
        <f>1.092*0.787</f>
        <v>0.85940400000000006</v>
      </c>
      <c r="I1456" s="12" t="e">
        <f>ROUND(#REF!*1000000/G1456/H1456,-3)</f>
        <v>#REF!</v>
      </c>
      <c r="J1456" s="136">
        <v>199</v>
      </c>
      <c r="K1456" s="13"/>
    </row>
    <row r="1457" spans="1:11" s="1" customFormat="1" ht="15" customHeight="1">
      <c r="A1457" s="810"/>
      <c r="B1457" s="810"/>
      <c r="C1457" s="7">
        <v>135</v>
      </c>
      <c r="D1457" s="9"/>
      <c r="E1457" s="148">
        <v>420000</v>
      </c>
      <c r="G1457" s="8">
        <v>135</v>
      </c>
      <c r="H1457" s="11">
        <f t="shared" ref="H1457:H1462" si="220">1.092*0.787</f>
        <v>0.85940400000000006</v>
      </c>
      <c r="I1457" s="12" t="e">
        <f>ROUND(#REF!*1000000/G1457/H1457,-3)</f>
        <v>#REF!</v>
      </c>
      <c r="J1457" s="136">
        <v>223</v>
      </c>
      <c r="K1457" s="13"/>
    </row>
    <row r="1458" spans="1:11" s="1" customFormat="1" ht="15" customHeight="1">
      <c r="A1458" s="810"/>
      <c r="B1458" s="810"/>
      <c r="C1458" s="7">
        <v>170</v>
      </c>
      <c r="D1458" s="9"/>
      <c r="E1458" s="148">
        <v>530000</v>
      </c>
      <c r="G1458" s="8">
        <v>170</v>
      </c>
      <c r="H1458" s="11">
        <f t="shared" si="220"/>
        <v>0.85940400000000006</v>
      </c>
      <c r="I1458" s="12" t="e">
        <f>ROUND(#REF!*1000000/G1458/H1458,-3)</f>
        <v>#REF!</v>
      </c>
      <c r="J1458" s="136">
        <v>281</v>
      </c>
      <c r="K1458" s="13"/>
    </row>
    <row r="1459" spans="1:11" s="1" customFormat="1" ht="15" customHeight="1">
      <c r="A1459" s="810"/>
      <c r="B1459" s="810"/>
      <c r="C1459" s="7">
        <v>200</v>
      </c>
      <c r="D1459" s="9"/>
      <c r="E1459" s="148">
        <v>625000</v>
      </c>
      <c r="G1459" s="8">
        <v>200</v>
      </c>
      <c r="H1459" s="11">
        <f t="shared" si="220"/>
        <v>0.85940400000000006</v>
      </c>
      <c r="I1459" s="12" t="e">
        <f>ROUND(#REF!*1000000/G1459/H1459,-3)</f>
        <v>#REF!</v>
      </c>
      <c r="J1459" s="136">
        <v>331</v>
      </c>
      <c r="K1459" s="13"/>
    </row>
    <row r="1460" spans="1:11" s="1" customFormat="1" ht="15" customHeight="1">
      <c r="A1460" s="810"/>
      <c r="B1460" s="810"/>
      <c r="C1460" s="7">
        <v>220</v>
      </c>
      <c r="D1460" s="9"/>
      <c r="E1460" s="148">
        <v>685000</v>
      </c>
      <c r="G1460" s="8">
        <v>220</v>
      </c>
      <c r="H1460" s="11">
        <f t="shared" si="220"/>
        <v>0.85940400000000006</v>
      </c>
      <c r="I1460" s="12" t="e">
        <f>ROUND(#REF!*1000000/G1460/H1460,-3)</f>
        <v>#REF!</v>
      </c>
      <c r="J1460" s="136">
        <v>364</v>
      </c>
      <c r="K1460" s="13"/>
    </row>
    <row r="1461" spans="1:11" s="1" customFormat="1" ht="15" customHeight="1">
      <c r="A1461" s="810"/>
      <c r="B1461" s="810"/>
      <c r="C1461" s="7">
        <v>250</v>
      </c>
      <c r="D1461" s="9"/>
      <c r="E1461" s="148">
        <v>780000</v>
      </c>
      <c r="F1461" s="78"/>
      <c r="G1461" s="8">
        <v>250</v>
      </c>
      <c r="H1461" s="11">
        <f t="shared" si="220"/>
        <v>0.85940400000000006</v>
      </c>
      <c r="I1461" s="12" t="e">
        <f>ROUND(#REF!*1000000/G1461/H1461,-3)</f>
        <v>#REF!</v>
      </c>
      <c r="J1461" s="136">
        <v>414</v>
      </c>
      <c r="K1461" s="13"/>
    </row>
    <row r="1462" spans="1:11" s="1" customFormat="1" ht="15" customHeight="1">
      <c r="A1462" s="810"/>
      <c r="B1462" s="810"/>
      <c r="C1462" s="7">
        <v>300</v>
      </c>
      <c r="D1462" s="9"/>
      <c r="E1462" s="148">
        <v>935000</v>
      </c>
      <c r="F1462" s="78"/>
      <c r="G1462" s="8">
        <v>300</v>
      </c>
      <c r="H1462" s="11">
        <f t="shared" si="220"/>
        <v>0.85940400000000006</v>
      </c>
      <c r="I1462" s="12" t="e">
        <f>ROUND(#REF!*1000000/G1462/H1462,-3)</f>
        <v>#REF!</v>
      </c>
      <c r="J1462" s="136">
        <v>455</v>
      </c>
      <c r="K1462" s="13"/>
    </row>
    <row r="1463" spans="1:11" ht="15" customHeight="1">
      <c r="A1463" s="815" t="s">
        <v>1104</v>
      </c>
      <c r="B1463" s="815" t="s">
        <v>236</v>
      </c>
      <c r="C1463" s="69">
        <v>300</v>
      </c>
      <c r="D1463" s="9">
        <v>300</v>
      </c>
      <c r="E1463" s="25">
        <v>2350000</v>
      </c>
      <c r="G1463" s="70">
        <v>300</v>
      </c>
      <c r="H1463" s="11">
        <v>0.7</v>
      </c>
      <c r="I1463" s="12" t="e">
        <f>ROUND(#REF!*1000000/G1463/H1463,-3)</f>
        <v>#REF!</v>
      </c>
      <c r="J1463" s="137"/>
      <c r="K1463" s="13"/>
    </row>
    <row r="1464" spans="1:11" ht="15" customHeight="1">
      <c r="A1464" s="815"/>
      <c r="B1464" s="815"/>
      <c r="C1464" s="69">
        <v>310</v>
      </c>
      <c r="D1464" s="9" t="s">
        <v>1105</v>
      </c>
      <c r="E1464" s="25">
        <v>2925000</v>
      </c>
      <c r="G1464" s="70">
        <v>310</v>
      </c>
      <c r="H1464" s="11">
        <v>0.7</v>
      </c>
      <c r="I1464" s="12" t="e">
        <f>ROUND(#REF!*1000000/G1464/H1464,-3)</f>
        <v>#REF!</v>
      </c>
      <c r="J1464" s="137"/>
      <c r="K1464" s="13"/>
    </row>
    <row r="1465" spans="1:11" ht="15" customHeight="1">
      <c r="A1465" s="815"/>
      <c r="B1465" s="815"/>
      <c r="C1465" s="219">
        <f t="shared" ref="C1465:C1466" si="221">C1464</f>
        <v>310</v>
      </c>
      <c r="D1465" s="9" t="s">
        <v>1106</v>
      </c>
      <c r="E1465" s="25">
        <v>3445000</v>
      </c>
      <c r="G1465" s="70">
        <v>310</v>
      </c>
      <c r="H1465" s="11">
        <v>0.7</v>
      </c>
      <c r="I1465" s="12" t="e">
        <f>ROUND(#REF!*1000000/G1465/H1465,-3)</f>
        <v>#REF!</v>
      </c>
      <c r="J1465" s="137"/>
      <c r="K1465" s="13"/>
    </row>
    <row r="1466" spans="1:11" ht="15" customHeight="1">
      <c r="A1466" s="815"/>
      <c r="B1466" s="815"/>
      <c r="C1466" s="219">
        <f t="shared" si="221"/>
        <v>310</v>
      </c>
      <c r="D1466" s="9" t="s">
        <v>1107</v>
      </c>
      <c r="E1466" s="25">
        <v>3635000</v>
      </c>
      <c r="G1466" s="70">
        <v>310</v>
      </c>
      <c r="H1466" s="11">
        <v>0.7</v>
      </c>
      <c r="I1466" s="12" t="e">
        <f>ROUND(#REF!*1000000/G1466/H1466,-3)</f>
        <v>#REF!</v>
      </c>
      <c r="J1466" s="137"/>
      <c r="K1466" s="13"/>
    </row>
    <row r="1467" spans="1:11" ht="15" customHeight="1">
      <c r="A1467" s="815"/>
      <c r="B1467" s="69" t="s">
        <v>232</v>
      </c>
      <c r="C1467" s="69">
        <v>430</v>
      </c>
      <c r="D1467" s="9" t="s">
        <v>1108</v>
      </c>
      <c r="E1467" s="25">
        <v>7845000</v>
      </c>
      <c r="G1467" s="70">
        <v>430</v>
      </c>
      <c r="H1467" s="11">
        <v>0.68</v>
      </c>
      <c r="I1467" s="12" t="e">
        <f>ROUND(#REF!*1000000/G1467/H1467,-3)</f>
        <v>#REF!</v>
      </c>
      <c r="J1467" s="137"/>
      <c r="K1467" s="13"/>
    </row>
    <row r="1468" spans="1:11" ht="15" customHeight="1">
      <c r="A1468" s="810" t="s">
        <v>1109</v>
      </c>
      <c r="B1468" s="810" t="s">
        <v>27</v>
      </c>
      <c r="C1468" s="33">
        <v>120</v>
      </c>
      <c r="D1468" s="21"/>
      <c r="E1468" s="25">
        <v>595000</v>
      </c>
      <c r="G1468" s="8">
        <v>120</v>
      </c>
      <c r="H1468" s="11">
        <f t="shared" ref="H1468:H1474" si="222">0.788*1.091</f>
        <v>0.85970800000000003</v>
      </c>
      <c r="I1468" s="12" t="e">
        <f>ROUND(#REF!*1000000/G1468/H1468,-3)</f>
        <v>#REF!</v>
      </c>
      <c r="J1468" s="137"/>
      <c r="K1468" s="13"/>
    </row>
    <row r="1469" spans="1:11" ht="15" customHeight="1">
      <c r="A1469" s="810"/>
      <c r="B1469" s="810"/>
      <c r="C1469" s="33">
        <v>175</v>
      </c>
      <c r="D1469" s="21"/>
      <c r="E1469" s="25">
        <v>870000</v>
      </c>
      <c r="G1469" s="8">
        <v>175</v>
      </c>
      <c r="H1469" s="11">
        <f t="shared" si="222"/>
        <v>0.85970800000000003</v>
      </c>
      <c r="I1469" s="12" t="e">
        <f>ROUND(#REF!*1000000/G1469/H1469,-3)</f>
        <v>#REF!</v>
      </c>
      <c r="J1469" s="137"/>
      <c r="K1469" s="13"/>
    </row>
    <row r="1470" spans="1:11" ht="15" customHeight="1">
      <c r="A1470" s="810"/>
      <c r="B1470" s="810"/>
      <c r="C1470" s="33">
        <v>300</v>
      </c>
      <c r="D1470" s="21"/>
      <c r="E1470" s="25">
        <v>1490000</v>
      </c>
      <c r="G1470" s="8">
        <v>300</v>
      </c>
      <c r="H1470" s="11">
        <f t="shared" si="222"/>
        <v>0.85970800000000003</v>
      </c>
      <c r="I1470" s="12" t="e">
        <f>ROUND(#REF!*1000000/G1470/H1470,-3)</f>
        <v>#REF!</v>
      </c>
      <c r="J1470" s="137"/>
      <c r="K1470" s="13"/>
    </row>
    <row r="1471" spans="1:11" ht="15" customHeight="1">
      <c r="A1471" s="810"/>
      <c r="B1471" s="810"/>
      <c r="C1471" s="33">
        <v>350</v>
      </c>
      <c r="D1471" s="21"/>
      <c r="E1471" s="25">
        <v>1740000</v>
      </c>
      <c r="G1471" s="8">
        <v>350</v>
      </c>
      <c r="H1471" s="11">
        <f t="shared" si="222"/>
        <v>0.85970800000000003</v>
      </c>
      <c r="I1471" s="12" t="e">
        <f>ROUND(#REF!*1000000/G1471/H1471,-3)</f>
        <v>#REF!</v>
      </c>
      <c r="J1471" s="137"/>
      <c r="K1471" s="13"/>
    </row>
    <row r="1472" spans="1:11" ht="15" customHeight="1">
      <c r="A1472" s="810"/>
      <c r="B1472" s="810"/>
      <c r="C1472" s="33">
        <v>450</v>
      </c>
      <c r="D1472" s="21"/>
      <c r="E1472" s="25">
        <v>2235000</v>
      </c>
      <c r="G1472" s="8">
        <v>450</v>
      </c>
      <c r="H1472" s="11">
        <f t="shared" si="222"/>
        <v>0.85970800000000003</v>
      </c>
      <c r="I1472" s="12" t="e">
        <f>ROUND(#REF!*1000000/G1472/H1472,-3)</f>
        <v>#REF!</v>
      </c>
      <c r="J1472" s="137"/>
      <c r="K1472" s="13"/>
    </row>
    <row r="1473" spans="1:11" ht="15" customHeight="1">
      <c r="A1473" s="810"/>
      <c r="B1473" s="810"/>
      <c r="C1473" s="33">
        <v>540</v>
      </c>
      <c r="D1473" s="21"/>
      <c r="E1473" s="25">
        <v>3050000</v>
      </c>
      <c r="G1473" s="8">
        <v>540</v>
      </c>
      <c r="H1473" s="11">
        <f t="shared" si="222"/>
        <v>0.85970800000000003</v>
      </c>
      <c r="I1473" s="12" t="e">
        <f>ROUND(#REF!*1000000/G1473/H1473,-3)</f>
        <v>#REF!</v>
      </c>
      <c r="J1473" s="137"/>
      <c r="K1473" s="13"/>
    </row>
    <row r="1474" spans="1:11" ht="15" customHeight="1">
      <c r="A1474" s="810"/>
      <c r="B1474" s="810"/>
      <c r="C1474" s="33">
        <v>700</v>
      </c>
      <c r="D1474" s="21"/>
      <c r="E1474" s="25">
        <v>3950000</v>
      </c>
      <c r="G1474" s="8">
        <v>700</v>
      </c>
      <c r="H1474" s="11">
        <f t="shared" si="222"/>
        <v>0.85970800000000003</v>
      </c>
      <c r="I1474" s="12" t="e">
        <f>ROUND(#REF!*1000000/G1474/H1474,-3)</f>
        <v>#REF!</v>
      </c>
      <c r="J1474" s="137"/>
      <c r="K1474" s="13"/>
    </row>
    <row r="1475" spans="1:11" ht="15" customHeight="1">
      <c r="A1475" s="810"/>
      <c r="B1475" s="810" t="s">
        <v>28</v>
      </c>
      <c r="C1475" s="33">
        <v>120</v>
      </c>
      <c r="D1475" s="21"/>
      <c r="E1475" s="25">
        <v>415000</v>
      </c>
      <c r="G1475" s="8">
        <v>120</v>
      </c>
      <c r="H1475" s="11">
        <f t="shared" ref="H1475:H1481" si="223">0.636*0.939</f>
        <v>0.59720399999999996</v>
      </c>
      <c r="I1475" s="12" t="e">
        <f>ROUND(#REF!*1000000/G1475/H1475,-3)</f>
        <v>#REF!</v>
      </c>
      <c r="J1475" s="137"/>
      <c r="K1475" s="13"/>
    </row>
    <row r="1476" spans="1:11" ht="15" customHeight="1">
      <c r="A1476" s="810"/>
      <c r="B1476" s="810"/>
      <c r="C1476" s="33">
        <v>175</v>
      </c>
      <c r="D1476" s="21"/>
      <c r="E1476" s="25">
        <v>605000</v>
      </c>
      <c r="G1476" s="8">
        <v>175</v>
      </c>
      <c r="H1476" s="11">
        <f t="shared" si="223"/>
        <v>0.59720399999999996</v>
      </c>
      <c r="I1476" s="12" t="e">
        <f>ROUND(#REF!*1000000/G1476/H1476,-3)</f>
        <v>#REF!</v>
      </c>
      <c r="J1476" s="137"/>
      <c r="K1476" s="13"/>
    </row>
    <row r="1477" spans="1:11" ht="15" customHeight="1">
      <c r="A1477" s="810"/>
      <c r="B1477" s="810"/>
      <c r="C1477" s="33">
        <v>230</v>
      </c>
      <c r="D1477" s="21"/>
      <c r="E1477" s="25">
        <v>795000</v>
      </c>
      <c r="G1477" s="8">
        <v>230</v>
      </c>
      <c r="H1477" s="11">
        <f t="shared" si="223"/>
        <v>0.59720399999999996</v>
      </c>
      <c r="I1477" s="12" t="e">
        <f>ROUND(#REF!*1000000/G1477/H1477,-3)</f>
        <v>#REF!</v>
      </c>
      <c r="J1477" s="137"/>
      <c r="K1477" s="13"/>
    </row>
    <row r="1478" spans="1:11" ht="15" customHeight="1">
      <c r="A1478" s="810"/>
      <c r="B1478" s="810"/>
      <c r="C1478" s="33">
        <v>270</v>
      </c>
      <c r="D1478" s="21"/>
      <c r="E1478" s="25">
        <v>930000</v>
      </c>
      <c r="G1478" s="8">
        <v>270</v>
      </c>
      <c r="H1478" s="11">
        <f t="shared" si="223"/>
        <v>0.59720399999999996</v>
      </c>
      <c r="I1478" s="12" t="e">
        <f>ROUND(#REF!*1000000/G1478/H1478,-3)</f>
        <v>#REF!</v>
      </c>
      <c r="J1478" s="137"/>
      <c r="K1478" s="13"/>
    </row>
    <row r="1479" spans="1:11" ht="15" customHeight="1">
      <c r="A1479" s="810"/>
      <c r="B1479" s="810"/>
      <c r="C1479" s="33">
        <v>300</v>
      </c>
      <c r="D1479" s="21"/>
      <c r="E1479" s="25">
        <v>1035000</v>
      </c>
      <c r="G1479" s="8">
        <v>300</v>
      </c>
      <c r="H1479" s="11">
        <f t="shared" si="223"/>
        <v>0.59720399999999996</v>
      </c>
      <c r="I1479" s="12" t="e">
        <f>ROUND(#REF!*1000000/G1479/H1479,-3)</f>
        <v>#REF!</v>
      </c>
      <c r="J1479" s="137"/>
      <c r="K1479" s="13"/>
    </row>
    <row r="1480" spans="1:11" ht="15" customHeight="1">
      <c r="A1480" s="810"/>
      <c r="B1480" s="810"/>
      <c r="C1480" s="33">
        <v>450</v>
      </c>
      <c r="D1480" s="21"/>
      <c r="E1480" s="25">
        <v>1555000</v>
      </c>
      <c r="G1480" s="8">
        <v>450</v>
      </c>
      <c r="H1480" s="11">
        <f t="shared" si="223"/>
        <v>0.59720399999999996</v>
      </c>
      <c r="I1480" s="12" t="e">
        <f>ROUND(#REF!*1000000/G1480/H1480,-3)</f>
        <v>#REF!</v>
      </c>
      <c r="J1480" s="137"/>
      <c r="K1480" s="13"/>
    </row>
    <row r="1481" spans="1:11" ht="15" customHeight="1">
      <c r="A1481" s="810"/>
      <c r="B1481" s="810"/>
      <c r="C1481" s="33">
        <v>700</v>
      </c>
      <c r="D1481" s="21"/>
      <c r="E1481" s="25">
        <v>2750000</v>
      </c>
      <c r="G1481" s="8">
        <v>700</v>
      </c>
      <c r="H1481" s="11">
        <f t="shared" si="223"/>
        <v>0.59720399999999996</v>
      </c>
      <c r="I1481" s="12" t="e">
        <f>ROUND(#REF!*1000000/G1481/H1481,-3)</f>
        <v>#REF!</v>
      </c>
      <c r="J1481" s="137"/>
      <c r="K1481" s="13"/>
    </row>
    <row r="1482" spans="1:11" ht="15" customHeight="1">
      <c r="A1482" s="813" t="s">
        <v>1110</v>
      </c>
      <c r="B1482" s="810" t="s">
        <v>1111</v>
      </c>
      <c r="C1482" s="7">
        <v>516</v>
      </c>
      <c r="D1482" s="9" t="s">
        <v>1112</v>
      </c>
      <c r="E1482" s="25">
        <v>385000</v>
      </c>
      <c r="G1482" s="8">
        <v>516</v>
      </c>
      <c r="H1482" s="11">
        <f t="shared" ref="H1482:H1483" si="224">1.091*0.78</f>
        <v>0.85097999999999996</v>
      </c>
      <c r="I1482" s="12" t="e">
        <f>ROUND(#REF!*1000000/G1482/H1482,-3)</f>
        <v>#REF!</v>
      </c>
      <c r="J1482" s="137"/>
      <c r="K1482" s="13"/>
    </row>
    <row r="1483" spans="1:11" ht="15" customHeight="1">
      <c r="A1483" s="804"/>
      <c r="B1483" s="810"/>
      <c r="C1483" s="7">
        <v>606</v>
      </c>
      <c r="D1483" s="9" t="s">
        <v>1113</v>
      </c>
      <c r="E1483" s="25">
        <v>610000</v>
      </c>
      <c r="G1483" s="8">
        <v>606</v>
      </c>
      <c r="H1483" s="11">
        <f t="shared" si="224"/>
        <v>0.85097999999999996</v>
      </c>
      <c r="I1483" s="12" t="e">
        <f>ROUND(#REF!*1000000/G1483/H1483,-3)</f>
        <v>#REF!</v>
      </c>
      <c r="J1483" s="137"/>
      <c r="K1483" s="13"/>
    </row>
    <row r="1484" spans="1:11" ht="15" customHeight="1">
      <c r="A1484" s="804"/>
      <c r="B1484" s="814" t="s">
        <v>218</v>
      </c>
      <c r="C1484" s="7">
        <v>396</v>
      </c>
      <c r="D1484" s="9" t="s">
        <v>1114</v>
      </c>
      <c r="E1484" s="25">
        <v>1110000</v>
      </c>
      <c r="G1484" s="8">
        <v>396</v>
      </c>
      <c r="H1484" s="11">
        <f>0.788*1.091</f>
        <v>0.85970800000000003</v>
      </c>
      <c r="I1484" s="12" t="e">
        <f>ROUND(#REF!*1000000/G1484/H1484,-3)</f>
        <v>#REF!</v>
      </c>
      <c r="J1484" s="137"/>
      <c r="K1484" s="13"/>
    </row>
    <row r="1485" spans="1:11" ht="15" customHeight="1">
      <c r="A1485" s="804"/>
      <c r="B1485" s="804"/>
      <c r="C1485" s="7">
        <v>330</v>
      </c>
      <c r="D1485" s="9" t="s">
        <v>1115</v>
      </c>
      <c r="E1485" s="25">
        <v>550000</v>
      </c>
      <c r="G1485" s="8">
        <v>330</v>
      </c>
      <c r="H1485" s="11">
        <f>0.788*1.091</f>
        <v>0.85970800000000003</v>
      </c>
      <c r="I1485" s="12" t="e">
        <f>ROUND(#REF!*1000000/G1485/H1485,-3)</f>
        <v>#REF!</v>
      </c>
      <c r="J1485" s="137"/>
      <c r="K1485" s="13"/>
    </row>
    <row r="1486" spans="1:11" ht="15" customHeight="1">
      <c r="A1486" s="804"/>
      <c r="B1486" s="805"/>
      <c r="C1486" s="16">
        <v>330</v>
      </c>
      <c r="D1486" s="29" t="s">
        <v>1116</v>
      </c>
      <c r="E1486" s="25">
        <v>600000</v>
      </c>
      <c r="G1486" s="8">
        <v>330</v>
      </c>
      <c r="H1486" s="11">
        <f>0.788*1.091</f>
        <v>0.85970800000000003</v>
      </c>
      <c r="I1486" s="12" t="e">
        <f>ROUND(#REF!*1000000/G1486/H1486,-3)</f>
        <v>#REF!</v>
      </c>
      <c r="J1486" s="137"/>
      <c r="K1486" s="13"/>
    </row>
    <row r="1487" spans="1:11" ht="15" customHeight="1">
      <c r="A1487" s="804"/>
      <c r="B1487" s="810" t="s">
        <v>1117</v>
      </c>
      <c r="C1487" s="7">
        <v>495</v>
      </c>
      <c r="D1487" s="9" t="s">
        <v>1118</v>
      </c>
      <c r="E1487" s="25">
        <v>825000</v>
      </c>
      <c r="G1487" s="8">
        <v>495</v>
      </c>
      <c r="H1487" s="11">
        <f>1.091*0.79</f>
        <v>0.86189000000000004</v>
      </c>
      <c r="I1487" s="12" t="e">
        <f>ROUND(#REF!*1000000/G1487/H1487,-3)</f>
        <v>#REF!</v>
      </c>
      <c r="J1487" s="137"/>
      <c r="K1487" s="13"/>
    </row>
    <row r="1488" spans="1:11" ht="15" customHeight="1">
      <c r="A1488" s="804"/>
      <c r="B1488" s="810"/>
      <c r="C1488" s="7">
        <v>627</v>
      </c>
      <c r="D1488" s="9" t="s">
        <v>1119</v>
      </c>
      <c r="E1488" s="25">
        <v>1025000</v>
      </c>
      <c r="G1488" s="8">
        <v>627</v>
      </c>
      <c r="H1488" s="11">
        <f>1.091*0.79</f>
        <v>0.86189000000000004</v>
      </c>
      <c r="I1488" s="12" t="e">
        <f>ROUND(#REF!*1000000/G1488/H1488,-3)</f>
        <v>#REF!</v>
      </c>
      <c r="J1488" s="137"/>
      <c r="K1488" s="13"/>
    </row>
    <row r="1489" spans="1:11" ht="15" customHeight="1">
      <c r="A1489" s="804"/>
      <c r="B1489" s="19" t="s">
        <v>20</v>
      </c>
      <c r="C1489" s="20">
        <v>600</v>
      </c>
      <c r="D1489" s="21" t="s">
        <v>1120</v>
      </c>
      <c r="E1489" s="25">
        <v>695000</v>
      </c>
      <c r="G1489" s="8">
        <v>600</v>
      </c>
      <c r="H1489" s="11">
        <f>0.8*1.1</f>
        <v>0.88000000000000012</v>
      </c>
      <c r="I1489" s="12" t="e">
        <f>ROUND(#REF!*1000000/G1489/H1489,-3)</f>
        <v>#REF!</v>
      </c>
      <c r="J1489" s="137"/>
      <c r="K1489" s="13"/>
    </row>
    <row r="1490" spans="1:11" ht="15" customHeight="1">
      <c r="A1490" s="804"/>
      <c r="B1490" s="810" t="s">
        <v>218</v>
      </c>
      <c r="C1490" s="20">
        <v>580</v>
      </c>
      <c r="D1490" s="21" t="s">
        <v>1121</v>
      </c>
      <c r="E1490" s="25">
        <v>890000</v>
      </c>
      <c r="G1490" s="8">
        <v>580</v>
      </c>
      <c r="H1490" s="11">
        <f>1.091*0.788</f>
        <v>0.85970800000000003</v>
      </c>
      <c r="I1490" s="12" t="e">
        <f>ROUND(#REF!*1000000/G1490/H1490,-3)</f>
        <v>#REF!</v>
      </c>
      <c r="J1490" s="137"/>
      <c r="K1490" s="13"/>
    </row>
    <row r="1491" spans="1:11" ht="15" customHeight="1">
      <c r="A1491" s="804"/>
      <c r="B1491" s="810"/>
      <c r="C1491" s="20">
        <v>396</v>
      </c>
      <c r="D1491" s="21" t="s">
        <v>1122</v>
      </c>
      <c r="E1491" s="25">
        <v>1340000</v>
      </c>
      <c r="G1491" s="8">
        <v>396</v>
      </c>
      <c r="H1491" s="11">
        <f>1.091*0.788</f>
        <v>0.85970800000000003</v>
      </c>
      <c r="I1491" s="12" t="e">
        <f>ROUND(#REF!*1000000/G1491/H1491,-3)</f>
        <v>#REF!</v>
      </c>
      <c r="J1491" s="137"/>
      <c r="K1491" s="13"/>
    </row>
    <row r="1492" spans="1:11" ht="15" customHeight="1">
      <c r="A1492" s="804"/>
      <c r="B1492" s="24" t="s">
        <v>1123</v>
      </c>
      <c r="C1492" s="20">
        <v>396</v>
      </c>
      <c r="D1492" s="21" t="s">
        <v>1124</v>
      </c>
      <c r="E1492" s="25">
        <v>975000</v>
      </c>
      <c r="G1492" s="8">
        <v>396</v>
      </c>
      <c r="H1492" s="11">
        <f>1.091*0.77</f>
        <v>0.84006999999999998</v>
      </c>
      <c r="I1492" s="12" t="e">
        <f>ROUND(#REF!*1000000/G1492/H1492,-3)</f>
        <v>#REF!</v>
      </c>
      <c r="J1492" s="137"/>
      <c r="K1492" s="13"/>
    </row>
    <row r="1493" spans="1:11" ht="15" customHeight="1">
      <c r="A1493" s="804"/>
      <c r="B1493" s="24" t="s">
        <v>1117</v>
      </c>
      <c r="C1493" s="20">
        <v>550</v>
      </c>
      <c r="D1493" s="21" t="s">
        <v>1125</v>
      </c>
      <c r="E1493" s="25">
        <v>405000</v>
      </c>
      <c r="G1493" s="8">
        <v>550</v>
      </c>
      <c r="H1493" s="11">
        <f>1.091*0.79</f>
        <v>0.86189000000000004</v>
      </c>
      <c r="I1493" s="12" t="e">
        <f>ROUND(#REF!*1000000/G1493/H1493,-3)</f>
        <v>#REF!</v>
      </c>
      <c r="J1493" s="137"/>
      <c r="K1493" s="13"/>
    </row>
    <row r="1494" spans="1:11" ht="15" customHeight="1">
      <c r="A1494" s="804"/>
      <c r="B1494" s="24" t="s">
        <v>1126</v>
      </c>
      <c r="C1494" s="20">
        <v>606</v>
      </c>
      <c r="D1494" s="21" t="s">
        <v>1127</v>
      </c>
      <c r="E1494" s="25">
        <v>425000</v>
      </c>
      <c r="G1494" s="8">
        <v>606</v>
      </c>
      <c r="H1494" s="11">
        <f>1.1*0.8</f>
        <v>0.88000000000000012</v>
      </c>
      <c r="I1494" s="12" t="e">
        <f>ROUND(#REF!*1000000/G1494/H1494,-3)</f>
        <v>#REF!</v>
      </c>
      <c r="J1494" s="137"/>
      <c r="K1494" s="13"/>
    </row>
    <row r="1495" spans="1:11" ht="15" customHeight="1">
      <c r="A1495" s="804"/>
      <c r="B1495" s="24" t="s">
        <v>595</v>
      </c>
      <c r="C1495" s="20">
        <v>620</v>
      </c>
      <c r="D1495" s="21" t="s">
        <v>1128</v>
      </c>
      <c r="E1495" s="25">
        <v>725000</v>
      </c>
      <c r="G1495" s="8">
        <v>620</v>
      </c>
      <c r="H1495" s="11">
        <f t="shared" ref="H1495" si="225">0.788*1.091</f>
        <v>0.85970800000000003</v>
      </c>
      <c r="I1495" s="12" t="e">
        <f>ROUND(#REF!*1000000/G1495/H1495,-3)</f>
        <v>#REF!</v>
      </c>
      <c r="J1495" s="137"/>
      <c r="K1495" s="13"/>
    </row>
    <row r="1496" spans="1:11" ht="15" customHeight="1">
      <c r="A1496" s="804"/>
      <c r="B1496" s="7" t="s">
        <v>1129</v>
      </c>
      <c r="C1496" s="20">
        <v>390</v>
      </c>
      <c r="D1496" s="21" t="s">
        <v>1130</v>
      </c>
      <c r="E1496" s="25">
        <v>550000</v>
      </c>
      <c r="G1496" s="8">
        <v>390</v>
      </c>
      <c r="H1496" s="11">
        <f>0.545*0.77</f>
        <v>0.41965000000000002</v>
      </c>
      <c r="I1496" s="12" t="e">
        <f>ROUND(#REF!*1000000/G1496/H1496,-3)</f>
        <v>#REF!</v>
      </c>
      <c r="J1496" s="137"/>
      <c r="K1496" s="13"/>
    </row>
    <row r="1497" spans="1:11" ht="15" customHeight="1">
      <c r="A1497" s="804"/>
      <c r="B1497" s="7" t="s">
        <v>1131</v>
      </c>
      <c r="C1497" s="20">
        <v>325</v>
      </c>
      <c r="D1497" s="21" t="s">
        <v>1132</v>
      </c>
      <c r="E1497" s="25">
        <v>221000</v>
      </c>
      <c r="G1497" s="8">
        <v>325</v>
      </c>
      <c r="H1497" s="11">
        <f>0.545*0.78</f>
        <v>0.42510000000000003</v>
      </c>
      <c r="I1497" s="12" t="e">
        <f>ROUND(#REF!*1000000/G1497/H1497,-3)</f>
        <v>#REF!</v>
      </c>
      <c r="J1497" s="137"/>
      <c r="K1497" s="13"/>
    </row>
    <row r="1498" spans="1:11" ht="15" customHeight="1">
      <c r="A1498" s="804"/>
      <c r="B1498" s="7" t="s">
        <v>1133</v>
      </c>
      <c r="C1498" s="20">
        <v>510</v>
      </c>
      <c r="D1498" s="21" t="s">
        <v>1134</v>
      </c>
      <c r="E1498" s="25">
        <v>290000</v>
      </c>
      <c r="G1498" s="8">
        <v>510</v>
      </c>
      <c r="H1498" s="11">
        <f>0.6*0.78</f>
        <v>0.46799999999999997</v>
      </c>
      <c r="I1498" s="12" t="e">
        <f>ROUND(#REF!*1000000/G1498/H1498,-3)</f>
        <v>#REF!</v>
      </c>
      <c r="J1498" s="137"/>
      <c r="K1498" s="13"/>
    </row>
    <row r="1499" spans="1:11" ht="15" customHeight="1">
      <c r="A1499" s="804"/>
      <c r="B1499" s="7" t="s">
        <v>1126</v>
      </c>
      <c r="C1499" s="33">
        <v>602</v>
      </c>
      <c r="D1499" s="21" t="s">
        <v>1135</v>
      </c>
      <c r="E1499" s="25">
        <v>660000</v>
      </c>
      <c r="G1499" s="8">
        <v>602</v>
      </c>
      <c r="H1499" s="11">
        <f>1.1*0.8</f>
        <v>0.88000000000000012</v>
      </c>
      <c r="I1499" s="12" t="e">
        <f>ROUND(#REF!*1000000/G1499/H1499,-3)</f>
        <v>#REF!</v>
      </c>
      <c r="J1499" s="137"/>
      <c r="K1499" s="13"/>
    </row>
    <row r="1500" spans="1:11" ht="15" customHeight="1">
      <c r="A1500" s="804"/>
      <c r="B1500" s="814" t="s">
        <v>1136</v>
      </c>
      <c r="C1500" s="20">
        <v>550</v>
      </c>
      <c r="D1500" s="21" t="s">
        <v>1137</v>
      </c>
      <c r="E1500" s="25">
        <v>665000</v>
      </c>
      <c r="G1500" s="8">
        <v>550</v>
      </c>
      <c r="H1500" s="11">
        <f>1.091*0.8</f>
        <v>0.87280000000000002</v>
      </c>
      <c r="I1500" s="12" t="e">
        <f>ROUND(#REF!*1000000/G1500/H1500,-3)</f>
        <v>#REF!</v>
      </c>
      <c r="J1500" s="137"/>
      <c r="K1500" s="13"/>
    </row>
    <row r="1501" spans="1:11" ht="15" customHeight="1">
      <c r="A1501" s="804"/>
      <c r="B1501" s="805"/>
      <c r="C1501" s="20">
        <v>535</v>
      </c>
      <c r="D1501" s="21" t="s">
        <v>1138</v>
      </c>
      <c r="E1501" s="25">
        <v>600000</v>
      </c>
      <c r="G1501" s="8">
        <v>535</v>
      </c>
      <c r="H1501" s="11">
        <f>1.091*0.8</f>
        <v>0.87280000000000002</v>
      </c>
      <c r="I1501" s="12" t="e">
        <f>ROUND(#REF!*1000000/G1501/H1501,-3)</f>
        <v>#REF!</v>
      </c>
      <c r="J1501" s="137"/>
      <c r="K1501" s="13"/>
    </row>
    <row r="1502" spans="1:11" ht="15" customHeight="1">
      <c r="A1502" s="804"/>
      <c r="B1502" s="7" t="s">
        <v>1139</v>
      </c>
      <c r="C1502" s="33">
        <v>758</v>
      </c>
      <c r="D1502" s="21" t="s">
        <v>1140</v>
      </c>
      <c r="E1502" s="25">
        <v>440000</v>
      </c>
      <c r="G1502" s="8">
        <v>758</v>
      </c>
      <c r="H1502" s="11">
        <f>0.788*0.545</f>
        <v>0.42946000000000006</v>
      </c>
      <c r="I1502" s="12" t="e">
        <f>ROUND(#REF!*1000000/G1502/H1502,-3)</f>
        <v>#REF!</v>
      </c>
      <c r="J1502" s="137"/>
      <c r="K1502" s="13"/>
    </row>
    <row r="1503" spans="1:11" ht="15" customHeight="1">
      <c r="A1503" s="804"/>
      <c r="B1503" s="24" t="s">
        <v>1131</v>
      </c>
      <c r="C1503" s="20">
        <v>230</v>
      </c>
      <c r="D1503" s="21" t="s">
        <v>1141</v>
      </c>
      <c r="E1503" s="25">
        <v>220000</v>
      </c>
      <c r="G1503" s="8">
        <v>230</v>
      </c>
      <c r="H1503" s="11">
        <f>0.545*0.78</f>
        <v>0.42510000000000003</v>
      </c>
      <c r="I1503" s="12" t="e">
        <f>ROUND(#REF!*1000000/G1503/H1503,-3)</f>
        <v>#REF!</v>
      </c>
      <c r="J1503" s="137"/>
      <c r="K1503" s="13"/>
    </row>
    <row r="1504" spans="1:11" ht="15" customHeight="1">
      <c r="A1504" s="804"/>
      <c r="B1504" s="24" t="s">
        <v>1142</v>
      </c>
      <c r="C1504" s="20">
        <v>403</v>
      </c>
      <c r="D1504" s="21" t="s">
        <v>1143</v>
      </c>
      <c r="E1504" s="25">
        <v>200000</v>
      </c>
      <c r="G1504" s="8">
        <v>403</v>
      </c>
      <c r="H1504" s="11">
        <f>0.545*0.8</f>
        <v>0.43600000000000005</v>
      </c>
      <c r="I1504" s="12" t="e">
        <f>ROUND(#REF!*1000000/G1504/H1504,-3)</f>
        <v>#REF!</v>
      </c>
      <c r="J1504" s="137"/>
      <c r="K1504" s="13"/>
    </row>
    <row r="1505" spans="1:11" ht="15" customHeight="1">
      <c r="A1505" s="805"/>
      <c r="B1505" s="7" t="s">
        <v>1144</v>
      </c>
      <c r="C1505" s="20">
        <v>350</v>
      </c>
      <c r="D1505" s="21" t="s">
        <v>1145</v>
      </c>
      <c r="E1505" s="25">
        <v>300000</v>
      </c>
      <c r="G1505" s="8">
        <v>350</v>
      </c>
      <c r="H1505" s="11">
        <f>0.54*0.78</f>
        <v>0.42120000000000002</v>
      </c>
      <c r="I1505" s="12" t="e">
        <f>ROUND(#REF!*1000000/G1505/H1505,-3)</f>
        <v>#REF!</v>
      </c>
      <c r="J1505" s="137"/>
      <c r="K1505" s="13"/>
    </row>
    <row r="1506" spans="1:11" ht="15" customHeight="1">
      <c r="A1506" s="813" t="s">
        <v>1146</v>
      </c>
      <c r="B1506" s="814" t="s">
        <v>22</v>
      </c>
      <c r="C1506" s="33">
        <v>116</v>
      </c>
      <c r="D1506" s="21" t="s">
        <v>1147</v>
      </c>
      <c r="E1506" s="25">
        <v>465000</v>
      </c>
      <c r="G1506" s="8">
        <v>116</v>
      </c>
      <c r="H1506" s="11">
        <f t="shared" ref="H1506:H1508" si="226">0.788*1.091</f>
        <v>0.85970800000000003</v>
      </c>
      <c r="I1506" s="12" t="e">
        <f>ROUND(#REF!*1000000/G1506/H1506,-3)</f>
        <v>#REF!</v>
      </c>
      <c r="J1506" s="137"/>
      <c r="K1506" s="13"/>
    </row>
    <row r="1507" spans="1:11" ht="15" customHeight="1">
      <c r="A1507" s="816"/>
      <c r="B1507" s="804"/>
      <c r="C1507" s="33">
        <v>198</v>
      </c>
      <c r="D1507" s="21" t="s">
        <v>1148</v>
      </c>
      <c r="E1507" s="25">
        <v>780000</v>
      </c>
      <c r="G1507" s="8">
        <v>198</v>
      </c>
      <c r="H1507" s="11">
        <f t="shared" si="226"/>
        <v>0.85970800000000003</v>
      </c>
      <c r="I1507" s="12" t="e">
        <f>ROUND(#REF!*1000000/G1507/H1507,-3)</f>
        <v>#REF!</v>
      </c>
      <c r="J1507" s="137"/>
      <c r="K1507" s="13"/>
    </row>
    <row r="1508" spans="1:11" ht="15" customHeight="1">
      <c r="A1508" s="817"/>
      <c r="B1508" s="805"/>
      <c r="C1508" s="33">
        <f>C1507</f>
        <v>198</v>
      </c>
      <c r="D1508" s="21" t="s">
        <v>1149</v>
      </c>
      <c r="E1508" s="25">
        <v>820000</v>
      </c>
      <c r="G1508" s="8">
        <v>198</v>
      </c>
      <c r="H1508" s="11">
        <f t="shared" si="226"/>
        <v>0.85970800000000003</v>
      </c>
      <c r="I1508" s="12" t="e">
        <f>ROUND(#REF!*1000000/G1508/H1508,-3)</f>
        <v>#REF!</v>
      </c>
      <c r="J1508" s="137"/>
      <c r="K1508" s="13"/>
    </row>
    <row r="1509" spans="1:11" ht="15" customHeight="1">
      <c r="A1509" s="7" t="s">
        <v>1150</v>
      </c>
      <c r="B1509" s="7" t="s">
        <v>1151</v>
      </c>
      <c r="C1509" s="33">
        <v>285</v>
      </c>
      <c r="D1509" s="21" t="s">
        <v>1152</v>
      </c>
      <c r="E1509" s="25">
        <v>1265000</v>
      </c>
      <c r="G1509" s="8">
        <v>285</v>
      </c>
      <c r="H1509" s="11">
        <f>0.5*0.7</f>
        <v>0.35</v>
      </c>
      <c r="I1509" s="12" t="e">
        <f>ROUND(#REF!*1000000/G1509/H1509,-3)</f>
        <v>#REF!</v>
      </c>
      <c r="J1509" s="137"/>
      <c r="K1509" s="13"/>
    </row>
    <row r="1510" spans="1:11" ht="15" customHeight="1">
      <c r="A1510" s="810" t="s">
        <v>1153</v>
      </c>
      <c r="B1510" s="814" t="s">
        <v>236</v>
      </c>
      <c r="C1510" s="33">
        <v>80</v>
      </c>
      <c r="D1510" s="21" t="s">
        <v>1154</v>
      </c>
      <c r="E1510" s="25">
        <v>880000</v>
      </c>
      <c r="G1510" s="8">
        <v>80</v>
      </c>
      <c r="H1510" s="11">
        <v>0.7</v>
      </c>
      <c r="I1510" s="12" t="e">
        <f>ROUND(#REF!*1000000/G1510/H1510,-3)</f>
        <v>#REF!</v>
      </c>
      <c r="J1510" s="137"/>
      <c r="K1510" s="13"/>
    </row>
    <row r="1511" spans="1:11" ht="15" customHeight="1">
      <c r="A1511" s="810"/>
      <c r="B1511" s="804"/>
      <c r="C1511" s="33">
        <v>300</v>
      </c>
      <c r="D1511" s="21" t="s">
        <v>1155</v>
      </c>
      <c r="E1511" s="25">
        <v>1335000</v>
      </c>
      <c r="G1511" s="8">
        <v>300</v>
      </c>
      <c r="H1511" s="11">
        <v>0.7</v>
      </c>
      <c r="I1511" s="12" t="e">
        <f>ROUND(#REF!*1000000/G1511/H1511,-3)</f>
        <v>#REF!</v>
      </c>
      <c r="J1511" s="137"/>
      <c r="K1511" s="13"/>
    </row>
    <row r="1512" spans="1:11" ht="15" customHeight="1">
      <c r="A1512" s="810"/>
      <c r="B1512" s="805"/>
      <c r="C1512" s="33">
        <f>C1511</f>
        <v>300</v>
      </c>
      <c r="D1512" s="21" t="s">
        <v>1156</v>
      </c>
      <c r="E1512" s="25">
        <v>1690000</v>
      </c>
      <c r="G1512" s="8">
        <v>300</v>
      </c>
      <c r="H1512" s="11">
        <v>0.7</v>
      </c>
      <c r="I1512" s="12" t="e">
        <f>ROUND(#REF!*1000000/G1512/H1512,-3)</f>
        <v>#REF!</v>
      </c>
      <c r="J1512" s="137"/>
      <c r="K1512" s="13"/>
    </row>
    <row r="1513" spans="1:11" ht="15" customHeight="1">
      <c r="A1513" s="810"/>
      <c r="B1513" s="7" t="s">
        <v>1157</v>
      </c>
      <c r="C1513" s="33">
        <v>130</v>
      </c>
      <c r="D1513" s="21" t="s">
        <v>1158</v>
      </c>
      <c r="E1513" s="25">
        <v>1625000</v>
      </c>
      <c r="G1513" s="8">
        <v>130</v>
      </c>
      <c r="H1513" s="11">
        <f>0.7*1.02</f>
        <v>0.71399999999999997</v>
      </c>
      <c r="I1513" s="12" t="e">
        <f>ROUND(#REF!*1000000/G1513/H1513,-3)</f>
        <v>#REF!</v>
      </c>
      <c r="J1513" s="137"/>
      <c r="K1513" s="13"/>
    </row>
    <row r="1514" spans="1:11" ht="15" customHeight="1">
      <c r="A1514" s="810"/>
      <c r="B1514" s="810" t="s">
        <v>248</v>
      </c>
      <c r="C1514" s="33">
        <v>120</v>
      </c>
      <c r="D1514" s="21" t="s">
        <v>1159</v>
      </c>
      <c r="E1514" s="25">
        <v>535000</v>
      </c>
      <c r="G1514" s="8">
        <v>120</v>
      </c>
      <c r="H1514" s="11">
        <v>0.7</v>
      </c>
      <c r="I1514" s="12" t="e">
        <f>ROUND(#REF!*1000000/G1514/H1514,-3)</f>
        <v>#REF!</v>
      </c>
      <c r="J1514" s="137"/>
      <c r="K1514" s="13"/>
    </row>
    <row r="1515" spans="1:11" ht="15" customHeight="1">
      <c r="A1515" s="810"/>
      <c r="B1515" s="810"/>
      <c r="C1515" s="33">
        <v>300</v>
      </c>
      <c r="D1515" s="21" t="s">
        <v>1160</v>
      </c>
      <c r="E1515" s="25">
        <v>1335000</v>
      </c>
      <c r="G1515" s="8">
        <v>300</v>
      </c>
      <c r="H1515" s="11">
        <v>0.7</v>
      </c>
      <c r="I1515" s="12" t="e">
        <f>ROUND(#REF!*1000000/G1515/H1515,-3)</f>
        <v>#REF!</v>
      </c>
      <c r="J1515" s="137"/>
      <c r="K1515" s="13"/>
    </row>
    <row r="1516" spans="1:11" ht="15" customHeight="1">
      <c r="A1516" s="811" t="s">
        <v>1161</v>
      </c>
      <c r="B1516" s="810" t="s">
        <v>595</v>
      </c>
      <c r="C1516" s="20">
        <v>157</v>
      </c>
      <c r="D1516" s="21"/>
      <c r="E1516" s="25">
        <v>830000</v>
      </c>
      <c r="G1516" s="14">
        <v>157</v>
      </c>
      <c r="H1516" s="11">
        <f>0.788*1.091</f>
        <v>0.85970800000000003</v>
      </c>
      <c r="I1516" s="12" t="e">
        <f>ROUND(#REF!*1000000/G1516/H1516,-3)</f>
        <v>#REF!</v>
      </c>
      <c r="J1516" s="137"/>
      <c r="K1516" s="13"/>
    </row>
    <row r="1517" spans="1:11" ht="15" customHeight="1">
      <c r="A1517" s="811"/>
      <c r="B1517" s="810"/>
      <c r="C1517" s="20">
        <v>209</v>
      </c>
      <c r="D1517" s="21"/>
      <c r="E1517" s="25">
        <v>1055000</v>
      </c>
      <c r="G1517" s="14">
        <v>209</v>
      </c>
      <c r="H1517" s="11">
        <f t="shared" ref="H1517:H1526" si="227">0.788*1.091</f>
        <v>0.85970800000000003</v>
      </c>
      <c r="I1517" s="12" t="e">
        <f>ROUND(#REF!*1000000/G1517/H1517,-3)</f>
        <v>#REF!</v>
      </c>
      <c r="J1517" s="137"/>
      <c r="K1517" s="13"/>
    </row>
    <row r="1518" spans="1:11" ht="15" customHeight="1">
      <c r="A1518" s="811"/>
      <c r="B1518" s="810"/>
      <c r="C1518" s="20">
        <v>256</v>
      </c>
      <c r="D1518" s="21"/>
      <c r="E1518" s="25">
        <v>1240000</v>
      </c>
      <c r="G1518" s="14">
        <v>256</v>
      </c>
      <c r="H1518" s="11">
        <f t="shared" si="227"/>
        <v>0.85970800000000003</v>
      </c>
      <c r="I1518" s="12" t="e">
        <f>ROUND(#REF!*1000000/G1518/H1518,-3)</f>
        <v>#REF!</v>
      </c>
      <c r="J1518" s="137"/>
      <c r="K1518" s="13"/>
    </row>
    <row r="1519" spans="1:11" ht="15" customHeight="1">
      <c r="A1519" s="811"/>
      <c r="B1519" s="810"/>
      <c r="C1519" s="20">
        <v>360</v>
      </c>
      <c r="D1519" s="21"/>
      <c r="E1519" s="25">
        <v>1630000</v>
      </c>
      <c r="G1519" s="14">
        <v>360</v>
      </c>
      <c r="H1519" s="11">
        <f t="shared" si="227"/>
        <v>0.85970800000000003</v>
      </c>
      <c r="I1519" s="12" t="e">
        <f>ROUND(#REF!*1000000/G1519/H1519,-3)</f>
        <v>#REF!</v>
      </c>
      <c r="J1519" s="137"/>
      <c r="K1519" s="13"/>
    </row>
    <row r="1520" spans="1:11" ht="15" customHeight="1">
      <c r="A1520" s="810" t="s">
        <v>1162</v>
      </c>
      <c r="B1520" s="810" t="s">
        <v>343</v>
      </c>
      <c r="C1520" s="7">
        <v>93</v>
      </c>
      <c r="D1520" s="9" t="s">
        <v>742</v>
      </c>
      <c r="E1520" s="25">
        <v>460000</v>
      </c>
      <c r="G1520" s="8">
        <v>93</v>
      </c>
      <c r="H1520" s="11">
        <f t="shared" si="227"/>
        <v>0.85970800000000003</v>
      </c>
      <c r="I1520" s="12" t="e">
        <f>ROUND(#REF!*1000000/G1520/H1520,-3)</f>
        <v>#REF!</v>
      </c>
      <c r="J1520" s="136">
        <v>130</v>
      </c>
      <c r="K1520" s="13"/>
    </row>
    <row r="1521" spans="1:11" ht="15" customHeight="1">
      <c r="A1521" s="810"/>
      <c r="B1521" s="810"/>
      <c r="C1521" s="7">
        <v>116</v>
      </c>
      <c r="D1521" s="9" t="s">
        <v>742</v>
      </c>
      <c r="E1521" s="25">
        <v>530000</v>
      </c>
      <c r="G1521" s="8">
        <v>116</v>
      </c>
      <c r="H1521" s="11">
        <f t="shared" si="227"/>
        <v>0.85970800000000003</v>
      </c>
      <c r="I1521" s="12" t="e">
        <f>ROUND(#REF!*1000000/G1521/H1521,-3)</f>
        <v>#REF!</v>
      </c>
      <c r="J1521" s="136">
        <v>160</v>
      </c>
      <c r="K1521" s="13"/>
    </row>
    <row r="1522" spans="1:11" ht="15" customHeight="1">
      <c r="A1522" s="810"/>
      <c r="B1522" s="810"/>
      <c r="C1522" s="7">
        <v>140</v>
      </c>
      <c r="D1522" s="9" t="s">
        <v>742</v>
      </c>
      <c r="E1522" s="25">
        <v>640000</v>
      </c>
      <c r="G1522" s="8">
        <v>140</v>
      </c>
      <c r="H1522" s="11">
        <f t="shared" si="227"/>
        <v>0.85970800000000003</v>
      </c>
      <c r="I1522" s="12" t="e">
        <f>ROUND(#REF!*1000000/G1522/H1522,-3)</f>
        <v>#REF!</v>
      </c>
      <c r="J1522" s="136">
        <v>190</v>
      </c>
      <c r="K1522" s="13"/>
    </row>
    <row r="1523" spans="1:11" ht="15" customHeight="1">
      <c r="A1523" s="810"/>
      <c r="B1523" s="810"/>
      <c r="C1523" s="7">
        <v>163</v>
      </c>
      <c r="D1523" s="9" t="s">
        <v>742</v>
      </c>
      <c r="E1523" s="25">
        <v>745000</v>
      </c>
      <c r="G1523" s="8">
        <v>163</v>
      </c>
      <c r="H1523" s="11">
        <f t="shared" si="227"/>
        <v>0.85970800000000003</v>
      </c>
      <c r="I1523" s="12" t="e">
        <f>ROUND(#REF!*1000000/G1523/H1523,-3)</f>
        <v>#REF!</v>
      </c>
      <c r="J1523" s="136">
        <v>220</v>
      </c>
      <c r="K1523" s="13"/>
    </row>
    <row r="1524" spans="1:11" ht="15" customHeight="1">
      <c r="A1524" s="810"/>
      <c r="B1524" s="810"/>
      <c r="C1524" s="7">
        <v>198</v>
      </c>
      <c r="D1524" s="9" t="s">
        <v>742</v>
      </c>
      <c r="E1524" s="25">
        <v>905000</v>
      </c>
      <c r="G1524" s="8">
        <v>198</v>
      </c>
      <c r="H1524" s="11">
        <f t="shared" si="227"/>
        <v>0.85970800000000003</v>
      </c>
      <c r="I1524" s="12" t="e">
        <f>ROUND(#REF!*1000000/G1524/H1524,-3)</f>
        <v>#REF!</v>
      </c>
      <c r="J1524" s="136">
        <v>240</v>
      </c>
      <c r="K1524" s="13"/>
    </row>
    <row r="1525" spans="1:11" ht="15" customHeight="1">
      <c r="A1525" s="810"/>
      <c r="B1525" s="810"/>
      <c r="C1525" s="7">
        <v>233</v>
      </c>
      <c r="D1525" s="9" t="s">
        <v>742</v>
      </c>
      <c r="E1525" s="25">
        <v>1065000</v>
      </c>
      <c r="G1525" s="8">
        <v>233</v>
      </c>
      <c r="H1525" s="11">
        <f t="shared" si="227"/>
        <v>0.85970800000000003</v>
      </c>
      <c r="I1525" s="12" t="e">
        <f>ROUND(#REF!*1000000/G1525/H1525,-3)</f>
        <v>#REF!</v>
      </c>
      <c r="J1525" s="136">
        <v>290</v>
      </c>
      <c r="K1525" s="13"/>
    </row>
    <row r="1526" spans="1:11" ht="15" customHeight="1">
      <c r="A1526" s="810"/>
      <c r="B1526" s="810"/>
      <c r="C1526" s="7">
        <v>267</v>
      </c>
      <c r="D1526" s="9" t="s">
        <v>742</v>
      </c>
      <c r="E1526" s="25">
        <v>1225000</v>
      </c>
      <c r="G1526" s="8">
        <v>267</v>
      </c>
      <c r="H1526" s="11">
        <f t="shared" si="227"/>
        <v>0.85970800000000003</v>
      </c>
      <c r="I1526" s="12" t="e">
        <f>ROUND(#REF!*1000000/G1526/H1526,-3)</f>
        <v>#REF!</v>
      </c>
      <c r="J1526" s="136">
        <v>330</v>
      </c>
      <c r="K1526" s="13"/>
    </row>
    <row r="1527" spans="1:11" ht="15" customHeight="1">
      <c r="A1527" s="810"/>
      <c r="B1527" s="810" t="s">
        <v>347</v>
      </c>
      <c r="C1527" s="7">
        <v>93</v>
      </c>
      <c r="D1527" s="9" t="s">
        <v>742</v>
      </c>
      <c r="E1527" s="25">
        <v>320000</v>
      </c>
      <c r="G1527" s="8">
        <v>93</v>
      </c>
      <c r="H1527" s="11">
        <f t="shared" ref="H1527:H1533" si="228">0.939*0.636</f>
        <v>0.59720399999999996</v>
      </c>
      <c r="I1527" s="12" t="e">
        <f>ROUND(#REF!*1000000/G1527/H1527,-3)</f>
        <v>#REF!</v>
      </c>
      <c r="J1527" s="136">
        <v>130</v>
      </c>
      <c r="K1527" s="13"/>
    </row>
    <row r="1528" spans="1:11" ht="15" customHeight="1">
      <c r="A1528" s="810"/>
      <c r="B1528" s="810"/>
      <c r="C1528" s="7">
        <v>116</v>
      </c>
      <c r="D1528" s="9" t="s">
        <v>742</v>
      </c>
      <c r="E1528" s="25">
        <v>370000</v>
      </c>
      <c r="G1528" s="8">
        <v>116</v>
      </c>
      <c r="H1528" s="11">
        <f t="shared" si="228"/>
        <v>0.59720399999999996</v>
      </c>
      <c r="I1528" s="12" t="e">
        <f>ROUND(#REF!*1000000/G1528/H1528,-3)</f>
        <v>#REF!</v>
      </c>
      <c r="J1528" s="136">
        <v>160</v>
      </c>
      <c r="K1528" s="13"/>
    </row>
    <row r="1529" spans="1:11" ht="15" customHeight="1">
      <c r="A1529" s="810"/>
      <c r="B1529" s="810"/>
      <c r="C1529" s="7">
        <v>140</v>
      </c>
      <c r="D1529" s="9" t="s">
        <v>742</v>
      </c>
      <c r="E1529" s="25">
        <v>445000</v>
      </c>
      <c r="G1529" s="8">
        <v>140</v>
      </c>
      <c r="H1529" s="11">
        <f t="shared" si="228"/>
        <v>0.59720399999999996</v>
      </c>
      <c r="I1529" s="12" t="e">
        <f>ROUND(#REF!*1000000/G1529/H1529,-3)</f>
        <v>#REF!</v>
      </c>
      <c r="J1529" s="136">
        <v>190</v>
      </c>
      <c r="K1529" s="13"/>
    </row>
    <row r="1530" spans="1:11" ht="15" customHeight="1">
      <c r="A1530" s="810"/>
      <c r="B1530" s="810"/>
      <c r="C1530" s="7">
        <v>163</v>
      </c>
      <c r="D1530" s="9" t="s">
        <v>742</v>
      </c>
      <c r="E1530" s="25">
        <v>520000</v>
      </c>
      <c r="G1530" s="8">
        <v>163</v>
      </c>
      <c r="H1530" s="11">
        <f t="shared" si="228"/>
        <v>0.59720399999999996</v>
      </c>
      <c r="I1530" s="12" t="e">
        <f>ROUND(#REF!*1000000/G1530/H1530,-3)</f>
        <v>#REF!</v>
      </c>
      <c r="J1530" s="136">
        <v>220</v>
      </c>
      <c r="K1530" s="13"/>
    </row>
    <row r="1531" spans="1:11" ht="15" customHeight="1">
      <c r="A1531" s="810"/>
      <c r="B1531" s="810"/>
      <c r="C1531" s="7">
        <v>198</v>
      </c>
      <c r="D1531" s="9" t="s">
        <v>742</v>
      </c>
      <c r="E1531" s="25">
        <v>630000</v>
      </c>
      <c r="G1531" s="8">
        <v>198</v>
      </c>
      <c r="H1531" s="11">
        <f t="shared" si="228"/>
        <v>0.59720399999999996</v>
      </c>
      <c r="I1531" s="12" t="e">
        <f>ROUND(#REF!*1000000/G1531/H1531,-3)</f>
        <v>#REF!</v>
      </c>
      <c r="J1531" s="136">
        <v>240</v>
      </c>
      <c r="K1531" s="13"/>
    </row>
    <row r="1532" spans="1:11" ht="15" customHeight="1">
      <c r="A1532" s="810"/>
      <c r="B1532" s="810"/>
      <c r="C1532" s="7">
        <v>233</v>
      </c>
      <c r="D1532" s="9" t="s">
        <v>742</v>
      </c>
      <c r="E1532" s="25">
        <v>740000</v>
      </c>
      <c r="G1532" s="8">
        <v>233</v>
      </c>
      <c r="H1532" s="11">
        <f t="shared" si="228"/>
        <v>0.59720399999999996</v>
      </c>
      <c r="I1532" s="12" t="e">
        <f>ROUND(#REF!*1000000/G1532/H1532,-3)</f>
        <v>#REF!</v>
      </c>
      <c r="J1532" s="136">
        <v>290</v>
      </c>
      <c r="K1532" s="13"/>
    </row>
    <row r="1533" spans="1:11" ht="15" customHeight="1">
      <c r="A1533" s="810"/>
      <c r="B1533" s="810"/>
      <c r="C1533" s="7">
        <v>267</v>
      </c>
      <c r="D1533" s="9" t="s">
        <v>742</v>
      </c>
      <c r="E1533" s="25">
        <v>850000</v>
      </c>
      <c r="G1533" s="8">
        <v>267</v>
      </c>
      <c r="H1533" s="11">
        <f t="shared" si="228"/>
        <v>0.59720399999999996</v>
      </c>
      <c r="I1533" s="12" t="e">
        <f>ROUND(#REF!*1000000/G1533/H1533,-3)</f>
        <v>#REF!</v>
      </c>
      <c r="J1533" s="136">
        <v>330</v>
      </c>
      <c r="K1533" s="13"/>
    </row>
    <row r="1534" spans="1:11" ht="15" customHeight="1">
      <c r="A1534" s="813" t="s">
        <v>1163</v>
      </c>
      <c r="B1534" s="814" t="s">
        <v>1164</v>
      </c>
      <c r="C1534" s="7">
        <f t="shared" ref="C1534:C1548" si="229">C1533</f>
        <v>267</v>
      </c>
      <c r="D1534" s="9" t="s">
        <v>1165</v>
      </c>
      <c r="E1534" s="25">
        <v>0</v>
      </c>
      <c r="G1534" s="8"/>
      <c r="H1534" s="11"/>
      <c r="I1534" s="12"/>
      <c r="J1534" s="137"/>
      <c r="K1534" s="13"/>
    </row>
    <row r="1535" spans="1:11" ht="15" customHeight="1">
      <c r="A1535" s="816"/>
      <c r="B1535" s="804"/>
      <c r="C1535" s="7">
        <f t="shared" si="229"/>
        <v>267</v>
      </c>
      <c r="D1535" s="9" t="s">
        <v>1166</v>
      </c>
      <c r="E1535" s="25">
        <v>0</v>
      </c>
      <c r="G1535" s="8"/>
      <c r="H1535" s="11"/>
      <c r="I1535" s="12"/>
      <c r="J1535" s="137"/>
      <c r="K1535" s="13"/>
    </row>
    <row r="1536" spans="1:11" ht="15" customHeight="1">
      <c r="A1536" s="816"/>
      <c r="B1536" s="804"/>
      <c r="C1536" s="7">
        <f t="shared" si="229"/>
        <v>267</v>
      </c>
      <c r="D1536" s="9" t="s">
        <v>1167</v>
      </c>
      <c r="E1536" s="25">
        <v>0</v>
      </c>
      <c r="G1536" s="8"/>
      <c r="H1536" s="11"/>
      <c r="I1536" s="12"/>
      <c r="J1536" s="137"/>
      <c r="K1536" s="13"/>
    </row>
    <row r="1537" spans="1:11" ht="15" customHeight="1">
      <c r="A1537" s="816"/>
      <c r="B1537" s="804"/>
      <c r="C1537" s="33">
        <f t="shared" si="229"/>
        <v>267</v>
      </c>
      <c r="D1537" s="21" t="s">
        <v>1168</v>
      </c>
      <c r="E1537" s="25">
        <v>0</v>
      </c>
      <c r="G1537" s="8"/>
      <c r="H1537" s="11"/>
      <c r="I1537" s="12"/>
      <c r="J1537" s="137"/>
      <c r="K1537" s="13"/>
    </row>
    <row r="1538" spans="1:11" ht="15" customHeight="1">
      <c r="A1538" s="816"/>
      <c r="B1538" s="805"/>
      <c r="C1538" s="33">
        <f t="shared" si="229"/>
        <v>267</v>
      </c>
      <c r="D1538" s="21" t="s">
        <v>1169</v>
      </c>
      <c r="E1538" s="25">
        <v>0</v>
      </c>
      <c r="G1538" s="8"/>
      <c r="H1538" s="11"/>
      <c r="I1538" s="12"/>
      <c r="J1538" s="137"/>
      <c r="K1538" s="13"/>
    </row>
    <row r="1539" spans="1:11" ht="15" customHeight="1">
      <c r="A1539" s="816"/>
      <c r="B1539" s="814" t="s">
        <v>1170</v>
      </c>
      <c r="C1539" s="7">
        <f t="shared" si="229"/>
        <v>267</v>
      </c>
      <c r="D1539" s="9" t="s">
        <v>1171</v>
      </c>
      <c r="E1539" s="25">
        <v>0</v>
      </c>
      <c r="G1539" s="8"/>
      <c r="H1539" s="11"/>
      <c r="I1539" s="12"/>
      <c r="J1539" s="137"/>
      <c r="K1539" s="13"/>
    </row>
    <row r="1540" spans="1:11" ht="15" customHeight="1">
      <c r="A1540" s="816"/>
      <c r="B1540" s="804"/>
      <c r="C1540" s="7">
        <f t="shared" si="229"/>
        <v>267</v>
      </c>
      <c r="D1540" s="9" t="s">
        <v>1172</v>
      </c>
      <c r="E1540" s="25">
        <v>0</v>
      </c>
      <c r="G1540" s="8"/>
      <c r="H1540" s="11"/>
      <c r="I1540" s="12"/>
      <c r="J1540" s="137"/>
      <c r="K1540" s="13"/>
    </row>
    <row r="1541" spans="1:11" ht="15" customHeight="1">
      <c r="A1541" s="816"/>
      <c r="B1541" s="804"/>
      <c r="C1541" s="7">
        <f t="shared" si="229"/>
        <v>267</v>
      </c>
      <c r="D1541" s="9" t="s">
        <v>1173</v>
      </c>
      <c r="E1541" s="25">
        <v>0</v>
      </c>
      <c r="G1541" s="8"/>
      <c r="H1541" s="11"/>
      <c r="I1541" s="12"/>
      <c r="J1541" s="137"/>
      <c r="K1541" s="13"/>
    </row>
    <row r="1542" spans="1:11" ht="15" customHeight="1">
      <c r="A1542" s="816"/>
      <c r="B1542" s="805"/>
      <c r="C1542" s="33">
        <f t="shared" si="229"/>
        <v>267</v>
      </c>
      <c r="D1542" s="21" t="s">
        <v>1174</v>
      </c>
      <c r="E1542" s="25">
        <v>0</v>
      </c>
      <c r="G1542" s="8"/>
      <c r="H1542" s="11"/>
      <c r="I1542" s="12"/>
      <c r="J1542" s="137"/>
      <c r="K1542" s="13"/>
    </row>
    <row r="1543" spans="1:11" ht="15" customHeight="1">
      <c r="A1543" s="816"/>
      <c r="B1543" s="814" t="s">
        <v>1175</v>
      </c>
      <c r="C1543" s="7">
        <f t="shared" si="229"/>
        <v>267</v>
      </c>
      <c r="D1543" s="9" t="s">
        <v>1176</v>
      </c>
      <c r="E1543" s="25">
        <v>0</v>
      </c>
      <c r="G1543" s="8"/>
      <c r="H1543" s="11"/>
      <c r="I1543" s="12"/>
      <c r="J1543" s="137"/>
      <c r="K1543" s="13"/>
    </row>
    <row r="1544" spans="1:11" ht="15" customHeight="1">
      <c r="A1544" s="816"/>
      <c r="B1544" s="804"/>
      <c r="C1544" s="7">
        <f t="shared" si="229"/>
        <v>267</v>
      </c>
      <c r="D1544" s="9" t="s">
        <v>1177</v>
      </c>
      <c r="E1544" s="25">
        <v>0</v>
      </c>
      <c r="G1544" s="8"/>
      <c r="H1544" s="11"/>
      <c r="I1544" s="12"/>
      <c r="J1544" s="137"/>
      <c r="K1544" s="13"/>
    </row>
    <row r="1545" spans="1:11" ht="15" customHeight="1">
      <c r="A1545" s="816"/>
      <c r="B1545" s="804"/>
      <c r="C1545" s="7">
        <f t="shared" si="229"/>
        <v>267</v>
      </c>
      <c r="D1545" s="9" t="s">
        <v>1178</v>
      </c>
      <c r="E1545" s="25">
        <v>0</v>
      </c>
      <c r="G1545" s="8"/>
      <c r="H1545" s="11"/>
      <c r="I1545" s="12"/>
      <c r="J1545" s="137"/>
      <c r="K1545" s="13"/>
    </row>
    <row r="1546" spans="1:11" ht="15" customHeight="1">
      <c r="A1546" s="816"/>
      <c r="B1546" s="804"/>
      <c r="C1546" s="7">
        <f t="shared" si="229"/>
        <v>267</v>
      </c>
      <c r="D1546" s="9" t="s">
        <v>1179</v>
      </c>
      <c r="E1546" s="25">
        <v>0</v>
      </c>
      <c r="G1546" s="8"/>
      <c r="H1546" s="11"/>
      <c r="I1546" s="12"/>
      <c r="J1546" s="137"/>
      <c r="K1546" s="13"/>
    </row>
    <row r="1547" spans="1:11" ht="15" customHeight="1">
      <c r="A1547" s="816"/>
      <c r="B1547" s="805"/>
      <c r="C1547" s="33">
        <f t="shared" si="229"/>
        <v>267</v>
      </c>
      <c r="D1547" s="21" t="s">
        <v>1180</v>
      </c>
      <c r="E1547" s="25">
        <v>0</v>
      </c>
      <c r="G1547" s="8"/>
      <c r="H1547" s="11"/>
      <c r="I1547" s="12"/>
      <c r="J1547" s="137"/>
      <c r="K1547" s="13"/>
    </row>
    <row r="1548" spans="1:11" ht="15" customHeight="1">
      <c r="A1548" s="817"/>
      <c r="B1548" s="7"/>
      <c r="C1548" s="7">
        <f t="shared" si="229"/>
        <v>267</v>
      </c>
      <c r="D1548" s="9" t="s">
        <v>1181</v>
      </c>
      <c r="E1548" s="25">
        <v>0</v>
      </c>
      <c r="G1548" s="8"/>
      <c r="H1548" s="11"/>
      <c r="I1548" s="12"/>
      <c r="J1548" s="137"/>
      <c r="K1548" s="13"/>
    </row>
    <row r="1549" spans="1:11" ht="15" customHeight="1">
      <c r="A1549" s="814" t="s">
        <v>1182</v>
      </c>
      <c r="B1549" s="814" t="s">
        <v>213</v>
      </c>
      <c r="C1549" s="33">
        <v>157</v>
      </c>
      <c r="D1549" s="21" t="s">
        <v>1183</v>
      </c>
      <c r="E1549" s="25">
        <v>335000</v>
      </c>
      <c r="G1549" s="8">
        <v>157</v>
      </c>
      <c r="H1549" s="11">
        <f t="shared" ref="H1549:H1551" si="230">0.788*1.091</f>
        <v>0.85970800000000003</v>
      </c>
      <c r="I1549" s="12" t="e">
        <f>ROUND(#REF!*1000000/G1549/H1549,-3)</f>
        <v>#REF!</v>
      </c>
      <c r="J1549" s="137"/>
      <c r="K1549" s="13"/>
    </row>
    <row r="1550" spans="1:11" ht="15" customHeight="1">
      <c r="A1550" s="804"/>
      <c r="B1550" s="804"/>
      <c r="C1550" s="33">
        <f>C1549</f>
        <v>157</v>
      </c>
      <c r="D1550" s="21" t="s">
        <v>1184</v>
      </c>
      <c r="E1550" s="25">
        <v>305000</v>
      </c>
      <c r="G1550" s="8">
        <v>157</v>
      </c>
      <c r="H1550" s="11">
        <f t="shared" si="230"/>
        <v>0.85970800000000003</v>
      </c>
      <c r="I1550" s="12" t="e">
        <f>ROUND(#REF!*1000000/G1550/H1550,-3)</f>
        <v>#REF!</v>
      </c>
      <c r="J1550" s="137"/>
      <c r="K1550" s="13"/>
    </row>
    <row r="1551" spans="1:11" ht="15" customHeight="1">
      <c r="A1551" s="804"/>
      <c r="B1551" s="805"/>
      <c r="C1551" s="33">
        <v>186</v>
      </c>
      <c r="D1551" s="21" t="s">
        <v>1185</v>
      </c>
      <c r="E1551" s="25">
        <v>400000</v>
      </c>
      <c r="G1551" s="8">
        <v>186</v>
      </c>
      <c r="H1551" s="11">
        <f t="shared" si="230"/>
        <v>0.85970800000000003</v>
      </c>
      <c r="I1551" s="12" t="e">
        <f>ROUND(#REF!*1000000/G1551/H1551,-3)</f>
        <v>#REF!</v>
      </c>
      <c r="J1551" s="137"/>
      <c r="K1551" s="13"/>
    </row>
    <row r="1552" spans="1:11" ht="15" customHeight="1">
      <c r="A1552" s="804"/>
      <c r="B1552" s="810" t="s">
        <v>347</v>
      </c>
      <c r="C1552" s="33">
        <v>120</v>
      </c>
      <c r="D1552" s="21" t="s">
        <v>1186</v>
      </c>
      <c r="E1552" s="25">
        <v>187500</v>
      </c>
      <c r="G1552" s="8">
        <v>120</v>
      </c>
      <c r="H1552" s="11">
        <f t="shared" ref="H1552:H1554" si="231">0.636*0.939</f>
        <v>0.59720399999999996</v>
      </c>
      <c r="I1552" s="12" t="e">
        <f>ROUND(#REF!*1000000/G1552/H1552,-3)</f>
        <v>#REF!</v>
      </c>
      <c r="J1552" s="137"/>
      <c r="K1552" s="13"/>
    </row>
    <row r="1553" spans="1:11" ht="15" customHeight="1">
      <c r="A1553" s="804"/>
      <c r="B1553" s="810"/>
      <c r="C1553" s="33">
        <v>157</v>
      </c>
      <c r="D1553" s="21" t="s">
        <v>1183</v>
      </c>
      <c r="E1553" s="25">
        <v>232500</v>
      </c>
      <c r="G1553" s="8">
        <v>157</v>
      </c>
      <c r="H1553" s="11">
        <f t="shared" si="231"/>
        <v>0.59720399999999996</v>
      </c>
      <c r="I1553" s="12" t="e">
        <f>ROUND(#REF!*1000000/G1553/H1553,-3)</f>
        <v>#REF!</v>
      </c>
      <c r="J1553" s="137"/>
      <c r="K1553" s="13"/>
    </row>
    <row r="1554" spans="1:11" ht="15" customHeight="1">
      <c r="A1554" s="805"/>
      <c r="B1554" s="810"/>
      <c r="C1554" s="33">
        <v>186</v>
      </c>
      <c r="D1554" s="21" t="s">
        <v>1187</v>
      </c>
      <c r="E1554" s="25">
        <v>277500</v>
      </c>
      <c r="G1554" s="8">
        <v>186</v>
      </c>
      <c r="H1554" s="11">
        <f t="shared" si="231"/>
        <v>0.59720399999999996</v>
      </c>
      <c r="I1554" s="12" t="e">
        <f>ROUND(#REF!*1000000/G1554/H1554,-3)</f>
        <v>#REF!</v>
      </c>
      <c r="J1554" s="137"/>
      <c r="K1554" s="13"/>
    </row>
    <row r="1555" spans="1:11" s="1" customFormat="1" ht="15" customHeight="1">
      <c r="A1555" s="810" t="s">
        <v>1188</v>
      </c>
      <c r="B1555" s="810" t="s">
        <v>1189</v>
      </c>
      <c r="C1555" s="31" t="s">
        <v>1190</v>
      </c>
      <c r="D1555" s="32" t="s">
        <v>1191</v>
      </c>
      <c r="E1555" s="211">
        <v>0</v>
      </c>
      <c r="G1555" s="8" t="s">
        <v>1190</v>
      </c>
      <c r="H1555" s="11"/>
      <c r="I1555" s="12"/>
      <c r="J1555" s="137"/>
      <c r="K1555" s="13"/>
    </row>
    <row r="1556" spans="1:11" s="1" customFormat="1" ht="15" customHeight="1">
      <c r="A1556" s="810"/>
      <c r="B1556" s="810"/>
      <c r="C1556" s="31" t="str">
        <f t="shared" ref="C1556:C1557" si="232">C1555</f>
        <v>8mm</v>
      </c>
      <c r="D1556" s="32" t="s">
        <v>1192</v>
      </c>
      <c r="E1556" s="211">
        <v>0</v>
      </c>
      <c r="G1556" s="8"/>
      <c r="H1556" s="11"/>
      <c r="I1556" s="12"/>
      <c r="J1556" s="137"/>
      <c r="K1556" s="13"/>
    </row>
    <row r="1557" spans="1:11" s="1" customFormat="1" ht="15" customHeight="1">
      <c r="A1557" s="810"/>
      <c r="B1557" s="810"/>
      <c r="C1557" s="31" t="str">
        <f t="shared" si="232"/>
        <v>8mm</v>
      </c>
      <c r="D1557" s="32" t="s">
        <v>1193</v>
      </c>
      <c r="E1557" s="211">
        <v>0</v>
      </c>
      <c r="G1557" s="8"/>
      <c r="H1557" s="11"/>
      <c r="I1557" s="12"/>
      <c r="J1557" s="137"/>
      <c r="K1557" s="13"/>
    </row>
    <row r="1558" spans="1:11" ht="15" customHeight="1">
      <c r="A1558" s="811" t="s">
        <v>1194</v>
      </c>
      <c r="B1558" s="810" t="s">
        <v>343</v>
      </c>
      <c r="C1558" s="33">
        <v>390</v>
      </c>
      <c r="D1558" s="21" t="s">
        <v>1195</v>
      </c>
      <c r="E1558" s="25">
        <v>0</v>
      </c>
      <c r="G1558" s="8">
        <v>390</v>
      </c>
      <c r="H1558" s="11">
        <f t="shared" ref="H1558:H1560" si="233">0.788*1.091</f>
        <v>0.85970800000000003</v>
      </c>
      <c r="I1558" s="12" t="e">
        <f>ROUND(#REF!*1000000/G1558/H1558,-3)</f>
        <v>#REF!</v>
      </c>
      <c r="J1558" s="137"/>
      <c r="K1558" s="13"/>
    </row>
    <row r="1559" spans="1:11" ht="15" customHeight="1">
      <c r="A1559" s="811"/>
      <c r="B1559" s="810"/>
      <c r="C1559" s="33">
        <f>C1558</f>
        <v>390</v>
      </c>
      <c r="D1559" s="21" t="s">
        <v>1196</v>
      </c>
      <c r="E1559" s="25">
        <v>0</v>
      </c>
      <c r="G1559" s="8">
        <v>390</v>
      </c>
      <c r="H1559" s="11">
        <f t="shared" si="233"/>
        <v>0.85970800000000003</v>
      </c>
      <c r="I1559" s="12" t="e">
        <f>ROUND(#REF!*1000000/G1559/H1559,-3)</f>
        <v>#REF!</v>
      </c>
      <c r="J1559" s="137"/>
      <c r="K1559" s="13"/>
    </row>
    <row r="1560" spans="1:11" ht="15" customHeight="1">
      <c r="A1560" s="811"/>
      <c r="B1560" s="810"/>
      <c r="C1560" s="33">
        <v>510</v>
      </c>
      <c r="D1560" s="21" t="s">
        <v>1197</v>
      </c>
      <c r="E1560" s="25">
        <v>0</v>
      </c>
      <c r="G1560" s="8">
        <v>510</v>
      </c>
      <c r="H1560" s="11">
        <f t="shared" si="233"/>
        <v>0.85970800000000003</v>
      </c>
      <c r="I1560" s="12" t="e">
        <f>ROUND(#REF!*1000000/G1560/H1560,-3)</f>
        <v>#REF!</v>
      </c>
      <c r="J1560" s="137"/>
      <c r="K1560" s="13"/>
    </row>
    <row r="1561" spans="1:11" ht="15" customHeight="1">
      <c r="A1561" s="811"/>
      <c r="B1561" s="810" t="s">
        <v>850</v>
      </c>
      <c r="C1561" s="33">
        <v>390</v>
      </c>
      <c r="D1561" s="21" t="s">
        <v>1198</v>
      </c>
      <c r="E1561" s="25">
        <v>0</v>
      </c>
      <c r="G1561" s="8">
        <v>390</v>
      </c>
      <c r="H1561" s="11"/>
      <c r="I1561" s="12"/>
      <c r="J1561" s="137"/>
      <c r="K1561" s="13"/>
    </row>
    <row r="1562" spans="1:11" ht="15" customHeight="1">
      <c r="A1562" s="811"/>
      <c r="B1562" s="810"/>
      <c r="C1562" s="33">
        <f>C1561</f>
        <v>390</v>
      </c>
      <c r="D1562" s="21" t="s">
        <v>1199</v>
      </c>
      <c r="E1562" s="25">
        <v>0</v>
      </c>
      <c r="G1562" s="8">
        <v>390</v>
      </c>
      <c r="H1562" s="11"/>
      <c r="I1562" s="12"/>
      <c r="J1562" s="137"/>
      <c r="K1562" s="13"/>
    </row>
    <row r="1563" spans="1:11" ht="15" customHeight="1">
      <c r="A1563" s="811" t="s">
        <v>1200</v>
      </c>
      <c r="B1563" s="810" t="s">
        <v>27</v>
      </c>
      <c r="C1563" s="33">
        <v>209</v>
      </c>
      <c r="D1563" s="21" t="s">
        <v>1201</v>
      </c>
      <c r="E1563" s="25">
        <v>485000</v>
      </c>
      <c r="G1563" s="8">
        <v>209</v>
      </c>
      <c r="H1563" s="11">
        <f t="shared" ref="H1563:H1576" si="234">0.788*1.091</f>
        <v>0.85970800000000003</v>
      </c>
      <c r="I1563" s="12" t="e">
        <f>ROUND(#REF!*1000000/G1563/H1563,-3)</f>
        <v>#REF!</v>
      </c>
      <c r="J1563" s="137"/>
      <c r="K1563" s="13"/>
    </row>
    <row r="1564" spans="1:11" ht="15" customHeight="1">
      <c r="A1564" s="811"/>
      <c r="B1564" s="810"/>
      <c r="C1564" s="33">
        <v>256</v>
      </c>
      <c r="D1564" s="21" t="s">
        <v>1202</v>
      </c>
      <c r="E1564" s="25">
        <v>610000</v>
      </c>
      <c r="G1564" s="8">
        <v>256</v>
      </c>
      <c r="H1564" s="11">
        <f t="shared" si="234"/>
        <v>0.85970800000000003</v>
      </c>
      <c r="I1564" s="12" t="e">
        <f>ROUND(#REF!*1000000/G1564/H1564,-3)</f>
        <v>#REF!</v>
      </c>
      <c r="J1564" s="137"/>
      <c r="K1564" s="13"/>
    </row>
    <row r="1565" spans="1:11" ht="15" customHeight="1">
      <c r="A1565" s="811"/>
      <c r="B1565" s="810"/>
      <c r="C1565" s="33">
        <v>349</v>
      </c>
      <c r="D1565" s="21" t="s">
        <v>1203</v>
      </c>
      <c r="E1565" s="25">
        <v>835000</v>
      </c>
      <c r="G1565" s="8">
        <v>349</v>
      </c>
      <c r="H1565" s="11">
        <f t="shared" si="234"/>
        <v>0.85970800000000003</v>
      </c>
      <c r="I1565" s="12" t="e">
        <f>ROUND(#REF!*1000000/G1565/H1565,-3)</f>
        <v>#REF!</v>
      </c>
      <c r="J1565" s="137"/>
      <c r="K1565" s="13"/>
    </row>
    <row r="1566" spans="1:11" ht="15" customHeight="1">
      <c r="A1566" s="811"/>
      <c r="B1566" s="810"/>
      <c r="C1566" s="33">
        <v>407</v>
      </c>
      <c r="D1566" s="21" t="s">
        <v>1204</v>
      </c>
      <c r="E1566" s="25">
        <v>975000</v>
      </c>
      <c r="G1566" s="8">
        <v>407</v>
      </c>
      <c r="H1566" s="11">
        <f t="shared" si="234"/>
        <v>0.85970800000000003</v>
      </c>
      <c r="I1566" s="12" t="e">
        <f>ROUND(#REF!*1000000/G1566/H1566,-3)</f>
        <v>#REF!</v>
      </c>
      <c r="J1566" s="137"/>
      <c r="K1566" s="13"/>
    </row>
    <row r="1567" spans="1:11" ht="15" customHeight="1">
      <c r="A1567" s="811" t="s">
        <v>1205</v>
      </c>
      <c r="B1567" s="810" t="s">
        <v>343</v>
      </c>
      <c r="C1567" s="7">
        <v>115</v>
      </c>
      <c r="D1567" s="9" t="s">
        <v>2887</v>
      </c>
      <c r="E1567" s="148">
        <v>475000</v>
      </c>
      <c r="G1567" s="8">
        <v>115</v>
      </c>
      <c r="H1567" s="11">
        <f t="shared" si="234"/>
        <v>0.85970800000000003</v>
      </c>
      <c r="I1567" s="12" t="e">
        <f>ROUND(#REF!*1000000/G1567/H1567,-3)</f>
        <v>#REF!</v>
      </c>
      <c r="J1567" s="137"/>
      <c r="K1567" s="13"/>
    </row>
    <row r="1568" spans="1:11" ht="15" customHeight="1">
      <c r="A1568" s="811"/>
      <c r="B1568" s="810"/>
      <c r="C1568" s="7">
        <v>125</v>
      </c>
      <c r="D1568" s="9" t="s">
        <v>2888</v>
      </c>
      <c r="E1568" s="148">
        <v>475000</v>
      </c>
      <c r="G1568" s="8">
        <v>125</v>
      </c>
      <c r="H1568" s="11">
        <f t="shared" si="234"/>
        <v>0.85970800000000003</v>
      </c>
      <c r="I1568" s="12" t="e">
        <f>ROUND(#REF!*1000000/G1568/H1568,-3)</f>
        <v>#REF!</v>
      </c>
      <c r="J1568" s="137"/>
      <c r="K1568" s="13"/>
    </row>
    <row r="1569" spans="1:11" ht="15" customHeight="1">
      <c r="A1569" s="811"/>
      <c r="B1569" s="810"/>
      <c r="C1569" s="7">
        <v>230</v>
      </c>
      <c r="D1569" s="9" t="s">
        <v>2889</v>
      </c>
      <c r="E1569" s="148">
        <v>950000</v>
      </c>
      <c r="G1569" s="8">
        <v>230</v>
      </c>
      <c r="H1569" s="11">
        <f t="shared" si="234"/>
        <v>0.85970800000000003</v>
      </c>
      <c r="I1569" s="12" t="e">
        <f>ROUND(#REF!*1000000/G1569/H1569,-3)</f>
        <v>#REF!</v>
      </c>
      <c r="J1569" s="137"/>
      <c r="K1569" s="13"/>
    </row>
    <row r="1570" spans="1:11" ht="15" customHeight="1">
      <c r="A1570" s="811"/>
      <c r="B1570" s="810"/>
      <c r="C1570" s="7">
        <f>C1569</f>
        <v>230</v>
      </c>
      <c r="D1570" s="9" t="s">
        <v>2890</v>
      </c>
      <c r="E1570" s="148">
        <v>1075000</v>
      </c>
      <c r="G1570" s="8">
        <v>230</v>
      </c>
      <c r="H1570" s="11">
        <f t="shared" si="234"/>
        <v>0.85970800000000003</v>
      </c>
      <c r="I1570" s="12" t="e">
        <f>ROUND(#REF!*1000000/G1570/H1570,-3)</f>
        <v>#REF!</v>
      </c>
      <c r="J1570" s="137"/>
      <c r="K1570" s="13"/>
    </row>
    <row r="1571" spans="1:11" ht="15" customHeight="1">
      <c r="A1571" s="811"/>
      <c r="B1571" s="810"/>
      <c r="C1571" s="7">
        <v>115</v>
      </c>
      <c r="D1571" s="9" t="s">
        <v>2891</v>
      </c>
      <c r="E1571" s="148">
        <v>675000</v>
      </c>
      <c r="G1571" s="8">
        <v>115</v>
      </c>
      <c r="H1571" s="11">
        <f t="shared" si="234"/>
        <v>0.85970800000000003</v>
      </c>
      <c r="I1571" s="12" t="e">
        <f>ROUND(#REF!*1000000/G1571/H1571,-3)</f>
        <v>#REF!</v>
      </c>
      <c r="J1571" s="137"/>
      <c r="K1571" s="13"/>
    </row>
    <row r="1572" spans="1:11" ht="15" customHeight="1">
      <c r="A1572" s="811"/>
      <c r="B1572" s="810"/>
      <c r="C1572" s="7">
        <f>C1571</f>
        <v>115</v>
      </c>
      <c r="D1572" s="9" t="s">
        <v>2892</v>
      </c>
      <c r="E1572" s="148">
        <v>750000</v>
      </c>
      <c r="G1572" s="8"/>
      <c r="H1572" s="11"/>
      <c r="I1572" s="12"/>
      <c r="J1572" s="137"/>
      <c r="K1572" s="13"/>
    </row>
    <row r="1573" spans="1:11" ht="15" customHeight="1">
      <c r="A1573" s="811"/>
      <c r="B1573" s="810"/>
      <c r="C1573" s="7">
        <v>110</v>
      </c>
      <c r="D1573" s="9" t="s">
        <v>2893</v>
      </c>
      <c r="E1573" s="148">
        <v>625000</v>
      </c>
      <c r="G1573" s="8">
        <v>115</v>
      </c>
      <c r="H1573" s="11">
        <f t="shared" si="234"/>
        <v>0.85970800000000003</v>
      </c>
      <c r="I1573" s="12" t="e">
        <f>ROUND(#REF!*1000000/G1573/H1573,-3)</f>
        <v>#REF!</v>
      </c>
      <c r="J1573" s="137"/>
      <c r="K1573" s="13"/>
    </row>
    <row r="1574" spans="1:11" ht="15" customHeight="1">
      <c r="A1574" s="811"/>
      <c r="B1574" s="810"/>
      <c r="C1574" s="7">
        <f t="shared" ref="C1574:C1577" si="235">C1573</f>
        <v>110</v>
      </c>
      <c r="D1574" s="9" t="s">
        <v>2894</v>
      </c>
      <c r="E1574" s="148">
        <v>685000</v>
      </c>
      <c r="G1574" s="8">
        <v>110</v>
      </c>
      <c r="H1574" s="11">
        <f t="shared" si="234"/>
        <v>0.85970800000000003</v>
      </c>
      <c r="I1574" s="12" t="e">
        <f>ROUND(#REF!*1000000/G1574/H1574,-3)</f>
        <v>#REF!</v>
      </c>
      <c r="J1574" s="137"/>
      <c r="K1574" s="13"/>
    </row>
    <row r="1575" spans="1:11" ht="15" customHeight="1">
      <c r="A1575" s="811"/>
      <c r="B1575" s="810"/>
      <c r="C1575" s="7">
        <f t="shared" si="235"/>
        <v>110</v>
      </c>
      <c r="D1575" s="9" t="s">
        <v>2895</v>
      </c>
      <c r="E1575" s="148">
        <v>720000</v>
      </c>
      <c r="G1575" s="8">
        <v>110</v>
      </c>
      <c r="H1575" s="11">
        <f t="shared" si="234"/>
        <v>0.85970800000000003</v>
      </c>
      <c r="I1575" s="12" t="e">
        <f>ROUND(#REF!*1000000/G1575/H1575,-3)</f>
        <v>#REF!</v>
      </c>
      <c r="J1575" s="137"/>
      <c r="K1575" s="13"/>
    </row>
    <row r="1576" spans="1:11" ht="15" customHeight="1">
      <c r="A1576" s="811"/>
      <c r="B1576" s="810"/>
      <c r="C1576" s="33">
        <f t="shared" si="235"/>
        <v>110</v>
      </c>
      <c r="D1576" s="21" t="s">
        <v>2896</v>
      </c>
      <c r="E1576" s="214">
        <v>605000</v>
      </c>
      <c r="G1576" s="8">
        <v>110</v>
      </c>
      <c r="H1576" s="11">
        <f t="shared" si="234"/>
        <v>0.85970800000000003</v>
      </c>
      <c r="I1576" s="12" t="e">
        <f>ROUND(#REF!*1000000/G1576/H1576,-3)</f>
        <v>#REF!</v>
      </c>
      <c r="J1576" s="137"/>
      <c r="K1576" s="13"/>
    </row>
    <row r="1577" spans="1:11" ht="15" customHeight="1">
      <c r="A1577" s="15" t="s">
        <v>1206</v>
      </c>
      <c r="B1577" s="7" t="s">
        <v>1207</v>
      </c>
      <c r="C1577" s="33">
        <f t="shared" si="235"/>
        <v>110</v>
      </c>
      <c r="D1577" s="21" t="s">
        <v>1208</v>
      </c>
      <c r="E1577" s="25" t="s">
        <v>2349</v>
      </c>
      <c r="G1577" s="8"/>
      <c r="H1577" s="11"/>
      <c r="I1577" s="12"/>
      <c r="J1577" s="137"/>
      <c r="K1577" s="13"/>
    </row>
    <row r="1578" spans="1:11" s="1" customFormat="1" ht="15" customHeight="1">
      <c r="A1578" s="811" t="s">
        <v>1209</v>
      </c>
      <c r="B1578" s="810" t="s">
        <v>343</v>
      </c>
      <c r="C1578" s="7">
        <v>81.400000000000006</v>
      </c>
      <c r="D1578" s="9" t="s">
        <v>1210</v>
      </c>
      <c r="E1578" s="211">
        <v>365000</v>
      </c>
      <c r="G1578" s="34">
        <v>81.400000000000006</v>
      </c>
      <c r="H1578" s="11">
        <f t="shared" ref="H1578:H1604" si="236">0.788*1.091</f>
        <v>0.85970800000000003</v>
      </c>
      <c r="I1578" s="12" t="e">
        <f>ROUND(#REF!*1000000/G1578/H1578,-3)</f>
        <v>#REF!</v>
      </c>
      <c r="J1578" s="136">
        <v>130</v>
      </c>
      <c r="K1578" s="13"/>
    </row>
    <row r="1579" spans="1:11" ht="15" customHeight="1">
      <c r="A1579" s="811"/>
      <c r="B1579" s="810"/>
      <c r="C1579" s="7">
        <f>C1578</f>
        <v>81.400000000000006</v>
      </c>
      <c r="D1579" s="9" t="s">
        <v>1211</v>
      </c>
      <c r="E1579" s="25">
        <v>525000</v>
      </c>
      <c r="G1579" s="34">
        <v>81.400000000000006</v>
      </c>
      <c r="H1579" s="11">
        <f t="shared" si="236"/>
        <v>0.85970800000000003</v>
      </c>
      <c r="I1579" s="12" t="e">
        <f>ROUND(#REF!*1000000/G1579/H1579,-3)</f>
        <v>#REF!</v>
      </c>
      <c r="J1579" s="136">
        <v>130</v>
      </c>
      <c r="K1579" s="13"/>
    </row>
    <row r="1580" spans="1:11" ht="15" customHeight="1">
      <c r="A1580" s="811"/>
      <c r="B1580" s="810"/>
      <c r="C1580" s="7">
        <v>116</v>
      </c>
      <c r="D1580" s="9" t="s">
        <v>614</v>
      </c>
      <c r="E1580" s="25">
        <v>525000</v>
      </c>
      <c r="G1580" s="8">
        <v>116</v>
      </c>
      <c r="H1580" s="11">
        <f t="shared" si="236"/>
        <v>0.85970800000000003</v>
      </c>
      <c r="I1580" s="12" t="e">
        <f>ROUND(#REF!*1000000/G1580/H1580,-3)</f>
        <v>#REF!</v>
      </c>
      <c r="J1580" s="136">
        <v>185</v>
      </c>
      <c r="K1580" s="13"/>
    </row>
    <row r="1581" spans="1:11" ht="15" customHeight="1">
      <c r="A1581" s="811"/>
      <c r="B1581" s="810"/>
      <c r="C1581" s="7">
        <f t="shared" ref="C1581:C1586" si="237">C1580</f>
        <v>116</v>
      </c>
      <c r="D1581" s="9" t="s">
        <v>1212</v>
      </c>
      <c r="E1581" s="25">
        <v>560000</v>
      </c>
      <c r="G1581" s="8">
        <v>116</v>
      </c>
      <c r="H1581" s="11">
        <f t="shared" si="236"/>
        <v>0.85970800000000003</v>
      </c>
      <c r="I1581" s="12" t="e">
        <f>ROUND(#REF!*1000000/G1581/H1581,-3)</f>
        <v>#REF!</v>
      </c>
      <c r="J1581" s="136">
        <v>185</v>
      </c>
      <c r="K1581" s="13"/>
    </row>
    <row r="1582" spans="1:11" ht="15" customHeight="1">
      <c r="A1582" s="811"/>
      <c r="B1582" s="810"/>
      <c r="C1582" s="7">
        <f t="shared" si="237"/>
        <v>116</v>
      </c>
      <c r="D1582" s="9" t="s">
        <v>1213</v>
      </c>
      <c r="E1582" s="25">
        <v>580000</v>
      </c>
      <c r="G1582" s="8">
        <v>116</v>
      </c>
      <c r="H1582" s="11">
        <f t="shared" si="236"/>
        <v>0.85970800000000003</v>
      </c>
      <c r="I1582" s="12" t="e">
        <f>ROUND(#REF!*1000000/G1582/H1582,-3)</f>
        <v>#REF!</v>
      </c>
      <c r="J1582" s="136">
        <v>185</v>
      </c>
      <c r="K1582" s="13"/>
    </row>
    <row r="1583" spans="1:11" ht="15" customHeight="1">
      <c r="A1583" s="811"/>
      <c r="B1583" s="810"/>
      <c r="C1583" s="7">
        <f t="shared" si="237"/>
        <v>116</v>
      </c>
      <c r="D1583" s="9" t="s">
        <v>1214</v>
      </c>
      <c r="E1583" s="25">
        <v>630000</v>
      </c>
      <c r="G1583" s="8">
        <v>116</v>
      </c>
      <c r="H1583" s="11">
        <f t="shared" si="236"/>
        <v>0.85970800000000003</v>
      </c>
      <c r="I1583" s="12" t="e">
        <f>ROUND(#REF!*1000000/G1583/H1583,-3)</f>
        <v>#REF!</v>
      </c>
      <c r="J1583" s="136">
        <v>185</v>
      </c>
      <c r="K1583" s="13"/>
    </row>
    <row r="1584" spans="1:11" ht="15" customHeight="1">
      <c r="A1584" s="811"/>
      <c r="B1584" s="810"/>
      <c r="C1584" s="7">
        <f t="shared" si="237"/>
        <v>116</v>
      </c>
      <c r="D1584" s="9" t="s">
        <v>1215</v>
      </c>
      <c r="E1584" s="25">
        <v>645000</v>
      </c>
      <c r="G1584" s="8">
        <v>116</v>
      </c>
      <c r="H1584" s="11">
        <f t="shared" si="236"/>
        <v>0.85970800000000003</v>
      </c>
      <c r="I1584" s="12" t="e">
        <f>ROUND(#REF!*1000000/G1584/H1584,-3)</f>
        <v>#REF!</v>
      </c>
      <c r="J1584" s="136">
        <v>185</v>
      </c>
      <c r="K1584" s="13"/>
    </row>
    <row r="1585" spans="1:11" ht="15" customHeight="1">
      <c r="A1585" s="811"/>
      <c r="B1585" s="810"/>
      <c r="C1585" s="7">
        <f t="shared" si="237"/>
        <v>116</v>
      </c>
      <c r="D1585" s="9" t="s">
        <v>1216</v>
      </c>
      <c r="E1585" s="25">
        <v>685000</v>
      </c>
      <c r="G1585" s="8">
        <v>116</v>
      </c>
      <c r="H1585" s="11">
        <f t="shared" si="236"/>
        <v>0.85970800000000003</v>
      </c>
      <c r="I1585" s="12" t="e">
        <f>ROUND(#REF!*1000000/G1585/H1585,-3)</f>
        <v>#REF!</v>
      </c>
      <c r="J1585" s="136">
        <v>185</v>
      </c>
      <c r="K1585" s="13"/>
    </row>
    <row r="1586" spans="1:11" ht="15" customHeight="1">
      <c r="A1586" s="811"/>
      <c r="B1586" s="810"/>
      <c r="C1586" s="7">
        <f t="shared" si="237"/>
        <v>116</v>
      </c>
      <c r="D1586" s="9" t="s">
        <v>1217</v>
      </c>
      <c r="E1586" s="25">
        <v>750000</v>
      </c>
      <c r="G1586" s="8">
        <v>116</v>
      </c>
      <c r="H1586" s="11">
        <f t="shared" si="236"/>
        <v>0.85970800000000003</v>
      </c>
      <c r="I1586" s="12" t="e">
        <f>ROUND(#REF!*1000000/G1586/H1586,-3)</f>
        <v>#REF!</v>
      </c>
      <c r="J1586" s="136">
        <v>185</v>
      </c>
      <c r="K1586" s="13"/>
    </row>
    <row r="1587" spans="1:11" ht="15" customHeight="1">
      <c r="A1587" s="811"/>
      <c r="B1587" s="810"/>
      <c r="C1587" s="7">
        <v>151</v>
      </c>
      <c r="D1587" s="9" t="s">
        <v>1210</v>
      </c>
      <c r="E1587" s="25">
        <v>685000</v>
      </c>
      <c r="G1587" s="8">
        <v>151</v>
      </c>
      <c r="H1587" s="11">
        <f t="shared" si="236"/>
        <v>0.85970800000000003</v>
      </c>
      <c r="I1587" s="12" t="e">
        <f>ROUND(#REF!*1000000/G1587/H1587,-3)</f>
        <v>#REF!</v>
      </c>
      <c r="J1587" s="136">
        <v>235</v>
      </c>
      <c r="K1587" s="13"/>
    </row>
    <row r="1588" spans="1:11" ht="15" customHeight="1">
      <c r="A1588" s="811"/>
      <c r="B1588" s="810"/>
      <c r="C1588" s="7">
        <f>C1587</f>
        <v>151</v>
      </c>
      <c r="D1588" s="9" t="s">
        <v>1211</v>
      </c>
      <c r="E1588" s="25">
        <v>980000</v>
      </c>
      <c r="G1588" s="8">
        <v>151</v>
      </c>
      <c r="H1588" s="11">
        <f t="shared" si="236"/>
        <v>0.85970800000000003</v>
      </c>
      <c r="I1588" s="12" t="e">
        <f>ROUND(#REF!*1000000/G1588/H1588,-3)</f>
        <v>#REF!</v>
      </c>
      <c r="J1588" s="136">
        <v>235</v>
      </c>
      <c r="K1588" s="13"/>
    </row>
    <row r="1589" spans="1:11" ht="15" customHeight="1">
      <c r="A1589" s="811"/>
      <c r="B1589" s="810"/>
      <c r="C1589" s="7">
        <v>198</v>
      </c>
      <c r="D1589" s="9" t="s">
        <v>1210</v>
      </c>
      <c r="E1589" s="25">
        <v>895000</v>
      </c>
      <c r="G1589" s="8">
        <v>198</v>
      </c>
      <c r="H1589" s="11">
        <f t="shared" si="236"/>
        <v>0.85970800000000003</v>
      </c>
      <c r="I1589" s="12" t="e">
        <f>ROUND(#REF!*1000000/G1589/H1589,-3)</f>
        <v>#REF!</v>
      </c>
      <c r="J1589" s="136">
        <v>305</v>
      </c>
      <c r="K1589" s="13"/>
    </row>
    <row r="1590" spans="1:11" ht="15" customHeight="1">
      <c r="A1590" s="811"/>
      <c r="B1590" s="810"/>
      <c r="C1590" s="7">
        <f>C1589</f>
        <v>198</v>
      </c>
      <c r="D1590" s="9" t="s">
        <v>1211</v>
      </c>
      <c r="E1590" s="25">
        <v>1285000</v>
      </c>
      <c r="G1590" s="8">
        <v>198</v>
      </c>
      <c r="H1590" s="11">
        <f t="shared" si="236"/>
        <v>0.85970800000000003</v>
      </c>
      <c r="I1590" s="12" t="e">
        <f>ROUND(#REF!*1000000/G1590/H1590,-3)</f>
        <v>#REF!</v>
      </c>
      <c r="J1590" s="136">
        <v>305</v>
      </c>
      <c r="K1590" s="13"/>
    </row>
    <row r="1591" spans="1:11" ht="15" customHeight="1">
      <c r="A1591" s="811"/>
      <c r="B1591" s="810"/>
      <c r="C1591" s="7">
        <v>244</v>
      </c>
      <c r="D1591" s="9" t="s">
        <v>1218</v>
      </c>
      <c r="E1591" s="25">
        <v>1105000</v>
      </c>
      <c r="G1591" s="8">
        <v>244</v>
      </c>
      <c r="H1591" s="11">
        <f t="shared" si="236"/>
        <v>0.85970800000000003</v>
      </c>
      <c r="I1591" s="12" t="e">
        <f>ROUND(#REF!*1000000/G1591/H1591,-3)</f>
        <v>#REF!</v>
      </c>
      <c r="J1591" s="136">
        <v>375</v>
      </c>
      <c r="K1591" s="13"/>
    </row>
    <row r="1592" spans="1:11" ht="15" customHeight="1">
      <c r="A1592" s="811"/>
      <c r="B1592" s="810"/>
      <c r="C1592" s="7">
        <f t="shared" ref="C1592:C1596" si="238">C1591</f>
        <v>244</v>
      </c>
      <c r="D1592" s="9" t="s">
        <v>1219</v>
      </c>
      <c r="E1592" s="25">
        <v>1175000</v>
      </c>
      <c r="G1592" s="8">
        <v>244</v>
      </c>
      <c r="H1592" s="11">
        <f t="shared" si="236"/>
        <v>0.85970800000000003</v>
      </c>
      <c r="I1592" s="12" t="e">
        <f>ROUND(#REF!*1000000/G1592/H1592,-3)</f>
        <v>#REF!</v>
      </c>
      <c r="J1592" s="136">
        <v>375</v>
      </c>
      <c r="K1592" s="13"/>
    </row>
    <row r="1593" spans="1:11" ht="15" customHeight="1">
      <c r="A1593" s="811"/>
      <c r="B1593" s="810"/>
      <c r="C1593" s="7">
        <f t="shared" si="238"/>
        <v>244</v>
      </c>
      <c r="D1593" s="9" t="s">
        <v>1220</v>
      </c>
      <c r="E1593" s="25">
        <v>1225000</v>
      </c>
      <c r="G1593" s="8">
        <v>244</v>
      </c>
      <c r="H1593" s="11">
        <f t="shared" si="236"/>
        <v>0.85970800000000003</v>
      </c>
      <c r="I1593" s="12" t="e">
        <f>ROUND(#REF!*1000000/G1593/H1593,-3)</f>
        <v>#REF!</v>
      </c>
      <c r="J1593" s="136">
        <v>375</v>
      </c>
      <c r="K1593" s="13"/>
    </row>
    <row r="1594" spans="1:11" ht="15" customHeight="1">
      <c r="A1594" s="811"/>
      <c r="B1594" s="810"/>
      <c r="C1594" s="7">
        <f t="shared" si="238"/>
        <v>244</v>
      </c>
      <c r="D1594" s="9" t="s">
        <v>1221</v>
      </c>
      <c r="E1594" s="25">
        <v>1325000</v>
      </c>
      <c r="G1594" s="8">
        <v>244</v>
      </c>
      <c r="H1594" s="11">
        <f t="shared" si="236"/>
        <v>0.85970800000000003</v>
      </c>
      <c r="I1594" s="12" t="e">
        <f>ROUND(#REF!*1000000/G1594/H1594,-3)</f>
        <v>#REF!</v>
      </c>
      <c r="J1594" s="136">
        <v>375</v>
      </c>
      <c r="K1594" s="13"/>
    </row>
    <row r="1595" spans="1:11" ht="15" customHeight="1">
      <c r="A1595" s="811"/>
      <c r="B1595" s="810"/>
      <c r="C1595" s="7">
        <f t="shared" si="238"/>
        <v>244</v>
      </c>
      <c r="D1595" s="9" t="s">
        <v>1222</v>
      </c>
      <c r="E1595" s="25">
        <v>1360000</v>
      </c>
      <c r="G1595" s="8">
        <v>244</v>
      </c>
      <c r="H1595" s="11">
        <f t="shared" si="236"/>
        <v>0.85970800000000003</v>
      </c>
      <c r="I1595" s="12" t="e">
        <f>ROUND(#REF!*1000000/G1595/H1595,-3)</f>
        <v>#REF!</v>
      </c>
      <c r="J1595" s="136">
        <v>375</v>
      </c>
      <c r="K1595" s="13"/>
    </row>
    <row r="1596" spans="1:11" ht="15" customHeight="1">
      <c r="A1596" s="811"/>
      <c r="B1596" s="810"/>
      <c r="C1596" s="7">
        <f t="shared" si="238"/>
        <v>244</v>
      </c>
      <c r="D1596" s="9" t="s">
        <v>1211</v>
      </c>
      <c r="E1596" s="25">
        <v>1580000</v>
      </c>
      <c r="G1596" s="8">
        <v>244</v>
      </c>
      <c r="H1596" s="11">
        <f t="shared" si="236"/>
        <v>0.85970800000000003</v>
      </c>
      <c r="I1596" s="12" t="e">
        <f>ROUND(#REF!*1000000/G1596/H1596,-3)</f>
        <v>#REF!</v>
      </c>
      <c r="J1596" s="136">
        <v>375</v>
      </c>
      <c r="K1596" s="13"/>
    </row>
    <row r="1597" spans="1:11" ht="15" customHeight="1">
      <c r="A1597" s="811"/>
      <c r="B1597" s="810"/>
      <c r="C1597" s="7">
        <v>320</v>
      </c>
      <c r="D1597" s="9" t="s">
        <v>1210</v>
      </c>
      <c r="E1597" s="25">
        <v>1450000</v>
      </c>
      <c r="G1597" s="8">
        <v>320</v>
      </c>
      <c r="H1597" s="11">
        <f t="shared" si="236"/>
        <v>0.85970800000000003</v>
      </c>
      <c r="I1597" s="12" t="e">
        <f>ROUND(#REF!*1000000/G1597/H1597,-3)</f>
        <v>#REF!</v>
      </c>
      <c r="J1597" s="136">
        <v>490</v>
      </c>
      <c r="K1597" s="13"/>
    </row>
    <row r="1598" spans="1:11" ht="15" customHeight="1">
      <c r="A1598" s="811"/>
      <c r="B1598" s="810"/>
      <c r="C1598" s="7">
        <f t="shared" ref="C1598:C1599" si="239">C1597</f>
        <v>320</v>
      </c>
      <c r="D1598" s="9" t="s">
        <v>1211</v>
      </c>
      <c r="E1598" s="25">
        <v>2075000</v>
      </c>
      <c r="G1598" s="8">
        <v>320</v>
      </c>
      <c r="H1598" s="11">
        <f t="shared" si="236"/>
        <v>0.85970800000000003</v>
      </c>
      <c r="I1598" s="12" t="e">
        <f>ROUND(#REF!*1000000/G1598/H1598,-3)</f>
        <v>#REF!</v>
      </c>
      <c r="J1598" s="136">
        <v>490</v>
      </c>
      <c r="K1598" s="13"/>
    </row>
    <row r="1599" spans="1:11" ht="15" customHeight="1">
      <c r="A1599" s="7" t="s">
        <v>1223</v>
      </c>
      <c r="B1599" s="7" t="s">
        <v>27</v>
      </c>
      <c r="C1599" s="33">
        <f t="shared" si="239"/>
        <v>320</v>
      </c>
      <c r="D1599" s="37" t="s">
        <v>1224</v>
      </c>
      <c r="E1599" s="25">
        <v>2245000</v>
      </c>
      <c r="G1599" s="8"/>
      <c r="H1599" s="11">
        <f t="shared" si="236"/>
        <v>0.85970800000000003</v>
      </c>
      <c r="I1599" s="12" t="e">
        <f>ROUND(#REF!*1000000/G1599/H1599,-3)</f>
        <v>#REF!</v>
      </c>
      <c r="J1599" s="137">
        <v>110</v>
      </c>
      <c r="K1599" s="13"/>
    </row>
    <row r="1600" spans="1:11" ht="15" customHeight="1">
      <c r="A1600" s="810" t="s">
        <v>1225</v>
      </c>
      <c r="B1600" s="810" t="s">
        <v>27</v>
      </c>
      <c r="C1600" s="33">
        <v>90</v>
      </c>
      <c r="D1600" s="37" t="s">
        <v>1226</v>
      </c>
      <c r="E1600" s="25">
        <v>2845000</v>
      </c>
      <c r="G1600" s="8">
        <v>90</v>
      </c>
      <c r="H1600" s="11">
        <f t="shared" si="236"/>
        <v>0.85970800000000003</v>
      </c>
      <c r="I1600" s="12" t="e">
        <f>ROUND(#REF!*1000000/G1600/H1600,-3)</f>
        <v>#REF!</v>
      </c>
      <c r="J1600" s="137"/>
      <c r="K1600" s="13"/>
    </row>
    <row r="1601" spans="1:11" ht="15" customHeight="1">
      <c r="A1601" s="810"/>
      <c r="B1601" s="810"/>
      <c r="C1601" s="33">
        <f>C1600</f>
        <v>90</v>
      </c>
      <c r="D1601" s="37" t="s">
        <v>1227</v>
      </c>
      <c r="E1601" s="25">
        <v>2980000</v>
      </c>
      <c r="G1601" s="8">
        <v>90</v>
      </c>
      <c r="H1601" s="11">
        <f t="shared" si="236"/>
        <v>0.85970800000000003</v>
      </c>
      <c r="I1601" s="12" t="e">
        <f>ROUND(#REF!*1000000/G1601/H1601,-3)</f>
        <v>#REF!</v>
      </c>
      <c r="J1601" s="137"/>
      <c r="K1601" s="13"/>
    </row>
    <row r="1602" spans="1:11" ht="15" customHeight="1">
      <c r="A1602" s="810"/>
      <c r="B1602" s="810"/>
      <c r="C1602" s="33">
        <v>126</v>
      </c>
      <c r="D1602" s="37" t="s">
        <v>1228</v>
      </c>
      <c r="E1602" s="25">
        <v>3070000</v>
      </c>
      <c r="G1602" s="8">
        <v>126</v>
      </c>
      <c r="H1602" s="11">
        <f t="shared" si="236"/>
        <v>0.85970800000000003</v>
      </c>
      <c r="I1602" s="12" t="e">
        <f>ROUND(#REF!*1000000/G1602/H1602,-3)</f>
        <v>#REF!</v>
      </c>
      <c r="J1602" s="137"/>
      <c r="K1602" s="13"/>
    </row>
    <row r="1603" spans="1:11" ht="15" customHeight="1">
      <c r="A1603" s="810" t="s">
        <v>1229</v>
      </c>
      <c r="B1603" s="810" t="s">
        <v>22</v>
      </c>
      <c r="C1603" s="7">
        <v>128</v>
      </c>
      <c r="D1603" s="9" t="s">
        <v>1230</v>
      </c>
      <c r="E1603" s="25">
        <v>675000</v>
      </c>
      <c r="G1603" s="8">
        <v>128</v>
      </c>
      <c r="H1603" s="11">
        <f t="shared" si="236"/>
        <v>0.85970800000000003</v>
      </c>
      <c r="I1603" s="12" t="e">
        <f>ROUND(#REF!*1000000/G1603/H1603,-3)</f>
        <v>#REF!</v>
      </c>
      <c r="J1603" s="137"/>
      <c r="K1603" s="13"/>
    </row>
    <row r="1604" spans="1:11" ht="15" customHeight="1">
      <c r="A1604" s="810"/>
      <c r="B1604" s="810"/>
      <c r="C1604" s="7">
        <f>C1603</f>
        <v>128</v>
      </c>
      <c r="D1604" s="9" t="s">
        <v>1231</v>
      </c>
      <c r="E1604" s="25">
        <v>760000</v>
      </c>
      <c r="G1604" s="8">
        <v>128</v>
      </c>
      <c r="H1604" s="11">
        <f t="shared" si="236"/>
        <v>0.85970800000000003</v>
      </c>
      <c r="I1604" s="12" t="e">
        <f>ROUND(#REF!*1000000/G1604/H1604,-3)</f>
        <v>#REF!</v>
      </c>
      <c r="J1604" s="137"/>
      <c r="K1604" s="13"/>
    </row>
    <row r="1605" spans="1:11" ht="15" customHeight="1">
      <c r="A1605" s="810" t="s">
        <v>1232</v>
      </c>
      <c r="B1605" s="810" t="s">
        <v>1233</v>
      </c>
      <c r="C1605" s="7">
        <v>110</v>
      </c>
      <c r="D1605" s="9" t="s">
        <v>2897</v>
      </c>
      <c r="E1605" s="148">
        <v>275000</v>
      </c>
      <c r="G1605" s="8">
        <v>110</v>
      </c>
      <c r="H1605" s="11">
        <f t="shared" ref="H1605:H1608" si="240">0.45*0.64</f>
        <v>0.28800000000000003</v>
      </c>
      <c r="I1605" s="12" t="e">
        <f>ROUND(#REF!*1000000/G1605/H1605,-3)</f>
        <v>#REF!</v>
      </c>
      <c r="J1605" s="136">
        <v>143</v>
      </c>
      <c r="K1605" s="13"/>
    </row>
    <row r="1606" spans="1:11" ht="15" customHeight="1">
      <c r="A1606" s="810"/>
      <c r="B1606" s="810"/>
      <c r="C1606" s="7">
        <f>C1605</f>
        <v>110</v>
      </c>
      <c r="D1606" s="9" t="s">
        <v>2898</v>
      </c>
      <c r="E1606" s="148">
        <v>350000</v>
      </c>
      <c r="G1606" s="8">
        <v>110</v>
      </c>
      <c r="H1606" s="11">
        <f t="shared" si="240"/>
        <v>0.28800000000000003</v>
      </c>
      <c r="I1606" s="12" t="e">
        <f>ROUND(#REF!*1000000/G1606/H1606,-3)</f>
        <v>#REF!</v>
      </c>
      <c r="J1606" s="136">
        <v>175</v>
      </c>
      <c r="K1606" s="13"/>
    </row>
    <row r="1607" spans="1:11" ht="15" customHeight="1">
      <c r="A1607" s="810"/>
      <c r="B1607" s="810"/>
      <c r="C1607" s="7">
        <v>100</v>
      </c>
      <c r="D1607" s="9" t="s">
        <v>2899</v>
      </c>
      <c r="E1607" s="148">
        <v>200000</v>
      </c>
      <c r="G1607" s="8">
        <v>100</v>
      </c>
      <c r="H1607" s="11">
        <f t="shared" si="240"/>
        <v>0.28800000000000003</v>
      </c>
      <c r="I1607" s="12" t="e">
        <f>ROUND(#REF!*1000000/G1607/H1607,-3)</f>
        <v>#REF!</v>
      </c>
      <c r="J1607" s="136">
        <v>140</v>
      </c>
      <c r="K1607" s="13"/>
    </row>
    <row r="1608" spans="1:11" ht="15" customHeight="1">
      <c r="A1608" s="810"/>
      <c r="B1608" s="810"/>
      <c r="C1608" s="7">
        <f>C1607</f>
        <v>100</v>
      </c>
      <c r="D1608" s="9" t="s">
        <v>2900</v>
      </c>
      <c r="E1608" s="148">
        <v>185000</v>
      </c>
      <c r="G1608" s="8">
        <v>100</v>
      </c>
      <c r="H1608" s="11">
        <f t="shared" si="240"/>
        <v>0.28800000000000003</v>
      </c>
      <c r="I1608" s="12" t="e">
        <f>ROUND(#REF!*1000000/G1608/H1608,-3)</f>
        <v>#REF!</v>
      </c>
      <c r="J1608" s="136">
        <v>140</v>
      </c>
      <c r="K1608" s="13"/>
    </row>
    <row r="1609" spans="1:11" ht="15" customHeight="1">
      <c r="A1609" s="810"/>
      <c r="B1609" s="810" t="s">
        <v>248</v>
      </c>
      <c r="C1609" s="7">
        <v>120</v>
      </c>
      <c r="D1609" s="9" t="s">
        <v>2901</v>
      </c>
      <c r="E1609" s="148">
        <v>500000</v>
      </c>
      <c r="G1609" s="8">
        <v>120</v>
      </c>
      <c r="H1609" s="11">
        <v>0.7</v>
      </c>
      <c r="I1609" s="12" t="e">
        <f>ROUND(#REF!*1000000/G1609/H1609,-3)</f>
        <v>#REF!</v>
      </c>
      <c r="J1609" s="136">
        <v>160</v>
      </c>
      <c r="K1609" s="13"/>
    </row>
    <row r="1610" spans="1:11" ht="15" customHeight="1">
      <c r="A1610" s="810"/>
      <c r="B1610" s="810"/>
      <c r="C1610" s="7">
        <f>C1609</f>
        <v>120</v>
      </c>
      <c r="D1610" s="9" t="s">
        <v>2902</v>
      </c>
      <c r="E1610" s="148">
        <v>550000</v>
      </c>
      <c r="G1610" s="8">
        <v>120</v>
      </c>
      <c r="H1610" s="11">
        <v>0.7</v>
      </c>
      <c r="I1610" s="12" t="e">
        <f>ROUND(#REF!*1000000/G1610/H1610,-3)</f>
        <v>#REF!</v>
      </c>
      <c r="J1610" s="136">
        <v>170</v>
      </c>
      <c r="K1610" s="13"/>
    </row>
    <row r="1611" spans="1:11" ht="15" customHeight="1">
      <c r="A1611" s="810"/>
      <c r="B1611" s="810"/>
      <c r="C1611" s="7">
        <v>250</v>
      </c>
      <c r="D1611" s="9" t="s">
        <v>2903</v>
      </c>
      <c r="E1611" s="148">
        <v>1045000</v>
      </c>
      <c r="G1611" s="8">
        <v>250</v>
      </c>
      <c r="H1611" s="11">
        <v>0.7</v>
      </c>
      <c r="I1611" s="12" t="e">
        <f>ROUND(#REF!*1000000/G1611/H1611,-3)</f>
        <v>#REF!</v>
      </c>
      <c r="J1611" s="136">
        <v>330</v>
      </c>
      <c r="K1611" s="13"/>
    </row>
    <row r="1612" spans="1:11" ht="15" customHeight="1">
      <c r="A1612" s="810"/>
      <c r="B1612" s="810"/>
      <c r="C1612" s="7">
        <f>C1611</f>
        <v>250</v>
      </c>
      <c r="D1612" s="9" t="s">
        <v>2904</v>
      </c>
      <c r="E1612" s="148">
        <v>1135000</v>
      </c>
      <c r="G1612" s="8">
        <v>250</v>
      </c>
      <c r="H1612" s="11">
        <v>0.7</v>
      </c>
      <c r="I1612" s="12" t="e">
        <f>ROUND(#REF!*1000000/G1612/H1612,-3)</f>
        <v>#REF!</v>
      </c>
      <c r="J1612" s="136">
        <v>280</v>
      </c>
      <c r="K1612" s="13"/>
    </row>
    <row r="1613" spans="1:11" ht="15" customHeight="1">
      <c r="A1613" s="819" t="s">
        <v>1234</v>
      </c>
      <c r="B1613" s="828" t="s">
        <v>724</v>
      </c>
      <c r="C1613" s="69">
        <v>150</v>
      </c>
      <c r="D1613" s="9" t="s">
        <v>894</v>
      </c>
      <c r="E1613" s="148">
        <v>805000</v>
      </c>
      <c r="G1613" s="70">
        <v>150</v>
      </c>
      <c r="H1613" s="11">
        <f t="shared" ref="H1613:H1619" si="241">0.72*1.02</f>
        <v>0.73439999999999994</v>
      </c>
      <c r="I1613" s="12" t="e">
        <f>ROUND(#REF!*1000000/G1613/H1613,-3)</f>
        <v>#REF!</v>
      </c>
      <c r="J1613" s="141">
        <v>340</v>
      </c>
      <c r="K1613" s="13"/>
    </row>
    <row r="1614" spans="1:11" ht="15" customHeight="1">
      <c r="A1614" s="820"/>
      <c r="B1614" s="828"/>
      <c r="C1614" s="69">
        <v>300</v>
      </c>
      <c r="D1614" s="9" t="s">
        <v>894</v>
      </c>
      <c r="E1614" s="148">
        <v>1615000</v>
      </c>
      <c r="G1614" s="70">
        <v>300</v>
      </c>
      <c r="H1614" s="11">
        <f t="shared" si="241"/>
        <v>0.73439999999999994</v>
      </c>
      <c r="I1614" s="12" t="e">
        <f>ROUND(#REF!*1000000/G1614/H1614,-3)</f>
        <v>#REF!</v>
      </c>
      <c r="J1614" s="141">
        <v>630</v>
      </c>
      <c r="K1614" s="13"/>
    </row>
    <row r="1615" spans="1:11" ht="15" customHeight="1">
      <c r="A1615" s="820"/>
      <c r="B1615" s="828"/>
      <c r="C1615" s="219">
        <f t="shared" ref="C1615:C1616" si="242">C1614</f>
        <v>300</v>
      </c>
      <c r="D1615" s="9" t="s">
        <v>1235</v>
      </c>
      <c r="E1615" s="148">
        <v>2050000</v>
      </c>
      <c r="G1615" s="70">
        <v>300</v>
      </c>
      <c r="H1615" s="11">
        <f t="shared" si="241"/>
        <v>0.73439999999999994</v>
      </c>
      <c r="I1615" s="12" t="e">
        <f>ROUND(#REF!*1000000/G1615/H1615,-3)</f>
        <v>#REF!</v>
      </c>
      <c r="J1615" s="141">
        <v>630</v>
      </c>
      <c r="K1615" s="13"/>
    </row>
    <row r="1616" spans="1:11" ht="15" customHeight="1">
      <c r="A1616" s="820"/>
      <c r="B1616" s="828"/>
      <c r="C1616" s="219">
        <f t="shared" si="242"/>
        <v>300</v>
      </c>
      <c r="D1616" s="9" t="s">
        <v>1236</v>
      </c>
      <c r="E1616" s="148">
        <v>2280000</v>
      </c>
      <c r="G1616" s="70"/>
      <c r="H1616" s="11"/>
      <c r="I1616" s="12"/>
      <c r="J1616" s="141"/>
      <c r="K1616" s="13"/>
    </row>
    <row r="1617" spans="1:11" ht="15" customHeight="1">
      <c r="A1617" s="820"/>
      <c r="B1617" s="828"/>
      <c r="C1617" s="69">
        <v>450</v>
      </c>
      <c r="D1617" s="9" t="s">
        <v>894</v>
      </c>
      <c r="E1617" s="148">
        <v>2420000</v>
      </c>
      <c r="G1617" s="70">
        <v>300</v>
      </c>
      <c r="H1617" s="11">
        <f t="shared" si="241"/>
        <v>0.73439999999999994</v>
      </c>
      <c r="I1617" s="12" t="e">
        <f>ROUND(#REF!*1000000/G1617/H1617,-3)</f>
        <v>#REF!</v>
      </c>
      <c r="J1617" s="141">
        <v>630</v>
      </c>
      <c r="K1617" s="13"/>
    </row>
    <row r="1618" spans="1:11" ht="15" customHeight="1">
      <c r="A1618" s="820"/>
      <c r="B1618" s="828"/>
      <c r="C1618" s="69">
        <v>850</v>
      </c>
      <c r="D1618" s="9" t="s">
        <v>894</v>
      </c>
      <c r="E1618" s="148">
        <v>4570000</v>
      </c>
      <c r="G1618" s="70">
        <v>450</v>
      </c>
      <c r="H1618" s="11">
        <f t="shared" si="241"/>
        <v>0.73439999999999994</v>
      </c>
      <c r="I1618" s="12" t="e">
        <f>ROUND(#REF!*1000000/G1618/H1618,-3)</f>
        <v>#REF!</v>
      </c>
      <c r="J1618" s="141">
        <v>970</v>
      </c>
      <c r="K1618" s="13"/>
    </row>
    <row r="1619" spans="1:11" ht="15" customHeight="1">
      <c r="A1619" s="820"/>
      <c r="B1619" s="77" t="s">
        <v>595</v>
      </c>
      <c r="C1619" s="69">
        <v>450</v>
      </c>
      <c r="D1619" s="9" t="s">
        <v>894</v>
      </c>
      <c r="E1619" s="148">
        <v>2835000</v>
      </c>
      <c r="G1619" s="70">
        <v>850</v>
      </c>
      <c r="H1619" s="11">
        <f t="shared" si="241"/>
        <v>0.73439999999999994</v>
      </c>
      <c r="I1619" s="12" t="e">
        <f>ROUND(#REF!*1000000/G1619/H1619,-3)</f>
        <v>#REF!</v>
      </c>
      <c r="J1619" s="141">
        <v>2000</v>
      </c>
      <c r="K1619" s="13"/>
    </row>
    <row r="1620" spans="1:11" ht="15" customHeight="1">
      <c r="A1620" s="828" t="s">
        <v>1237</v>
      </c>
      <c r="B1620" s="815" t="s">
        <v>1238</v>
      </c>
      <c r="C1620" s="69">
        <v>30</v>
      </c>
      <c r="D1620" s="9" t="s">
        <v>1239</v>
      </c>
      <c r="E1620" s="25">
        <v>540000</v>
      </c>
      <c r="G1620" s="70">
        <v>30</v>
      </c>
      <c r="H1620" s="11">
        <f t="shared" ref="H1620:H1621" si="243">0.788*0.545</f>
        <v>0.42946000000000006</v>
      </c>
      <c r="I1620" s="12" t="e">
        <f>ROUND(#REF!*1000000/G1620/H1620,-3)</f>
        <v>#REF!</v>
      </c>
      <c r="J1620" s="137"/>
      <c r="K1620" s="13"/>
    </row>
    <row r="1621" spans="1:11" ht="15" customHeight="1">
      <c r="A1621" s="828"/>
      <c r="B1621" s="815"/>
      <c r="C1621" s="69">
        <v>50</v>
      </c>
      <c r="D1621" s="9" t="s">
        <v>1240</v>
      </c>
      <c r="E1621" s="25">
        <v>665000</v>
      </c>
      <c r="G1621" s="70">
        <v>50</v>
      </c>
      <c r="H1621" s="11">
        <f t="shared" si="243"/>
        <v>0.42946000000000006</v>
      </c>
      <c r="I1621" s="12" t="e">
        <f>ROUND(#REF!*1000000/G1621/H1621,-3)</f>
        <v>#REF!</v>
      </c>
      <c r="J1621" s="137"/>
      <c r="K1621" s="13"/>
    </row>
    <row r="1622" spans="1:11" ht="15" customHeight="1">
      <c r="A1622" s="810" t="s">
        <v>1241</v>
      </c>
      <c r="B1622" s="15" t="s">
        <v>1242</v>
      </c>
      <c r="C1622" s="7">
        <f t="shared" ref="C1622:C1624" si="244">C1621</f>
        <v>50</v>
      </c>
      <c r="D1622" s="9" t="s">
        <v>1243</v>
      </c>
      <c r="E1622" s="25">
        <v>0</v>
      </c>
      <c r="G1622" s="8"/>
      <c r="H1622" s="11"/>
      <c r="I1622" s="12"/>
      <c r="J1622" s="137"/>
      <c r="K1622" s="13"/>
    </row>
    <row r="1623" spans="1:11" ht="15" customHeight="1">
      <c r="A1623" s="810"/>
      <c r="B1623" s="7" t="s">
        <v>1244</v>
      </c>
      <c r="C1623" s="7">
        <f t="shared" si="244"/>
        <v>50</v>
      </c>
      <c r="D1623" s="9" t="s">
        <v>1243</v>
      </c>
      <c r="E1623" s="25">
        <v>0</v>
      </c>
      <c r="G1623" s="8"/>
      <c r="H1623" s="11"/>
      <c r="I1623" s="12"/>
      <c r="J1623" s="137"/>
      <c r="K1623" s="13"/>
    </row>
    <row r="1624" spans="1:11" ht="15" customHeight="1">
      <c r="A1624" s="810"/>
      <c r="B1624" s="7" t="s">
        <v>1242</v>
      </c>
      <c r="C1624" s="7">
        <f t="shared" si="244"/>
        <v>50</v>
      </c>
      <c r="D1624" s="9" t="s">
        <v>1245</v>
      </c>
      <c r="E1624" s="25">
        <v>0</v>
      </c>
      <c r="G1624" s="8"/>
      <c r="H1624" s="11"/>
      <c r="I1624" s="12"/>
      <c r="J1624" s="137"/>
      <c r="K1624" s="13"/>
    </row>
    <row r="1625" spans="1:11" ht="15" customHeight="1">
      <c r="A1625" s="147" t="s">
        <v>2905</v>
      </c>
      <c r="B1625" s="24" t="s">
        <v>1249</v>
      </c>
      <c r="C1625" s="20">
        <v>173</v>
      </c>
      <c r="D1625" s="21" t="s">
        <v>1250</v>
      </c>
      <c r="E1625" s="214">
        <v>2275000</v>
      </c>
      <c r="G1625" s="8"/>
      <c r="H1625" s="11"/>
      <c r="I1625" s="12"/>
      <c r="J1625" s="137"/>
      <c r="K1625" s="13"/>
    </row>
    <row r="1626" spans="1:11" ht="15" customHeight="1">
      <c r="A1626" s="818" t="s">
        <v>2906</v>
      </c>
      <c r="B1626" s="809" t="s">
        <v>1246</v>
      </c>
      <c r="C1626" s="20">
        <v>158</v>
      </c>
      <c r="D1626" s="21" t="s">
        <v>1247</v>
      </c>
      <c r="E1626" s="214">
        <v>0</v>
      </c>
      <c r="G1626" s="8"/>
      <c r="H1626" s="11"/>
      <c r="I1626" s="12"/>
      <c r="J1626" s="137"/>
      <c r="K1626" s="13"/>
    </row>
    <row r="1627" spans="1:11" ht="15" customHeight="1">
      <c r="A1627" s="816"/>
      <c r="B1627" s="804"/>
      <c r="C1627" s="33">
        <f t="shared" ref="C1627:C1628" si="245">C1626</f>
        <v>158</v>
      </c>
      <c r="D1627" s="21" t="s">
        <v>1247</v>
      </c>
      <c r="E1627" s="214">
        <v>0</v>
      </c>
      <c r="G1627" s="8"/>
      <c r="H1627" s="11"/>
      <c r="I1627" s="12"/>
      <c r="J1627" s="137"/>
      <c r="K1627" s="13"/>
    </row>
    <row r="1628" spans="1:11" ht="15" customHeight="1">
      <c r="A1628" s="816"/>
      <c r="B1628" s="805"/>
      <c r="C1628" s="33">
        <f t="shared" si="245"/>
        <v>158</v>
      </c>
      <c r="D1628" s="21" t="s">
        <v>1248</v>
      </c>
      <c r="E1628" s="214">
        <v>0</v>
      </c>
      <c r="G1628" s="8">
        <v>173</v>
      </c>
      <c r="H1628" s="11">
        <f>0.5*0.7</f>
        <v>0.35</v>
      </c>
      <c r="I1628" s="12" t="e">
        <f>ROUND(#REF!*1000000/G1628/H1628,-3)</f>
        <v>#REF!</v>
      </c>
      <c r="J1628" s="137"/>
      <c r="K1628" s="13"/>
    </row>
    <row r="1629" spans="1:11" ht="15" customHeight="1">
      <c r="A1629" s="819" t="s">
        <v>1251</v>
      </c>
      <c r="B1629" s="814" t="s">
        <v>1252</v>
      </c>
      <c r="C1629" s="22">
        <v>200</v>
      </c>
      <c r="D1629" s="79" t="s">
        <v>1253</v>
      </c>
      <c r="E1629" s="214">
        <v>165000</v>
      </c>
      <c r="G1629" s="8">
        <v>200</v>
      </c>
      <c r="H1629" s="11">
        <f>0.636*0.47</f>
        <v>0.29891999999999996</v>
      </c>
      <c r="I1629" s="12" t="e">
        <f>ROUND(#REF!*1000000/G1629/H1629,-3)</f>
        <v>#REF!</v>
      </c>
      <c r="J1629" s="137"/>
      <c r="K1629" s="13"/>
    </row>
    <row r="1630" spans="1:11" ht="15" customHeight="1">
      <c r="A1630" s="824"/>
      <c r="B1630" s="805"/>
      <c r="C1630" s="22">
        <v>275</v>
      </c>
      <c r="D1630" s="79" t="s">
        <v>1254</v>
      </c>
      <c r="E1630" s="214">
        <v>220000</v>
      </c>
      <c r="G1630" s="8">
        <v>275</v>
      </c>
      <c r="H1630" s="11">
        <f>0.636*0.47</f>
        <v>0.29891999999999996</v>
      </c>
      <c r="I1630" s="12" t="e">
        <f>ROUND(#REF!*1000000/G1630/H1630,-3)</f>
        <v>#REF!</v>
      </c>
      <c r="J1630" s="137"/>
      <c r="K1630" s="13"/>
    </row>
    <row r="1631" spans="1:11" ht="15" customHeight="1">
      <c r="A1631" s="811" t="s">
        <v>1255</v>
      </c>
      <c r="B1631" s="810" t="s">
        <v>343</v>
      </c>
      <c r="C1631" s="7">
        <v>90</v>
      </c>
      <c r="D1631" s="9" t="s">
        <v>1256</v>
      </c>
      <c r="E1631" s="25">
        <v>161000</v>
      </c>
      <c r="G1631" s="8">
        <v>90</v>
      </c>
      <c r="H1631" s="11">
        <f t="shared" ref="H1631:H1637" si="246">0.788*1.091</f>
        <v>0.85970800000000003</v>
      </c>
      <c r="I1631" s="12" t="e">
        <f>ROUND(#REF!*1000000/G1631/H1631,-3)</f>
        <v>#REF!</v>
      </c>
      <c r="J1631" s="136">
        <v>119</v>
      </c>
      <c r="K1631" s="13"/>
    </row>
    <row r="1632" spans="1:11" ht="15" customHeight="1">
      <c r="A1632" s="811"/>
      <c r="B1632" s="810"/>
      <c r="C1632" s="7">
        <v>105</v>
      </c>
      <c r="D1632" s="9" t="s">
        <v>1256</v>
      </c>
      <c r="E1632" s="25">
        <v>179000</v>
      </c>
      <c r="G1632" s="8">
        <v>105</v>
      </c>
      <c r="H1632" s="11">
        <f t="shared" si="246"/>
        <v>0.85970800000000003</v>
      </c>
      <c r="I1632" s="12" t="e">
        <f>ROUND(#REF!*1000000/G1632/H1632,-3)</f>
        <v>#REF!</v>
      </c>
      <c r="J1632" s="136">
        <v>142</v>
      </c>
      <c r="K1632" s="13"/>
    </row>
    <row r="1633" spans="1:11" ht="15" customHeight="1">
      <c r="A1633" s="811"/>
      <c r="B1633" s="810"/>
      <c r="C1633" s="7">
        <v>128</v>
      </c>
      <c r="D1633" s="9" t="s">
        <v>1256</v>
      </c>
      <c r="E1633" s="25">
        <v>233000</v>
      </c>
      <c r="G1633" s="8">
        <v>128</v>
      </c>
      <c r="H1633" s="11">
        <f t="shared" si="246"/>
        <v>0.85970800000000003</v>
      </c>
      <c r="I1633" s="12" t="e">
        <f>ROUND(#REF!*1000000/G1633/H1633,-3)</f>
        <v>#REF!</v>
      </c>
      <c r="J1633" s="136">
        <v>184</v>
      </c>
      <c r="K1633" s="13"/>
    </row>
    <row r="1634" spans="1:11" ht="15" customHeight="1">
      <c r="A1634" s="811"/>
      <c r="B1634" s="810"/>
      <c r="C1634" s="7">
        <v>157</v>
      </c>
      <c r="D1634" s="9" t="s">
        <v>1256</v>
      </c>
      <c r="E1634" s="25">
        <v>286500</v>
      </c>
      <c r="G1634" s="8">
        <v>157</v>
      </c>
      <c r="H1634" s="11">
        <f t="shared" si="246"/>
        <v>0.85970800000000003</v>
      </c>
      <c r="I1634" s="12" t="e">
        <f>ROUND(#REF!*1000000/G1634/H1634,-3)</f>
        <v>#REF!</v>
      </c>
      <c r="J1634" s="136">
        <v>229</v>
      </c>
      <c r="K1634" s="13"/>
    </row>
    <row r="1635" spans="1:11" ht="15" customHeight="1">
      <c r="A1635" s="811"/>
      <c r="B1635" s="810"/>
      <c r="C1635" s="7">
        <v>186</v>
      </c>
      <c r="D1635" s="9" t="s">
        <v>1256</v>
      </c>
      <c r="E1635" s="25">
        <v>340500</v>
      </c>
      <c r="G1635" s="8">
        <v>186</v>
      </c>
      <c r="H1635" s="11">
        <f t="shared" si="246"/>
        <v>0.85970800000000003</v>
      </c>
      <c r="I1635" s="12" t="e">
        <f>ROUND(#REF!*1000000/G1635/H1635,-3)</f>
        <v>#REF!</v>
      </c>
      <c r="J1635" s="136">
        <v>267</v>
      </c>
      <c r="K1635" s="13"/>
    </row>
    <row r="1636" spans="1:11" ht="15" customHeight="1">
      <c r="A1636" s="811"/>
      <c r="B1636" s="810"/>
      <c r="C1636" s="7">
        <v>209</v>
      </c>
      <c r="D1636" s="9" t="s">
        <v>1256</v>
      </c>
      <c r="E1636" s="25">
        <v>376000</v>
      </c>
      <c r="G1636" s="8">
        <v>209</v>
      </c>
      <c r="H1636" s="11">
        <f t="shared" si="246"/>
        <v>0.85970800000000003</v>
      </c>
      <c r="I1636" s="12" t="e">
        <f>ROUND(#REF!*1000000/G1636/H1636,-3)</f>
        <v>#REF!</v>
      </c>
      <c r="J1636" s="136">
        <v>289</v>
      </c>
      <c r="K1636" s="13"/>
    </row>
    <row r="1637" spans="1:11" ht="15" customHeight="1">
      <c r="A1637" s="811"/>
      <c r="B1637" s="810"/>
      <c r="C1637" s="7">
        <v>233</v>
      </c>
      <c r="D1637" s="9" t="s">
        <v>1256</v>
      </c>
      <c r="E1637" s="25">
        <v>430000</v>
      </c>
      <c r="G1637" s="8">
        <v>233</v>
      </c>
      <c r="H1637" s="11">
        <f t="shared" si="246"/>
        <v>0.85970800000000003</v>
      </c>
      <c r="I1637" s="12" t="e">
        <f>ROUND(#REF!*1000000/G1637/H1637,-3)</f>
        <v>#REF!</v>
      </c>
      <c r="J1637" s="136">
        <v>323</v>
      </c>
      <c r="K1637" s="13"/>
    </row>
    <row r="1638" spans="1:11" ht="15" customHeight="1">
      <c r="A1638" s="811"/>
      <c r="B1638" s="810" t="s">
        <v>28</v>
      </c>
      <c r="C1638" s="7">
        <v>90</v>
      </c>
      <c r="D1638" s="9" t="s">
        <v>1257</v>
      </c>
      <c r="E1638" s="25">
        <v>112000</v>
      </c>
      <c r="G1638" s="8">
        <v>90</v>
      </c>
      <c r="H1638" s="11">
        <f t="shared" ref="H1638:H1644" si="247">0.636*0.939</f>
        <v>0.59720399999999996</v>
      </c>
      <c r="I1638" s="12" t="e">
        <f>ROUND(#REF!*1000000/G1638/H1638,-3)</f>
        <v>#REF!</v>
      </c>
      <c r="J1638" s="136">
        <v>119</v>
      </c>
      <c r="K1638" s="13"/>
    </row>
    <row r="1639" spans="1:11" ht="15" customHeight="1">
      <c r="A1639" s="811"/>
      <c r="B1639" s="810"/>
      <c r="C1639" s="7">
        <v>105</v>
      </c>
      <c r="D1639" s="9" t="s">
        <v>1257</v>
      </c>
      <c r="E1639" s="25">
        <v>124500</v>
      </c>
      <c r="G1639" s="8">
        <v>105</v>
      </c>
      <c r="H1639" s="11">
        <f t="shared" si="247"/>
        <v>0.59720399999999996</v>
      </c>
      <c r="I1639" s="12" t="e">
        <f>ROUND(#REF!*1000000/G1639/H1639,-3)</f>
        <v>#REF!</v>
      </c>
      <c r="J1639" s="136">
        <v>142</v>
      </c>
      <c r="K1639" s="13"/>
    </row>
    <row r="1640" spans="1:11" ht="15" customHeight="1">
      <c r="A1640" s="811"/>
      <c r="B1640" s="810"/>
      <c r="C1640" s="7">
        <v>128</v>
      </c>
      <c r="D1640" s="9" t="s">
        <v>1257</v>
      </c>
      <c r="E1640" s="25">
        <v>162000</v>
      </c>
      <c r="G1640" s="8">
        <v>128</v>
      </c>
      <c r="H1640" s="11">
        <f t="shared" si="247"/>
        <v>0.59720399999999996</v>
      </c>
      <c r="I1640" s="12" t="e">
        <f>ROUND(#REF!*1000000/G1640/H1640,-3)</f>
        <v>#REF!</v>
      </c>
      <c r="J1640" s="136">
        <v>184</v>
      </c>
      <c r="K1640" s="13"/>
    </row>
    <row r="1641" spans="1:11" ht="15" customHeight="1">
      <c r="A1641" s="811"/>
      <c r="B1641" s="810"/>
      <c r="C1641" s="7">
        <v>157</v>
      </c>
      <c r="D1641" s="9" t="s">
        <v>1257</v>
      </c>
      <c r="E1641" s="25">
        <v>199000</v>
      </c>
      <c r="G1641" s="8">
        <v>157</v>
      </c>
      <c r="H1641" s="11">
        <f t="shared" si="247"/>
        <v>0.59720399999999996</v>
      </c>
      <c r="I1641" s="12" t="e">
        <f>ROUND(#REF!*1000000/G1641/H1641,-3)</f>
        <v>#REF!</v>
      </c>
      <c r="J1641" s="136">
        <v>229</v>
      </c>
      <c r="K1641" s="13"/>
    </row>
    <row r="1642" spans="1:11" ht="15" customHeight="1">
      <c r="A1642" s="811"/>
      <c r="B1642" s="810"/>
      <c r="C1642" s="7">
        <v>186</v>
      </c>
      <c r="D1642" s="9" t="s">
        <v>1257</v>
      </c>
      <c r="E1642" s="25">
        <v>236500</v>
      </c>
      <c r="G1642" s="8">
        <v>186</v>
      </c>
      <c r="H1642" s="11">
        <f t="shared" si="247"/>
        <v>0.59720399999999996</v>
      </c>
      <c r="I1642" s="12" t="e">
        <f>ROUND(#REF!*1000000/G1642/H1642,-3)</f>
        <v>#REF!</v>
      </c>
      <c r="J1642" s="136">
        <v>267</v>
      </c>
      <c r="K1642" s="13"/>
    </row>
    <row r="1643" spans="1:11" ht="15" customHeight="1">
      <c r="A1643" s="811"/>
      <c r="B1643" s="810"/>
      <c r="C1643" s="7">
        <v>209</v>
      </c>
      <c r="D1643" s="9" t="s">
        <v>1257</v>
      </c>
      <c r="E1643" s="25">
        <v>261500</v>
      </c>
      <c r="G1643" s="8">
        <v>209</v>
      </c>
      <c r="H1643" s="11">
        <f t="shared" si="247"/>
        <v>0.59720399999999996</v>
      </c>
      <c r="I1643" s="12" t="e">
        <f>ROUND(#REF!*1000000/G1643/H1643,-3)</f>
        <v>#REF!</v>
      </c>
      <c r="J1643" s="136">
        <v>289</v>
      </c>
      <c r="K1643" s="13"/>
    </row>
    <row r="1644" spans="1:11" ht="15" customHeight="1">
      <c r="A1644" s="811"/>
      <c r="B1644" s="810"/>
      <c r="C1644" s="7">
        <v>233</v>
      </c>
      <c r="D1644" s="9" t="s">
        <v>1257</v>
      </c>
      <c r="E1644" s="25">
        <v>298500</v>
      </c>
      <c r="G1644" s="8">
        <v>233</v>
      </c>
      <c r="H1644" s="11">
        <f t="shared" si="247"/>
        <v>0.59720399999999996</v>
      </c>
      <c r="I1644" s="12" t="e">
        <f>ROUND(#REF!*1000000/G1644/H1644,-3)</f>
        <v>#REF!</v>
      </c>
      <c r="J1644" s="136">
        <v>323</v>
      </c>
      <c r="K1644" s="13"/>
    </row>
    <row r="1645" spans="1:11" ht="15" customHeight="1">
      <c r="A1645" s="15" t="s">
        <v>1258</v>
      </c>
      <c r="B1645" s="7" t="s">
        <v>1259</v>
      </c>
      <c r="C1645" s="20">
        <v>260</v>
      </c>
      <c r="D1645" s="21"/>
      <c r="E1645" s="25">
        <v>240000</v>
      </c>
      <c r="G1645" s="10">
        <v>260</v>
      </c>
      <c r="H1645" s="11">
        <f>0.64*0.94</f>
        <v>0.60160000000000002</v>
      </c>
      <c r="I1645" s="12" t="e">
        <f>ROUND(#REF!*1000000/G1645/H1645,-3)</f>
        <v>#REF!</v>
      </c>
      <c r="J1645" s="137"/>
      <c r="K1645" s="13"/>
    </row>
    <row r="1646" spans="1:11" ht="15" customHeight="1">
      <c r="A1646" s="811" t="s">
        <v>1260</v>
      </c>
      <c r="B1646" s="814" t="s">
        <v>343</v>
      </c>
      <c r="C1646" s="7">
        <f t="shared" ref="C1646:C1673" si="248">C1645</f>
        <v>260</v>
      </c>
      <c r="D1646" s="9" t="s">
        <v>1261</v>
      </c>
      <c r="E1646" s="25">
        <v>18000000</v>
      </c>
      <c r="G1646" s="10" t="s">
        <v>1262</v>
      </c>
      <c r="H1646" s="11"/>
      <c r="I1646" s="12"/>
      <c r="J1646" s="136">
        <v>150</v>
      </c>
      <c r="K1646" s="13"/>
    </row>
    <row r="1647" spans="1:11" ht="15" customHeight="1">
      <c r="A1647" s="811"/>
      <c r="B1647" s="805"/>
      <c r="C1647" s="33">
        <f t="shared" si="248"/>
        <v>260</v>
      </c>
      <c r="D1647" s="21" t="s">
        <v>1263</v>
      </c>
      <c r="E1647" s="25">
        <v>615000</v>
      </c>
      <c r="G1647" s="7" t="s">
        <v>1264</v>
      </c>
      <c r="H1647" s="11"/>
      <c r="I1647" s="12"/>
      <c r="J1647" s="136">
        <v>150</v>
      </c>
      <c r="K1647" s="13"/>
    </row>
    <row r="1648" spans="1:11" ht="15" customHeight="1">
      <c r="A1648" s="810"/>
      <c r="B1648" s="814" t="s">
        <v>27</v>
      </c>
      <c r="C1648" s="7">
        <f t="shared" si="248"/>
        <v>260</v>
      </c>
      <c r="D1648" s="9" t="s">
        <v>1265</v>
      </c>
      <c r="E1648" s="25">
        <v>440000</v>
      </c>
      <c r="G1648" s="10" t="s">
        <v>1266</v>
      </c>
      <c r="H1648" s="11"/>
      <c r="I1648" s="12"/>
      <c r="J1648" s="136">
        <v>60</v>
      </c>
      <c r="K1648" s="13"/>
    </row>
    <row r="1649" spans="1:11" ht="15" customHeight="1">
      <c r="A1649" s="810"/>
      <c r="B1649" s="804"/>
      <c r="C1649" s="7">
        <f t="shared" si="248"/>
        <v>260</v>
      </c>
      <c r="D1649" s="9" t="s">
        <v>1265</v>
      </c>
      <c r="E1649" s="25">
        <v>445000</v>
      </c>
      <c r="G1649" s="10" t="s">
        <v>1267</v>
      </c>
      <c r="H1649" s="11"/>
      <c r="I1649" s="12"/>
      <c r="J1649" s="136">
        <v>80</v>
      </c>
      <c r="K1649" s="13"/>
    </row>
    <row r="1650" spans="1:11" ht="15" customHeight="1">
      <c r="A1650" s="810"/>
      <c r="B1650" s="804"/>
      <c r="C1650" s="7">
        <f t="shared" si="248"/>
        <v>260</v>
      </c>
      <c r="D1650" s="9" t="s">
        <v>1268</v>
      </c>
      <c r="E1650" s="25">
        <v>475000</v>
      </c>
      <c r="G1650" s="10" t="s">
        <v>1269</v>
      </c>
      <c r="H1650" s="11"/>
      <c r="I1650" s="12"/>
      <c r="J1650" s="136">
        <v>95</v>
      </c>
      <c r="K1650" s="13"/>
    </row>
    <row r="1651" spans="1:11" ht="15" customHeight="1">
      <c r="A1651" s="810"/>
      <c r="B1651" s="804"/>
      <c r="C1651" s="7">
        <f t="shared" si="248"/>
        <v>260</v>
      </c>
      <c r="D1651" s="9" t="s">
        <v>1270</v>
      </c>
      <c r="E1651" s="25">
        <v>530000</v>
      </c>
      <c r="G1651" s="10" t="s">
        <v>1271</v>
      </c>
      <c r="H1651" s="11"/>
      <c r="I1651" s="12"/>
      <c r="J1651" s="136">
        <v>110</v>
      </c>
      <c r="K1651" s="13"/>
    </row>
    <row r="1652" spans="1:11" ht="15" customHeight="1">
      <c r="A1652" s="810"/>
      <c r="B1652" s="804"/>
      <c r="C1652" s="7">
        <f t="shared" si="248"/>
        <v>260</v>
      </c>
      <c r="D1652" s="9" t="s">
        <v>1270</v>
      </c>
      <c r="E1652" s="25">
        <v>630000</v>
      </c>
      <c r="G1652" s="10" t="s">
        <v>1272</v>
      </c>
      <c r="H1652" s="11"/>
      <c r="I1652" s="12"/>
      <c r="J1652" s="136">
        <v>130</v>
      </c>
      <c r="K1652" s="13"/>
    </row>
    <row r="1653" spans="1:11" ht="15" customHeight="1">
      <c r="A1653" s="810"/>
      <c r="B1653" s="804"/>
      <c r="C1653" s="7">
        <f t="shared" si="248"/>
        <v>260</v>
      </c>
      <c r="D1653" s="9" t="s">
        <v>1270</v>
      </c>
      <c r="E1653" s="25">
        <v>730000</v>
      </c>
      <c r="G1653" s="10" t="s">
        <v>1262</v>
      </c>
      <c r="H1653" s="11"/>
      <c r="I1653" s="12"/>
      <c r="J1653" s="136">
        <v>150</v>
      </c>
      <c r="K1653" s="13"/>
    </row>
    <row r="1654" spans="1:11" ht="15" customHeight="1">
      <c r="A1654" s="810"/>
      <c r="B1654" s="804"/>
      <c r="C1654" s="7">
        <f t="shared" si="248"/>
        <v>260</v>
      </c>
      <c r="D1654" s="9" t="s">
        <v>1273</v>
      </c>
      <c r="E1654" s="25">
        <v>985000</v>
      </c>
      <c r="G1654" s="10" t="s">
        <v>1274</v>
      </c>
      <c r="H1654" s="11"/>
      <c r="I1654" s="12"/>
      <c r="J1654" s="136">
        <v>200</v>
      </c>
      <c r="K1654" s="13"/>
    </row>
    <row r="1655" spans="1:11" ht="15" customHeight="1">
      <c r="A1655" s="810"/>
      <c r="B1655" s="804"/>
      <c r="C1655" s="7">
        <f t="shared" si="248"/>
        <v>260</v>
      </c>
      <c r="D1655" s="9" t="s">
        <v>1275</v>
      </c>
      <c r="E1655" s="25">
        <v>1000000</v>
      </c>
      <c r="G1655" s="10" t="s">
        <v>1274</v>
      </c>
      <c r="H1655" s="11"/>
      <c r="I1655" s="12"/>
      <c r="J1655" s="136">
        <v>200</v>
      </c>
      <c r="K1655" s="13"/>
    </row>
    <row r="1656" spans="1:11" ht="15" customHeight="1">
      <c r="A1656" s="810"/>
      <c r="B1656" s="804"/>
      <c r="C1656" s="7">
        <f t="shared" si="248"/>
        <v>260</v>
      </c>
      <c r="D1656" s="9" t="s">
        <v>1273</v>
      </c>
      <c r="E1656" s="25">
        <v>1210000</v>
      </c>
      <c r="G1656" s="10" t="s">
        <v>1276</v>
      </c>
      <c r="H1656" s="11"/>
      <c r="I1656" s="12"/>
      <c r="J1656" s="136">
        <v>250</v>
      </c>
      <c r="K1656" s="13"/>
    </row>
    <row r="1657" spans="1:11" ht="15" customHeight="1">
      <c r="A1657" s="810"/>
      <c r="B1657" s="804"/>
      <c r="C1657" s="7">
        <f t="shared" si="248"/>
        <v>260</v>
      </c>
      <c r="D1657" s="9" t="s">
        <v>1275</v>
      </c>
      <c r="E1657" s="25">
        <v>1260000</v>
      </c>
      <c r="G1657" s="10" t="s">
        <v>1276</v>
      </c>
      <c r="H1657" s="11"/>
      <c r="I1657" s="12"/>
      <c r="J1657" s="136">
        <v>250</v>
      </c>
      <c r="K1657" s="13"/>
    </row>
    <row r="1658" spans="1:11" ht="15" customHeight="1">
      <c r="A1658" s="810"/>
      <c r="B1658" s="804"/>
      <c r="C1658" s="7">
        <f t="shared" si="248"/>
        <v>260</v>
      </c>
      <c r="D1658" s="9" t="s">
        <v>1277</v>
      </c>
      <c r="E1658" s="25">
        <v>1565000</v>
      </c>
      <c r="G1658" s="10" t="s">
        <v>1278</v>
      </c>
      <c r="H1658" s="11"/>
      <c r="I1658" s="12"/>
      <c r="J1658" s="136">
        <v>300</v>
      </c>
      <c r="K1658" s="13"/>
    </row>
    <row r="1659" spans="1:11" ht="15" customHeight="1">
      <c r="A1659" s="810"/>
      <c r="B1659" s="804"/>
      <c r="C1659" s="7">
        <f t="shared" si="248"/>
        <v>260</v>
      </c>
      <c r="D1659" s="9" t="s">
        <v>1275</v>
      </c>
      <c r="E1659" s="25">
        <v>1600000</v>
      </c>
      <c r="G1659" s="10" t="s">
        <v>1278</v>
      </c>
      <c r="H1659" s="11"/>
      <c r="I1659" s="12"/>
      <c r="J1659" s="136">
        <v>300</v>
      </c>
      <c r="K1659" s="13"/>
    </row>
    <row r="1660" spans="1:11" ht="15" customHeight="1">
      <c r="A1660" s="810"/>
      <c r="B1660" s="804"/>
      <c r="C1660" s="16">
        <f t="shared" si="248"/>
        <v>260</v>
      </c>
      <c r="D1660" s="29" t="s">
        <v>1279</v>
      </c>
      <c r="E1660" s="25">
        <v>675000</v>
      </c>
      <c r="G1660" s="10" t="s">
        <v>1266</v>
      </c>
      <c r="H1660" s="11"/>
      <c r="I1660" s="12"/>
      <c r="J1660" s="136">
        <v>60</v>
      </c>
      <c r="K1660" s="13"/>
    </row>
    <row r="1661" spans="1:11" ht="15" customHeight="1">
      <c r="A1661" s="810"/>
      <c r="B1661" s="804"/>
      <c r="C1661" s="16">
        <f t="shared" si="248"/>
        <v>260</v>
      </c>
      <c r="D1661" s="29" t="s">
        <v>1279</v>
      </c>
      <c r="E1661" s="25">
        <v>775000</v>
      </c>
      <c r="G1661" s="10" t="s">
        <v>1280</v>
      </c>
      <c r="H1661" s="11"/>
      <c r="I1661" s="12"/>
      <c r="J1661" s="136">
        <v>90</v>
      </c>
      <c r="K1661" s="13"/>
    </row>
    <row r="1662" spans="1:11" ht="15" customHeight="1">
      <c r="A1662" s="810"/>
      <c r="B1662" s="804"/>
      <c r="C1662" s="33">
        <f t="shared" si="248"/>
        <v>260</v>
      </c>
      <c r="D1662" s="21" t="s">
        <v>1281</v>
      </c>
      <c r="E1662" s="25">
        <v>400000</v>
      </c>
      <c r="G1662" s="10" t="s">
        <v>1271</v>
      </c>
      <c r="H1662" s="11"/>
      <c r="I1662" s="12"/>
      <c r="J1662" s="136">
        <v>110</v>
      </c>
      <c r="K1662" s="13"/>
    </row>
    <row r="1663" spans="1:11" ht="15" customHeight="1">
      <c r="A1663" s="810"/>
      <c r="B1663" s="805"/>
      <c r="C1663" s="33">
        <f t="shared" si="248"/>
        <v>260</v>
      </c>
      <c r="D1663" s="21" t="s">
        <v>1281</v>
      </c>
      <c r="E1663" s="25">
        <v>485000</v>
      </c>
      <c r="G1663" s="10" t="s">
        <v>1272</v>
      </c>
      <c r="H1663" s="11"/>
      <c r="I1663" s="12"/>
      <c r="J1663" s="136">
        <v>130</v>
      </c>
      <c r="K1663" s="13"/>
    </row>
    <row r="1664" spans="1:11" ht="15" customHeight="1">
      <c r="A1664" s="810"/>
      <c r="B1664" s="814" t="s">
        <v>344</v>
      </c>
      <c r="C1664" s="16">
        <f t="shared" si="248"/>
        <v>260</v>
      </c>
      <c r="D1664" s="29" t="s">
        <v>1265</v>
      </c>
      <c r="E1664" s="25">
        <v>310000</v>
      </c>
      <c r="G1664" s="10" t="s">
        <v>1267</v>
      </c>
      <c r="H1664" s="11"/>
      <c r="I1664" s="12"/>
      <c r="J1664" s="136">
        <v>80</v>
      </c>
      <c r="K1664" s="13"/>
    </row>
    <row r="1665" spans="1:11" ht="15" customHeight="1">
      <c r="A1665" s="810"/>
      <c r="B1665" s="804"/>
      <c r="C1665" s="16">
        <f t="shared" si="248"/>
        <v>260</v>
      </c>
      <c r="D1665" s="29" t="s">
        <v>1282</v>
      </c>
      <c r="E1665" s="25">
        <v>330000</v>
      </c>
      <c r="G1665" s="10" t="s">
        <v>1269</v>
      </c>
      <c r="H1665" s="11"/>
      <c r="I1665" s="12"/>
      <c r="J1665" s="136">
        <v>95</v>
      </c>
      <c r="K1665" s="13"/>
    </row>
    <row r="1666" spans="1:11" ht="15" customHeight="1">
      <c r="A1666" s="810"/>
      <c r="B1666" s="804"/>
      <c r="C1666" s="16">
        <f t="shared" si="248"/>
        <v>260</v>
      </c>
      <c r="D1666" s="29" t="s">
        <v>1283</v>
      </c>
      <c r="E1666" s="25">
        <v>370000</v>
      </c>
      <c r="G1666" s="10" t="s">
        <v>1284</v>
      </c>
      <c r="H1666" s="11"/>
      <c r="I1666" s="12"/>
      <c r="J1666" s="136">
        <v>110</v>
      </c>
      <c r="K1666" s="13"/>
    </row>
    <row r="1667" spans="1:11" ht="15" customHeight="1">
      <c r="A1667" s="810"/>
      <c r="B1667" s="804"/>
      <c r="C1667" s="16">
        <f t="shared" si="248"/>
        <v>260</v>
      </c>
      <c r="D1667" s="29" t="s">
        <v>1282</v>
      </c>
      <c r="E1667" s="25">
        <v>440000</v>
      </c>
      <c r="G1667" s="10" t="s">
        <v>1272</v>
      </c>
      <c r="H1667" s="11"/>
      <c r="I1667" s="12"/>
      <c r="J1667" s="136">
        <v>130</v>
      </c>
      <c r="K1667" s="13"/>
    </row>
    <row r="1668" spans="1:11" ht="15" customHeight="1">
      <c r="A1668" s="810"/>
      <c r="B1668" s="804"/>
      <c r="C1668" s="16">
        <f t="shared" si="248"/>
        <v>260</v>
      </c>
      <c r="D1668" s="29" t="s">
        <v>1282</v>
      </c>
      <c r="E1668" s="25">
        <v>510000</v>
      </c>
      <c r="G1668" s="10" t="s">
        <v>1262</v>
      </c>
      <c r="H1668" s="11"/>
      <c r="I1668" s="12"/>
      <c r="J1668" s="136">
        <v>150</v>
      </c>
      <c r="K1668" s="13"/>
    </row>
    <row r="1669" spans="1:11" ht="15" customHeight="1">
      <c r="A1669" s="810"/>
      <c r="B1669" s="804"/>
      <c r="C1669" s="16">
        <f t="shared" si="248"/>
        <v>260</v>
      </c>
      <c r="D1669" s="29" t="s">
        <v>1282</v>
      </c>
      <c r="E1669" s="25">
        <v>685000</v>
      </c>
      <c r="G1669" s="10" t="s">
        <v>1274</v>
      </c>
      <c r="H1669" s="11"/>
      <c r="I1669" s="12"/>
      <c r="J1669" s="136">
        <v>200</v>
      </c>
      <c r="K1669" s="13"/>
    </row>
    <row r="1670" spans="1:11" ht="15" customHeight="1">
      <c r="A1670" s="810"/>
      <c r="B1670" s="804"/>
      <c r="C1670" s="16">
        <f t="shared" si="248"/>
        <v>260</v>
      </c>
      <c r="D1670" s="29" t="s">
        <v>1285</v>
      </c>
      <c r="E1670" s="25">
        <v>840000</v>
      </c>
      <c r="G1670" s="10" t="s">
        <v>1286</v>
      </c>
      <c r="H1670" s="11"/>
      <c r="I1670" s="12"/>
      <c r="J1670" s="136">
        <v>250</v>
      </c>
      <c r="K1670" s="13"/>
    </row>
    <row r="1671" spans="1:11" ht="15" customHeight="1">
      <c r="A1671" s="810"/>
      <c r="B1671" s="805"/>
      <c r="C1671" s="16">
        <f t="shared" si="248"/>
        <v>260</v>
      </c>
      <c r="D1671" s="29" t="s">
        <v>1287</v>
      </c>
      <c r="E1671" s="25">
        <v>1100000</v>
      </c>
      <c r="G1671" s="10" t="s">
        <v>1288</v>
      </c>
      <c r="H1671" s="11"/>
      <c r="I1671" s="12"/>
      <c r="J1671" s="136">
        <v>300</v>
      </c>
      <c r="K1671" s="13"/>
    </row>
    <row r="1672" spans="1:11" ht="15" customHeight="1">
      <c r="A1672" s="810"/>
      <c r="B1672" s="814" t="s">
        <v>28</v>
      </c>
      <c r="C1672" s="16">
        <f t="shared" si="248"/>
        <v>260</v>
      </c>
      <c r="D1672" s="29" t="s">
        <v>1289</v>
      </c>
      <c r="E1672" s="25">
        <v>4410000</v>
      </c>
      <c r="G1672" s="10" t="s">
        <v>1290</v>
      </c>
      <c r="H1672" s="11"/>
      <c r="I1672" s="12"/>
      <c r="J1672" s="136">
        <v>320</v>
      </c>
      <c r="K1672" s="13"/>
    </row>
    <row r="1673" spans="1:11" ht="15" customHeight="1">
      <c r="A1673" s="810"/>
      <c r="B1673" s="805"/>
      <c r="C1673" s="33">
        <f t="shared" si="248"/>
        <v>260</v>
      </c>
      <c r="D1673" s="21" t="s">
        <v>1291</v>
      </c>
      <c r="E1673" s="25">
        <v>2560000</v>
      </c>
      <c r="G1673" s="10" t="s">
        <v>1292</v>
      </c>
      <c r="H1673" s="11"/>
      <c r="I1673" s="12"/>
      <c r="J1673" s="136">
        <v>165</v>
      </c>
      <c r="K1673" s="13"/>
    </row>
    <row r="1674" spans="1:11" ht="15" customHeight="1">
      <c r="A1674" s="7" t="s">
        <v>1293</v>
      </c>
      <c r="B1674" s="7" t="s">
        <v>61</v>
      </c>
      <c r="C1674" s="33">
        <v>80</v>
      </c>
      <c r="D1674" s="21" t="s">
        <v>1294</v>
      </c>
      <c r="E1674" s="25">
        <v>0</v>
      </c>
      <c r="G1674" s="8">
        <v>80</v>
      </c>
      <c r="H1674" s="11"/>
      <c r="I1674" s="12"/>
      <c r="J1674" s="137"/>
      <c r="K1674" s="13"/>
    </row>
    <row r="1675" spans="1:11" ht="15" customHeight="1">
      <c r="A1675" s="813" t="s">
        <v>1295</v>
      </c>
      <c r="B1675" s="814" t="s">
        <v>213</v>
      </c>
      <c r="C1675" s="7">
        <v>220</v>
      </c>
      <c r="D1675" s="9" t="s">
        <v>1296</v>
      </c>
      <c r="E1675" s="25">
        <v>505000</v>
      </c>
      <c r="G1675" s="8">
        <v>220</v>
      </c>
      <c r="H1675" s="11">
        <f t="shared" ref="H1675:H1681" si="249">0.788*1.091</f>
        <v>0.85970800000000003</v>
      </c>
      <c r="I1675" s="12" t="e">
        <f>ROUND(#REF!*1000000/G1675/H1675,-3)</f>
        <v>#REF!</v>
      </c>
      <c r="J1675" s="136">
        <v>230</v>
      </c>
      <c r="K1675" s="13"/>
    </row>
    <row r="1676" spans="1:11" ht="15" customHeight="1">
      <c r="A1676" s="816"/>
      <c r="B1676" s="804"/>
      <c r="C1676" s="7">
        <v>240</v>
      </c>
      <c r="D1676" s="9" t="s">
        <v>1296</v>
      </c>
      <c r="E1676" s="25">
        <v>550000</v>
      </c>
      <c r="G1676" s="8">
        <v>240</v>
      </c>
      <c r="H1676" s="11">
        <f t="shared" si="249"/>
        <v>0.85970800000000003</v>
      </c>
      <c r="I1676" s="12" t="e">
        <f>ROUND(#REF!*1000000/G1676/H1676,-3)</f>
        <v>#REF!</v>
      </c>
      <c r="J1676" s="136">
        <v>260</v>
      </c>
      <c r="K1676" s="13"/>
    </row>
    <row r="1677" spans="1:11" ht="15" customHeight="1">
      <c r="A1677" s="816"/>
      <c r="B1677" s="804"/>
      <c r="C1677" s="7">
        <v>260</v>
      </c>
      <c r="D1677" s="9" t="s">
        <v>1296</v>
      </c>
      <c r="E1677" s="25">
        <v>595000</v>
      </c>
      <c r="G1677" s="8">
        <v>260</v>
      </c>
      <c r="H1677" s="11">
        <f t="shared" si="249"/>
        <v>0.85970800000000003</v>
      </c>
      <c r="I1677" s="12" t="e">
        <f>ROUND(#REF!*1000000/G1677/H1677,-3)</f>
        <v>#REF!</v>
      </c>
      <c r="J1677" s="136">
        <v>290</v>
      </c>
      <c r="K1677" s="13"/>
    </row>
    <row r="1678" spans="1:11" ht="15" customHeight="1">
      <c r="A1678" s="816"/>
      <c r="B1678" s="804"/>
      <c r="C1678" s="7">
        <v>280</v>
      </c>
      <c r="D1678" s="9" t="s">
        <v>1296</v>
      </c>
      <c r="E1678" s="25">
        <v>640000</v>
      </c>
      <c r="G1678" s="8">
        <v>280</v>
      </c>
      <c r="H1678" s="11">
        <f t="shared" si="249"/>
        <v>0.85970800000000003</v>
      </c>
      <c r="I1678" s="12" t="e">
        <f>ROUND(#REF!*1000000/G1678/H1678,-3)</f>
        <v>#REF!</v>
      </c>
      <c r="J1678" s="136">
        <v>315</v>
      </c>
      <c r="K1678" s="13"/>
    </row>
    <row r="1679" spans="1:11" ht="15" customHeight="1">
      <c r="A1679" s="816"/>
      <c r="B1679" s="804"/>
      <c r="C1679" s="7">
        <v>300</v>
      </c>
      <c r="D1679" s="9" t="s">
        <v>1296</v>
      </c>
      <c r="E1679" s="25">
        <v>685000</v>
      </c>
      <c r="G1679" s="8">
        <v>300</v>
      </c>
      <c r="H1679" s="11">
        <f t="shared" si="249"/>
        <v>0.85970800000000003</v>
      </c>
      <c r="I1679" s="12" t="e">
        <f>ROUND(#REF!*1000000/G1679/H1679,-3)</f>
        <v>#REF!</v>
      </c>
      <c r="J1679" s="136">
        <v>345</v>
      </c>
      <c r="K1679" s="13"/>
    </row>
    <row r="1680" spans="1:11" ht="15" customHeight="1">
      <c r="A1680" s="816"/>
      <c r="B1680" s="804"/>
      <c r="C1680" s="7">
        <v>350</v>
      </c>
      <c r="D1680" s="9" t="s">
        <v>1296</v>
      </c>
      <c r="E1680" s="25">
        <v>800000</v>
      </c>
      <c r="F1680" s="68"/>
      <c r="G1680" s="8">
        <v>350</v>
      </c>
      <c r="H1680" s="11">
        <f t="shared" si="249"/>
        <v>0.85970800000000003</v>
      </c>
      <c r="I1680" s="12" t="e">
        <f>ROUND(#REF!*1000000/G1680/H1680,-3)</f>
        <v>#REF!</v>
      </c>
      <c r="J1680" s="136">
        <v>415</v>
      </c>
      <c r="K1680" s="13"/>
    </row>
    <row r="1681" spans="1:11" ht="15" customHeight="1">
      <c r="A1681" s="816"/>
      <c r="B1681" s="804"/>
      <c r="C1681" s="7">
        <v>400</v>
      </c>
      <c r="D1681" s="9" t="s">
        <v>1296</v>
      </c>
      <c r="E1681" s="25">
        <v>915000</v>
      </c>
      <c r="F1681" s="68"/>
      <c r="G1681" s="8">
        <v>400</v>
      </c>
      <c r="H1681" s="11">
        <f t="shared" si="249"/>
        <v>0.85970800000000003</v>
      </c>
      <c r="I1681" s="12" t="e">
        <f>ROUND(#REF!*1000000/G1681/H1681,-3)</f>
        <v>#REF!</v>
      </c>
      <c r="J1681" s="136">
        <v>485</v>
      </c>
      <c r="K1681" s="13"/>
    </row>
    <row r="1682" spans="1:11" ht="15" customHeight="1">
      <c r="A1682" s="816"/>
      <c r="B1682" s="814" t="s">
        <v>347</v>
      </c>
      <c r="C1682" s="7">
        <v>220</v>
      </c>
      <c r="D1682" s="9" t="s">
        <v>1296</v>
      </c>
      <c r="E1682" s="25">
        <v>350000</v>
      </c>
      <c r="G1682" s="8">
        <v>220</v>
      </c>
      <c r="H1682" s="11">
        <f t="shared" ref="H1682:H1688" si="250">0.636*0.939</f>
        <v>0.59720399999999996</v>
      </c>
      <c r="I1682" s="12" t="e">
        <f>ROUND(#REF!*1000000/G1682/H1682,-3)</f>
        <v>#REF!</v>
      </c>
      <c r="J1682" s="136">
        <v>230</v>
      </c>
      <c r="K1682" s="13"/>
    </row>
    <row r="1683" spans="1:11" ht="15" customHeight="1">
      <c r="A1683" s="816"/>
      <c r="B1683" s="804"/>
      <c r="C1683" s="7">
        <v>240</v>
      </c>
      <c r="D1683" s="9" t="s">
        <v>1296</v>
      </c>
      <c r="E1683" s="25">
        <v>380000</v>
      </c>
      <c r="G1683" s="8">
        <v>240</v>
      </c>
      <c r="H1683" s="11">
        <f t="shared" si="250"/>
        <v>0.59720399999999996</v>
      </c>
      <c r="I1683" s="12" t="e">
        <f>ROUND(#REF!*1000000/G1683/H1683,-3)</f>
        <v>#REF!</v>
      </c>
      <c r="J1683" s="136">
        <v>260</v>
      </c>
      <c r="K1683" s="13"/>
    </row>
    <row r="1684" spans="1:11" ht="15" customHeight="1">
      <c r="A1684" s="816"/>
      <c r="B1684" s="804"/>
      <c r="C1684" s="7">
        <v>260</v>
      </c>
      <c r="D1684" s="9" t="s">
        <v>1296</v>
      </c>
      <c r="E1684" s="25">
        <v>415000</v>
      </c>
      <c r="G1684" s="8">
        <v>260</v>
      </c>
      <c r="H1684" s="11">
        <f t="shared" si="250"/>
        <v>0.59720399999999996</v>
      </c>
      <c r="I1684" s="12" t="e">
        <f>ROUND(#REF!*1000000/G1684/H1684,-3)</f>
        <v>#REF!</v>
      </c>
      <c r="J1684" s="136">
        <v>290</v>
      </c>
      <c r="K1684" s="13"/>
    </row>
    <row r="1685" spans="1:11" ht="15" customHeight="1">
      <c r="A1685" s="816"/>
      <c r="B1685" s="804"/>
      <c r="C1685" s="7">
        <v>280</v>
      </c>
      <c r="D1685" s="9" t="s">
        <v>1296</v>
      </c>
      <c r="E1685" s="25">
        <v>445000</v>
      </c>
      <c r="G1685" s="8">
        <v>280</v>
      </c>
      <c r="H1685" s="11">
        <f t="shared" si="250"/>
        <v>0.59720399999999996</v>
      </c>
      <c r="I1685" s="12" t="e">
        <f>ROUND(#REF!*1000000/G1685/H1685,-3)</f>
        <v>#REF!</v>
      </c>
      <c r="J1685" s="136">
        <v>315</v>
      </c>
      <c r="K1685" s="13"/>
    </row>
    <row r="1686" spans="1:11" ht="15" customHeight="1">
      <c r="A1686" s="816"/>
      <c r="B1686" s="804"/>
      <c r="C1686" s="7">
        <v>300</v>
      </c>
      <c r="D1686" s="9" t="s">
        <v>1296</v>
      </c>
      <c r="E1686" s="25">
        <v>475000</v>
      </c>
      <c r="G1686" s="8">
        <v>300</v>
      </c>
      <c r="H1686" s="11">
        <f t="shared" si="250"/>
        <v>0.59720399999999996</v>
      </c>
      <c r="I1686" s="12" t="e">
        <f>ROUND(#REF!*1000000/G1686/H1686,-3)</f>
        <v>#REF!</v>
      </c>
      <c r="J1686" s="136">
        <v>345</v>
      </c>
      <c r="K1686" s="13"/>
    </row>
    <row r="1687" spans="1:11" ht="15" customHeight="1">
      <c r="A1687" s="816"/>
      <c r="B1687" s="804"/>
      <c r="C1687" s="7">
        <v>350</v>
      </c>
      <c r="D1687" s="9" t="s">
        <v>1296</v>
      </c>
      <c r="E1687" s="25">
        <v>555000</v>
      </c>
      <c r="G1687" s="8">
        <v>350</v>
      </c>
      <c r="H1687" s="11">
        <f t="shared" si="250"/>
        <v>0.59720399999999996</v>
      </c>
      <c r="I1687" s="12" t="e">
        <f>ROUND(#REF!*1000000/G1687/H1687,-3)</f>
        <v>#REF!</v>
      </c>
      <c r="J1687" s="136">
        <v>415</v>
      </c>
      <c r="K1687" s="13"/>
    </row>
    <row r="1688" spans="1:11" ht="15" customHeight="1">
      <c r="A1688" s="816"/>
      <c r="B1688" s="805"/>
      <c r="C1688" s="33">
        <v>200</v>
      </c>
      <c r="D1688" s="21" t="s">
        <v>1296</v>
      </c>
      <c r="E1688" s="25">
        <v>312500</v>
      </c>
      <c r="G1688" s="8">
        <v>200</v>
      </c>
      <c r="H1688" s="11">
        <f t="shared" si="250"/>
        <v>0.59720399999999996</v>
      </c>
      <c r="I1688" s="12" t="e">
        <f>ROUND(#REF!*1000000/G1688/H1688,-3)</f>
        <v>#REF!</v>
      </c>
      <c r="J1688" s="136">
        <v>200</v>
      </c>
      <c r="K1688" s="13"/>
    </row>
    <row r="1689" spans="1:11" ht="15" customHeight="1">
      <c r="A1689" s="816"/>
      <c r="B1689" s="810"/>
      <c r="C1689" s="7">
        <v>200</v>
      </c>
      <c r="D1689" s="9" t="s">
        <v>1297</v>
      </c>
      <c r="E1689" s="25">
        <v>450000</v>
      </c>
      <c r="G1689" s="8">
        <v>200</v>
      </c>
      <c r="H1689" s="11">
        <f t="shared" ref="H1689:H1697" si="251">0.788*1.091</f>
        <v>0.85970800000000003</v>
      </c>
      <c r="I1689" s="12" t="e">
        <f>ROUND(#REF!*1000000/G1689/H1689,-3)</f>
        <v>#REF!</v>
      </c>
      <c r="J1689" s="136">
        <v>235</v>
      </c>
      <c r="K1689" s="13"/>
    </row>
    <row r="1690" spans="1:11" ht="15" customHeight="1">
      <c r="A1690" s="816"/>
      <c r="B1690" s="810"/>
      <c r="C1690" s="7">
        <v>220</v>
      </c>
      <c r="D1690" s="9" t="s">
        <v>1297</v>
      </c>
      <c r="E1690" s="25">
        <v>495000</v>
      </c>
      <c r="G1690" s="8">
        <v>220</v>
      </c>
      <c r="H1690" s="11">
        <f t="shared" si="251"/>
        <v>0.85970800000000003</v>
      </c>
      <c r="I1690" s="12" t="e">
        <f>ROUND(#REF!*1000000/G1690/H1690,-3)</f>
        <v>#REF!</v>
      </c>
      <c r="J1690" s="136">
        <v>260</v>
      </c>
      <c r="K1690" s="13"/>
    </row>
    <row r="1691" spans="1:11" ht="15" customHeight="1">
      <c r="A1691" s="816"/>
      <c r="B1691" s="810"/>
      <c r="C1691" s="7">
        <v>240</v>
      </c>
      <c r="D1691" s="9" t="s">
        <v>1297</v>
      </c>
      <c r="E1691" s="25">
        <v>540000</v>
      </c>
      <c r="G1691" s="8">
        <v>240</v>
      </c>
      <c r="H1691" s="11">
        <f t="shared" si="251"/>
        <v>0.85970800000000003</v>
      </c>
      <c r="I1691" s="12" t="e">
        <f>ROUND(#REF!*1000000/G1691/H1691,-3)</f>
        <v>#REF!</v>
      </c>
      <c r="J1691" s="136">
        <v>300</v>
      </c>
      <c r="K1691" s="13"/>
    </row>
    <row r="1692" spans="1:11" ht="15" customHeight="1">
      <c r="A1692" s="816"/>
      <c r="B1692" s="810"/>
      <c r="C1692" s="7">
        <v>260</v>
      </c>
      <c r="D1692" s="9" t="s">
        <v>1297</v>
      </c>
      <c r="E1692" s="25">
        <v>585000</v>
      </c>
      <c r="G1692" s="8">
        <v>260</v>
      </c>
      <c r="H1692" s="11">
        <f t="shared" si="251"/>
        <v>0.85970800000000003</v>
      </c>
      <c r="I1692" s="12" t="e">
        <f>ROUND(#REF!*1000000/G1692/H1692,-3)</f>
        <v>#REF!</v>
      </c>
      <c r="J1692" s="136">
        <v>330</v>
      </c>
      <c r="K1692" s="13"/>
    </row>
    <row r="1693" spans="1:11" ht="15" customHeight="1">
      <c r="A1693" s="816"/>
      <c r="B1693" s="810"/>
      <c r="C1693" s="7">
        <v>280</v>
      </c>
      <c r="D1693" s="9" t="s">
        <v>1297</v>
      </c>
      <c r="E1693" s="25">
        <v>630000</v>
      </c>
      <c r="G1693" s="8">
        <v>280</v>
      </c>
      <c r="H1693" s="11">
        <f t="shared" si="251"/>
        <v>0.85970800000000003</v>
      </c>
      <c r="I1693" s="12" t="e">
        <f>ROUND(#REF!*1000000/G1693/H1693,-3)</f>
        <v>#REF!</v>
      </c>
      <c r="J1693" s="136">
        <v>360</v>
      </c>
      <c r="K1693" s="13"/>
    </row>
    <row r="1694" spans="1:11" ht="15" customHeight="1">
      <c r="A1694" s="816"/>
      <c r="B1694" s="810"/>
      <c r="C1694" s="7">
        <v>300</v>
      </c>
      <c r="D1694" s="9" t="s">
        <v>1297</v>
      </c>
      <c r="E1694" s="25">
        <v>675000</v>
      </c>
      <c r="G1694" s="8">
        <v>300</v>
      </c>
      <c r="H1694" s="11">
        <f t="shared" si="251"/>
        <v>0.85970800000000003</v>
      </c>
      <c r="I1694" s="12" t="e">
        <f>ROUND(#REF!*1000000/G1694/H1694,-3)</f>
        <v>#REF!</v>
      </c>
      <c r="J1694" s="136">
        <v>395</v>
      </c>
      <c r="K1694" s="13"/>
    </row>
    <row r="1695" spans="1:11" ht="15" customHeight="1">
      <c r="A1695" s="816"/>
      <c r="B1695" s="810"/>
      <c r="C1695" s="7">
        <v>330</v>
      </c>
      <c r="D1695" s="9" t="s">
        <v>1297</v>
      </c>
      <c r="E1695" s="25">
        <v>740000</v>
      </c>
      <c r="G1695" s="8">
        <v>330</v>
      </c>
      <c r="H1695" s="11">
        <f t="shared" si="251"/>
        <v>0.85970800000000003</v>
      </c>
      <c r="I1695" s="12" t="e">
        <f>ROUND(#REF!*1000000/G1695/H1695,-3)</f>
        <v>#REF!</v>
      </c>
      <c r="J1695" s="136">
        <v>435</v>
      </c>
      <c r="K1695" s="13"/>
    </row>
    <row r="1696" spans="1:11" ht="15" customHeight="1">
      <c r="A1696" s="816"/>
      <c r="B1696" s="810"/>
      <c r="C1696" s="7">
        <v>350</v>
      </c>
      <c r="D1696" s="9" t="s">
        <v>1297</v>
      </c>
      <c r="E1696" s="25">
        <v>785000</v>
      </c>
      <c r="G1696" s="8">
        <v>350</v>
      </c>
      <c r="H1696" s="11">
        <f t="shared" si="251"/>
        <v>0.85970800000000003</v>
      </c>
      <c r="I1696" s="12" t="e">
        <f>ROUND(#REF!*1000000/G1696/H1696,-3)</f>
        <v>#REF!</v>
      </c>
      <c r="J1696" s="136">
        <v>465</v>
      </c>
      <c r="K1696" s="13"/>
    </row>
    <row r="1697" spans="1:11" ht="15" customHeight="1">
      <c r="A1697" s="816"/>
      <c r="B1697" s="810"/>
      <c r="C1697" s="7" t="s">
        <v>4892</v>
      </c>
      <c r="D1697" s="9" t="s">
        <v>1297</v>
      </c>
      <c r="E1697" s="25">
        <v>855000</v>
      </c>
      <c r="G1697" s="8">
        <v>380</v>
      </c>
      <c r="H1697" s="11">
        <f t="shared" si="251"/>
        <v>0.85970800000000003</v>
      </c>
      <c r="I1697" s="12" t="e">
        <f>ROUND(#REF!*1000000/G1697/H1697,-3)</f>
        <v>#REF!</v>
      </c>
      <c r="J1697" s="136">
        <v>505</v>
      </c>
      <c r="K1697" s="13"/>
    </row>
    <row r="1698" spans="1:11" ht="15" customHeight="1">
      <c r="A1698" s="816"/>
      <c r="B1698" s="810" t="s">
        <v>347</v>
      </c>
      <c r="C1698" s="7">
        <v>180</v>
      </c>
      <c r="D1698" s="9" t="s">
        <v>1297</v>
      </c>
      <c r="E1698" s="25">
        <v>275000</v>
      </c>
      <c r="G1698" s="8">
        <v>180</v>
      </c>
      <c r="H1698" s="11">
        <f t="shared" ref="H1698:H1706" si="252">0.636*0.939</f>
        <v>0.59720399999999996</v>
      </c>
      <c r="I1698" s="12" t="e">
        <f>ROUND(#REF!*1000000/G1698/H1698,-3)</f>
        <v>#REF!</v>
      </c>
      <c r="J1698" s="136">
        <v>205</v>
      </c>
      <c r="K1698" s="13"/>
    </row>
    <row r="1699" spans="1:11" ht="15" customHeight="1">
      <c r="A1699" s="816"/>
      <c r="B1699" s="810"/>
      <c r="C1699" s="7">
        <v>200</v>
      </c>
      <c r="D1699" s="9" t="s">
        <v>1297</v>
      </c>
      <c r="E1699" s="25">
        <v>315000</v>
      </c>
      <c r="G1699" s="8">
        <v>200</v>
      </c>
      <c r="H1699" s="11">
        <f t="shared" si="252"/>
        <v>0.59720399999999996</v>
      </c>
      <c r="I1699" s="12" t="e">
        <f>ROUND(#REF!*1000000/G1699/H1699,-3)</f>
        <v>#REF!</v>
      </c>
      <c r="J1699" s="136">
        <v>235</v>
      </c>
      <c r="K1699" s="13"/>
    </row>
    <row r="1700" spans="1:11" ht="15" customHeight="1">
      <c r="A1700" s="816"/>
      <c r="B1700" s="810"/>
      <c r="C1700" s="7">
        <v>220</v>
      </c>
      <c r="D1700" s="9" t="s">
        <v>1297</v>
      </c>
      <c r="E1700" s="25">
        <v>345000</v>
      </c>
      <c r="G1700" s="8">
        <v>220</v>
      </c>
      <c r="H1700" s="11">
        <f t="shared" si="252"/>
        <v>0.59720399999999996</v>
      </c>
      <c r="I1700" s="12" t="e">
        <f>ROUND(#REF!*1000000/G1700/H1700,-3)</f>
        <v>#REF!</v>
      </c>
      <c r="J1700" s="136">
        <v>260</v>
      </c>
      <c r="K1700" s="13"/>
    </row>
    <row r="1701" spans="1:11" ht="15" customHeight="1">
      <c r="A1701" s="816"/>
      <c r="B1701" s="810"/>
      <c r="C1701" s="7">
        <v>240</v>
      </c>
      <c r="D1701" s="9" t="s">
        <v>1297</v>
      </c>
      <c r="E1701" s="25">
        <v>375000</v>
      </c>
      <c r="G1701" s="8">
        <v>240</v>
      </c>
      <c r="H1701" s="11">
        <f t="shared" si="252"/>
        <v>0.59720399999999996</v>
      </c>
      <c r="I1701" s="12" t="e">
        <f>ROUND(#REF!*1000000/G1701/H1701,-3)</f>
        <v>#REF!</v>
      </c>
      <c r="J1701" s="136">
        <v>300</v>
      </c>
      <c r="K1701" s="13"/>
    </row>
    <row r="1702" spans="1:11" ht="15" customHeight="1">
      <c r="A1702" s="816"/>
      <c r="B1702" s="810"/>
      <c r="C1702" s="7">
        <v>260</v>
      </c>
      <c r="D1702" s="9" t="s">
        <v>1297</v>
      </c>
      <c r="E1702" s="25">
        <v>405000</v>
      </c>
      <c r="G1702" s="8">
        <v>260</v>
      </c>
      <c r="H1702" s="11">
        <f t="shared" si="252"/>
        <v>0.59720399999999996</v>
      </c>
      <c r="I1702" s="12" t="e">
        <f>ROUND(#REF!*1000000/G1702/H1702,-3)</f>
        <v>#REF!</v>
      </c>
      <c r="J1702" s="136">
        <v>330</v>
      </c>
      <c r="K1702" s="13"/>
    </row>
    <row r="1703" spans="1:11" ht="15" customHeight="1">
      <c r="A1703" s="816"/>
      <c r="B1703" s="810"/>
      <c r="C1703" s="7">
        <v>280</v>
      </c>
      <c r="D1703" s="9" t="s">
        <v>1297</v>
      </c>
      <c r="E1703" s="25">
        <v>435500</v>
      </c>
      <c r="G1703" s="8">
        <v>280</v>
      </c>
      <c r="H1703" s="11">
        <f t="shared" si="252"/>
        <v>0.59720399999999996</v>
      </c>
      <c r="I1703" s="12" t="e">
        <f>ROUND(#REF!*1000000/G1703/H1703,-3)</f>
        <v>#REF!</v>
      </c>
      <c r="J1703" s="136">
        <v>360</v>
      </c>
      <c r="K1703" s="13"/>
    </row>
    <row r="1704" spans="1:11" ht="15" customHeight="1">
      <c r="A1704" s="816"/>
      <c r="B1704" s="810"/>
      <c r="C1704" s="7">
        <v>300</v>
      </c>
      <c r="D1704" s="9" t="s">
        <v>1297</v>
      </c>
      <c r="E1704" s="25">
        <v>470000</v>
      </c>
      <c r="G1704" s="8">
        <v>300</v>
      </c>
      <c r="H1704" s="11">
        <f t="shared" si="252"/>
        <v>0.59720399999999996</v>
      </c>
      <c r="I1704" s="12" t="e">
        <f>ROUND(#REF!*1000000/G1704/H1704,-3)</f>
        <v>#REF!</v>
      </c>
      <c r="J1704" s="136">
        <v>395</v>
      </c>
      <c r="K1704" s="13"/>
    </row>
    <row r="1705" spans="1:11" ht="15" customHeight="1">
      <c r="A1705" s="816"/>
      <c r="B1705" s="810"/>
      <c r="C1705" s="7">
        <v>330</v>
      </c>
      <c r="D1705" s="9" t="s">
        <v>1297</v>
      </c>
      <c r="E1705" s="25">
        <v>515000</v>
      </c>
      <c r="G1705" s="8">
        <v>330</v>
      </c>
      <c r="H1705" s="11">
        <f t="shared" si="252"/>
        <v>0.59720399999999996</v>
      </c>
      <c r="I1705" s="12" t="e">
        <f>ROUND(#REF!*1000000/G1705/H1705,-3)</f>
        <v>#REF!</v>
      </c>
      <c r="J1705" s="136">
        <v>435</v>
      </c>
      <c r="K1705" s="13"/>
    </row>
    <row r="1706" spans="1:11" ht="15" customHeight="1">
      <c r="A1706" s="816"/>
      <c r="B1706" s="810"/>
      <c r="C1706" s="7">
        <v>350</v>
      </c>
      <c r="D1706" s="9" t="s">
        <v>1297</v>
      </c>
      <c r="E1706" s="25">
        <v>550000</v>
      </c>
      <c r="G1706" s="8">
        <v>350</v>
      </c>
      <c r="H1706" s="11">
        <f t="shared" si="252"/>
        <v>0.59720399999999996</v>
      </c>
      <c r="I1706" s="12" t="e">
        <f>ROUND(#REF!*1000000/G1706/H1706,-3)</f>
        <v>#REF!</v>
      </c>
      <c r="J1706" s="136">
        <v>465</v>
      </c>
      <c r="K1706" s="13"/>
    </row>
    <row r="1707" spans="1:11" ht="15" customHeight="1">
      <c r="A1707" s="816"/>
      <c r="B1707" s="814" t="s">
        <v>213</v>
      </c>
      <c r="C1707" s="33">
        <v>270</v>
      </c>
      <c r="D1707" s="21" t="s">
        <v>1298</v>
      </c>
      <c r="E1707" s="25">
        <v>560000</v>
      </c>
      <c r="G1707" s="8">
        <v>270</v>
      </c>
      <c r="H1707" s="11">
        <f t="shared" ref="H1707:H1708" si="253">0.788*1.091</f>
        <v>0.85970800000000003</v>
      </c>
      <c r="I1707" s="12" t="e">
        <f>ROUND(#REF!*1000000/G1707/H1707,-3)</f>
        <v>#REF!</v>
      </c>
      <c r="J1707" s="136">
        <v>310</v>
      </c>
      <c r="K1707" s="13"/>
    </row>
    <row r="1708" spans="1:11" ht="15" customHeight="1">
      <c r="A1708" s="816"/>
      <c r="B1708" s="805"/>
      <c r="C1708" s="33">
        <v>290</v>
      </c>
      <c r="D1708" s="21" t="s">
        <v>1298</v>
      </c>
      <c r="E1708" s="25">
        <v>600000</v>
      </c>
      <c r="G1708" s="8">
        <v>290</v>
      </c>
      <c r="H1708" s="11">
        <f t="shared" si="253"/>
        <v>0.85970800000000003</v>
      </c>
      <c r="I1708" s="12" t="e">
        <f>ROUND(#REF!*1000000/G1708/H1708,-3)</f>
        <v>#REF!</v>
      </c>
      <c r="J1708" s="136">
        <v>340</v>
      </c>
      <c r="K1708" s="13"/>
    </row>
    <row r="1709" spans="1:11" ht="15" customHeight="1">
      <c r="A1709" s="816"/>
      <c r="B1709" s="810" t="s">
        <v>347</v>
      </c>
      <c r="C1709" s="33">
        <v>250</v>
      </c>
      <c r="D1709" s="21" t="s">
        <v>1298</v>
      </c>
      <c r="E1709" s="25">
        <v>357500</v>
      </c>
      <c r="G1709" s="8">
        <v>250</v>
      </c>
      <c r="H1709" s="11">
        <f t="shared" ref="H1709:H1710" si="254">0.636*0.939</f>
        <v>0.59720399999999996</v>
      </c>
      <c r="I1709" s="12" t="e">
        <f>ROUND(#REF!*1000000/G1709/H1709,-3)</f>
        <v>#REF!</v>
      </c>
      <c r="J1709" s="136">
        <v>285</v>
      </c>
      <c r="K1709" s="13"/>
    </row>
    <row r="1710" spans="1:11" ht="15" customHeight="1">
      <c r="A1710" s="816"/>
      <c r="B1710" s="810"/>
      <c r="C1710" s="33">
        <v>270</v>
      </c>
      <c r="D1710" s="21" t="s">
        <v>1298</v>
      </c>
      <c r="E1710" s="25">
        <v>390000</v>
      </c>
      <c r="G1710" s="8">
        <v>270</v>
      </c>
      <c r="H1710" s="11">
        <f t="shared" si="254"/>
        <v>0.59720399999999996</v>
      </c>
      <c r="I1710" s="12" t="e">
        <f>ROUND(#REF!*1000000/G1710/H1710,-3)</f>
        <v>#REF!</v>
      </c>
      <c r="J1710" s="136">
        <v>310</v>
      </c>
      <c r="K1710" s="13"/>
    </row>
    <row r="1711" spans="1:11" ht="15" customHeight="1">
      <c r="A1711" s="816"/>
      <c r="B1711" s="814" t="s">
        <v>602</v>
      </c>
      <c r="C1711" s="20">
        <v>270</v>
      </c>
      <c r="D1711" s="73" t="s">
        <v>1299</v>
      </c>
      <c r="E1711" s="25">
        <v>370000</v>
      </c>
      <c r="G1711" s="8">
        <v>270</v>
      </c>
      <c r="H1711" s="11">
        <f>0.72*1.02</f>
        <v>0.73439999999999994</v>
      </c>
      <c r="I1711" s="12" t="e">
        <f>ROUND(#REF!*1000000/G1711/H1711,-3)</f>
        <v>#REF!</v>
      </c>
      <c r="J1711" s="137"/>
      <c r="K1711" s="13"/>
    </row>
    <row r="1712" spans="1:11" ht="15" customHeight="1">
      <c r="A1712" s="816"/>
      <c r="B1712" s="805"/>
      <c r="C1712" s="33">
        <v>300</v>
      </c>
      <c r="D1712" s="73" t="s">
        <v>1299</v>
      </c>
      <c r="E1712" s="25">
        <v>410000</v>
      </c>
      <c r="G1712" s="8">
        <v>300</v>
      </c>
      <c r="H1712" s="11">
        <f>0.72*1.02</f>
        <v>0.73439999999999994</v>
      </c>
      <c r="I1712" s="12" t="e">
        <f>ROUND(#REF!*1000000/G1712/H1712,-3)</f>
        <v>#REF!</v>
      </c>
      <c r="J1712" s="137"/>
      <c r="K1712" s="13"/>
    </row>
    <row r="1713" spans="1:11" ht="15" customHeight="1">
      <c r="A1713" s="813" t="s">
        <v>1300</v>
      </c>
      <c r="B1713" s="814" t="s">
        <v>213</v>
      </c>
      <c r="C1713" s="33">
        <v>490</v>
      </c>
      <c r="D1713" s="21"/>
      <c r="E1713" s="25">
        <v>1025000</v>
      </c>
      <c r="G1713" s="8">
        <v>490</v>
      </c>
      <c r="H1713" s="11">
        <f t="shared" ref="H1713:H1722" si="255">0.788*1.091</f>
        <v>0.85970800000000003</v>
      </c>
      <c r="I1713" s="12" t="e">
        <f>ROUND(#REF!*1000000/G1713/H1713,-3)</f>
        <v>#REF!</v>
      </c>
      <c r="J1713" s="136">
        <v>600</v>
      </c>
      <c r="K1713" s="13"/>
    </row>
    <row r="1714" spans="1:11" ht="15" customHeight="1">
      <c r="A1714" s="816"/>
      <c r="B1714" s="804"/>
      <c r="C1714" s="33">
        <v>530</v>
      </c>
      <c r="D1714" s="21"/>
      <c r="E1714" s="25">
        <v>1107500</v>
      </c>
      <c r="G1714" s="8">
        <v>530</v>
      </c>
      <c r="H1714" s="11">
        <f t="shared" si="255"/>
        <v>0.85970800000000003</v>
      </c>
      <c r="I1714" s="12" t="e">
        <f>ROUND(#REF!*1000000/G1714/H1714,-3)</f>
        <v>#REF!</v>
      </c>
      <c r="J1714" s="136">
        <v>660</v>
      </c>
      <c r="K1714" s="13"/>
    </row>
    <row r="1715" spans="1:11" ht="15" customHeight="1">
      <c r="A1715" s="816"/>
      <c r="B1715" s="804"/>
      <c r="C1715" s="33">
        <v>570</v>
      </c>
      <c r="D1715" s="21"/>
      <c r="E1715" s="25">
        <v>1192500</v>
      </c>
      <c r="G1715" s="8">
        <v>570</v>
      </c>
      <c r="H1715" s="11">
        <f t="shared" si="255"/>
        <v>0.85970800000000003</v>
      </c>
      <c r="I1715" s="12" t="e">
        <f>ROUND(#REF!*1000000/G1715/H1715,-3)</f>
        <v>#REF!</v>
      </c>
      <c r="J1715" s="136">
        <v>720</v>
      </c>
      <c r="K1715" s="13"/>
    </row>
    <row r="1716" spans="1:11" ht="15" customHeight="1">
      <c r="A1716" s="816"/>
      <c r="B1716" s="804"/>
      <c r="C1716" s="33">
        <v>670</v>
      </c>
      <c r="D1716" s="21"/>
      <c r="E1716" s="25">
        <v>1400000</v>
      </c>
      <c r="G1716" s="8">
        <v>670</v>
      </c>
      <c r="H1716" s="11">
        <f t="shared" si="255"/>
        <v>0.85970800000000003</v>
      </c>
      <c r="I1716" s="12" t="e">
        <f>ROUND(#REF!*1000000/G1716/H1716,-3)</f>
        <v>#REF!</v>
      </c>
      <c r="J1716" s="136">
        <v>870</v>
      </c>
      <c r="K1716" s="13"/>
    </row>
    <row r="1717" spans="1:11" ht="15" customHeight="1">
      <c r="A1717" s="817"/>
      <c r="B1717" s="805"/>
      <c r="C1717" s="33">
        <v>770</v>
      </c>
      <c r="D1717" s="21"/>
      <c r="E1717" s="25">
        <v>1610000</v>
      </c>
      <c r="G1717" s="8">
        <v>770</v>
      </c>
      <c r="H1717" s="11">
        <f t="shared" si="255"/>
        <v>0.85970800000000003</v>
      </c>
      <c r="I1717" s="12" t="e">
        <f>ROUND(#REF!*1000000/G1717/H1717,-3)</f>
        <v>#REF!</v>
      </c>
      <c r="J1717" s="136">
        <v>1010</v>
      </c>
      <c r="K1717" s="13"/>
    </row>
    <row r="1718" spans="1:11" ht="15" customHeight="1">
      <c r="A1718" s="811" t="s">
        <v>1301</v>
      </c>
      <c r="B1718" s="810" t="s">
        <v>213</v>
      </c>
      <c r="C1718" s="16">
        <v>120</v>
      </c>
      <c r="D1718" s="29" t="s">
        <v>1302</v>
      </c>
      <c r="E1718" s="25">
        <v>585000</v>
      </c>
      <c r="G1718" s="8">
        <v>120</v>
      </c>
      <c r="H1718" s="11">
        <f t="shared" si="255"/>
        <v>0.85970800000000003</v>
      </c>
      <c r="I1718" s="12" t="e">
        <f>ROUND(#REF!*1000000/G1718/H1718,-3)</f>
        <v>#REF!</v>
      </c>
      <c r="J1718" s="136">
        <v>138</v>
      </c>
      <c r="K1718" s="13"/>
    </row>
    <row r="1719" spans="1:11" ht="15" customHeight="1">
      <c r="A1719" s="811"/>
      <c r="B1719" s="810"/>
      <c r="C1719" s="16">
        <v>145</v>
      </c>
      <c r="D1719" s="29" t="s">
        <v>1303</v>
      </c>
      <c r="E1719" s="25">
        <v>710000</v>
      </c>
      <c r="G1719" s="8">
        <v>145</v>
      </c>
      <c r="H1719" s="11">
        <f t="shared" si="255"/>
        <v>0.85970800000000003</v>
      </c>
      <c r="I1719" s="12" t="e">
        <f>ROUND(#REF!*1000000/G1719/H1719,-3)</f>
        <v>#REF!</v>
      </c>
      <c r="J1719" s="136">
        <v>173</v>
      </c>
      <c r="K1719" s="13"/>
    </row>
    <row r="1720" spans="1:11" ht="15" customHeight="1">
      <c r="A1720" s="811"/>
      <c r="B1720" s="810"/>
      <c r="C1720" s="16">
        <v>200</v>
      </c>
      <c r="D1720" s="29" t="s">
        <v>1304</v>
      </c>
      <c r="E1720" s="25">
        <v>975000</v>
      </c>
      <c r="G1720" s="8">
        <v>200</v>
      </c>
      <c r="H1720" s="11">
        <f t="shared" si="255"/>
        <v>0.85970800000000003</v>
      </c>
      <c r="I1720" s="12" t="e">
        <f>ROUND(#REF!*1000000/G1720/H1720,-3)</f>
        <v>#REF!</v>
      </c>
      <c r="J1720" s="136">
        <v>250</v>
      </c>
      <c r="K1720" s="13"/>
    </row>
    <row r="1721" spans="1:11" ht="15" customHeight="1">
      <c r="A1721" s="811"/>
      <c r="B1721" s="810"/>
      <c r="C1721" s="7">
        <v>260</v>
      </c>
      <c r="D1721" s="9" t="s">
        <v>1305</v>
      </c>
      <c r="E1721" s="25">
        <v>1270000</v>
      </c>
      <c r="G1721" s="8">
        <v>260</v>
      </c>
      <c r="H1721" s="11">
        <f t="shared" si="255"/>
        <v>0.85970800000000003</v>
      </c>
      <c r="I1721" s="12" t="e">
        <f>ROUND(#REF!*1000000/G1721/H1721,-3)</f>
        <v>#REF!</v>
      </c>
      <c r="J1721" s="136">
        <v>335</v>
      </c>
      <c r="K1721" s="13"/>
    </row>
    <row r="1722" spans="1:11" ht="15" customHeight="1">
      <c r="A1722" s="811"/>
      <c r="B1722" s="810"/>
      <c r="C1722" s="7">
        <v>360</v>
      </c>
      <c r="D1722" s="9" t="s">
        <v>1306</v>
      </c>
      <c r="E1722" s="25">
        <v>1760000</v>
      </c>
      <c r="G1722" s="8">
        <v>360</v>
      </c>
      <c r="H1722" s="11">
        <f t="shared" si="255"/>
        <v>0.85970800000000003</v>
      </c>
      <c r="I1722" s="12" t="e">
        <f>ROUND(#REF!*1000000/G1722/H1722,-3)</f>
        <v>#REF!</v>
      </c>
      <c r="J1722" s="136">
        <v>430</v>
      </c>
      <c r="K1722" s="13"/>
    </row>
    <row r="1723" spans="1:11" ht="15" customHeight="1">
      <c r="A1723" s="813" t="s">
        <v>1307</v>
      </c>
      <c r="B1723" s="809" t="s">
        <v>1308</v>
      </c>
      <c r="C1723" s="7">
        <v>80</v>
      </c>
      <c r="D1723" s="9" t="s">
        <v>1309</v>
      </c>
      <c r="E1723" s="148">
        <v>910000</v>
      </c>
      <c r="G1723" s="8">
        <v>80</v>
      </c>
      <c r="H1723" s="11">
        <f t="shared" ref="H1723:H1732" si="256">1.12*0.788</f>
        <v>0.88256000000000012</v>
      </c>
      <c r="I1723" s="12" t="e">
        <f>ROUND(#REF!*1000000/G1723/H1723,-3)</f>
        <v>#REF!</v>
      </c>
      <c r="J1723" s="137"/>
      <c r="K1723" s="13"/>
    </row>
    <row r="1724" spans="1:11" ht="15" customHeight="1">
      <c r="A1724" s="816"/>
      <c r="B1724" s="804"/>
      <c r="C1724" s="7">
        <v>120</v>
      </c>
      <c r="D1724" s="9" t="s">
        <v>1309</v>
      </c>
      <c r="E1724" s="148">
        <v>975000</v>
      </c>
      <c r="G1724" s="8">
        <v>120</v>
      </c>
      <c r="H1724" s="11">
        <f t="shared" si="256"/>
        <v>0.88256000000000012</v>
      </c>
      <c r="I1724" s="12" t="e">
        <f>ROUND(#REF!*1000000/G1724/H1724,-3)</f>
        <v>#REF!</v>
      </c>
      <c r="J1724" s="137"/>
      <c r="K1724" s="13"/>
    </row>
    <row r="1725" spans="1:11" ht="15" customHeight="1">
      <c r="A1725" s="816"/>
      <c r="B1725" s="804"/>
      <c r="C1725" s="7">
        <v>150</v>
      </c>
      <c r="D1725" s="9" t="s">
        <v>1309</v>
      </c>
      <c r="E1725" s="148">
        <v>1050000</v>
      </c>
      <c r="G1725" s="8">
        <v>150</v>
      </c>
      <c r="H1725" s="11">
        <f t="shared" si="256"/>
        <v>0.88256000000000012</v>
      </c>
      <c r="I1725" s="12" t="e">
        <f>ROUND(#REF!*1000000/G1725/H1725,-3)</f>
        <v>#REF!</v>
      </c>
      <c r="J1725" s="137"/>
      <c r="K1725" s="13"/>
    </row>
    <row r="1726" spans="1:11" ht="15" customHeight="1">
      <c r="A1726" s="816"/>
      <c r="B1726" s="804"/>
      <c r="C1726" s="16">
        <v>200</v>
      </c>
      <c r="D1726" s="9" t="s">
        <v>1309</v>
      </c>
      <c r="E1726" s="148">
        <v>1400000</v>
      </c>
      <c r="G1726" s="8">
        <v>200</v>
      </c>
      <c r="H1726" s="11">
        <f t="shared" si="256"/>
        <v>0.88256000000000012</v>
      </c>
      <c r="I1726" s="12" t="e">
        <f>ROUND(#REF!*1000000/G1726/H1726,-3)</f>
        <v>#REF!</v>
      </c>
      <c r="J1726" s="137"/>
      <c r="K1726" s="13"/>
    </row>
    <row r="1727" spans="1:11" ht="15" customHeight="1">
      <c r="A1727" s="816"/>
      <c r="B1727" s="804"/>
      <c r="C1727" s="16">
        <v>250</v>
      </c>
      <c r="D1727" s="9" t="s">
        <v>1309</v>
      </c>
      <c r="E1727" s="148">
        <v>1545000</v>
      </c>
      <c r="G1727" s="8">
        <v>250</v>
      </c>
      <c r="H1727" s="11">
        <f t="shared" si="256"/>
        <v>0.88256000000000012</v>
      </c>
      <c r="I1727" s="12" t="e">
        <f>ROUND(#REF!*1000000/G1727/H1727,-3)</f>
        <v>#REF!</v>
      </c>
      <c r="J1727" s="137"/>
      <c r="K1727" s="13"/>
    </row>
    <row r="1728" spans="1:11" ht="15" customHeight="1">
      <c r="A1728" s="816"/>
      <c r="B1728" s="804"/>
      <c r="C1728" s="16">
        <v>185</v>
      </c>
      <c r="D1728" s="29" t="s">
        <v>1310</v>
      </c>
      <c r="E1728" s="148">
        <v>3075000</v>
      </c>
      <c r="G1728" s="8">
        <v>185</v>
      </c>
      <c r="H1728" s="11">
        <f t="shared" si="256"/>
        <v>0.88256000000000012</v>
      </c>
      <c r="I1728" s="12" t="e">
        <f>ROUND(#REF!*1000000/G1728/H1728,-3)</f>
        <v>#REF!</v>
      </c>
      <c r="J1728" s="137"/>
      <c r="K1728" s="13"/>
    </row>
    <row r="1729" spans="1:11" ht="15" customHeight="1">
      <c r="A1729" s="816"/>
      <c r="B1729" s="804"/>
      <c r="C1729" s="16">
        <v>85</v>
      </c>
      <c r="D1729" s="29" t="s">
        <v>371</v>
      </c>
      <c r="E1729" s="148">
        <v>265000</v>
      </c>
      <c r="G1729" s="8">
        <v>85</v>
      </c>
      <c r="H1729" s="11">
        <f t="shared" si="256"/>
        <v>0.88256000000000012</v>
      </c>
      <c r="I1729" s="12" t="e">
        <f>ROUND(#REF!*1000000/G1729/H1729,-3)</f>
        <v>#REF!</v>
      </c>
      <c r="J1729" s="137"/>
      <c r="K1729" s="13"/>
    </row>
    <row r="1730" spans="1:11" ht="15" customHeight="1">
      <c r="A1730" s="816"/>
      <c r="B1730" s="804"/>
      <c r="C1730" s="16">
        <v>110</v>
      </c>
      <c r="D1730" s="29" t="s">
        <v>371</v>
      </c>
      <c r="E1730" s="148">
        <v>340000</v>
      </c>
      <c r="G1730" s="8">
        <v>110</v>
      </c>
      <c r="H1730" s="11">
        <f t="shared" si="256"/>
        <v>0.88256000000000012</v>
      </c>
      <c r="I1730" s="12" t="e">
        <f>ROUND(#REF!*1000000/G1730/H1730,-3)</f>
        <v>#REF!</v>
      </c>
      <c r="J1730" s="137"/>
      <c r="K1730" s="13"/>
    </row>
    <row r="1731" spans="1:11" ht="15" customHeight="1">
      <c r="A1731" s="816"/>
      <c r="B1731" s="804"/>
      <c r="C1731" s="16">
        <v>80</v>
      </c>
      <c r="D1731" s="29" t="s">
        <v>1311</v>
      </c>
      <c r="E1731" s="148">
        <v>240000</v>
      </c>
      <c r="G1731" s="8">
        <v>80</v>
      </c>
      <c r="H1731" s="11">
        <f t="shared" si="256"/>
        <v>0.88256000000000012</v>
      </c>
      <c r="I1731" s="12" t="e">
        <f>ROUND(#REF!*1000000/G1731/H1731,-3)</f>
        <v>#REF!</v>
      </c>
      <c r="J1731" s="137"/>
      <c r="K1731" s="13"/>
    </row>
    <row r="1732" spans="1:11" ht="15" customHeight="1">
      <c r="A1732" s="816"/>
      <c r="B1732" s="804"/>
      <c r="C1732" s="16">
        <v>110</v>
      </c>
      <c r="D1732" s="29" t="s">
        <v>1311</v>
      </c>
      <c r="E1732" s="148">
        <v>330000</v>
      </c>
      <c r="G1732" s="8">
        <v>110</v>
      </c>
      <c r="H1732" s="11">
        <f t="shared" si="256"/>
        <v>0.88256000000000012</v>
      </c>
      <c r="I1732" s="12" t="e">
        <f>ROUND(#REF!*1000000/G1732/H1732,-3)</f>
        <v>#REF!</v>
      </c>
      <c r="J1732" s="137"/>
      <c r="K1732" s="13"/>
    </row>
    <row r="1733" spans="1:11" ht="15" customHeight="1">
      <c r="A1733" s="816"/>
      <c r="B1733" s="805"/>
      <c r="C1733" s="33">
        <v>210</v>
      </c>
      <c r="D1733" s="21" t="s">
        <v>1312</v>
      </c>
      <c r="E1733" s="214">
        <v>2260000</v>
      </c>
      <c r="G1733" s="8">
        <v>80</v>
      </c>
      <c r="H1733" s="11">
        <f>0.65*0.939</f>
        <v>0.61034999999999995</v>
      </c>
      <c r="I1733" s="12" t="e">
        <f>ROUND(#REF!*1000000/G1733/H1733,-3)</f>
        <v>#REF!</v>
      </c>
      <c r="J1733" s="137"/>
      <c r="K1733" s="13"/>
    </row>
    <row r="1734" spans="1:11" ht="15" customHeight="1">
      <c r="A1734" s="816"/>
      <c r="B1734" s="810" t="s">
        <v>1313</v>
      </c>
      <c r="C1734" s="16">
        <v>80</v>
      </c>
      <c r="D1734" s="29" t="s">
        <v>1311</v>
      </c>
      <c r="E1734" s="148">
        <v>165000</v>
      </c>
      <c r="G1734" s="8">
        <v>80</v>
      </c>
      <c r="H1734" s="11">
        <f>0.65*0.939</f>
        <v>0.61034999999999995</v>
      </c>
      <c r="I1734" s="12" t="e">
        <f>ROUND(#REF!*1000000/G1734/H1734,-3)</f>
        <v>#REF!</v>
      </c>
      <c r="J1734" s="137"/>
      <c r="K1734" s="13"/>
    </row>
    <row r="1735" spans="1:11" ht="15" customHeight="1">
      <c r="A1735" s="816"/>
      <c r="B1735" s="810"/>
      <c r="C1735" s="16">
        <f>C1734</f>
        <v>80</v>
      </c>
      <c r="D1735" s="29" t="s">
        <v>1314</v>
      </c>
      <c r="E1735" s="148">
        <v>180000</v>
      </c>
      <c r="G1735" s="8">
        <v>160</v>
      </c>
      <c r="H1735" s="11">
        <f t="shared" ref="H1735:H1736" si="257">0.636*0.939</f>
        <v>0.59720399999999996</v>
      </c>
      <c r="I1735" s="12" t="e">
        <f>ROUND(#REF!*1000000/G1735/H1735,-3)</f>
        <v>#REF!</v>
      </c>
      <c r="J1735" s="137"/>
      <c r="K1735" s="13"/>
    </row>
    <row r="1736" spans="1:11" ht="15" customHeight="1">
      <c r="A1736" s="816"/>
      <c r="B1736" s="809" t="s">
        <v>28</v>
      </c>
      <c r="C1736" s="16">
        <v>160</v>
      </c>
      <c r="D1736" s="29" t="s">
        <v>1315</v>
      </c>
      <c r="E1736" s="148">
        <v>1620000</v>
      </c>
      <c r="G1736" s="8">
        <v>240</v>
      </c>
      <c r="H1736" s="11">
        <f t="shared" si="257"/>
        <v>0.59720399999999996</v>
      </c>
      <c r="I1736" s="12" t="e">
        <f>ROUND(#REF!*1000000/G1736/H1736,-3)</f>
        <v>#REF!</v>
      </c>
      <c r="J1736" s="137"/>
      <c r="K1736" s="13"/>
    </row>
    <row r="1737" spans="1:11" ht="15" customHeight="1">
      <c r="A1737" s="816"/>
      <c r="B1737" s="805"/>
      <c r="C1737" s="16">
        <v>240</v>
      </c>
      <c r="D1737" s="29" t="s">
        <v>1315</v>
      </c>
      <c r="E1737" s="148">
        <v>2400000</v>
      </c>
      <c r="G1737" s="8">
        <v>100</v>
      </c>
      <c r="H1737" s="11">
        <f>0.636*0.939</f>
        <v>0.59720399999999996</v>
      </c>
      <c r="I1737" s="12" t="e">
        <f>ROUND(#REF!*1000000/G1737/H1737,-3)</f>
        <v>#REF!</v>
      </c>
      <c r="J1737" s="137"/>
      <c r="K1737" s="13"/>
    </row>
    <row r="1738" spans="1:11" ht="15" customHeight="1">
      <c r="A1738" s="816"/>
      <c r="B1738" s="810" t="s">
        <v>321</v>
      </c>
      <c r="C1738" s="33" t="s">
        <v>1316</v>
      </c>
      <c r="D1738" s="21" t="s">
        <v>1317</v>
      </c>
      <c r="E1738" s="214">
        <v>320000</v>
      </c>
      <c r="G1738" s="8">
        <v>33</v>
      </c>
      <c r="H1738" s="11">
        <f t="shared" ref="H1738:H1743" si="258">0.64*0.94</f>
        <v>0.60160000000000002</v>
      </c>
      <c r="I1738" s="12" t="e">
        <f>ROUND(#REF!*1000000/G1738/H1738,-3)</f>
        <v>#REF!</v>
      </c>
      <c r="J1738" s="137"/>
      <c r="K1738" s="13"/>
    </row>
    <row r="1739" spans="1:11" ht="15" customHeight="1">
      <c r="A1739" s="816"/>
      <c r="B1739" s="810"/>
      <c r="C1739" s="33">
        <v>52</v>
      </c>
      <c r="D1739" s="21" t="s">
        <v>1318</v>
      </c>
      <c r="E1739" s="214">
        <v>365000</v>
      </c>
      <c r="G1739" s="8">
        <v>52</v>
      </c>
      <c r="H1739" s="11">
        <f t="shared" si="258"/>
        <v>0.60160000000000002</v>
      </c>
      <c r="I1739" s="12" t="e">
        <f>ROUND(#REF!*1000000/G1739/H1739,-3)</f>
        <v>#REF!</v>
      </c>
      <c r="J1739" s="137"/>
      <c r="K1739" s="13"/>
    </row>
    <row r="1740" spans="1:11" ht="15" customHeight="1">
      <c r="A1740" s="816"/>
      <c r="B1740" s="810"/>
      <c r="C1740" s="33">
        <v>52</v>
      </c>
      <c r="D1740" s="21" t="s">
        <v>1319</v>
      </c>
      <c r="E1740" s="214">
        <v>400000</v>
      </c>
      <c r="G1740" s="8">
        <v>52</v>
      </c>
      <c r="H1740" s="11">
        <f t="shared" si="258"/>
        <v>0.60160000000000002</v>
      </c>
      <c r="I1740" s="12" t="e">
        <f>ROUND(#REF!*1000000/G1740/H1740,-3)</f>
        <v>#REF!</v>
      </c>
      <c r="J1740" s="137"/>
      <c r="K1740" s="13"/>
    </row>
    <row r="1741" spans="1:11" ht="15" customHeight="1">
      <c r="A1741" s="816"/>
      <c r="B1741" s="810"/>
      <c r="C1741" s="33">
        <v>28</v>
      </c>
      <c r="D1741" s="21" t="s">
        <v>1320</v>
      </c>
      <c r="E1741" s="214">
        <v>380000</v>
      </c>
      <c r="G1741" s="8">
        <v>28</v>
      </c>
      <c r="H1741" s="11">
        <f t="shared" si="258"/>
        <v>0.60160000000000002</v>
      </c>
      <c r="I1741" s="12" t="e">
        <f>ROUND(#REF!*1000000/G1741/H1741,-3)</f>
        <v>#REF!</v>
      </c>
      <c r="J1741" s="137"/>
      <c r="K1741" s="13"/>
    </row>
    <row r="1742" spans="1:11" ht="15" customHeight="1">
      <c r="A1742" s="816"/>
      <c r="B1742" s="810"/>
      <c r="C1742" s="33">
        <f>C1741</f>
        <v>28</v>
      </c>
      <c r="D1742" s="21" t="s">
        <v>1321</v>
      </c>
      <c r="E1742" s="214">
        <v>550000</v>
      </c>
      <c r="G1742" s="8">
        <v>28</v>
      </c>
      <c r="H1742" s="11">
        <f t="shared" si="258"/>
        <v>0.60160000000000002</v>
      </c>
      <c r="I1742" s="12" t="e">
        <f>ROUND(#REF!*1000000/G1742/H1742,-3)</f>
        <v>#REF!</v>
      </c>
      <c r="J1742" s="137"/>
      <c r="K1742" s="13"/>
    </row>
    <row r="1743" spans="1:11" ht="15" customHeight="1">
      <c r="A1743" s="816"/>
      <c r="B1743" s="810"/>
      <c r="C1743" s="33">
        <v>52</v>
      </c>
      <c r="D1743" s="21" t="s">
        <v>1322</v>
      </c>
      <c r="E1743" s="214">
        <v>550000</v>
      </c>
      <c r="G1743" s="8">
        <v>52</v>
      </c>
      <c r="H1743" s="11">
        <f t="shared" si="258"/>
        <v>0.60160000000000002</v>
      </c>
      <c r="I1743" s="12" t="e">
        <f>ROUND(#REF!*1000000/G1743/H1743,-3)</f>
        <v>#REF!</v>
      </c>
      <c r="J1743" s="137"/>
      <c r="K1743" s="13"/>
    </row>
    <row r="1744" spans="1:11" ht="15" customHeight="1">
      <c r="A1744" s="816"/>
      <c r="B1744" s="810" t="s">
        <v>1323</v>
      </c>
      <c r="C1744" s="33">
        <v>40</v>
      </c>
      <c r="D1744" s="21" t="s">
        <v>1324</v>
      </c>
      <c r="E1744" s="214">
        <v>165000</v>
      </c>
      <c r="G1744" s="8">
        <v>40</v>
      </c>
      <c r="H1744" s="11">
        <f t="shared" ref="H1744:H1745" si="259">0.65*0.95</f>
        <v>0.61749999999999994</v>
      </c>
      <c r="I1744" s="12" t="e">
        <f>ROUND(#REF!*1000000/G1744/H1744,-3)</f>
        <v>#REF!</v>
      </c>
      <c r="J1744" s="137"/>
      <c r="K1744" s="13"/>
    </row>
    <row r="1745" spans="1:11" ht="15" customHeight="1">
      <c r="A1745" s="816"/>
      <c r="B1745" s="810"/>
      <c r="C1745" s="33">
        <v>50</v>
      </c>
      <c r="D1745" s="21" t="s">
        <v>1325</v>
      </c>
      <c r="E1745" s="214">
        <v>237500</v>
      </c>
      <c r="G1745" s="8">
        <v>50</v>
      </c>
      <c r="H1745" s="11">
        <f t="shared" si="259"/>
        <v>0.61749999999999994</v>
      </c>
      <c r="I1745" s="12" t="e">
        <f>ROUND(#REF!*1000000/G1745/H1745,-3)</f>
        <v>#REF!</v>
      </c>
      <c r="J1745" s="137"/>
      <c r="K1745" s="13"/>
    </row>
    <row r="1746" spans="1:11" ht="15" customHeight="1">
      <c r="A1746" s="813" t="s">
        <v>1326</v>
      </c>
      <c r="B1746" s="7" t="s">
        <v>1242</v>
      </c>
      <c r="C1746" s="16">
        <v>80</v>
      </c>
      <c r="D1746" s="29" t="s">
        <v>1327</v>
      </c>
      <c r="E1746" s="25">
        <v>0</v>
      </c>
      <c r="G1746" s="8">
        <v>80</v>
      </c>
      <c r="H1746" s="11"/>
      <c r="I1746" s="12"/>
      <c r="J1746" s="137"/>
      <c r="K1746" s="13"/>
    </row>
    <row r="1747" spans="1:11" ht="15" customHeight="1">
      <c r="A1747" s="804"/>
      <c r="B1747" s="814" t="s">
        <v>61</v>
      </c>
      <c r="C1747" s="16">
        <v>110</v>
      </c>
      <c r="D1747" s="29" t="s">
        <v>1328</v>
      </c>
      <c r="E1747" s="25">
        <v>0</v>
      </c>
      <c r="G1747" s="8">
        <v>110</v>
      </c>
      <c r="H1747" s="11"/>
      <c r="I1747" s="12"/>
      <c r="J1747" s="137"/>
      <c r="K1747" s="13"/>
    </row>
    <row r="1748" spans="1:11" ht="15" customHeight="1">
      <c r="A1748" s="804"/>
      <c r="B1748" s="804"/>
      <c r="C1748" s="16">
        <v>80</v>
      </c>
      <c r="D1748" s="29" t="s">
        <v>1327</v>
      </c>
      <c r="E1748" s="25">
        <v>0</v>
      </c>
      <c r="G1748" s="8">
        <v>80</v>
      </c>
      <c r="H1748" s="11"/>
      <c r="I1748" s="12"/>
      <c r="J1748" s="137"/>
      <c r="K1748" s="13"/>
    </row>
    <row r="1749" spans="1:11" ht="15" customHeight="1">
      <c r="A1749" s="804"/>
      <c r="B1749" s="804"/>
      <c r="C1749" s="16">
        <f>C1748</f>
        <v>80</v>
      </c>
      <c r="D1749" s="29" t="s">
        <v>1329</v>
      </c>
      <c r="E1749" s="25">
        <v>0</v>
      </c>
      <c r="G1749" s="8"/>
      <c r="H1749" s="11"/>
      <c r="I1749" s="12"/>
      <c r="J1749" s="137"/>
      <c r="K1749" s="13"/>
    </row>
    <row r="1750" spans="1:11" ht="15" customHeight="1">
      <c r="A1750" s="805"/>
      <c r="B1750" s="805"/>
      <c r="C1750" s="20">
        <v>77</v>
      </c>
      <c r="D1750" s="21" t="s">
        <v>1328</v>
      </c>
      <c r="E1750" s="25">
        <v>0</v>
      </c>
      <c r="G1750" s="8"/>
      <c r="H1750" s="11"/>
      <c r="I1750" s="12"/>
      <c r="J1750" s="137"/>
      <c r="K1750" s="13"/>
    </row>
    <row r="1751" spans="1:11" ht="15" customHeight="1">
      <c r="A1751" s="813" t="s">
        <v>1330</v>
      </c>
      <c r="B1751" s="814" t="s">
        <v>1242</v>
      </c>
      <c r="C1751" s="16">
        <v>85</v>
      </c>
      <c r="D1751" s="29" t="s">
        <v>1331</v>
      </c>
      <c r="E1751" s="25">
        <v>0</v>
      </c>
      <c r="G1751" s="8"/>
      <c r="H1751" s="11"/>
      <c r="I1751" s="12"/>
      <c r="J1751" s="137"/>
      <c r="K1751" s="13"/>
    </row>
    <row r="1752" spans="1:11" ht="15" customHeight="1">
      <c r="A1752" s="804"/>
      <c r="B1752" s="805"/>
      <c r="C1752" s="16">
        <v>110</v>
      </c>
      <c r="D1752" s="29" t="s">
        <v>1332</v>
      </c>
      <c r="E1752" s="25">
        <v>0</v>
      </c>
      <c r="G1752" s="8"/>
      <c r="H1752" s="11"/>
      <c r="I1752" s="12"/>
      <c r="J1752" s="137"/>
      <c r="K1752" s="13"/>
    </row>
    <row r="1753" spans="1:11" ht="15" customHeight="1">
      <c r="A1753" s="804"/>
      <c r="B1753" s="814" t="s">
        <v>61</v>
      </c>
      <c r="C1753" s="16">
        <v>85</v>
      </c>
      <c r="D1753" s="29" t="s">
        <v>1333</v>
      </c>
      <c r="E1753" s="25">
        <v>0</v>
      </c>
      <c r="G1753" s="8"/>
      <c r="H1753" s="11"/>
      <c r="I1753" s="12"/>
      <c r="J1753" s="137"/>
      <c r="K1753" s="13"/>
    </row>
    <row r="1754" spans="1:11" ht="15" customHeight="1">
      <c r="A1754" s="805"/>
      <c r="B1754" s="805"/>
      <c r="C1754" s="16">
        <v>110</v>
      </c>
      <c r="D1754" s="29" t="s">
        <v>1332</v>
      </c>
      <c r="E1754" s="25">
        <v>0</v>
      </c>
      <c r="G1754" s="8"/>
      <c r="H1754" s="11"/>
      <c r="I1754" s="12"/>
      <c r="J1754" s="137"/>
      <c r="K1754" s="13"/>
    </row>
    <row r="1755" spans="1:11" ht="15" customHeight="1">
      <c r="A1755" s="813" t="s">
        <v>1334</v>
      </c>
      <c r="B1755" s="810" t="s">
        <v>213</v>
      </c>
      <c r="C1755" s="7">
        <v>120</v>
      </c>
      <c r="D1755" s="9" t="s">
        <v>1335</v>
      </c>
      <c r="E1755" s="25">
        <v>690000</v>
      </c>
      <c r="G1755" s="8">
        <v>120</v>
      </c>
      <c r="H1755" s="11">
        <f t="shared" ref="H1755:H1761" si="260">0.788*1.091</f>
        <v>0.85970800000000003</v>
      </c>
      <c r="I1755" s="12" t="e">
        <f>ROUND(#REF!*1000000/G1755/H1755,-3)</f>
        <v>#REF!</v>
      </c>
      <c r="J1755" s="137"/>
      <c r="K1755" s="13"/>
    </row>
    <row r="1756" spans="1:11" ht="15" customHeight="1">
      <c r="A1756" s="816"/>
      <c r="B1756" s="810"/>
      <c r="C1756" s="7">
        <f t="shared" ref="C1756:C1757" si="261">C1755</f>
        <v>120</v>
      </c>
      <c r="D1756" s="9" t="s">
        <v>839</v>
      </c>
      <c r="E1756" s="25">
        <v>555000</v>
      </c>
      <c r="G1756" s="8">
        <v>120</v>
      </c>
      <c r="H1756" s="11">
        <f t="shared" si="260"/>
        <v>0.85970800000000003</v>
      </c>
      <c r="I1756" s="12" t="e">
        <f>ROUND(#REF!*1000000/G1756/H1756,-3)</f>
        <v>#REF!</v>
      </c>
      <c r="J1756" s="137"/>
      <c r="K1756" s="13"/>
    </row>
    <row r="1757" spans="1:11" ht="15" customHeight="1">
      <c r="A1757" s="816"/>
      <c r="B1757" s="810"/>
      <c r="C1757" s="33">
        <f t="shared" si="261"/>
        <v>120</v>
      </c>
      <c r="D1757" s="21" t="s">
        <v>1336</v>
      </c>
      <c r="E1757" s="25">
        <v>415000</v>
      </c>
      <c r="G1757" s="8">
        <v>120</v>
      </c>
      <c r="H1757" s="11">
        <f t="shared" si="260"/>
        <v>0.85970800000000003</v>
      </c>
      <c r="I1757" s="12" t="e">
        <f>ROUND(#REF!*1000000/G1757/H1757,-3)</f>
        <v>#REF!</v>
      </c>
      <c r="J1757" s="137"/>
      <c r="K1757" s="13"/>
    </row>
    <row r="1758" spans="1:11" ht="15" customHeight="1">
      <c r="A1758" s="816"/>
      <c r="B1758" s="810"/>
      <c r="C1758" s="7">
        <v>170</v>
      </c>
      <c r="D1758" s="9" t="s">
        <v>1337</v>
      </c>
      <c r="E1758" s="25">
        <v>980000</v>
      </c>
      <c r="G1758" s="8">
        <v>170</v>
      </c>
      <c r="H1758" s="11">
        <f t="shared" si="260"/>
        <v>0.85970800000000003</v>
      </c>
      <c r="I1758" s="12" t="e">
        <f>ROUND(#REF!*1000000/G1758/H1758,-3)</f>
        <v>#REF!</v>
      </c>
      <c r="J1758" s="137"/>
      <c r="K1758" s="13"/>
    </row>
    <row r="1759" spans="1:11" ht="15" customHeight="1">
      <c r="A1759" s="816"/>
      <c r="B1759" s="810"/>
      <c r="C1759" s="7">
        <f>C1758</f>
        <v>170</v>
      </c>
      <c r="D1759" s="9" t="s">
        <v>1338</v>
      </c>
      <c r="E1759" s="25">
        <v>795000</v>
      </c>
      <c r="G1759" s="8">
        <v>170</v>
      </c>
      <c r="H1759" s="11">
        <f t="shared" si="260"/>
        <v>0.85970800000000003</v>
      </c>
      <c r="I1759" s="12" t="e">
        <f>ROUND(#REF!*1000000/G1759/H1759,-3)</f>
        <v>#REF!</v>
      </c>
      <c r="J1759" s="137"/>
      <c r="K1759" s="13"/>
    </row>
    <row r="1760" spans="1:11" ht="15" customHeight="1">
      <c r="A1760" s="816"/>
      <c r="B1760" s="810"/>
      <c r="C1760" s="14">
        <v>240</v>
      </c>
      <c r="D1760" s="9" t="s">
        <v>1339</v>
      </c>
      <c r="E1760" s="25">
        <v>1100000</v>
      </c>
      <c r="G1760" s="8">
        <v>240</v>
      </c>
      <c r="H1760" s="11">
        <f t="shared" si="260"/>
        <v>0.85970800000000003</v>
      </c>
      <c r="I1760" s="12" t="e">
        <f>ROUND(#REF!*1000000/G1760/H1760,-3)</f>
        <v>#REF!</v>
      </c>
      <c r="J1760" s="137"/>
      <c r="K1760" s="13"/>
    </row>
    <row r="1761" spans="1:11" ht="15" customHeight="1">
      <c r="A1761" s="816"/>
      <c r="B1761" s="810"/>
      <c r="C1761" s="33">
        <f>C1760</f>
        <v>240</v>
      </c>
      <c r="D1761" s="21" t="s">
        <v>1340</v>
      </c>
      <c r="E1761" s="25">
        <v>870000</v>
      </c>
      <c r="G1761" s="8">
        <v>240</v>
      </c>
      <c r="H1761" s="11">
        <f t="shared" si="260"/>
        <v>0.85970800000000003</v>
      </c>
      <c r="I1761" s="12" t="e">
        <f>ROUND(#REF!*1000000/G1761/H1761,-3)</f>
        <v>#REF!</v>
      </c>
      <c r="J1761" s="137"/>
      <c r="K1761" s="13"/>
    </row>
    <row r="1762" spans="1:11" ht="15" customHeight="1">
      <c r="A1762" s="816"/>
      <c r="B1762" s="810" t="s">
        <v>1341</v>
      </c>
      <c r="C1762" s="7">
        <v>240</v>
      </c>
      <c r="D1762" s="9" t="s">
        <v>1342</v>
      </c>
      <c r="E1762" s="25">
        <v>710000</v>
      </c>
      <c r="G1762" s="8">
        <v>240</v>
      </c>
      <c r="H1762" s="11">
        <f t="shared" ref="H1762:H1764" si="262">0.56*0.788</f>
        <v>0.44128000000000006</v>
      </c>
      <c r="I1762" s="12" t="e">
        <f>ROUND(#REF!*1000000/G1762/H1762,-3)</f>
        <v>#REF!</v>
      </c>
      <c r="J1762" s="137"/>
      <c r="K1762" s="13"/>
    </row>
    <row r="1763" spans="1:11" ht="15" customHeight="1">
      <c r="A1763" s="816"/>
      <c r="B1763" s="810"/>
      <c r="C1763" s="7">
        <f t="shared" ref="C1763:C1764" si="263">C1762</f>
        <v>240</v>
      </c>
      <c r="D1763" s="9" t="s">
        <v>1343</v>
      </c>
      <c r="E1763" s="25">
        <v>805000</v>
      </c>
      <c r="G1763" s="8">
        <v>240</v>
      </c>
      <c r="H1763" s="11">
        <f t="shared" si="262"/>
        <v>0.44128000000000006</v>
      </c>
      <c r="I1763" s="12" t="e">
        <f>ROUND(#REF!*1000000/G1763/H1763,-3)</f>
        <v>#REF!</v>
      </c>
      <c r="J1763" s="137"/>
      <c r="K1763" s="13"/>
    </row>
    <row r="1764" spans="1:11" ht="15" customHeight="1">
      <c r="A1764" s="817"/>
      <c r="B1764" s="810"/>
      <c r="C1764" s="33">
        <f t="shared" si="263"/>
        <v>240</v>
      </c>
      <c r="D1764" s="21" t="s">
        <v>1344</v>
      </c>
      <c r="E1764" s="25">
        <v>660000</v>
      </c>
      <c r="G1764" s="8">
        <v>240</v>
      </c>
      <c r="H1764" s="11">
        <f t="shared" si="262"/>
        <v>0.44128000000000006</v>
      </c>
      <c r="I1764" s="12" t="e">
        <f>ROUND(#REF!*1000000/G1764/H1764,-3)</f>
        <v>#REF!</v>
      </c>
      <c r="J1764" s="137"/>
      <c r="K1764" s="13"/>
    </row>
    <row r="1765" spans="1:11" ht="15" customHeight="1">
      <c r="A1765" s="811" t="s">
        <v>1345</v>
      </c>
      <c r="B1765" s="814" t="s">
        <v>595</v>
      </c>
      <c r="C1765" s="22">
        <v>81.400000000000006</v>
      </c>
      <c r="D1765" s="32" t="s">
        <v>1346</v>
      </c>
      <c r="E1765" s="25">
        <v>1975000</v>
      </c>
      <c r="G1765" s="34">
        <v>81.400000000000006</v>
      </c>
      <c r="H1765" s="11">
        <f>0.788*1.091</f>
        <v>0.85970800000000003</v>
      </c>
      <c r="I1765" s="12" t="e">
        <f>ROUND(#REF!*1000000/G1765/H1765,-3)</f>
        <v>#REF!</v>
      </c>
      <c r="J1765" s="137"/>
      <c r="K1765" s="13"/>
    </row>
    <row r="1766" spans="1:11" ht="15" customHeight="1">
      <c r="A1766" s="811"/>
      <c r="B1766" s="804"/>
      <c r="C1766" s="31">
        <f t="shared" ref="C1766:C1768" si="264">C1765</f>
        <v>81.400000000000006</v>
      </c>
      <c r="D1766" s="32" t="s">
        <v>1347</v>
      </c>
      <c r="E1766" s="25">
        <v>2140000</v>
      </c>
      <c r="G1766" s="34">
        <v>81.400000000000006</v>
      </c>
      <c r="H1766" s="11">
        <f t="shared" ref="H1766:H1775" si="265">0.788*1.091</f>
        <v>0.85970800000000003</v>
      </c>
      <c r="I1766" s="12" t="e">
        <f>ROUND(#REF!*1000000/G1766/H1766,-3)</f>
        <v>#REF!</v>
      </c>
      <c r="J1766" s="137"/>
      <c r="K1766" s="13"/>
    </row>
    <row r="1767" spans="1:11" ht="15" customHeight="1">
      <c r="A1767" s="811"/>
      <c r="B1767" s="804"/>
      <c r="C1767" s="31">
        <f t="shared" si="264"/>
        <v>81.400000000000006</v>
      </c>
      <c r="D1767" s="32" t="s">
        <v>1348</v>
      </c>
      <c r="E1767" s="25">
        <v>2260000</v>
      </c>
      <c r="G1767" s="34">
        <v>81.400000000000006</v>
      </c>
      <c r="H1767" s="11">
        <f t="shared" si="265"/>
        <v>0.85970800000000003</v>
      </c>
      <c r="I1767" s="12" t="e">
        <f>ROUND(#REF!*1000000/G1767/H1767,-3)</f>
        <v>#REF!</v>
      </c>
      <c r="J1767" s="137"/>
      <c r="K1767" s="13"/>
    </row>
    <row r="1768" spans="1:11" ht="15" customHeight="1">
      <c r="A1768" s="811"/>
      <c r="B1768" s="805"/>
      <c r="C1768" s="31">
        <f t="shared" si="264"/>
        <v>81.400000000000006</v>
      </c>
      <c r="D1768" s="32" t="s">
        <v>1349</v>
      </c>
      <c r="E1768" s="25">
        <v>2595000</v>
      </c>
      <c r="G1768" s="34">
        <v>81.400000000000006</v>
      </c>
      <c r="H1768" s="11">
        <f t="shared" si="265"/>
        <v>0.85970800000000003</v>
      </c>
      <c r="I1768" s="12" t="e">
        <f>ROUND(#REF!*1000000/G1768/H1768,-3)</f>
        <v>#REF!</v>
      </c>
      <c r="J1768" s="137"/>
      <c r="K1768" s="13"/>
    </row>
    <row r="1769" spans="1:11" ht="15" customHeight="1">
      <c r="A1769" s="23" t="s">
        <v>1350</v>
      </c>
      <c r="B1769" s="7" t="s">
        <v>213</v>
      </c>
      <c r="C1769" s="31">
        <v>300</v>
      </c>
      <c r="D1769" s="32" t="s">
        <v>1351</v>
      </c>
      <c r="E1769" s="25">
        <v>480000</v>
      </c>
      <c r="G1769" s="8">
        <v>300</v>
      </c>
      <c r="H1769" s="11">
        <f t="shared" si="265"/>
        <v>0.85970800000000003</v>
      </c>
      <c r="I1769" s="12" t="e">
        <f>ROUND(#REF!*1000000/G1769/H1769,-3)</f>
        <v>#REF!</v>
      </c>
      <c r="J1769" s="137"/>
      <c r="K1769" s="13"/>
    </row>
    <row r="1770" spans="1:11" ht="15" customHeight="1">
      <c r="A1770" s="810" t="s">
        <v>1352</v>
      </c>
      <c r="B1770" s="810" t="s">
        <v>213</v>
      </c>
      <c r="C1770" s="7">
        <v>220</v>
      </c>
      <c r="D1770" s="9" t="s">
        <v>1353</v>
      </c>
      <c r="E1770" s="25">
        <v>670000</v>
      </c>
      <c r="G1770" s="8">
        <v>220</v>
      </c>
      <c r="H1770" s="11">
        <f t="shared" si="265"/>
        <v>0.85970800000000003</v>
      </c>
      <c r="I1770" s="12" t="e">
        <f>ROUND(#REF!*1000000/G1770/H1770,-3)</f>
        <v>#REF!</v>
      </c>
      <c r="J1770" s="137"/>
      <c r="K1770" s="13"/>
    </row>
    <row r="1771" spans="1:11" ht="15" customHeight="1">
      <c r="A1771" s="810"/>
      <c r="B1771" s="810"/>
      <c r="C1771" s="7">
        <f t="shared" ref="C1771:C1773" si="266">C1770</f>
        <v>220</v>
      </c>
      <c r="D1771" s="9" t="s">
        <v>1354</v>
      </c>
      <c r="E1771" s="25">
        <v>700000</v>
      </c>
      <c r="G1771" s="8">
        <v>220</v>
      </c>
      <c r="H1771" s="11">
        <f t="shared" si="265"/>
        <v>0.85970800000000003</v>
      </c>
      <c r="I1771" s="12" t="e">
        <f>ROUND(#REF!*1000000/G1771/H1771,-3)</f>
        <v>#REF!</v>
      </c>
      <c r="J1771" s="137"/>
      <c r="K1771" s="13"/>
    </row>
    <row r="1772" spans="1:11" ht="15" customHeight="1">
      <c r="A1772" s="810"/>
      <c r="B1772" s="810"/>
      <c r="C1772" s="7">
        <f t="shared" si="266"/>
        <v>220</v>
      </c>
      <c r="D1772" s="9" t="s">
        <v>1355</v>
      </c>
      <c r="E1772" s="25">
        <v>930000</v>
      </c>
      <c r="G1772" s="8">
        <v>220</v>
      </c>
      <c r="H1772" s="11">
        <f t="shared" si="265"/>
        <v>0.85970800000000003</v>
      </c>
      <c r="I1772" s="12" t="e">
        <f>ROUND(#REF!*1000000/G1772/H1772,-3)</f>
        <v>#REF!</v>
      </c>
      <c r="J1772" s="137"/>
      <c r="K1772" s="13"/>
    </row>
    <row r="1773" spans="1:11" ht="15" customHeight="1">
      <c r="A1773" s="810"/>
      <c r="B1773" s="810"/>
      <c r="C1773" s="7">
        <f t="shared" si="266"/>
        <v>220</v>
      </c>
      <c r="D1773" s="9" t="s">
        <v>1356</v>
      </c>
      <c r="E1773" s="25">
        <v>1050000</v>
      </c>
      <c r="G1773" s="8">
        <v>220</v>
      </c>
      <c r="H1773" s="11">
        <f t="shared" si="265"/>
        <v>0.85970800000000003</v>
      </c>
      <c r="I1773" s="12" t="e">
        <f>ROUND(#REF!*1000000/G1773/H1773,-3)</f>
        <v>#REF!</v>
      </c>
      <c r="J1773" s="137"/>
      <c r="K1773" s="13"/>
    </row>
    <row r="1774" spans="1:11" ht="15" customHeight="1">
      <c r="A1774" s="810"/>
      <c r="B1774" s="810"/>
      <c r="C1774" s="7">
        <v>320</v>
      </c>
      <c r="D1774" s="9" t="s">
        <v>1357</v>
      </c>
      <c r="E1774" s="25">
        <v>975000</v>
      </c>
      <c r="G1774" s="8">
        <v>320</v>
      </c>
      <c r="H1774" s="11">
        <f t="shared" si="265"/>
        <v>0.85970800000000003</v>
      </c>
      <c r="I1774" s="12" t="e">
        <f>ROUND(#REF!*1000000/G1774/H1774,-3)</f>
        <v>#REF!</v>
      </c>
      <c r="J1774" s="137"/>
      <c r="K1774" s="13"/>
    </row>
    <row r="1775" spans="1:11" ht="15" customHeight="1">
      <c r="A1775" s="810"/>
      <c r="B1775" s="810"/>
      <c r="C1775" s="7">
        <f>C1774</f>
        <v>320</v>
      </c>
      <c r="D1775" s="9" t="s">
        <v>1358</v>
      </c>
      <c r="E1775" s="25">
        <v>1020000</v>
      </c>
      <c r="G1775" s="8">
        <v>320</v>
      </c>
      <c r="H1775" s="11">
        <f t="shared" si="265"/>
        <v>0.85970800000000003</v>
      </c>
      <c r="I1775" s="12" t="e">
        <f>ROUND(#REF!*1000000/G1775/H1775,-3)</f>
        <v>#REF!</v>
      </c>
      <c r="J1775" s="137"/>
      <c r="K1775" s="13"/>
    </row>
    <row r="1776" spans="1:11" ht="15" customHeight="1">
      <c r="A1776" s="811" t="s">
        <v>1359</v>
      </c>
      <c r="B1776" s="810" t="s">
        <v>1360</v>
      </c>
      <c r="C1776" s="33">
        <v>307</v>
      </c>
      <c r="D1776" s="21" t="s">
        <v>742</v>
      </c>
      <c r="E1776" s="214">
        <v>605000</v>
      </c>
      <c r="G1776" s="8">
        <v>307</v>
      </c>
      <c r="H1776" s="11">
        <v>0.88</v>
      </c>
      <c r="I1776" s="12" t="e">
        <f>ROUND(#REF!*1000000/G1776/H1776,-3)</f>
        <v>#REF!</v>
      </c>
      <c r="J1776" s="137"/>
      <c r="K1776" s="13"/>
    </row>
    <row r="1777" spans="1:11" ht="15" customHeight="1">
      <c r="A1777" s="811"/>
      <c r="B1777" s="810"/>
      <c r="C1777" s="33">
        <f t="shared" ref="C1777:C1778" si="267">C1776</f>
        <v>307</v>
      </c>
      <c r="D1777" s="21" t="s">
        <v>1361</v>
      </c>
      <c r="E1777" s="214">
        <v>645000</v>
      </c>
      <c r="G1777" s="8">
        <v>307</v>
      </c>
      <c r="H1777" s="11">
        <v>0.88</v>
      </c>
      <c r="I1777" s="12" t="e">
        <f>ROUND(#REF!*1000000/G1777/H1777,-3)</f>
        <v>#REF!</v>
      </c>
      <c r="J1777" s="137"/>
      <c r="K1777" s="13"/>
    </row>
    <row r="1778" spans="1:11" ht="15" customHeight="1">
      <c r="A1778" s="811"/>
      <c r="B1778" s="810"/>
      <c r="C1778" s="33">
        <f t="shared" si="267"/>
        <v>307</v>
      </c>
      <c r="D1778" s="21" t="s">
        <v>1361</v>
      </c>
      <c r="E1778" s="214">
        <v>737500</v>
      </c>
      <c r="G1778" s="8">
        <v>352</v>
      </c>
      <c r="H1778" s="11">
        <v>0.88</v>
      </c>
      <c r="I1778" s="12" t="e">
        <f>ROUND(#REF!*1000000/G1778/H1778,-3)</f>
        <v>#REF!</v>
      </c>
      <c r="J1778" s="137"/>
      <c r="K1778" s="13"/>
    </row>
    <row r="1779" spans="1:11" ht="15" customHeight="1">
      <c r="A1779" s="811" t="s">
        <v>2907</v>
      </c>
      <c r="B1779" s="810" t="s">
        <v>213</v>
      </c>
      <c r="C1779" s="33">
        <v>105</v>
      </c>
      <c r="D1779" s="21" t="s">
        <v>742</v>
      </c>
      <c r="G1779" s="8">
        <v>105</v>
      </c>
      <c r="H1779" s="11">
        <f t="shared" ref="H1779:H1783" si="268">0.788*1.091</f>
        <v>0.85970800000000003</v>
      </c>
      <c r="I1779" s="12" t="e">
        <f>ROUND(#REF!*1000000/G1779/H1779,-3)</f>
        <v>#REF!</v>
      </c>
      <c r="J1779" s="136">
        <v>134</v>
      </c>
      <c r="K1779" s="13"/>
    </row>
    <row r="1780" spans="1:11" ht="15" customHeight="1">
      <c r="A1780" s="811"/>
      <c r="B1780" s="810"/>
      <c r="C1780" s="33">
        <v>128</v>
      </c>
      <c r="D1780" s="21" t="s">
        <v>748</v>
      </c>
      <c r="G1780" s="8">
        <v>128</v>
      </c>
      <c r="H1780" s="11">
        <f t="shared" si="268"/>
        <v>0.85970800000000003</v>
      </c>
      <c r="I1780" s="12" t="e">
        <f>ROUND(#REF!*1000000/G1780/H1780,-3)</f>
        <v>#REF!</v>
      </c>
      <c r="J1780" s="136">
        <v>149</v>
      </c>
      <c r="K1780" s="13"/>
    </row>
    <row r="1781" spans="1:11" ht="15" customHeight="1">
      <c r="A1781" s="811"/>
      <c r="B1781" s="810"/>
      <c r="C1781" s="33">
        <v>157</v>
      </c>
      <c r="D1781" s="21" t="s">
        <v>748</v>
      </c>
      <c r="G1781" s="8">
        <v>157</v>
      </c>
      <c r="H1781" s="11">
        <f t="shared" si="268"/>
        <v>0.85970800000000003</v>
      </c>
      <c r="I1781" s="12" t="e">
        <f>ROUND(#REF!*1000000/G1781/H1781,-3)</f>
        <v>#REF!</v>
      </c>
      <c r="J1781" s="136">
        <v>188</v>
      </c>
      <c r="K1781" s="13"/>
    </row>
    <row r="1782" spans="1:11" ht="15" customHeight="1">
      <c r="A1782" s="811"/>
      <c r="B1782" s="810"/>
      <c r="C1782" s="33">
        <v>203</v>
      </c>
      <c r="D1782" s="21" t="s">
        <v>748</v>
      </c>
      <c r="G1782" s="8">
        <v>203</v>
      </c>
      <c r="H1782" s="11">
        <f t="shared" si="268"/>
        <v>0.85970800000000003</v>
      </c>
      <c r="I1782" s="12" t="e">
        <f>ROUND(#REF!*1000000/G1782/H1782,-3)</f>
        <v>#REF!</v>
      </c>
      <c r="J1782" s="136">
        <v>248</v>
      </c>
      <c r="K1782" s="13"/>
    </row>
    <row r="1783" spans="1:11" ht="15" customHeight="1">
      <c r="A1783" s="811"/>
      <c r="B1783" s="810"/>
      <c r="C1783" s="33">
        <v>250</v>
      </c>
      <c r="D1783" s="21" t="s">
        <v>748</v>
      </c>
      <c r="G1783" s="8">
        <v>250</v>
      </c>
      <c r="H1783" s="11">
        <f t="shared" si="268"/>
        <v>0.85970800000000003</v>
      </c>
      <c r="I1783" s="12" t="e">
        <f>ROUND(#REF!*1000000/G1783/H1783,-3)</f>
        <v>#REF!</v>
      </c>
      <c r="J1783" s="136">
        <v>317</v>
      </c>
      <c r="K1783" s="13"/>
    </row>
    <row r="1784" spans="1:11" ht="15" customHeight="1">
      <c r="A1784" s="811"/>
      <c r="B1784" s="811" t="s">
        <v>344</v>
      </c>
      <c r="C1784" s="33">
        <v>105</v>
      </c>
      <c r="D1784" s="21" t="s">
        <v>1362</v>
      </c>
      <c r="G1784" s="8">
        <v>105</v>
      </c>
      <c r="H1784" s="11">
        <f t="shared" ref="H1784:H1788" si="269">0.636*0.939</f>
        <v>0.59720399999999996</v>
      </c>
      <c r="I1784" s="12" t="e">
        <f>ROUND(#REF!*1000000/G1784/H1784,-3)</f>
        <v>#REF!</v>
      </c>
      <c r="J1784" s="136">
        <v>134</v>
      </c>
      <c r="K1784" s="13"/>
    </row>
    <row r="1785" spans="1:11" ht="15" customHeight="1">
      <c r="A1785" s="811"/>
      <c r="B1785" s="811"/>
      <c r="C1785" s="33">
        <v>128</v>
      </c>
      <c r="D1785" s="21" t="s">
        <v>1362</v>
      </c>
      <c r="G1785" s="8">
        <v>128</v>
      </c>
      <c r="H1785" s="11">
        <f t="shared" si="269"/>
        <v>0.59720399999999996</v>
      </c>
      <c r="I1785" s="12" t="e">
        <f>ROUND(#REF!*1000000/G1785/H1785,-3)</f>
        <v>#REF!</v>
      </c>
      <c r="J1785" s="136">
        <v>149</v>
      </c>
      <c r="K1785" s="13"/>
    </row>
    <row r="1786" spans="1:11" ht="15" customHeight="1">
      <c r="A1786" s="811"/>
      <c r="B1786" s="811"/>
      <c r="C1786" s="33">
        <v>157</v>
      </c>
      <c r="D1786" s="21" t="s">
        <v>1362</v>
      </c>
      <c r="G1786" s="8">
        <v>157</v>
      </c>
      <c r="H1786" s="11">
        <f t="shared" si="269"/>
        <v>0.59720399999999996</v>
      </c>
      <c r="I1786" s="12" t="e">
        <f>ROUND(#REF!*1000000/G1786/H1786,-3)</f>
        <v>#REF!</v>
      </c>
      <c r="J1786" s="136">
        <v>188</v>
      </c>
      <c r="K1786" s="13"/>
    </row>
    <row r="1787" spans="1:11" ht="15" customHeight="1">
      <c r="A1787" s="811"/>
      <c r="B1787" s="811"/>
      <c r="C1787" s="33">
        <v>203</v>
      </c>
      <c r="D1787" s="21" t="s">
        <v>1362</v>
      </c>
      <c r="G1787" s="8">
        <v>203</v>
      </c>
      <c r="H1787" s="11">
        <f t="shared" si="269"/>
        <v>0.59720399999999996</v>
      </c>
      <c r="I1787" s="12" t="e">
        <f>ROUND(#REF!*1000000/G1787/H1787,-3)</f>
        <v>#REF!</v>
      </c>
      <c r="J1787" s="136">
        <v>248</v>
      </c>
      <c r="K1787" s="13"/>
    </row>
    <row r="1788" spans="1:11" ht="15" customHeight="1">
      <c r="A1788" s="811"/>
      <c r="B1788" s="811"/>
      <c r="C1788" s="33">
        <v>250</v>
      </c>
      <c r="D1788" s="21" t="s">
        <v>1363</v>
      </c>
      <c r="G1788" s="8">
        <v>250</v>
      </c>
      <c r="H1788" s="11">
        <f t="shared" si="269"/>
        <v>0.59720399999999996</v>
      </c>
      <c r="I1788" s="12" t="e">
        <f>ROUND(#REF!*1000000/G1788/H1788,-3)</f>
        <v>#REF!</v>
      </c>
      <c r="J1788" s="136">
        <v>317</v>
      </c>
      <c r="K1788" s="13"/>
    </row>
    <row r="1789" spans="1:11" ht="15" customHeight="1">
      <c r="A1789" s="811" t="s">
        <v>2908</v>
      </c>
      <c r="B1789" s="810" t="s">
        <v>213</v>
      </c>
      <c r="C1789" s="33">
        <v>128</v>
      </c>
      <c r="D1789" s="21" t="s">
        <v>743</v>
      </c>
      <c r="E1789" s="25">
        <v>280000</v>
      </c>
      <c r="G1789" s="8">
        <v>128</v>
      </c>
      <c r="H1789" s="11">
        <f t="shared" ref="H1789:H1790" si="270">0.788*1.091</f>
        <v>0.85970800000000003</v>
      </c>
      <c r="I1789" s="12" t="e">
        <f>ROUND(#REF!*1000000/G1789/H1789,-3)</f>
        <v>#REF!</v>
      </c>
      <c r="J1789" s="137"/>
      <c r="K1789" s="13"/>
    </row>
    <row r="1790" spans="1:11" ht="15" customHeight="1">
      <c r="A1790" s="811"/>
      <c r="B1790" s="810"/>
      <c r="C1790" s="33">
        <v>157</v>
      </c>
      <c r="D1790" s="21" t="s">
        <v>742</v>
      </c>
      <c r="E1790" s="25">
        <v>325000</v>
      </c>
      <c r="G1790" s="8">
        <v>157</v>
      </c>
      <c r="H1790" s="11">
        <f t="shared" si="270"/>
        <v>0.85970800000000003</v>
      </c>
      <c r="I1790" s="12" t="e">
        <f>ROUND(#REF!*1000000/G1790/H1790,-3)</f>
        <v>#REF!</v>
      </c>
      <c r="J1790" s="137"/>
      <c r="K1790" s="13"/>
    </row>
    <row r="1791" spans="1:11" ht="15" customHeight="1">
      <c r="A1791" s="811"/>
      <c r="B1791" s="811" t="s">
        <v>344</v>
      </c>
      <c r="C1791" s="33">
        <v>105</v>
      </c>
      <c r="D1791" s="21" t="s">
        <v>1362</v>
      </c>
      <c r="E1791" s="25">
        <v>165000</v>
      </c>
      <c r="G1791" s="8">
        <v>105</v>
      </c>
      <c r="H1791" s="11">
        <f t="shared" ref="H1791:H1793" si="271">0.636*0.939</f>
        <v>0.59720399999999996</v>
      </c>
      <c r="I1791" s="12" t="e">
        <f>ROUND(#REF!*1000000/G1791/H1791,-3)</f>
        <v>#REF!</v>
      </c>
      <c r="J1791" s="137"/>
      <c r="K1791" s="13"/>
    </row>
    <row r="1792" spans="1:11" ht="15" customHeight="1">
      <c r="A1792" s="811"/>
      <c r="B1792" s="811"/>
      <c r="C1792" s="33">
        <v>128</v>
      </c>
      <c r="D1792" s="21" t="s">
        <v>1364</v>
      </c>
      <c r="E1792" s="25">
        <v>190000</v>
      </c>
      <c r="G1792" s="8">
        <v>128</v>
      </c>
      <c r="H1792" s="11">
        <f t="shared" si="271"/>
        <v>0.59720399999999996</v>
      </c>
      <c r="I1792" s="12" t="e">
        <f>ROUND(#REF!*1000000/G1792/H1792,-3)</f>
        <v>#REF!</v>
      </c>
      <c r="J1792" s="137"/>
      <c r="K1792" s="13"/>
    </row>
    <row r="1793" spans="1:11" ht="15" customHeight="1">
      <c r="A1793" s="811"/>
      <c r="B1793" s="811"/>
      <c r="C1793" s="33">
        <v>157</v>
      </c>
      <c r="D1793" s="21" t="s">
        <v>1363</v>
      </c>
      <c r="E1793" s="25">
        <v>230000</v>
      </c>
      <c r="G1793" s="8">
        <v>157</v>
      </c>
      <c r="H1793" s="11">
        <f t="shared" si="271"/>
        <v>0.59720399999999996</v>
      </c>
      <c r="I1793" s="12" t="e">
        <f>ROUND(#REF!*1000000/G1793/H1793,-3)</f>
        <v>#REF!</v>
      </c>
      <c r="J1793" s="137"/>
      <c r="K1793" s="13"/>
    </row>
    <row r="1794" spans="1:11" ht="15" customHeight="1">
      <c r="A1794" s="813" t="s">
        <v>1365</v>
      </c>
      <c r="B1794" s="18" t="s">
        <v>1366</v>
      </c>
      <c r="C1794" s="14">
        <v>90</v>
      </c>
      <c r="D1794" s="9" t="s">
        <v>1367</v>
      </c>
      <c r="E1794" s="25">
        <v>0</v>
      </c>
      <c r="G1794" s="8"/>
      <c r="H1794" s="11"/>
      <c r="I1794" s="12"/>
      <c r="J1794" s="137"/>
      <c r="K1794" s="13"/>
    </row>
    <row r="1795" spans="1:11" ht="15" customHeight="1">
      <c r="A1795" s="816"/>
      <c r="B1795" s="814" t="s">
        <v>1368</v>
      </c>
      <c r="C1795" s="7">
        <v>140</v>
      </c>
      <c r="D1795" s="9" t="s">
        <v>1369</v>
      </c>
      <c r="E1795" s="25">
        <v>0</v>
      </c>
      <c r="G1795" s="8"/>
      <c r="H1795" s="11"/>
      <c r="I1795" s="12"/>
      <c r="J1795" s="137"/>
      <c r="K1795" s="13"/>
    </row>
    <row r="1796" spans="1:11" ht="15" customHeight="1">
      <c r="A1796" s="816"/>
      <c r="B1796" s="804"/>
      <c r="C1796" s="7">
        <f>C1795</f>
        <v>140</v>
      </c>
      <c r="D1796" s="9" t="s">
        <v>1370</v>
      </c>
      <c r="E1796" s="25">
        <v>0</v>
      </c>
      <c r="G1796" s="8"/>
      <c r="H1796" s="11"/>
      <c r="I1796" s="12"/>
      <c r="J1796" s="137"/>
      <c r="K1796" s="13"/>
    </row>
    <row r="1797" spans="1:11" ht="15" customHeight="1">
      <c r="A1797" s="816"/>
      <c r="B1797" s="804"/>
      <c r="C1797" s="7">
        <v>180</v>
      </c>
      <c r="D1797" s="9" t="s">
        <v>1371</v>
      </c>
      <c r="E1797" s="25">
        <v>0</v>
      </c>
      <c r="G1797" s="8"/>
      <c r="H1797" s="11"/>
      <c r="I1797" s="12"/>
      <c r="J1797" s="137"/>
      <c r="K1797" s="13"/>
    </row>
    <row r="1798" spans="1:11" ht="15" customHeight="1">
      <c r="A1798" s="816"/>
      <c r="B1798" s="804"/>
      <c r="C1798" s="7">
        <f>C1797</f>
        <v>180</v>
      </c>
      <c r="D1798" s="9" t="s">
        <v>1372</v>
      </c>
      <c r="E1798" s="25">
        <v>0</v>
      </c>
      <c r="G1798" s="8"/>
      <c r="H1798" s="11"/>
      <c r="I1798" s="12"/>
      <c r="J1798" s="137"/>
      <c r="K1798" s="13"/>
    </row>
    <row r="1799" spans="1:11" ht="15" customHeight="1">
      <c r="A1799" s="818" t="s">
        <v>2909</v>
      </c>
      <c r="B1799" s="818" t="s">
        <v>337</v>
      </c>
      <c r="C1799" s="14">
        <v>125</v>
      </c>
      <c r="D1799" s="9" t="s">
        <v>2910</v>
      </c>
      <c r="E1799" s="213">
        <v>380000</v>
      </c>
      <c r="G1799" s="8"/>
      <c r="H1799" s="11"/>
      <c r="I1799" s="12"/>
      <c r="J1799" s="137"/>
      <c r="K1799" s="13"/>
    </row>
    <row r="1800" spans="1:11" ht="15" customHeight="1">
      <c r="A1800" s="816"/>
      <c r="B1800" s="816"/>
      <c r="C1800" s="14">
        <v>240</v>
      </c>
      <c r="D1800" s="9" t="s">
        <v>2910</v>
      </c>
      <c r="E1800" s="213">
        <v>730000</v>
      </c>
      <c r="G1800" s="8"/>
      <c r="H1800" s="11"/>
      <c r="I1800" s="12"/>
      <c r="J1800" s="137"/>
      <c r="K1800" s="13"/>
    </row>
    <row r="1801" spans="1:11" ht="15" customHeight="1">
      <c r="A1801" s="810" t="s">
        <v>1373</v>
      </c>
      <c r="B1801" s="810" t="s">
        <v>22</v>
      </c>
      <c r="C1801" s="20">
        <v>116</v>
      </c>
      <c r="D1801" s="21" t="s">
        <v>1374</v>
      </c>
      <c r="E1801" s="25">
        <v>555000</v>
      </c>
      <c r="G1801" s="8">
        <v>116</v>
      </c>
      <c r="H1801" s="11">
        <f t="shared" ref="H1801:H1808" si="272">0.788*1.091</f>
        <v>0.85970800000000003</v>
      </c>
      <c r="I1801" s="12" t="e">
        <f>ROUND(#REF!*1000000/G1801/H1801,-3)</f>
        <v>#REF!</v>
      </c>
      <c r="J1801" s="137"/>
      <c r="K1801" s="13"/>
    </row>
    <row r="1802" spans="1:11" ht="15" customHeight="1">
      <c r="A1802" s="810"/>
      <c r="B1802" s="810"/>
      <c r="C1802" s="33">
        <f>C1801</f>
        <v>116</v>
      </c>
      <c r="D1802" s="21" t="s">
        <v>1375</v>
      </c>
      <c r="E1802" s="25">
        <v>685000</v>
      </c>
      <c r="G1802" s="8">
        <v>116</v>
      </c>
      <c r="H1802" s="11">
        <f t="shared" si="272"/>
        <v>0.85970800000000003</v>
      </c>
      <c r="I1802" s="12" t="e">
        <f>ROUND(#REF!*1000000/G1802/H1802,-3)</f>
        <v>#REF!</v>
      </c>
      <c r="J1802" s="137"/>
      <c r="K1802" s="13"/>
    </row>
    <row r="1803" spans="1:11" ht="15" customHeight="1">
      <c r="A1803" s="810"/>
      <c r="B1803" s="810"/>
      <c r="C1803" s="33">
        <v>151</v>
      </c>
      <c r="D1803" s="21" t="s">
        <v>1376</v>
      </c>
      <c r="E1803" s="25">
        <v>750000</v>
      </c>
      <c r="G1803" s="8">
        <v>151</v>
      </c>
      <c r="H1803" s="11">
        <f t="shared" si="272"/>
        <v>0.85970800000000003</v>
      </c>
      <c r="I1803" s="12" t="e">
        <f>ROUND(#REF!*1000000/G1803/H1803,-3)</f>
        <v>#REF!</v>
      </c>
      <c r="J1803" s="137"/>
      <c r="K1803" s="13"/>
    </row>
    <row r="1804" spans="1:11" ht="15" customHeight="1">
      <c r="A1804" s="810"/>
      <c r="B1804" s="810"/>
      <c r="C1804" s="33">
        <f t="shared" ref="C1804:C1805" si="273">C1803</f>
        <v>151</v>
      </c>
      <c r="D1804" s="21" t="s">
        <v>1377</v>
      </c>
      <c r="E1804" s="25">
        <v>840000</v>
      </c>
      <c r="G1804" s="8">
        <v>151</v>
      </c>
      <c r="H1804" s="11">
        <f t="shared" si="272"/>
        <v>0.85970800000000003</v>
      </c>
      <c r="I1804" s="12" t="e">
        <f>ROUND(#REF!*1000000/G1804/H1804,-3)</f>
        <v>#REF!</v>
      </c>
      <c r="J1804" s="137"/>
      <c r="K1804" s="13"/>
    </row>
    <row r="1805" spans="1:11" ht="15" customHeight="1">
      <c r="A1805" s="810"/>
      <c r="B1805" s="810"/>
      <c r="C1805" s="33">
        <f t="shared" si="273"/>
        <v>151</v>
      </c>
      <c r="D1805" s="21" t="s">
        <v>1378</v>
      </c>
      <c r="E1805" s="25">
        <v>930000</v>
      </c>
      <c r="G1805" s="8">
        <v>151</v>
      </c>
      <c r="H1805" s="11">
        <f t="shared" si="272"/>
        <v>0.85970800000000003</v>
      </c>
      <c r="I1805" s="12" t="e">
        <f>ROUND(#REF!*1000000/G1805/H1805,-3)</f>
        <v>#REF!</v>
      </c>
      <c r="J1805" s="137"/>
      <c r="K1805" s="13"/>
    </row>
    <row r="1806" spans="1:11" ht="15" customHeight="1">
      <c r="A1806" s="810"/>
      <c r="B1806" s="810"/>
      <c r="C1806" s="33">
        <v>233</v>
      </c>
      <c r="D1806" s="21" t="s">
        <v>1379</v>
      </c>
      <c r="E1806" s="25">
        <v>1160000</v>
      </c>
      <c r="G1806" s="8">
        <v>233</v>
      </c>
      <c r="H1806" s="11">
        <f t="shared" si="272"/>
        <v>0.85970800000000003</v>
      </c>
      <c r="I1806" s="12" t="e">
        <f>ROUND(#REF!*1000000/G1806/H1806,-3)</f>
        <v>#REF!</v>
      </c>
      <c r="J1806" s="137"/>
      <c r="K1806" s="13"/>
    </row>
    <row r="1807" spans="1:11" ht="15" customHeight="1">
      <c r="A1807" s="810"/>
      <c r="B1807" s="810"/>
      <c r="C1807" s="33">
        <f t="shared" ref="C1807:C1808" si="274">C1806</f>
        <v>233</v>
      </c>
      <c r="D1807" s="21" t="s">
        <v>1380</v>
      </c>
      <c r="E1807" s="25">
        <v>1275000</v>
      </c>
      <c r="G1807" s="8">
        <v>233</v>
      </c>
      <c r="H1807" s="11">
        <f t="shared" si="272"/>
        <v>0.85970800000000003</v>
      </c>
      <c r="I1807" s="12" t="e">
        <f>ROUND(#REF!*1000000/G1807/H1807,-3)</f>
        <v>#REF!</v>
      </c>
      <c r="J1807" s="137"/>
      <c r="K1807" s="13"/>
    </row>
    <row r="1808" spans="1:11" ht="15" customHeight="1">
      <c r="A1808" s="810"/>
      <c r="B1808" s="810"/>
      <c r="C1808" s="33">
        <f t="shared" si="274"/>
        <v>233</v>
      </c>
      <c r="D1808" s="21" t="s">
        <v>1378</v>
      </c>
      <c r="E1808" s="25">
        <v>1435000</v>
      </c>
      <c r="G1808" s="8">
        <v>233</v>
      </c>
      <c r="H1808" s="11">
        <f t="shared" si="272"/>
        <v>0.85970800000000003</v>
      </c>
      <c r="I1808" s="12" t="e">
        <f>ROUND(#REF!*1000000/G1808/H1808,-3)</f>
        <v>#REF!</v>
      </c>
      <c r="J1808" s="137"/>
      <c r="K1808" s="13"/>
    </row>
    <row r="1809" spans="1:12" s="35" customFormat="1" ht="15" customHeight="1">
      <c r="A1809" s="811" t="s">
        <v>1381</v>
      </c>
      <c r="B1809" s="810" t="s">
        <v>1382</v>
      </c>
      <c r="C1809" s="7" t="s">
        <v>1383</v>
      </c>
      <c r="D1809" s="9" t="s">
        <v>1384</v>
      </c>
      <c r="E1809" s="215">
        <v>0</v>
      </c>
      <c r="F1809" s="1"/>
      <c r="G1809" s="8"/>
      <c r="H1809" s="11">
        <f>0.7*100</f>
        <v>70</v>
      </c>
      <c r="I1809" s="12" t="e">
        <f>ROUNDDOWN(#REF!/H1809,-2)</f>
        <v>#REF!</v>
      </c>
      <c r="J1809" s="136">
        <v>350</v>
      </c>
      <c r="K1809" s="13"/>
    </row>
    <row r="1810" spans="1:12" s="35" customFormat="1" ht="15" customHeight="1">
      <c r="A1810" s="811"/>
      <c r="B1810" s="810"/>
      <c r="C1810" s="7" t="str">
        <f t="shared" ref="C1810:C1811" si="275">C1809</f>
        <v>0.35mm</v>
      </c>
      <c r="D1810" s="9" t="s">
        <v>1385</v>
      </c>
      <c r="E1810" s="215">
        <v>0</v>
      </c>
      <c r="F1810" s="1"/>
      <c r="G1810" s="8"/>
      <c r="H1810" s="11">
        <f t="shared" ref="H1810:H1811" si="276">0.7*100</f>
        <v>70</v>
      </c>
      <c r="I1810" s="12" t="e">
        <f>ROUNDDOWN(#REF!/H1810,-2)</f>
        <v>#REF!</v>
      </c>
      <c r="J1810" s="136">
        <v>350</v>
      </c>
      <c r="K1810" s="13"/>
    </row>
    <row r="1811" spans="1:12" s="35" customFormat="1" ht="15" customHeight="1">
      <c r="A1811" s="811"/>
      <c r="B1811" s="810"/>
      <c r="C1811" s="7" t="str">
        <f t="shared" si="275"/>
        <v>0.35mm</v>
      </c>
      <c r="D1811" s="9" t="s">
        <v>1386</v>
      </c>
      <c r="E1811" s="215">
        <v>0</v>
      </c>
      <c r="F1811" s="1"/>
      <c r="G1811" s="8"/>
      <c r="H1811" s="11">
        <f t="shared" si="276"/>
        <v>70</v>
      </c>
      <c r="I1811" s="12" t="e">
        <f>ROUNDDOWN(#REF!/H1811,-2)</f>
        <v>#REF!</v>
      </c>
      <c r="J1811" s="136">
        <v>350</v>
      </c>
      <c r="K1811" s="13"/>
    </row>
    <row r="1812" spans="1:12" s="35" customFormat="1" ht="15" customHeight="1">
      <c r="A1812" s="811"/>
      <c r="B1812" s="814" t="s">
        <v>1387</v>
      </c>
      <c r="C1812" s="7" t="s">
        <v>1388</v>
      </c>
      <c r="D1812" s="9" t="s">
        <v>1389</v>
      </c>
      <c r="E1812" s="215">
        <v>0</v>
      </c>
      <c r="F1812" s="1"/>
      <c r="G1812" s="8"/>
      <c r="H1812" s="11">
        <f t="shared" ref="H1812:H1813" si="277">0.72*100</f>
        <v>72</v>
      </c>
      <c r="I1812" s="12" t="e">
        <f>ROUNDDOWN(#REF!/H1812,-2)</f>
        <v>#REF!</v>
      </c>
      <c r="J1812" s="136">
        <v>400</v>
      </c>
      <c r="K1812" s="13"/>
    </row>
    <row r="1813" spans="1:12" s="35" customFormat="1" ht="15" customHeight="1">
      <c r="A1813" s="811"/>
      <c r="B1813" s="805"/>
      <c r="C1813" s="7" t="str">
        <f>C1812</f>
        <v>0.4mm</v>
      </c>
      <c r="D1813" s="9" t="s">
        <v>1390</v>
      </c>
      <c r="E1813" s="215">
        <v>0</v>
      </c>
      <c r="F1813" s="1"/>
      <c r="G1813" s="8"/>
      <c r="H1813" s="11">
        <f t="shared" si="277"/>
        <v>72</v>
      </c>
      <c r="I1813" s="12" t="e">
        <f>ROUNDDOWN(#REF!/H1813,-2)</f>
        <v>#REF!</v>
      </c>
      <c r="J1813" s="136">
        <v>400</v>
      </c>
      <c r="K1813" s="13"/>
    </row>
    <row r="1814" spans="1:12" s="35" customFormat="1" ht="15" customHeight="1">
      <c r="A1814" s="811"/>
      <c r="B1814" s="810" t="s">
        <v>255</v>
      </c>
      <c r="C1814" s="33" t="s">
        <v>1383</v>
      </c>
      <c r="D1814" s="21" t="s">
        <v>1384</v>
      </c>
      <c r="E1814" s="215">
        <v>8800000</v>
      </c>
      <c r="F1814" s="1"/>
      <c r="G1814" s="8"/>
      <c r="H1814" s="11">
        <v>0.7</v>
      </c>
      <c r="I1814" s="12" t="e">
        <f>ROUNDDOWN(#REF!/H1814,-2)</f>
        <v>#REF!</v>
      </c>
      <c r="J1814" s="136">
        <v>350</v>
      </c>
      <c r="K1814" s="13"/>
    </row>
    <row r="1815" spans="1:12" s="35" customFormat="1" ht="15" customHeight="1">
      <c r="A1815" s="811"/>
      <c r="B1815" s="810"/>
      <c r="C1815" s="33" t="str">
        <f t="shared" ref="C1815:C1816" si="278">C1814</f>
        <v>0.35mm</v>
      </c>
      <c r="D1815" s="21" t="s">
        <v>1385</v>
      </c>
      <c r="E1815" s="215">
        <v>8600000</v>
      </c>
      <c r="F1815" s="1"/>
      <c r="G1815" s="8"/>
      <c r="H1815" s="11">
        <v>0.7</v>
      </c>
      <c r="I1815" s="12" t="e">
        <f>ROUNDDOWN(#REF!/H1815,-2)</f>
        <v>#REF!</v>
      </c>
      <c r="J1815" s="136">
        <v>350</v>
      </c>
      <c r="K1815" s="13"/>
    </row>
    <row r="1816" spans="1:12" s="35" customFormat="1" ht="15" customHeight="1">
      <c r="A1816" s="811"/>
      <c r="B1816" s="810"/>
      <c r="C1816" s="33" t="str">
        <f t="shared" si="278"/>
        <v>0.35mm</v>
      </c>
      <c r="D1816" s="21" t="s">
        <v>1386</v>
      </c>
      <c r="E1816" s="215">
        <v>7400000</v>
      </c>
      <c r="F1816" s="1"/>
      <c r="G1816" s="8"/>
      <c r="H1816" s="11">
        <v>0.7</v>
      </c>
      <c r="I1816" s="12" t="e">
        <f>ROUNDDOWN(#REF!/H1816,-2)</f>
        <v>#REF!</v>
      </c>
      <c r="J1816" s="136">
        <v>350</v>
      </c>
      <c r="K1816" s="13"/>
    </row>
    <row r="1817" spans="1:12" s="35" customFormat="1" ht="15" customHeight="1">
      <c r="A1817" s="811"/>
      <c r="B1817" s="810" t="s">
        <v>1391</v>
      </c>
      <c r="C1817" s="33" t="s">
        <v>1388</v>
      </c>
      <c r="D1817" s="21" t="s">
        <v>1389</v>
      </c>
      <c r="E1817" s="215">
        <v>3835000</v>
      </c>
      <c r="F1817" s="1"/>
      <c r="G1817" s="8"/>
      <c r="H1817" s="11">
        <v>0.72</v>
      </c>
      <c r="I1817" s="12" t="e">
        <f>ROUNDDOWN(#REF!/H1817,-2)</f>
        <v>#REF!</v>
      </c>
      <c r="J1817" s="136">
        <v>400</v>
      </c>
      <c r="K1817" s="13"/>
    </row>
    <row r="1818" spans="1:12" s="35" customFormat="1" ht="15" customHeight="1">
      <c r="A1818" s="811"/>
      <c r="B1818" s="810"/>
      <c r="C1818" s="33" t="str">
        <f>C1817</f>
        <v>0.4mm</v>
      </c>
      <c r="D1818" s="21" t="s">
        <v>1390</v>
      </c>
      <c r="E1818" s="215">
        <v>3955000</v>
      </c>
      <c r="F1818" s="1"/>
      <c r="G1818" s="8"/>
      <c r="H1818" s="11">
        <v>0.72</v>
      </c>
      <c r="I1818" s="12" t="e">
        <f>ROUNDDOWN(#REF!/H1818,-2)</f>
        <v>#REF!</v>
      </c>
      <c r="J1818" s="136">
        <v>400</v>
      </c>
      <c r="K1818" s="13"/>
    </row>
    <row r="1819" spans="1:12" ht="15" customHeight="1">
      <c r="A1819" s="813" t="s">
        <v>1392</v>
      </c>
      <c r="B1819" s="814" t="s">
        <v>218</v>
      </c>
      <c r="C1819" s="14">
        <v>128</v>
      </c>
      <c r="D1819" s="9" t="s">
        <v>1393</v>
      </c>
      <c r="E1819" s="25">
        <v>585000</v>
      </c>
      <c r="G1819" s="8">
        <v>128</v>
      </c>
      <c r="H1819" s="11">
        <f t="shared" ref="H1819:H1828" si="279">0.788*1.091</f>
        <v>0.85970800000000003</v>
      </c>
      <c r="I1819" s="12" t="e">
        <f>ROUND(#REF!*1000000/G1819/H1819,-3)</f>
        <v>#REF!</v>
      </c>
      <c r="J1819" s="137"/>
      <c r="K1819" s="13"/>
      <c r="L1819" s="25"/>
    </row>
    <row r="1820" spans="1:12" ht="15" customHeight="1">
      <c r="A1820" s="816"/>
      <c r="B1820" s="804"/>
      <c r="C1820" s="7">
        <f>C1819</f>
        <v>128</v>
      </c>
      <c r="D1820" s="9" t="s">
        <v>1394</v>
      </c>
      <c r="E1820" s="25">
        <v>650000</v>
      </c>
      <c r="G1820" s="8">
        <v>128</v>
      </c>
      <c r="H1820" s="11">
        <f t="shared" si="279"/>
        <v>0.85970800000000003</v>
      </c>
      <c r="I1820" s="12" t="e">
        <f>ROUND(#REF!*1000000/G1820/H1820,-3)</f>
        <v>#REF!</v>
      </c>
      <c r="J1820" s="137"/>
      <c r="K1820" s="13"/>
      <c r="L1820" s="25"/>
    </row>
    <row r="1821" spans="1:12" ht="15" customHeight="1">
      <c r="A1821" s="816"/>
      <c r="B1821" s="804"/>
      <c r="C1821" s="7">
        <v>178</v>
      </c>
      <c r="D1821" s="9" t="s">
        <v>1395</v>
      </c>
      <c r="E1821" s="25">
        <v>815000</v>
      </c>
      <c r="G1821" s="8">
        <v>178</v>
      </c>
      <c r="H1821" s="11">
        <f t="shared" si="279"/>
        <v>0.85970800000000003</v>
      </c>
      <c r="I1821" s="12" t="e">
        <f>ROUND(#REF!*1000000/G1821/H1821,-3)</f>
        <v>#REF!</v>
      </c>
      <c r="J1821" s="137"/>
      <c r="K1821" s="13"/>
      <c r="L1821" s="25"/>
    </row>
    <row r="1822" spans="1:12" ht="15" customHeight="1">
      <c r="A1822" s="816"/>
      <c r="B1822" s="804"/>
      <c r="C1822" s="7">
        <f t="shared" ref="C1822:C1824" si="280">C1821</f>
        <v>178</v>
      </c>
      <c r="D1822" s="9" t="s">
        <v>1396</v>
      </c>
      <c r="E1822" s="25">
        <v>910000</v>
      </c>
      <c r="G1822" s="8">
        <v>178</v>
      </c>
      <c r="H1822" s="11">
        <f t="shared" si="279"/>
        <v>0.85970800000000003</v>
      </c>
      <c r="I1822" s="12" t="e">
        <f>ROUND(#REF!*1000000/G1822/H1822,-3)</f>
        <v>#REF!</v>
      </c>
      <c r="J1822" s="137"/>
      <c r="K1822" s="13"/>
      <c r="L1822" s="25"/>
    </row>
    <row r="1823" spans="1:12" ht="15" customHeight="1">
      <c r="A1823" s="816"/>
      <c r="B1823" s="804"/>
      <c r="C1823" s="33">
        <f t="shared" si="280"/>
        <v>178</v>
      </c>
      <c r="D1823" s="21" t="s">
        <v>1397</v>
      </c>
      <c r="E1823" s="25">
        <v>710000</v>
      </c>
      <c r="G1823" s="8">
        <v>178</v>
      </c>
      <c r="H1823" s="11">
        <f t="shared" si="279"/>
        <v>0.85970800000000003</v>
      </c>
      <c r="I1823" s="12" t="e">
        <f>ROUND(#REF!*1000000/G1823/H1823,-3)</f>
        <v>#REF!</v>
      </c>
      <c r="J1823" s="137"/>
      <c r="K1823" s="13"/>
    </row>
    <row r="1824" spans="1:12" ht="15" customHeight="1">
      <c r="A1824" s="816"/>
      <c r="B1824" s="804"/>
      <c r="C1824" s="33">
        <f t="shared" si="280"/>
        <v>178</v>
      </c>
      <c r="D1824" s="21" t="s">
        <v>1398</v>
      </c>
      <c r="E1824" s="25">
        <v>785000</v>
      </c>
      <c r="G1824" s="8">
        <v>178</v>
      </c>
      <c r="H1824" s="11">
        <f t="shared" si="279"/>
        <v>0.85970800000000003</v>
      </c>
      <c r="I1824" s="12" t="e">
        <f>ROUND(#REF!*1000000/G1824/H1824,-3)</f>
        <v>#REF!</v>
      </c>
      <c r="J1824" s="137"/>
      <c r="K1824" s="13"/>
    </row>
    <row r="1825" spans="1:12" ht="15" customHeight="1">
      <c r="A1825" s="816"/>
      <c r="B1825" s="804"/>
      <c r="C1825" s="30">
        <v>244</v>
      </c>
      <c r="D1825" s="29" t="s">
        <v>1399</v>
      </c>
      <c r="E1825" s="25">
        <v>1120000</v>
      </c>
      <c r="G1825" s="8">
        <v>244</v>
      </c>
      <c r="H1825" s="11">
        <f t="shared" si="279"/>
        <v>0.85970800000000003</v>
      </c>
      <c r="I1825" s="12" t="e">
        <f>ROUND(#REF!*1000000/G1825/H1825,-3)</f>
        <v>#REF!</v>
      </c>
      <c r="J1825" s="137"/>
      <c r="K1825" s="13"/>
      <c r="L1825" s="25"/>
    </row>
    <row r="1826" spans="1:12" ht="15" customHeight="1">
      <c r="A1826" s="816"/>
      <c r="B1826" s="804"/>
      <c r="C1826" s="14">
        <v>279</v>
      </c>
      <c r="D1826" s="9" t="s">
        <v>1393</v>
      </c>
      <c r="E1826" s="25">
        <v>1280000</v>
      </c>
      <c r="G1826" s="8">
        <v>279</v>
      </c>
      <c r="H1826" s="11">
        <f t="shared" si="279"/>
        <v>0.85970800000000003</v>
      </c>
      <c r="I1826" s="12" t="e">
        <f>ROUND(#REF!*1000000/G1826/H1826,-3)</f>
        <v>#REF!</v>
      </c>
      <c r="J1826" s="137"/>
      <c r="K1826" s="13"/>
      <c r="L1826" s="25"/>
    </row>
    <row r="1827" spans="1:12" ht="15" customHeight="1">
      <c r="A1827" s="816"/>
      <c r="B1827" s="804"/>
      <c r="C1827" s="7">
        <f>C1826</f>
        <v>279</v>
      </c>
      <c r="D1827" s="9" t="s">
        <v>1394</v>
      </c>
      <c r="E1827" s="25">
        <v>1425000</v>
      </c>
      <c r="G1827" s="8">
        <v>279</v>
      </c>
      <c r="H1827" s="11">
        <f t="shared" si="279"/>
        <v>0.85970800000000003</v>
      </c>
      <c r="I1827" s="12" t="e">
        <f>ROUND(#REF!*1000000/G1827/H1827,-3)</f>
        <v>#REF!</v>
      </c>
      <c r="J1827" s="137"/>
      <c r="K1827" s="13"/>
      <c r="L1827" s="25"/>
    </row>
    <row r="1828" spans="1:12" ht="15" customHeight="1">
      <c r="A1828" s="816"/>
      <c r="B1828" s="805"/>
      <c r="C1828" s="30">
        <v>407</v>
      </c>
      <c r="D1828" s="29" t="s">
        <v>1400</v>
      </c>
      <c r="E1828" s="25">
        <v>1870000</v>
      </c>
      <c r="G1828" s="8">
        <v>407</v>
      </c>
      <c r="H1828" s="11">
        <f t="shared" si="279"/>
        <v>0.85970800000000003</v>
      </c>
      <c r="I1828" s="12" t="e">
        <f>ROUND(#REF!*1000000/G1828/H1828,-3)</f>
        <v>#REF!</v>
      </c>
      <c r="J1828" s="137"/>
      <c r="K1828" s="13"/>
      <c r="L1828" s="25"/>
    </row>
    <row r="1829" spans="1:12" ht="15" customHeight="1">
      <c r="A1829" s="816"/>
      <c r="B1829" s="24" t="s">
        <v>1401</v>
      </c>
      <c r="C1829" s="30">
        <v>320</v>
      </c>
      <c r="D1829" s="29" t="s">
        <v>1402</v>
      </c>
      <c r="E1829" s="25">
        <v>1750000</v>
      </c>
      <c r="G1829" s="8">
        <v>320</v>
      </c>
      <c r="H1829" s="11">
        <f>0.803*1.167</f>
        <v>0.93710100000000007</v>
      </c>
      <c r="I1829" s="12" t="e">
        <f>ROUND(#REF!*1000000/G1829/H1829,-3)</f>
        <v>#REF!</v>
      </c>
      <c r="J1829" s="137"/>
      <c r="K1829" s="13"/>
      <c r="L1829" s="25"/>
    </row>
    <row r="1830" spans="1:12" ht="15" customHeight="1">
      <c r="A1830" s="816"/>
      <c r="B1830" s="810" t="s">
        <v>1403</v>
      </c>
      <c r="C1830" s="7">
        <v>178</v>
      </c>
      <c r="D1830" s="9" t="s">
        <v>1404</v>
      </c>
      <c r="E1830" s="25">
        <v>0</v>
      </c>
      <c r="G1830" s="8"/>
      <c r="H1830" s="11"/>
      <c r="I1830" s="12"/>
      <c r="J1830" s="137"/>
      <c r="K1830" s="13"/>
    </row>
    <row r="1831" spans="1:12" ht="15" customHeight="1">
      <c r="A1831" s="816"/>
      <c r="B1831" s="810"/>
      <c r="C1831" s="7">
        <f>C1830</f>
        <v>178</v>
      </c>
      <c r="D1831" s="9" t="s">
        <v>1405</v>
      </c>
      <c r="E1831" s="25">
        <v>0</v>
      </c>
      <c r="G1831" s="8"/>
      <c r="H1831" s="11"/>
      <c r="I1831" s="12"/>
      <c r="J1831" s="137"/>
      <c r="K1831" s="13"/>
    </row>
    <row r="1832" spans="1:12" ht="15" customHeight="1">
      <c r="A1832" s="816"/>
      <c r="B1832" s="19" t="s">
        <v>357</v>
      </c>
      <c r="C1832" s="14">
        <v>178</v>
      </c>
      <c r="D1832" s="9" t="s">
        <v>1406</v>
      </c>
      <c r="E1832" s="25">
        <v>0</v>
      </c>
      <c r="G1832" s="8"/>
      <c r="H1832" s="11"/>
      <c r="I1832" s="12"/>
      <c r="J1832" s="137"/>
      <c r="K1832" s="13"/>
    </row>
    <row r="1833" spans="1:12" ht="15" customHeight="1">
      <c r="A1833" s="816"/>
      <c r="B1833" s="810" t="s">
        <v>1407</v>
      </c>
      <c r="C1833" s="7">
        <v>178</v>
      </c>
      <c r="D1833" s="9" t="s">
        <v>1408</v>
      </c>
      <c r="E1833" s="25">
        <v>0</v>
      </c>
      <c r="G1833" s="8"/>
      <c r="H1833" s="11"/>
      <c r="I1833" s="12"/>
      <c r="J1833" s="137"/>
      <c r="K1833" s="13"/>
    </row>
    <row r="1834" spans="1:12" ht="15" customHeight="1">
      <c r="A1834" s="816"/>
      <c r="B1834" s="810"/>
      <c r="C1834" s="7">
        <f t="shared" ref="C1834:C1836" si="281">C1833</f>
        <v>178</v>
      </c>
      <c r="D1834" s="9" t="s">
        <v>1409</v>
      </c>
      <c r="E1834" s="25">
        <v>0</v>
      </c>
      <c r="G1834" s="8"/>
      <c r="H1834" s="11"/>
      <c r="I1834" s="12"/>
      <c r="J1834" s="137"/>
      <c r="K1834" s="13"/>
    </row>
    <row r="1835" spans="1:12" ht="15" customHeight="1">
      <c r="A1835" s="816"/>
      <c r="B1835" s="810"/>
      <c r="C1835" s="7">
        <f t="shared" si="281"/>
        <v>178</v>
      </c>
      <c r="D1835" s="9" t="s">
        <v>1404</v>
      </c>
      <c r="E1835" s="25">
        <v>0</v>
      </c>
      <c r="G1835" s="8"/>
      <c r="H1835" s="11"/>
      <c r="I1835" s="12"/>
      <c r="J1835" s="137"/>
      <c r="K1835" s="13"/>
    </row>
    <row r="1836" spans="1:12" ht="15" customHeight="1">
      <c r="A1836" s="817"/>
      <c r="B1836" s="810"/>
      <c r="C1836" s="7">
        <f t="shared" si="281"/>
        <v>178</v>
      </c>
      <c r="D1836" s="9" t="s">
        <v>1405</v>
      </c>
      <c r="E1836" s="25">
        <v>0</v>
      </c>
      <c r="G1836" s="8"/>
      <c r="H1836" s="11"/>
      <c r="I1836" s="12"/>
      <c r="J1836" s="137"/>
      <c r="K1836" s="13"/>
    </row>
    <row r="1837" spans="1:12" ht="15" customHeight="1">
      <c r="A1837" s="7" t="s">
        <v>1410</v>
      </c>
      <c r="B1837" s="7" t="s">
        <v>1411</v>
      </c>
      <c r="C1837" s="33">
        <v>465</v>
      </c>
      <c r="D1837" s="21" t="s">
        <v>1412</v>
      </c>
      <c r="E1837" s="25">
        <v>365000</v>
      </c>
      <c r="G1837" s="8">
        <v>465</v>
      </c>
      <c r="H1837" s="11">
        <f>0.555*0.85</f>
        <v>0.47175</v>
      </c>
      <c r="I1837" s="12" t="e">
        <f>ROUND(#REF!*1000000/G1837/H1837,-3)</f>
        <v>#REF!</v>
      </c>
      <c r="J1837" s="137"/>
      <c r="K1837" s="13"/>
    </row>
    <row r="1838" spans="1:12" ht="15" customHeight="1">
      <c r="A1838" s="814" t="s">
        <v>1413</v>
      </c>
      <c r="B1838" s="814" t="s">
        <v>1414</v>
      </c>
      <c r="C1838" s="7">
        <v>120</v>
      </c>
      <c r="D1838" s="9" t="s">
        <v>1415</v>
      </c>
      <c r="E1838" s="25">
        <v>205000</v>
      </c>
      <c r="G1838" s="8">
        <v>120</v>
      </c>
      <c r="H1838" s="11">
        <f t="shared" ref="H1838:H1843" si="282">0.65*0.9</f>
        <v>0.58500000000000008</v>
      </c>
      <c r="I1838" s="12" t="e">
        <f>ROUND(#REF!*1000000/G1838/H1838,-3)</f>
        <v>#REF!</v>
      </c>
      <c r="J1838" s="137"/>
      <c r="K1838" s="13"/>
    </row>
    <row r="1839" spans="1:12" ht="15" customHeight="1">
      <c r="A1839" s="804"/>
      <c r="B1839" s="804"/>
      <c r="C1839" s="7">
        <f t="shared" ref="C1839:C1840" si="283">C1838</f>
        <v>120</v>
      </c>
      <c r="D1839" s="9" t="s">
        <v>1416</v>
      </c>
      <c r="E1839" s="25">
        <v>215000</v>
      </c>
      <c r="G1839" s="8">
        <v>120</v>
      </c>
      <c r="H1839" s="11">
        <f t="shared" si="282"/>
        <v>0.58500000000000008</v>
      </c>
      <c r="I1839" s="12" t="e">
        <f>ROUND(#REF!*1000000/G1839/H1839,-3)</f>
        <v>#REF!</v>
      </c>
      <c r="J1839" s="137"/>
      <c r="K1839" s="13"/>
    </row>
    <row r="1840" spans="1:12" ht="15" customHeight="1">
      <c r="A1840" s="804"/>
      <c r="B1840" s="804"/>
      <c r="C1840" s="7">
        <f t="shared" si="283"/>
        <v>120</v>
      </c>
      <c r="D1840" s="9" t="s">
        <v>1417</v>
      </c>
      <c r="E1840" s="25">
        <v>235000</v>
      </c>
      <c r="G1840" s="8">
        <v>120</v>
      </c>
      <c r="H1840" s="11">
        <f t="shared" si="282"/>
        <v>0.58500000000000008</v>
      </c>
      <c r="I1840" s="12" t="e">
        <f>ROUND(#REF!*1000000/G1840/H1840,-3)</f>
        <v>#REF!</v>
      </c>
      <c r="J1840" s="137"/>
      <c r="K1840" s="13"/>
    </row>
    <row r="1841" spans="1:11" ht="15" customHeight="1">
      <c r="A1841" s="804"/>
      <c r="B1841" s="804"/>
      <c r="C1841" s="7">
        <v>180</v>
      </c>
      <c r="D1841" s="9" t="s">
        <v>1415</v>
      </c>
      <c r="E1841" s="25">
        <v>290000</v>
      </c>
      <c r="G1841" s="8">
        <v>180</v>
      </c>
      <c r="H1841" s="11">
        <f t="shared" si="282"/>
        <v>0.58500000000000008</v>
      </c>
      <c r="I1841" s="12" t="e">
        <f>ROUND(#REF!*1000000/G1841/H1841,-3)</f>
        <v>#REF!</v>
      </c>
      <c r="J1841" s="137"/>
      <c r="K1841" s="13"/>
    </row>
    <row r="1842" spans="1:11" ht="15" customHeight="1">
      <c r="A1842" s="804"/>
      <c r="B1842" s="804"/>
      <c r="C1842" s="7">
        <f t="shared" ref="C1842:C1843" si="284">C1841</f>
        <v>180</v>
      </c>
      <c r="D1842" s="9" t="s">
        <v>1418</v>
      </c>
      <c r="E1842" s="25">
        <v>300000</v>
      </c>
      <c r="G1842" s="8">
        <v>180</v>
      </c>
      <c r="H1842" s="11">
        <f t="shared" si="282"/>
        <v>0.58500000000000008</v>
      </c>
      <c r="I1842" s="12" t="e">
        <f>ROUND(#REF!*1000000/G1842/H1842,-3)</f>
        <v>#REF!</v>
      </c>
      <c r="J1842" s="137"/>
      <c r="K1842" s="13"/>
    </row>
    <row r="1843" spans="1:11" ht="15" customHeight="1">
      <c r="A1843" s="804"/>
      <c r="B1843" s="804"/>
      <c r="C1843" s="7">
        <f t="shared" si="284"/>
        <v>180</v>
      </c>
      <c r="D1843" s="9" t="s">
        <v>1419</v>
      </c>
      <c r="E1843" s="25">
        <v>330000</v>
      </c>
      <c r="G1843" s="8">
        <v>180</v>
      </c>
      <c r="H1843" s="11">
        <f t="shared" si="282"/>
        <v>0.58500000000000008</v>
      </c>
      <c r="I1843" s="12" t="e">
        <f>ROUND(#REF!*1000000/G1843/H1843,-3)</f>
        <v>#REF!</v>
      </c>
      <c r="J1843" s="137"/>
      <c r="K1843" s="13"/>
    </row>
    <row r="1844" spans="1:11" ht="15" customHeight="1">
      <c r="A1844" s="811" t="s">
        <v>1420</v>
      </c>
      <c r="B1844" s="811" t="s">
        <v>1421</v>
      </c>
      <c r="C1844" s="16">
        <v>200</v>
      </c>
      <c r="D1844" s="29" t="s">
        <v>1422</v>
      </c>
      <c r="E1844" s="25">
        <v>0</v>
      </c>
      <c r="G1844" s="8"/>
      <c r="H1844" s="11"/>
      <c r="I1844" s="12"/>
      <c r="J1844" s="137"/>
      <c r="K1844" s="13"/>
    </row>
    <row r="1845" spans="1:11" ht="15" customHeight="1">
      <c r="A1845" s="810"/>
      <c r="B1845" s="810"/>
      <c r="C1845" s="16">
        <v>157</v>
      </c>
      <c r="D1845" s="29" t="s">
        <v>1423</v>
      </c>
      <c r="E1845" s="25">
        <v>0</v>
      </c>
      <c r="G1845" s="8"/>
      <c r="H1845" s="11"/>
      <c r="I1845" s="12"/>
      <c r="J1845" s="137"/>
      <c r="K1845" s="13"/>
    </row>
    <row r="1846" spans="1:11" ht="15" customHeight="1">
      <c r="A1846" s="810"/>
      <c r="B1846" s="810"/>
      <c r="C1846" s="16">
        <v>209</v>
      </c>
      <c r="D1846" s="29" t="s">
        <v>1424</v>
      </c>
      <c r="E1846" s="25">
        <v>0</v>
      </c>
      <c r="G1846" s="8"/>
      <c r="H1846" s="11"/>
      <c r="I1846" s="12"/>
      <c r="J1846" s="137"/>
      <c r="K1846" s="13"/>
    </row>
    <row r="1847" spans="1:11" ht="15" customHeight="1">
      <c r="A1847" s="810"/>
      <c r="B1847" s="810"/>
      <c r="C1847" s="16">
        <v>250</v>
      </c>
      <c r="D1847" s="29" t="s">
        <v>1425</v>
      </c>
      <c r="E1847" s="25">
        <v>0</v>
      </c>
      <c r="G1847" s="8"/>
      <c r="H1847" s="11"/>
      <c r="I1847" s="12"/>
      <c r="J1847" s="137"/>
      <c r="K1847" s="13"/>
    </row>
    <row r="1848" spans="1:11" ht="15" customHeight="1">
      <c r="A1848" s="810"/>
      <c r="B1848" s="810"/>
      <c r="C1848" s="16">
        <v>190</v>
      </c>
      <c r="D1848" s="29" t="s">
        <v>1426</v>
      </c>
      <c r="E1848" s="25">
        <v>0</v>
      </c>
      <c r="G1848" s="8"/>
      <c r="H1848" s="11"/>
      <c r="I1848" s="12"/>
      <c r="J1848" s="137"/>
      <c r="K1848" s="13"/>
    </row>
    <row r="1849" spans="1:11" ht="15" customHeight="1">
      <c r="A1849" s="810"/>
      <c r="B1849" s="810"/>
      <c r="C1849" s="16">
        <v>250</v>
      </c>
      <c r="D1849" s="29" t="s">
        <v>1427</v>
      </c>
      <c r="E1849" s="25">
        <v>0</v>
      </c>
      <c r="G1849" s="8"/>
      <c r="H1849" s="11"/>
      <c r="I1849" s="12"/>
      <c r="J1849" s="137"/>
      <c r="K1849" s="13"/>
    </row>
    <row r="1850" spans="1:11" ht="15" customHeight="1">
      <c r="A1850" s="810"/>
      <c r="B1850" s="810"/>
      <c r="C1850" s="16">
        <v>186</v>
      </c>
      <c r="D1850" s="29" t="s">
        <v>1428</v>
      </c>
      <c r="E1850" s="25">
        <v>0</v>
      </c>
      <c r="G1850" s="8"/>
      <c r="H1850" s="11"/>
      <c r="I1850" s="12"/>
      <c r="J1850" s="137"/>
      <c r="K1850" s="13"/>
    </row>
    <row r="1851" spans="1:11" ht="15" customHeight="1">
      <c r="A1851" s="810"/>
      <c r="B1851" s="810"/>
      <c r="C1851" s="16">
        <v>178</v>
      </c>
      <c r="D1851" s="29" t="s">
        <v>1429</v>
      </c>
      <c r="E1851" s="25">
        <v>0</v>
      </c>
      <c r="G1851" s="8"/>
      <c r="H1851" s="11"/>
      <c r="I1851" s="12"/>
      <c r="J1851" s="137"/>
      <c r="K1851" s="13"/>
    </row>
    <row r="1852" spans="1:11" ht="15" customHeight="1">
      <c r="A1852" s="810"/>
      <c r="B1852" s="810"/>
      <c r="C1852" s="16">
        <v>151</v>
      </c>
      <c r="D1852" s="29" t="s">
        <v>1430</v>
      </c>
      <c r="E1852" s="25">
        <v>0</v>
      </c>
      <c r="G1852" s="8"/>
      <c r="H1852" s="11"/>
      <c r="I1852" s="12"/>
      <c r="J1852" s="137"/>
      <c r="K1852" s="13"/>
    </row>
    <row r="1853" spans="1:11" ht="15" customHeight="1">
      <c r="A1853" s="810"/>
      <c r="B1853" s="810"/>
      <c r="C1853" s="16">
        <v>204</v>
      </c>
      <c r="D1853" s="29" t="s">
        <v>1431</v>
      </c>
      <c r="E1853" s="25">
        <v>0</v>
      </c>
      <c r="G1853" s="8"/>
      <c r="H1853" s="11"/>
      <c r="I1853" s="12"/>
      <c r="J1853" s="137"/>
      <c r="K1853" s="13"/>
    </row>
    <row r="1854" spans="1:11" ht="15" customHeight="1">
      <c r="A1854" s="810"/>
      <c r="B1854" s="810"/>
      <c r="C1854" s="16">
        <v>185</v>
      </c>
      <c r="D1854" s="29" t="s">
        <v>1432</v>
      </c>
      <c r="E1854" s="25">
        <v>0</v>
      </c>
      <c r="G1854" s="8"/>
      <c r="H1854" s="11"/>
      <c r="I1854" s="12"/>
      <c r="J1854" s="137"/>
      <c r="K1854" s="13"/>
    </row>
    <row r="1855" spans="1:11" ht="15" customHeight="1">
      <c r="A1855" s="810"/>
      <c r="B1855" s="810"/>
      <c r="C1855" s="16">
        <v>225</v>
      </c>
      <c r="D1855" s="29" t="s">
        <v>1433</v>
      </c>
      <c r="E1855" s="25">
        <v>0</v>
      </c>
      <c r="G1855" s="8"/>
      <c r="H1855" s="11"/>
      <c r="I1855" s="12"/>
      <c r="J1855" s="137"/>
      <c r="K1855" s="13"/>
    </row>
    <row r="1856" spans="1:11" ht="15" customHeight="1">
      <c r="A1856" s="810"/>
      <c r="B1856" s="810"/>
      <c r="C1856" s="16">
        <v>230</v>
      </c>
      <c r="D1856" s="29" t="s">
        <v>1434</v>
      </c>
      <c r="E1856" s="25">
        <v>0</v>
      </c>
      <c r="G1856" s="8"/>
      <c r="H1856" s="11"/>
      <c r="I1856" s="12"/>
      <c r="J1856" s="137"/>
      <c r="K1856" s="13"/>
    </row>
    <row r="1857" spans="1:11" ht="15" customHeight="1">
      <c r="A1857" s="810"/>
      <c r="B1857" s="811" t="s">
        <v>1435</v>
      </c>
      <c r="C1857" s="16">
        <v>200</v>
      </c>
      <c r="D1857" s="29" t="s">
        <v>1422</v>
      </c>
      <c r="E1857" s="25">
        <v>0</v>
      </c>
      <c r="G1857" s="8"/>
      <c r="H1857" s="11"/>
      <c r="I1857" s="12"/>
      <c r="J1857" s="137"/>
      <c r="K1857" s="13"/>
    </row>
    <row r="1858" spans="1:11" ht="15" customHeight="1">
      <c r="A1858" s="810"/>
      <c r="B1858" s="810"/>
      <c r="C1858" s="16">
        <v>157</v>
      </c>
      <c r="D1858" s="29" t="s">
        <v>1423</v>
      </c>
      <c r="E1858" s="25">
        <v>0</v>
      </c>
      <c r="G1858" s="8"/>
      <c r="H1858" s="11"/>
      <c r="I1858" s="12"/>
      <c r="J1858" s="137"/>
      <c r="K1858" s="13"/>
    </row>
    <row r="1859" spans="1:11" ht="15" customHeight="1">
      <c r="A1859" s="810"/>
      <c r="B1859" s="810"/>
      <c r="C1859" s="16">
        <v>209</v>
      </c>
      <c r="D1859" s="29" t="s">
        <v>1424</v>
      </c>
      <c r="E1859" s="25">
        <v>0</v>
      </c>
      <c r="G1859" s="8"/>
      <c r="H1859" s="11"/>
      <c r="I1859" s="12"/>
      <c r="J1859" s="137"/>
      <c r="K1859" s="13"/>
    </row>
    <row r="1860" spans="1:11" ht="15" customHeight="1">
      <c r="A1860" s="810"/>
      <c r="B1860" s="810"/>
      <c r="C1860" s="16">
        <v>250</v>
      </c>
      <c r="D1860" s="29" t="s">
        <v>1425</v>
      </c>
      <c r="E1860" s="25">
        <v>0</v>
      </c>
      <c r="G1860" s="8"/>
      <c r="H1860" s="11"/>
      <c r="I1860" s="12"/>
      <c r="J1860" s="137"/>
      <c r="K1860" s="13"/>
    </row>
    <row r="1861" spans="1:11" ht="15" customHeight="1">
      <c r="A1861" s="810"/>
      <c r="B1861" s="810"/>
      <c r="C1861" s="16">
        <v>190</v>
      </c>
      <c r="D1861" s="29" t="s">
        <v>1426</v>
      </c>
      <c r="E1861" s="25">
        <v>0</v>
      </c>
      <c r="G1861" s="8"/>
      <c r="H1861" s="11"/>
      <c r="I1861" s="12"/>
      <c r="J1861" s="137"/>
      <c r="K1861" s="13"/>
    </row>
    <row r="1862" spans="1:11" ht="15" customHeight="1">
      <c r="A1862" s="810"/>
      <c r="B1862" s="810"/>
      <c r="C1862" s="16">
        <v>250</v>
      </c>
      <c r="D1862" s="29" t="s">
        <v>1427</v>
      </c>
      <c r="E1862" s="25">
        <v>0</v>
      </c>
      <c r="G1862" s="8"/>
      <c r="H1862" s="11"/>
      <c r="I1862" s="12"/>
      <c r="J1862" s="137"/>
      <c r="K1862" s="13"/>
    </row>
    <row r="1863" spans="1:11" ht="15" customHeight="1">
      <c r="A1863" s="810"/>
      <c r="B1863" s="810"/>
      <c r="C1863" s="16">
        <v>186</v>
      </c>
      <c r="D1863" s="29" t="s">
        <v>1428</v>
      </c>
      <c r="E1863" s="25">
        <v>0</v>
      </c>
      <c r="G1863" s="8"/>
      <c r="H1863" s="11"/>
      <c r="I1863" s="12"/>
      <c r="J1863" s="137"/>
      <c r="K1863" s="13"/>
    </row>
    <row r="1864" spans="1:11" ht="15" customHeight="1">
      <c r="A1864" s="810"/>
      <c r="B1864" s="810"/>
      <c r="C1864" s="16">
        <v>178</v>
      </c>
      <c r="D1864" s="29" t="s">
        <v>1429</v>
      </c>
      <c r="E1864" s="25">
        <v>0</v>
      </c>
      <c r="G1864" s="8"/>
      <c r="H1864" s="11"/>
      <c r="I1864" s="12"/>
      <c r="J1864" s="137"/>
      <c r="K1864" s="13"/>
    </row>
    <row r="1865" spans="1:11" ht="15" customHeight="1">
      <c r="A1865" s="810"/>
      <c r="B1865" s="810"/>
      <c r="C1865" s="16">
        <v>151</v>
      </c>
      <c r="D1865" s="29" t="s">
        <v>1430</v>
      </c>
      <c r="E1865" s="25">
        <v>0</v>
      </c>
      <c r="G1865" s="8"/>
      <c r="H1865" s="11"/>
      <c r="I1865" s="12"/>
      <c r="J1865" s="137"/>
      <c r="K1865" s="13"/>
    </row>
    <row r="1866" spans="1:11" ht="15" customHeight="1">
      <c r="A1866" s="810"/>
      <c r="B1866" s="810"/>
      <c r="C1866" s="16">
        <v>204</v>
      </c>
      <c r="D1866" s="29" t="s">
        <v>1431</v>
      </c>
      <c r="E1866" s="25">
        <v>0</v>
      </c>
      <c r="G1866" s="8"/>
      <c r="H1866" s="11"/>
      <c r="I1866" s="12"/>
      <c r="J1866" s="137"/>
      <c r="K1866" s="13"/>
    </row>
    <row r="1867" spans="1:11" ht="15" customHeight="1">
      <c r="A1867" s="810"/>
      <c r="B1867" s="810"/>
      <c r="C1867" s="16">
        <v>185</v>
      </c>
      <c r="D1867" s="29" t="s">
        <v>1432</v>
      </c>
      <c r="E1867" s="25">
        <v>0</v>
      </c>
      <c r="G1867" s="8"/>
      <c r="H1867" s="11"/>
      <c r="I1867" s="12"/>
      <c r="J1867" s="137"/>
      <c r="K1867" s="13"/>
    </row>
    <row r="1868" spans="1:11" ht="15" customHeight="1">
      <c r="A1868" s="810"/>
      <c r="B1868" s="810"/>
      <c r="C1868" s="16">
        <v>225</v>
      </c>
      <c r="D1868" s="29" t="s">
        <v>1433</v>
      </c>
      <c r="E1868" s="25">
        <v>0</v>
      </c>
      <c r="G1868" s="8"/>
      <c r="H1868" s="11"/>
      <c r="I1868" s="12"/>
      <c r="J1868" s="137"/>
      <c r="K1868" s="13"/>
    </row>
    <row r="1869" spans="1:11" ht="15" customHeight="1">
      <c r="A1869" s="810"/>
      <c r="B1869" s="810"/>
      <c r="C1869" s="16">
        <v>230</v>
      </c>
      <c r="D1869" s="29" t="s">
        <v>1434</v>
      </c>
      <c r="E1869" s="25">
        <v>0</v>
      </c>
      <c r="G1869" s="8"/>
      <c r="H1869" s="11"/>
      <c r="I1869" s="12"/>
      <c r="J1869" s="137"/>
      <c r="K1869" s="13"/>
    </row>
    <row r="1870" spans="1:11" ht="15" customHeight="1">
      <c r="A1870" s="819" t="s">
        <v>1436</v>
      </c>
      <c r="B1870" s="815" t="s">
        <v>213</v>
      </c>
      <c r="C1870" s="72">
        <v>120</v>
      </c>
      <c r="D1870" s="21" t="s">
        <v>1437</v>
      </c>
      <c r="E1870" s="25">
        <v>690000</v>
      </c>
      <c r="G1870" s="70">
        <v>120</v>
      </c>
      <c r="H1870" s="11">
        <f t="shared" ref="H1870:H1873" si="285">0.788*1.091</f>
        <v>0.85970800000000003</v>
      </c>
      <c r="I1870" s="12" t="e">
        <f>ROUND(#REF!*1000000/G1870/H1870,-3)</f>
        <v>#REF!</v>
      </c>
      <c r="J1870" s="137"/>
      <c r="K1870" s="13"/>
    </row>
    <row r="1871" spans="1:11" ht="15" customHeight="1">
      <c r="A1871" s="820"/>
      <c r="B1871" s="815"/>
      <c r="C1871" s="72">
        <v>270</v>
      </c>
      <c r="D1871" s="21" t="s">
        <v>1438</v>
      </c>
      <c r="E1871" s="25">
        <v>1550000</v>
      </c>
      <c r="G1871" s="70">
        <v>270</v>
      </c>
      <c r="H1871" s="11">
        <f t="shared" si="285"/>
        <v>0.85970800000000003</v>
      </c>
      <c r="I1871" s="12" t="e">
        <f>ROUND(#REF!*1000000/G1871/H1871,-3)</f>
        <v>#REF!</v>
      </c>
      <c r="J1871" s="137"/>
      <c r="K1871" s="13"/>
    </row>
    <row r="1872" spans="1:11" ht="15" customHeight="1">
      <c r="A1872" s="820"/>
      <c r="B1872" s="815"/>
      <c r="C1872" s="218">
        <f t="shared" ref="C1872:C1873" si="286">C1871</f>
        <v>270</v>
      </c>
      <c r="D1872" s="21" t="s">
        <v>1439</v>
      </c>
      <c r="E1872" s="25">
        <v>1975000</v>
      </c>
      <c r="G1872" s="70">
        <v>270</v>
      </c>
      <c r="H1872" s="11">
        <f t="shared" si="285"/>
        <v>0.85970800000000003</v>
      </c>
      <c r="I1872" s="12" t="e">
        <f>ROUND(#REF!*1000000/G1872/H1872,-3)</f>
        <v>#REF!</v>
      </c>
      <c r="J1872" s="137"/>
      <c r="K1872" s="13"/>
    </row>
    <row r="1873" spans="1:11" ht="15" customHeight="1">
      <c r="A1873" s="820"/>
      <c r="B1873" s="815"/>
      <c r="C1873" s="218">
        <f t="shared" si="286"/>
        <v>270</v>
      </c>
      <c r="D1873" s="21" t="s">
        <v>1440</v>
      </c>
      <c r="E1873" s="25">
        <v>2370000</v>
      </c>
      <c r="G1873" s="70">
        <v>270</v>
      </c>
      <c r="H1873" s="11">
        <f t="shared" si="285"/>
        <v>0.85970800000000003</v>
      </c>
      <c r="I1873" s="12" t="e">
        <f>ROUND(#REF!*1000000/G1873/H1873,-3)</f>
        <v>#REF!</v>
      </c>
      <c r="J1873" s="137"/>
      <c r="K1873" s="13"/>
    </row>
    <row r="1874" spans="1:11" ht="15" customHeight="1">
      <c r="A1874" s="820"/>
      <c r="B1874" s="815" t="s">
        <v>644</v>
      </c>
      <c r="C1874" s="72">
        <v>120</v>
      </c>
      <c r="D1874" s="21" t="s">
        <v>779</v>
      </c>
      <c r="E1874" s="25">
        <v>560000</v>
      </c>
      <c r="G1874" s="70">
        <v>120</v>
      </c>
      <c r="H1874" s="11">
        <f t="shared" ref="H1874:H1877" si="287">0.7</f>
        <v>0.7</v>
      </c>
      <c r="I1874" s="12" t="e">
        <f>ROUND(#REF!*1000000/G1874/H1874,-3)</f>
        <v>#REF!</v>
      </c>
      <c r="J1874" s="137"/>
      <c r="K1874" s="13"/>
    </row>
    <row r="1875" spans="1:11" ht="15" customHeight="1">
      <c r="A1875" s="820"/>
      <c r="B1875" s="815"/>
      <c r="C1875" s="72">
        <v>270</v>
      </c>
      <c r="D1875" s="21" t="s">
        <v>1441</v>
      </c>
      <c r="E1875" s="25">
        <v>1260000</v>
      </c>
      <c r="G1875" s="70">
        <v>270</v>
      </c>
      <c r="H1875" s="11">
        <f t="shared" si="287"/>
        <v>0.7</v>
      </c>
      <c r="I1875" s="12" t="e">
        <f>ROUND(#REF!*1000000/G1875/H1875,-3)</f>
        <v>#REF!</v>
      </c>
      <c r="J1875" s="137"/>
      <c r="K1875" s="13"/>
    </row>
    <row r="1876" spans="1:11" ht="15" customHeight="1">
      <c r="A1876" s="820"/>
      <c r="B1876" s="815"/>
      <c r="C1876" s="218">
        <f t="shared" ref="C1876:C1877" si="288">C1875</f>
        <v>270</v>
      </c>
      <c r="D1876" s="21" t="s">
        <v>1442</v>
      </c>
      <c r="E1876" s="25">
        <v>1610000</v>
      </c>
      <c r="G1876" s="70">
        <v>270</v>
      </c>
      <c r="H1876" s="11">
        <f t="shared" si="287"/>
        <v>0.7</v>
      </c>
      <c r="I1876" s="12" t="e">
        <f>ROUND(#REF!*1000000/G1876/H1876,-3)</f>
        <v>#REF!</v>
      </c>
      <c r="J1876" s="137"/>
      <c r="K1876" s="13"/>
    </row>
    <row r="1877" spans="1:11" ht="15" customHeight="1">
      <c r="A1877" s="821"/>
      <c r="B1877" s="815"/>
      <c r="C1877" s="218">
        <f t="shared" si="288"/>
        <v>270</v>
      </c>
      <c r="D1877" s="21" t="s">
        <v>1443</v>
      </c>
      <c r="E1877" s="25">
        <v>1930000</v>
      </c>
      <c r="G1877" s="70">
        <v>270</v>
      </c>
      <c r="H1877" s="11">
        <f t="shared" si="287"/>
        <v>0.7</v>
      </c>
      <c r="I1877" s="12" t="e">
        <f>ROUND(#REF!*1000000/G1877/H1877,-3)</f>
        <v>#REF!</v>
      </c>
      <c r="J1877" s="137"/>
      <c r="K1877" s="13"/>
    </row>
    <row r="1878" spans="1:11" s="1" customFormat="1" ht="15" customHeight="1">
      <c r="A1878" s="811" t="s">
        <v>1444</v>
      </c>
      <c r="B1878" s="810" t="s">
        <v>213</v>
      </c>
      <c r="C1878" s="7">
        <v>60</v>
      </c>
      <c r="D1878" s="9" t="s">
        <v>1445</v>
      </c>
      <c r="E1878" s="211">
        <v>205000</v>
      </c>
      <c r="F1878" s="80"/>
      <c r="G1878" s="8">
        <v>60</v>
      </c>
      <c r="H1878" s="11">
        <f t="shared" ref="H1878:H1899" si="289">0.788*1.091</f>
        <v>0.85970800000000003</v>
      </c>
      <c r="I1878" s="12" t="e">
        <f>ROUND(#REF!*1000000/G1878/H1878,-3)</f>
        <v>#REF!</v>
      </c>
      <c r="J1878" s="137"/>
      <c r="K1878" s="13"/>
    </row>
    <row r="1879" spans="1:11" s="1" customFormat="1" ht="15" customHeight="1">
      <c r="A1879" s="811"/>
      <c r="B1879" s="810"/>
      <c r="C1879" s="7">
        <v>70</v>
      </c>
      <c r="D1879" s="9" t="s">
        <v>1445</v>
      </c>
      <c r="E1879" s="211">
        <v>250000</v>
      </c>
      <c r="F1879" s="80"/>
      <c r="G1879" s="8">
        <v>70</v>
      </c>
      <c r="H1879" s="11">
        <f t="shared" si="289"/>
        <v>0.85970800000000003</v>
      </c>
      <c r="I1879" s="12" t="e">
        <f>ROUND(#REF!*1000000/G1879/H1879,-3)</f>
        <v>#REF!</v>
      </c>
      <c r="J1879" s="137"/>
      <c r="K1879" s="13"/>
    </row>
    <row r="1880" spans="1:11" s="1" customFormat="1" ht="15" customHeight="1">
      <c r="A1880" s="811"/>
      <c r="B1880" s="810"/>
      <c r="C1880" s="7">
        <v>80</v>
      </c>
      <c r="D1880" s="9" t="s">
        <v>1445</v>
      </c>
      <c r="E1880" s="211">
        <v>285000</v>
      </c>
      <c r="F1880" s="80"/>
      <c r="G1880" s="8">
        <v>80</v>
      </c>
      <c r="H1880" s="11">
        <f t="shared" si="289"/>
        <v>0.85970800000000003</v>
      </c>
      <c r="I1880" s="12" t="e">
        <f>ROUND(#REF!*1000000/G1880/H1880,-3)</f>
        <v>#REF!</v>
      </c>
      <c r="J1880" s="137"/>
      <c r="K1880" s="13"/>
    </row>
    <row r="1881" spans="1:11" s="1" customFormat="1" ht="15" customHeight="1">
      <c r="A1881" s="811"/>
      <c r="B1881" s="810"/>
      <c r="C1881" s="7">
        <v>90</v>
      </c>
      <c r="D1881" s="9" t="s">
        <v>1445</v>
      </c>
      <c r="E1881" s="211">
        <v>320000</v>
      </c>
      <c r="F1881" s="80"/>
      <c r="G1881" s="8">
        <v>90</v>
      </c>
      <c r="H1881" s="11">
        <f t="shared" si="289"/>
        <v>0.85970800000000003</v>
      </c>
      <c r="I1881" s="12" t="e">
        <f>ROUND(#REF!*1000000/G1881/H1881,-3)</f>
        <v>#REF!</v>
      </c>
      <c r="J1881" s="137"/>
      <c r="K1881" s="13"/>
    </row>
    <row r="1882" spans="1:11" s="1" customFormat="1" ht="15" customHeight="1">
      <c r="A1882" s="811"/>
      <c r="B1882" s="810"/>
      <c r="C1882" s="7">
        <v>100</v>
      </c>
      <c r="D1882" s="9" t="s">
        <v>1445</v>
      </c>
      <c r="E1882" s="211">
        <v>355000</v>
      </c>
      <c r="F1882" s="80"/>
      <c r="G1882" s="8">
        <v>100</v>
      </c>
      <c r="H1882" s="11">
        <f t="shared" si="289"/>
        <v>0.85970800000000003</v>
      </c>
      <c r="I1882" s="12" t="e">
        <f>ROUND(#REF!*1000000/G1882/H1882,-3)</f>
        <v>#REF!</v>
      </c>
      <c r="J1882" s="137"/>
      <c r="K1882" s="13"/>
    </row>
    <row r="1883" spans="1:11" s="1" customFormat="1" ht="15" customHeight="1">
      <c r="A1883" s="811"/>
      <c r="B1883" s="810"/>
      <c r="C1883" s="7">
        <v>110</v>
      </c>
      <c r="D1883" s="9" t="s">
        <v>1445</v>
      </c>
      <c r="E1883" s="211">
        <v>390000</v>
      </c>
      <c r="F1883" s="80"/>
      <c r="G1883" s="8">
        <v>110</v>
      </c>
      <c r="H1883" s="11">
        <f t="shared" si="289"/>
        <v>0.85970800000000003</v>
      </c>
      <c r="I1883" s="12" t="e">
        <f>ROUND(#REF!*1000000/G1883/H1883,-3)</f>
        <v>#REF!</v>
      </c>
      <c r="J1883" s="137"/>
      <c r="K1883" s="13"/>
    </row>
    <row r="1884" spans="1:11" s="1" customFormat="1" ht="15" customHeight="1">
      <c r="A1884" s="811"/>
      <c r="B1884" s="810"/>
      <c r="C1884" s="7">
        <v>130</v>
      </c>
      <c r="D1884" s="9" t="s">
        <v>1445</v>
      </c>
      <c r="E1884" s="211">
        <v>460000</v>
      </c>
      <c r="F1884" s="80"/>
      <c r="G1884" s="8">
        <v>130</v>
      </c>
      <c r="H1884" s="11">
        <f t="shared" si="289"/>
        <v>0.85970800000000003</v>
      </c>
      <c r="I1884" s="12" t="e">
        <f>ROUND(#REF!*1000000/G1884/H1884,-3)</f>
        <v>#REF!</v>
      </c>
      <c r="J1884" s="137"/>
      <c r="K1884" s="13"/>
    </row>
    <row r="1885" spans="1:11" s="1" customFormat="1" ht="15" customHeight="1">
      <c r="A1885" s="811"/>
      <c r="B1885" s="810"/>
      <c r="C1885" s="7">
        <v>150</v>
      </c>
      <c r="D1885" s="9" t="s">
        <v>1445</v>
      </c>
      <c r="E1885" s="211">
        <v>530000</v>
      </c>
      <c r="F1885" s="80"/>
      <c r="G1885" s="8">
        <v>150</v>
      </c>
      <c r="H1885" s="11">
        <f t="shared" si="289"/>
        <v>0.85970800000000003</v>
      </c>
      <c r="I1885" s="12" t="e">
        <f>ROUND(#REF!*1000000/G1885/H1885,-3)</f>
        <v>#REF!</v>
      </c>
      <c r="J1885" s="137"/>
      <c r="K1885" s="13"/>
    </row>
    <row r="1886" spans="1:11" s="1" customFormat="1" ht="15" customHeight="1">
      <c r="A1886" s="811"/>
      <c r="B1886" s="810"/>
      <c r="C1886" s="7">
        <v>170</v>
      </c>
      <c r="D1886" s="9" t="s">
        <v>1445</v>
      </c>
      <c r="E1886" s="211">
        <v>600000</v>
      </c>
      <c r="F1886" s="80"/>
      <c r="G1886" s="8">
        <v>170</v>
      </c>
      <c r="H1886" s="11">
        <f t="shared" si="289"/>
        <v>0.85970800000000003</v>
      </c>
      <c r="I1886" s="12" t="e">
        <f>ROUND(#REF!*1000000/G1886/H1886,-3)</f>
        <v>#REF!</v>
      </c>
      <c r="J1886" s="137"/>
      <c r="K1886" s="13"/>
    </row>
    <row r="1887" spans="1:11" s="1" customFormat="1" ht="15" customHeight="1">
      <c r="A1887" s="811"/>
      <c r="B1887" s="810"/>
      <c r="C1887" s="7">
        <v>200</v>
      </c>
      <c r="D1887" s="9" t="s">
        <v>1445</v>
      </c>
      <c r="E1887" s="211">
        <v>755000</v>
      </c>
      <c r="F1887" s="80"/>
      <c r="G1887" s="8">
        <v>200</v>
      </c>
      <c r="H1887" s="11">
        <f t="shared" si="289"/>
        <v>0.85970800000000003</v>
      </c>
      <c r="I1887" s="12" t="e">
        <f>ROUND(#REF!*1000000/G1887/H1887,-3)</f>
        <v>#REF!</v>
      </c>
      <c r="J1887" s="137"/>
      <c r="K1887" s="13"/>
    </row>
    <row r="1888" spans="1:11" s="1" customFormat="1" ht="15" customHeight="1">
      <c r="A1888" s="811"/>
      <c r="B1888" s="810"/>
      <c r="C1888" s="7">
        <v>220</v>
      </c>
      <c r="D1888" s="9" t="s">
        <v>1445</v>
      </c>
      <c r="E1888" s="211">
        <v>835000</v>
      </c>
      <c r="G1888" s="8">
        <v>220</v>
      </c>
      <c r="H1888" s="11">
        <f t="shared" si="289"/>
        <v>0.85970800000000003</v>
      </c>
      <c r="I1888" s="12" t="e">
        <f>ROUND(#REF!*1000000/G1888/H1888,-3)</f>
        <v>#REF!</v>
      </c>
      <c r="J1888" s="137"/>
      <c r="K1888" s="13"/>
    </row>
    <row r="1889" spans="1:11" s="1" customFormat="1" ht="15" customHeight="1">
      <c r="A1889" s="811"/>
      <c r="B1889" s="810" t="s">
        <v>22</v>
      </c>
      <c r="C1889" s="7">
        <v>60</v>
      </c>
      <c r="D1889" s="9" t="s">
        <v>1446</v>
      </c>
      <c r="E1889" s="211">
        <v>205000</v>
      </c>
      <c r="G1889" s="8">
        <v>60</v>
      </c>
      <c r="H1889" s="11">
        <f t="shared" si="289"/>
        <v>0.85970800000000003</v>
      </c>
      <c r="I1889" s="12" t="e">
        <f>ROUND(#REF!*1000000/G1889/H1889,-3)</f>
        <v>#REF!</v>
      </c>
      <c r="J1889" s="137"/>
      <c r="K1889" s="13"/>
    </row>
    <row r="1890" spans="1:11" s="1" customFormat="1" ht="15" customHeight="1">
      <c r="A1890" s="811"/>
      <c r="B1890" s="810"/>
      <c r="C1890" s="7">
        <v>70</v>
      </c>
      <c r="D1890" s="9" t="s">
        <v>1446</v>
      </c>
      <c r="E1890" s="211">
        <v>240000</v>
      </c>
      <c r="F1890" s="80"/>
      <c r="G1890" s="8">
        <v>70</v>
      </c>
      <c r="H1890" s="11">
        <f t="shared" si="289"/>
        <v>0.85970800000000003</v>
      </c>
      <c r="I1890" s="12" t="e">
        <f>ROUND(#REF!*1000000/G1890/H1890,-3)</f>
        <v>#REF!</v>
      </c>
      <c r="J1890" s="137"/>
      <c r="K1890" s="13"/>
    </row>
    <row r="1891" spans="1:11" s="1" customFormat="1" ht="15" customHeight="1">
      <c r="A1891" s="811"/>
      <c r="B1891" s="810"/>
      <c r="C1891" s="7">
        <v>80</v>
      </c>
      <c r="D1891" s="9" t="s">
        <v>1446</v>
      </c>
      <c r="E1891" s="211">
        <v>275000</v>
      </c>
      <c r="F1891" s="80"/>
      <c r="G1891" s="8">
        <v>80</v>
      </c>
      <c r="H1891" s="11">
        <f t="shared" si="289"/>
        <v>0.85970800000000003</v>
      </c>
      <c r="I1891" s="12" t="e">
        <f>ROUND(#REF!*1000000/G1891/H1891,-3)</f>
        <v>#REF!</v>
      </c>
      <c r="J1891" s="137"/>
      <c r="K1891" s="13"/>
    </row>
    <row r="1892" spans="1:11" s="1" customFormat="1" ht="15" customHeight="1">
      <c r="A1892" s="811"/>
      <c r="B1892" s="810"/>
      <c r="C1892" s="7">
        <v>90</v>
      </c>
      <c r="D1892" s="9" t="s">
        <v>1446</v>
      </c>
      <c r="E1892" s="211">
        <v>310000</v>
      </c>
      <c r="F1892" s="80"/>
      <c r="G1892" s="8">
        <v>90</v>
      </c>
      <c r="H1892" s="11">
        <f t="shared" si="289"/>
        <v>0.85970800000000003</v>
      </c>
      <c r="I1892" s="12" t="e">
        <f>ROUND(#REF!*1000000/G1892/H1892,-3)</f>
        <v>#REF!</v>
      </c>
      <c r="J1892" s="137"/>
      <c r="K1892" s="13"/>
    </row>
    <row r="1893" spans="1:11" s="1" customFormat="1" ht="15" customHeight="1">
      <c r="A1893" s="811"/>
      <c r="B1893" s="810"/>
      <c r="C1893" s="7">
        <v>100</v>
      </c>
      <c r="D1893" s="9" t="s">
        <v>1446</v>
      </c>
      <c r="E1893" s="211">
        <v>345000</v>
      </c>
      <c r="F1893" s="80"/>
      <c r="G1893" s="8">
        <v>100</v>
      </c>
      <c r="H1893" s="11">
        <f t="shared" si="289"/>
        <v>0.85970800000000003</v>
      </c>
      <c r="I1893" s="12" t="e">
        <f>ROUND(#REF!*1000000/G1893/H1893,-3)</f>
        <v>#REF!</v>
      </c>
      <c r="J1893" s="137"/>
      <c r="K1893" s="13"/>
    </row>
    <row r="1894" spans="1:11" s="1" customFormat="1" ht="15" customHeight="1">
      <c r="A1894" s="811"/>
      <c r="B1894" s="810"/>
      <c r="C1894" s="7">
        <v>110</v>
      </c>
      <c r="D1894" s="9" t="s">
        <v>1446</v>
      </c>
      <c r="E1894" s="211">
        <v>380000</v>
      </c>
      <c r="F1894" s="80"/>
      <c r="G1894" s="8">
        <v>110</v>
      </c>
      <c r="H1894" s="11">
        <f t="shared" si="289"/>
        <v>0.85970800000000003</v>
      </c>
      <c r="I1894" s="12" t="e">
        <f>ROUND(#REF!*1000000/G1894/H1894,-3)</f>
        <v>#REF!</v>
      </c>
      <c r="J1894" s="137"/>
      <c r="K1894" s="13"/>
    </row>
    <row r="1895" spans="1:11" s="1" customFormat="1" ht="15" customHeight="1">
      <c r="A1895" s="811"/>
      <c r="B1895" s="810"/>
      <c r="C1895" s="7">
        <v>130</v>
      </c>
      <c r="D1895" s="9" t="s">
        <v>1446</v>
      </c>
      <c r="E1895" s="211">
        <v>450000</v>
      </c>
      <c r="F1895" s="80"/>
      <c r="G1895" s="8">
        <v>130</v>
      </c>
      <c r="H1895" s="11">
        <f t="shared" si="289"/>
        <v>0.85970800000000003</v>
      </c>
      <c r="I1895" s="12" t="e">
        <f>ROUND(#REF!*1000000/G1895/H1895,-3)</f>
        <v>#REF!</v>
      </c>
      <c r="J1895" s="137"/>
      <c r="K1895" s="13"/>
    </row>
    <row r="1896" spans="1:11" s="1" customFormat="1" ht="15" customHeight="1">
      <c r="A1896" s="811"/>
      <c r="B1896" s="810"/>
      <c r="C1896" s="7">
        <v>150</v>
      </c>
      <c r="D1896" s="9" t="s">
        <v>1446</v>
      </c>
      <c r="E1896" s="211">
        <v>520000</v>
      </c>
      <c r="F1896" s="80"/>
      <c r="G1896" s="8">
        <v>150</v>
      </c>
      <c r="H1896" s="11">
        <f t="shared" si="289"/>
        <v>0.85970800000000003</v>
      </c>
      <c r="I1896" s="12" t="e">
        <f>ROUND(#REF!*1000000/G1896/H1896,-3)</f>
        <v>#REF!</v>
      </c>
      <c r="J1896" s="137"/>
      <c r="K1896" s="13"/>
    </row>
    <row r="1897" spans="1:11" s="1" customFormat="1" ht="15" customHeight="1">
      <c r="A1897" s="811"/>
      <c r="B1897" s="810"/>
      <c r="C1897" s="7">
        <v>170</v>
      </c>
      <c r="D1897" s="9" t="s">
        <v>1446</v>
      </c>
      <c r="E1897" s="211">
        <v>590000</v>
      </c>
      <c r="F1897" s="80"/>
      <c r="G1897" s="8">
        <v>170</v>
      </c>
      <c r="H1897" s="11">
        <f t="shared" si="289"/>
        <v>0.85970800000000003</v>
      </c>
      <c r="I1897" s="12" t="e">
        <f>ROUND(#REF!*1000000/G1897/H1897,-3)</f>
        <v>#REF!</v>
      </c>
      <c r="J1897" s="137"/>
      <c r="K1897" s="13"/>
    </row>
    <row r="1898" spans="1:11" s="1" customFormat="1" ht="15" customHeight="1">
      <c r="A1898" s="811"/>
      <c r="B1898" s="810"/>
      <c r="C1898" s="7">
        <v>200</v>
      </c>
      <c r="D1898" s="9" t="s">
        <v>1446</v>
      </c>
      <c r="E1898" s="211">
        <v>745000</v>
      </c>
      <c r="F1898" s="80"/>
      <c r="G1898" s="8">
        <v>200</v>
      </c>
      <c r="H1898" s="11">
        <f t="shared" si="289"/>
        <v>0.85970800000000003</v>
      </c>
      <c r="I1898" s="12" t="e">
        <f>ROUND(#REF!*1000000/G1898/H1898,-3)</f>
        <v>#REF!</v>
      </c>
      <c r="J1898" s="137"/>
      <c r="K1898" s="13"/>
    </row>
    <row r="1899" spans="1:11" s="1" customFormat="1" ht="15" customHeight="1">
      <c r="A1899" s="811"/>
      <c r="B1899" s="810"/>
      <c r="C1899" s="7">
        <v>220</v>
      </c>
      <c r="D1899" s="9" t="s">
        <v>1446</v>
      </c>
      <c r="E1899" s="211">
        <v>835000</v>
      </c>
      <c r="G1899" s="8">
        <v>220</v>
      </c>
      <c r="H1899" s="11">
        <f t="shared" si="289"/>
        <v>0.85970800000000003</v>
      </c>
      <c r="I1899" s="12" t="e">
        <f>ROUND(#REF!*1000000/G1899/H1899,-3)</f>
        <v>#REF!</v>
      </c>
      <c r="J1899" s="137"/>
      <c r="K1899" s="13"/>
    </row>
    <row r="1900" spans="1:11" ht="15" customHeight="1">
      <c r="A1900" s="7" t="s">
        <v>1447</v>
      </c>
      <c r="B1900" s="7" t="s">
        <v>1448</v>
      </c>
      <c r="C1900" s="33">
        <v>120</v>
      </c>
      <c r="D1900" s="21" t="s">
        <v>1449</v>
      </c>
      <c r="E1900" s="25">
        <v>355000</v>
      </c>
      <c r="G1900" s="8">
        <v>120</v>
      </c>
      <c r="H1900" s="11">
        <f t="shared" ref="H1900" si="290">0.9*1.2</f>
        <v>1.08</v>
      </c>
      <c r="I1900" s="12" t="e">
        <f>ROUND(#REF!*1000000/G1900/H1900,-3)</f>
        <v>#REF!</v>
      </c>
      <c r="J1900" s="137"/>
      <c r="K1900" s="13"/>
    </row>
    <row r="1901" spans="1:11" ht="15" customHeight="1">
      <c r="A1901" s="7" t="s">
        <v>1450</v>
      </c>
      <c r="B1901" s="7" t="s">
        <v>343</v>
      </c>
      <c r="C1901" s="33">
        <v>233</v>
      </c>
      <c r="D1901" s="21" t="s">
        <v>1451</v>
      </c>
      <c r="E1901" s="25">
        <v>2550000</v>
      </c>
      <c r="G1901" s="8">
        <v>233</v>
      </c>
      <c r="H1901" s="11">
        <f t="shared" ref="H1901" si="291">0.788*1.091</f>
        <v>0.85970800000000003</v>
      </c>
      <c r="I1901" s="12" t="e">
        <f>ROUND(#REF!*1000000/G1901/H1901,-3)</f>
        <v>#REF!</v>
      </c>
      <c r="J1901" s="137"/>
      <c r="K1901" s="13"/>
    </row>
    <row r="1902" spans="1:11" ht="15" customHeight="1">
      <c r="A1902" s="811" t="s">
        <v>1452</v>
      </c>
      <c r="B1902" s="810" t="s">
        <v>724</v>
      </c>
      <c r="C1902" s="33">
        <v>120</v>
      </c>
      <c r="D1902" s="21" t="s">
        <v>1453</v>
      </c>
      <c r="E1902" s="25">
        <v>535000</v>
      </c>
      <c r="G1902" s="8">
        <v>120</v>
      </c>
      <c r="H1902" s="11">
        <f t="shared" ref="H1902:H1907" si="292">0.72*1.02</f>
        <v>0.73439999999999994</v>
      </c>
      <c r="I1902" s="12" t="e">
        <f>ROUND(#REF!*1000000/G1902/H1902,-3)</f>
        <v>#REF!</v>
      </c>
      <c r="J1902" s="137"/>
      <c r="K1902" s="13"/>
    </row>
    <row r="1903" spans="1:11" ht="15" customHeight="1">
      <c r="A1903" s="811"/>
      <c r="B1903" s="810"/>
      <c r="C1903" s="33">
        <f t="shared" ref="C1903:C1904" si="293">C1902</f>
        <v>120</v>
      </c>
      <c r="D1903" s="21" t="s">
        <v>1454</v>
      </c>
      <c r="E1903" s="25">
        <v>555000</v>
      </c>
      <c r="G1903" s="8">
        <v>120</v>
      </c>
      <c r="H1903" s="11">
        <f t="shared" si="292"/>
        <v>0.73439999999999994</v>
      </c>
      <c r="I1903" s="12" t="e">
        <f>ROUND(#REF!*1000000/G1903/H1903,-3)</f>
        <v>#REF!</v>
      </c>
      <c r="J1903" s="137"/>
      <c r="K1903" s="13"/>
    </row>
    <row r="1904" spans="1:11" ht="15" customHeight="1">
      <c r="A1904" s="811"/>
      <c r="B1904" s="810"/>
      <c r="C1904" s="33">
        <f t="shared" si="293"/>
        <v>120</v>
      </c>
      <c r="D1904" s="21" t="s">
        <v>1455</v>
      </c>
      <c r="E1904" s="25">
        <v>595000</v>
      </c>
      <c r="G1904" s="8">
        <v>120</v>
      </c>
      <c r="H1904" s="11">
        <f t="shared" si="292"/>
        <v>0.73439999999999994</v>
      </c>
      <c r="I1904" s="12" t="e">
        <f>ROUND(#REF!*1000000/G1904/H1904,-3)</f>
        <v>#REF!</v>
      </c>
      <c r="J1904" s="137"/>
      <c r="K1904" s="13"/>
    </row>
    <row r="1905" spans="1:11" ht="15" customHeight="1">
      <c r="A1905" s="811"/>
      <c r="B1905" s="810"/>
      <c r="C1905" s="33">
        <v>300</v>
      </c>
      <c r="D1905" s="21" t="s">
        <v>1456</v>
      </c>
      <c r="E1905" s="25">
        <v>1340000</v>
      </c>
      <c r="G1905" s="8">
        <v>300</v>
      </c>
      <c r="H1905" s="11">
        <f t="shared" si="292"/>
        <v>0.73439999999999994</v>
      </c>
      <c r="I1905" s="12" t="e">
        <f>ROUND(#REF!*1000000/G1905/H1905,-3)</f>
        <v>#REF!</v>
      </c>
      <c r="J1905" s="137"/>
      <c r="K1905" s="13"/>
    </row>
    <row r="1906" spans="1:11" ht="15" customHeight="1">
      <c r="A1906" s="811"/>
      <c r="B1906" s="810"/>
      <c r="C1906" s="33">
        <f t="shared" ref="C1906:C1907" si="294">C1905</f>
        <v>300</v>
      </c>
      <c r="D1906" s="21" t="s">
        <v>1457</v>
      </c>
      <c r="E1906" s="25">
        <v>1390000</v>
      </c>
      <c r="G1906" s="8">
        <v>300</v>
      </c>
      <c r="H1906" s="11">
        <f t="shared" si="292"/>
        <v>0.73439999999999994</v>
      </c>
      <c r="I1906" s="12" t="e">
        <f>ROUND(#REF!*1000000/G1906/H1906,-3)</f>
        <v>#REF!</v>
      </c>
      <c r="J1906" s="137"/>
      <c r="K1906" s="13"/>
    </row>
    <row r="1907" spans="1:11" ht="15" customHeight="1">
      <c r="A1907" s="811"/>
      <c r="B1907" s="810"/>
      <c r="C1907" s="33">
        <f t="shared" si="294"/>
        <v>300</v>
      </c>
      <c r="D1907" s="21" t="s">
        <v>1458</v>
      </c>
      <c r="E1907" s="25">
        <v>1490000</v>
      </c>
      <c r="G1907" s="8">
        <v>300</v>
      </c>
      <c r="H1907" s="11">
        <f t="shared" si="292"/>
        <v>0.73439999999999994</v>
      </c>
      <c r="I1907" s="12" t="e">
        <f>ROUND(#REF!*1000000/G1907/H1907,-3)</f>
        <v>#REF!</v>
      </c>
      <c r="J1907" s="137"/>
      <c r="K1907" s="13"/>
    </row>
    <row r="1908" spans="1:11" ht="15" customHeight="1">
      <c r="A1908" s="819" t="s">
        <v>1459</v>
      </c>
      <c r="B1908" s="815" t="s">
        <v>213</v>
      </c>
      <c r="C1908" s="72">
        <v>120</v>
      </c>
      <c r="D1908" s="21" t="s">
        <v>1460</v>
      </c>
      <c r="E1908" s="25">
        <v>640000</v>
      </c>
      <c r="G1908" s="70">
        <v>120</v>
      </c>
      <c r="H1908" s="11">
        <f t="shared" ref="H1908:H1912" si="295">0.788*1.091</f>
        <v>0.85970800000000003</v>
      </c>
      <c r="I1908" s="12" t="e">
        <f>ROUND(#REF!*1000000/G1908/H1908,-3)</f>
        <v>#REF!</v>
      </c>
      <c r="J1908" s="137"/>
      <c r="K1908" s="13"/>
    </row>
    <row r="1909" spans="1:11" ht="15" customHeight="1">
      <c r="A1909" s="820"/>
      <c r="B1909" s="815"/>
      <c r="C1909" s="218">
        <f>C1908</f>
        <v>120</v>
      </c>
      <c r="D1909" s="21" t="s">
        <v>1461</v>
      </c>
      <c r="E1909" s="25">
        <v>785000</v>
      </c>
      <c r="G1909" s="70">
        <v>120</v>
      </c>
      <c r="H1909" s="11">
        <f t="shared" si="295"/>
        <v>0.85970800000000003</v>
      </c>
      <c r="I1909" s="12" t="e">
        <f>ROUND(#REF!*1000000/G1909/H1909,-3)</f>
        <v>#REF!</v>
      </c>
      <c r="J1909" s="137"/>
      <c r="K1909" s="13"/>
    </row>
    <row r="1910" spans="1:11" ht="15" customHeight="1">
      <c r="A1910" s="820"/>
      <c r="B1910" s="815"/>
      <c r="C1910" s="72">
        <v>300</v>
      </c>
      <c r="D1910" s="21" t="s">
        <v>1462</v>
      </c>
      <c r="E1910" s="25">
        <v>1600000</v>
      </c>
      <c r="G1910" s="70">
        <v>300</v>
      </c>
      <c r="H1910" s="11">
        <f t="shared" si="295"/>
        <v>0.85970800000000003</v>
      </c>
      <c r="I1910" s="12" t="e">
        <f>ROUND(#REF!*1000000/G1910/H1910,-3)</f>
        <v>#REF!</v>
      </c>
      <c r="J1910" s="137"/>
      <c r="K1910" s="13"/>
    </row>
    <row r="1911" spans="1:11" ht="15" customHeight="1">
      <c r="A1911" s="820"/>
      <c r="B1911" s="815"/>
      <c r="C1911" s="218">
        <f t="shared" ref="C1911:C1912" si="296">C1910</f>
        <v>300</v>
      </c>
      <c r="D1911" s="21" t="s">
        <v>1463</v>
      </c>
      <c r="E1911" s="25">
        <v>1970000</v>
      </c>
      <c r="G1911" s="70">
        <v>300</v>
      </c>
      <c r="H1911" s="11">
        <f t="shared" si="295"/>
        <v>0.85970800000000003</v>
      </c>
      <c r="I1911" s="12" t="e">
        <f>ROUND(#REF!*1000000/G1911/H1911,-3)</f>
        <v>#REF!</v>
      </c>
      <c r="J1911" s="137"/>
      <c r="K1911" s="13"/>
    </row>
    <row r="1912" spans="1:11" ht="15" customHeight="1">
      <c r="A1912" s="820"/>
      <c r="B1912" s="815"/>
      <c r="C1912" s="218">
        <f t="shared" si="296"/>
        <v>300</v>
      </c>
      <c r="D1912" s="21" t="s">
        <v>1464</v>
      </c>
      <c r="E1912" s="25">
        <v>2210000</v>
      </c>
      <c r="G1912" s="70">
        <v>300</v>
      </c>
      <c r="H1912" s="11">
        <f t="shared" si="295"/>
        <v>0.85970800000000003</v>
      </c>
      <c r="I1912" s="12" t="e">
        <f>ROUND(#REF!*1000000/G1912/H1912,-3)</f>
        <v>#REF!</v>
      </c>
      <c r="J1912" s="137"/>
      <c r="K1912" s="13"/>
    </row>
    <row r="1913" spans="1:11" ht="15" customHeight="1">
      <c r="A1913" s="820"/>
      <c r="B1913" s="815" t="s">
        <v>644</v>
      </c>
      <c r="C1913" s="72">
        <v>120</v>
      </c>
      <c r="D1913" s="21" t="s">
        <v>1465</v>
      </c>
      <c r="E1913" s="25">
        <v>750000</v>
      </c>
      <c r="G1913" s="70">
        <v>120</v>
      </c>
      <c r="H1913" s="11">
        <v>0.7</v>
      </c>
      <c r="I1913" s="12" t="e">
        <f>ROUND(#REF!*1000000/G1913/H1913,-3)</f>
        <v>#REF!</v>
      </c>
      <c r="J1913" s="137"/>
      <c r="K1913" s="13"/>
    </row>
    <row r="1914" spans="1:11" ht="15" customHeight="1">
      <c r="A1914" s="820"/>
      <c r="B1914" s="815"/>
      <c r="C1914" s="72">
        <v>300</v>
      </c>
      <c r="D1914" s="21" t="s">
        <v>782</v>
      </c>
      <c r="E1914" s="25">
        <v>1530000</v>
      </c>
      <c r="G1914" s="70">
        <v>300</v>
      </c>
      <c r="H1914" s="11">
        <v>0.7</v>
      </c>
      <c r="I1914" s="12" t="e">
        <f>ROUND(#REF!*1000000/G1914/H1914,-3)</f>
        <v>#REF!</v>
      </c>
      <c r="J1914" s="137"/>
      <c r="K1914" s="13"/>
    </row>
    <row r="1915" spans="1:11" ht="15" customHeight="1">
      <c r="A1915" s="820"/>
      <c r="B1915" s="815"/>
      <c r="C1915" s="218">
        <f t="shared" ref="C1915:C1916" si="297">C1914</f>
        <v>300</v>
      </c>
      <c r="D1915" s="21" t="s">
        <v>1466</v>
      </c>
      <c r="E1915" s="25">
        <v>1885000</v>
      </c>
      <c r="G1915" s="70">
        <v>300</v>
      </c>
      <c r="H1915" s="11">
        <v>0.7</v>
      </c>
      <c r="I1915" s="12" t="e">
        <f>ROUND(#REF!*1000000/G1915/H1915,-3)</f>
        <v>#REF!</v>
      </c>
      <c r="J1915" s="137"/>
      <c r="K1915" s="13"/>
    </row>
    <row r="1916" spans="1:11" ht="15" customHeight="1">
      <c r="A1916" s="821"/>
      <c r="B1916" s="815"/>
      <c r="C1916" s="218">
        <f t="shared" si="297"/>
        <v>300</v>
      </c>
      <c r="D1916" s="21" t="s">
        <v>1467</v>
      </c>
      <c r="E1916" s="25">
        <v>2250000</v>
      </c>
      <c r="G1916" s="70">
        <v>300</v>
      </c>
      <c r="H1916" s="11">
        <v>0.7</v>
      </c>
      <c r="I1916" s="12" t="e">
        <f>ROUND(#REF!*1000000/G1916/H1916,-3)</f>
        <v>#REF!</v>
      </c>
      <c r="J1916" s="137"/>
      <c r="K1916" s="13"/>
    </row>
    <row r="1917" spans="1:11" ht="15" customHeight="1">
      <c r="A1917" s="828" t="s">
        <v>1468</v>
      </c>
      <c r="B1917" s="815" t="s">
        <v>1469</v>
      </c>
      <c r="C1917" s="72">
        <v>125</v>
      </c>
      <c r="D1917" s="21"/>
      <c r="E1917" s="25">
        <v>100000</v>
      </c>
      <c r="G1917" s="70">
        <v>125</v>
      </c>
      <c r="H1917" s="11">
        <v>0.8</v>
      </c>
      <c r="I1917" s="12" t="e">
        <f>ROUND(#REF!*1000000/G1917/H1917,-3)</f>
        <v>#REF!</v>
      </c>
      <c r="J1917" s="137"/>
      <c r="K1917" s="13"/>
    </row>
    <row r="1918" spans="1:11" ht="15" customHeight="1">
      <c r="A1918" s="828"/>
      <c r="B1918" s="815"/>
      <c r="C1918" s="72">
        <v>135</v>
      </c>
      <c r="D1918" s="21"/>
      <c r="E1918" s="25">
        <v>107500</v>
      </c>
      <c r="G1918" s="70">
        <v>135</v>
      </c>
      <c r="H1918" s="11">
        <v>0.8</v>
      </c>
      <c r="I1918" s="12" t="e">
        <f>ROUND(#REF!*1000000/G1918/H1918,-3)</f>
        <v>#REF!</v>
      </c>
      <c r="J1918" s="137"/>
      <c r="K1918" s="13"/>
    </row>
    <row r="1919" spans="1:11" ht="15" customHeight="1">
      <c r="A1919" s="828"/>
      <c r="B1919" s="815"/>
      <c r="C1919" s="72">
        <v>200</v>
      </c>
      <c r="D1919" s="21"/>
      <c r="E1919" s="25">
        <v>160000</v>
      </c>
      <c r="G1919" s="70">
        <v>200</v>
      </c>
      <c r="H1919" s="11">
        <v>0.8</v>
      </c>
      <c r="I1919" s="12" t="e">
        <f>ROUND(#REF!*1000000/G1919/H1919,-3)</f>
        <v>#REF!</v>
      </c>
      <c r="J1919" s="137"/>
      <c r="K1919" s="13"/>
    </row>
    <row r="1920" spans="1:11" s="1" customFormat="1" ht="15" customHeight="1">
      <c r="A1920" s="811" t="s">
        <v>1470</v>
      </c>
      <c r="B1920" s="810" t="s">
        <v>347</v>
      </c>
      <c r="C1920" s="7" t="s">
        <v>1471</v>
      </c>
      <c r="D1920" s="9" t="s">
        <v>762</v>
      </c>
      <c r="E1920" s="211">
        <v>900000</v>
      </c>
      <c r="G1920" s="8">
        <v>370</v>
      </c>
      <c r="H1920" s="11">
        <f t="shared" ref="H1920:H1925" si="298">0.636*0.939</f>
        <v>0.59720399999999996</v>
      </c>
      <c r="I1920" s="12" t="e">
        <f>ROUND(#REF!*1000000/G1920/H1920,-3)</f>
        <v>#REF!</v>
      </c>
      <c r="J1920" s="136">
        <v>600</v>
      </c>
      <c r="K1920" s="13"/>
    </row>
    <row r="1921" spans="1:11" ht="15" customHeight="1">
      <c r="A1921" s="811"/>
      <c r="B1921" s="810"/>
      <c r="C1921" s="81" t="s">
        <v>1472</v>
      </c>
      <c r="D1921" s="9" t="s">
        <v>1473</v>
      </c>
      <c r="E1921" s="25">
        <v>1210000</v>
      </c>
      <c r="G1921" s="8">
        <v>490</v>
      </c>
      <c r="H1921" s="11">
        <f t="shared" si="298"/>
        <v>0.59720399999999996</v>
      </c>
      <c r="I1921" s="12" t="e">
        <f>ROUND(#REF!*1000000/G1921/H1921,-3)</f>
        <v>#REF!</v>
      </c>
      <c r="J1921" s="142">
        <v>800</v>
      </c>
      <c r="K1921" s="13"/>
    </row>
    <row r="1922" spans="1:11" ht="15" customHeight="1">
      <c r="A1922" s="811"/>
      <c r="B1922" s="810"/>
      <c r="C1922" s="81" t="s">
        <v>1474</v>
      </c>
      <c r="D1922" s="9" t="s">
        <v>762</v>
      </c>
      <c r="E1922" s="25">
        <v>1480000</v>
      </c>
      <c r="G1922" s="8">
        <v>600</v>
      </c>
      <c r="H1922" s="11">
        <f t="shared" si="298"/>
        <v>0.59720399999999996</v>
      </c>
      <c r="I1922" s="12" t="e">
        <f>ROUND(#REF!*1000000/G1922/H1922,-3)</f>
        <v>#REF!</v>
      </c>
      <c r="J1922" s="142">
        <v>1000</v>
      </c>
      <c r="K1922" s="13"/>
    </row>
    <row r="1923" spans="1:11" ht="15" customHeight="1">
      <c r="A1923" s="811"/>
      <c r="B1923" s="810"/>
      <c r="C1923" s="7" t="s">
        <v>1475</v>
      </c>
      <c r="D1923" s="9" t="s">
        <v>1476</v>
      </c>
      <c r="E1923" s="25">
        <v>1515000</v>
      </c>
      <c r="G1923" s="8">
        <v>365</v>
      </c>
      <c r="H1923" s="11">
        <f t="shared" si="298"/>
        <v>0.59720399999999996</v>
      </c>
      <c r="I1923" s="12" t="e">
        <f>ROUND(#REF!*1000000/G1923/H1923,-3)</f>
        <v>#REF!</v>
      </c>
      <c r="J1923" s="136">
        <v>600</v>
      </c>
      <c r="K1923" s="13"/>
    </row>
    <row r="1924" spans="1:11" ht="15" customHeight="1">
      <c r="A1924" s="811"/>
      <c r="B1924" s="810"/>
      <c r="C1924" s="7">
        <v>490</v>
      </c>
      <c r="D1924" s="9" t="s">
        <v>1476</v>
      </c>
      <c r="E1924" s="25">
        <v>2035000</v>
      </c>
      <c r="G1924" s="8">
        <v>490</v>
      </c>
      <c r="H1924" s="11">
        <f t="shared" si="298"/>
        <v>0.59720399999999996</v>
      </c>
      <c r="I1924" s="12" t="e">
        <f>ROUND(#REF!*1000000/G1924/H1924,-3)</f>
        <v>#REF!</v>
      </c>
      <c r="J1924" s="136">
        <v>800</v>
      </c>
      <c r="K1924" s="13"/>
    </row>
    <row r="1925" spans="1:11" ht="15" customHeight="1">
      <c r="A1925" s="811"/>
      <c r="B1925" s="810"/>
      <c r="C1925" s="7">
        <v>600</v>
      </c>
      <c r="D1925" s="9" t="s">
        <v>1476</v>
      </c>
      <c r="E1925" s="25">
        <v>2495000</v>
      </c>
      <c r="G1925" s="8">
        <v>600</v>
      </c>
      <c r="H1925" s="11">
        <f t="shared" si="298"/>
        <v>0.59720399999999996</v>
      </c>
      <c r="I1925" s="12" t="e">
        <f>ROUND(#REF!*1000000/G1925/H1925,-3)</f>
        <v>#REF!</v>
      </c>
      <c r="J1925" s="136">
        <v>1000</v>
      </c>
      <c r="K1925" s="13"/>
    </row>
    <row r="1926" spans="1:11" ht="15" customHeight="1">
      <c r="A1926" s="811" t="s">
        <v>1477</v>
      </c>
      <c r="B1926" s="810" t="s">
        <v>218</v>
      </c>
      <c r="C1926" s="16">
        <v>111</v>
      </c>
      <c r="D1926" s="29" t="s">
        <v>1478</v>
      </c>
      <c r="E1926" s="25">
        <v>580000</v>
      </c>
      <c r="G1926" s="8">
        <v>111</v>
      </c>
      <c r="H1926" s="11">
        <f t="shared" ref="H1926:H1935" si="299">0.788*1.091</f>
        <v>0.85970800000000003</v>
      </c>
      <c r="I1926" s="12" t="e">
        <f>ROUND(#REF!*1000000/G1926/H1926,-3)</f>
        <v>#REF!</v>
      </c>
      <c r="J1926" s="137"/>
      <c r="K1926" s="13"/>
    </row>
    <row r="1927" spans="1:11" ht="15" customHeight="1">
      <c r="A1927" s="811"/>
      <c r="B1927" s="810"/>
      <c r="C1927" s="16">
        <f t="shared" ref="C1927:C1928" si="300">C1926</f>
        <v>111</v>
      </c>
      <c r="D1927" s="29" t="s">
        <v>1479</v>
      </c>
      <c r="E1927" s="25">
        <v>650000</v>
      </c>
      <c r="G1927" s="8">
        <v>111</v>
      </c>
      <c r="H1927" s="11">
        <f t="shared" si="299"/>
        <v>0.85970800000000003</v>
      </c>
      <c r="I1927" s="12" t="e">
        <f>ROUND(#REF!*1000000/G1927/H1927,-3)</f>
        <v>#REF!</v>
      </c>
      <c r="J1927" s="137"/>
      <c r="K1927" s="13"/>
    </row>
    <row r="1928" spans="1:11" ht="15" customHeight="1">
      <c r="A1928" s="811"/>
      <c r="B1928" s="810"/>
      <c r="C1928" s="16">
        <f t="shared" si="300"/>
        <v>111</v>
      </c>
      <c r="D1928" s="29" t="s">
        <v>1480</v>
      </c>
      <c r="E1928" s="25">
        <v>705000</v>
      </c>
      <c r="G1928" s="8">
        <v>111</v>
      </c>
      <c r="H1928" s="11">
        <f t="shared" si="299"/>
        <v>0.85970800000000003</v>
      </c>
      <c r="I1928" s="12" t="e">
        <f>ROUND(#REF!*1000000/G1928/H1928,-3)</f>
        <v>#REF!</v>
      </c>
      <c r="J1928" s="137"/>
      <c r="K1928" s="13"/>
    </row>
    <row r="1929" spans="1:11" ht="15" customHeight="1">
      <c r="A1929" s="811"/>
      <c r="B1929" s="810"/>
      <c r="C1929" s="16">
        <v>204</v>
      </c>
      <c r="D1929" s="29" t="s">
        <v>1481</v>
      </c>
      <c r="E1929" s="25">
        <v>1070000</v>
      </c>
      <c r="G1929" s="8">
        <v>204</v>
      </c>
      <c r="H1929" s="11">
        <f t="shared" si="299"/>
        <v>0.85970800000000003</v>
      </c>
      <c r="I1929" s="12" t="e">
        <f>ROUND(#REF!*1000000/G1929/H1929,-3)</f>
        <v>#REF!</v>
      </c>
      <c r="J1929" s="137"/>
      <c r="K1929" s="13"/>
    </row>
    <row r="1930" spans="1:11" ht="15" customHeight="1">
      <c r="A1930" s="811"/>
      <c r="B1930" s="810"/>
      <c r="C1930" s="16">
        <f>C1929</f>
        <v>204</v>
      </c>
      <c r="D1930" s="29" t="s">
        <v>1482</v>
      </c>
      <c r="E1930" s="25">
        <v>1300000</v>
      </c>
      <c r="G1930" s="8">
        <v>204</v>
      </c>
      <c r="H1930" s="11">
        <f t="shared" si="299"/>
        <v>0.85970800000000003</v>
      </c>
      <c r="I1930" s="12" t="e">
        <f>ROUND(#REF!*1000000/G1930/H1930,-3)</f>
        <v>#REF!</v>
      </c>
      <c r="J1930" s="137"/>
      <c r="K1930" s="13"/>
    </row>
    <row r="1931" spans="1:11" ht="15" customHeight="1">
      <c r="A1931" s="813" t="s">
        <v>1483</v>
      </c>
      <c r="B1931" s="811" t="s">
        <v>595</v>
      </c>
      <c r="C1931" s="33" t="s">
        <v>2911</v>
      </c>
      <c r="D1931" s="21"/>
      <c r="E1931" s="214">
        <v>220500</v>
      </c>
      <c r="G1931" s="8">
        <v>200</v>
      </c>
      <c r="H1931" s="11">
        <f t="shared" si="299"/>
        <v>0.85970800000000003</v>
      </c>
      <c r="I1931" s="12" t="e">
        <f>ROUND(#REF!*1000000/G1931/H1931,-3)</f>
        <v>#REF!</v>
      </c>
      <c r="J1931" s="137"/>
      <c r="K1931" s="13"/>
    </row>
    <row r="1932" spans="1:11" ht="15" customHeight="1">
      <c r="A1932" s="816"/>
      <c r="B1932" s="811"/>
      <c r="C1932" s="33">
        <v>225</v>
      </c>
      <c r="D1932" s="21"/>
      <c r="E1932" s="214">
        <v>248000</v>
      </c>
      <c r="G1932" s="8">
        <v>225</v>
      </c>
      <c r="H1932" s="11">
        <f t="shared" si="299"/>
        <v>0.85970800000000003</v>
      </c>
      <c r="I1932" s="12" t="e">
        <f>ROUND(#REF!*1000000/G1932/H1932,-3)</f>
        <v>#REF!</v>
      </c>
      <c r="J1932" s="137"/>
      <c r="K1932" s="13"/>
    </row>
    <row r="1933" spans="1:11" ht="15" customHeight="1">
      <c r="A1933" s="816"/>
      <c r="B1933" s="811"/>
      <c r="C1933" s="33">
        <v>275</v>
      </c>
      <c r="D1933" s="21"/>
      <c r="E1933" s="214">
        <v>303000</v>
      </c>
      <c r="G1933" s="8">
        <v>250</v>
      </c>
      <c r="H1933" s="11">
        <f t="shared" si="299"/>
        <v>0.85970800000000003</v>
      </c>
      <c r="I1933" s="12" t="e">
        <f>ROUND(#REF!*1000000/G1933/H1933,-3)</f>
        <v>#REF!</v>
      </c>
      <c r="J1933" s="137"/>
      <c r="K1933" s="13"/>
    </row>
    <row r="1934" spans="1:11" ht="15" customHeight="1">
      <c r="A1934" s="816"/>
      <c r="B1934" s="811"/>
      <c r="C1934" s="33">
        <v>300</v>
      </c>
      <c r="D1934" s="21"/>
      <c r="E1934" s="214">
        <v>330500</v>
      </c>
      <c r="G1934" s="8">
        <v>275</v>
      </c>
      <c r="H1934" s="11">
        <f t="shared" si="299"/>
        <v>0.85970800000000003</v>
      </c>
      <c r="I1934" s="12" t="e">
        <f>ROUND(#REF!*1000000/G1934/H1934,-3)</f>
        <v>#REF!</v>
      </c>
      <c r="J1934" s="137"/>
      <c r="K1934" s="13"/>
    </row>
    <row r="1935" spans="1:11" ht="15" customHeight="1">
      <c r="A1935" s="816"/>
      <c r="B1935" s="15" t="s">
        <v>1484</v>
      </c>
      <c r="C1935" s="20">
        <v>125</v>
      </c>
      <c r="D1935" s="21" t="s">
        <v>1485</v>
      </c>
      <c r="E1935" s="214">
        <v>155000</v>
      </c>
      <c r="G1935" s="8">
        <v>300</v>
      </c>
      <c r="H1935" s="11">
        <f t="shared" si="299"/>
        <v>0.85970800000000003</v>
      </c>
      <c r="I1935" s="12" t="e">
        <f>ROUND(#REF!*1000000/G1935/H1935,-3)</f>
        <v>#REF!</v>
      </c>
      <c r="J1935" s="137"/>
      <c r="K1935" s="13"/>
    </row>
    <row r="1936" spans="1:11" ht="15" customHeight="1">
      <c r="A1936" s="816"/>
      <c r="B1936" s="15" t="s">
        <v>595</v>
      </c>
      <c r="C1936" s="20">
        <v>170</v>
      </c>
      <c r="D1936" s="21" t="s">
        <v>1485</v>
      </c>
      <c r="E1936" s="214">
        <v>167500</v>
      </c>
      <c r="G1936" s="8">
        <v>125</v>
      </c>
      <c r="H1936" s="11">
        <f>1.2*0.9</f>
        <v>1.08</v>
      </c>
      <c r="I1936" s="12" t="e">
        <f>ROUND(#REF!*1000000/G1936/H1936,-3)</f>
        <v>#REF!</v>
      </c>
      <c r="J1936" s="137"/>
      <c r="K1936" s="13"/>
    </row>
    <row r="1937" spans="1:11" ht="15" customHeight="1">
      <c r="A1937" s="816"/>
      <c r="B1937" s="15" t="s">
        <v>1486</v>
      </c>
      <c r="C1937" s="20">
        <v>250</v>
      </c>
      <c r="D1937" s="21" t="s">
        <v>1485</v>
      </c>
      <c r="E1937" s="214">
        <v>252500</v>
      </c>
      <c r="G1937" s="8">
        <v>170</v>
      </c>
      <c r="H1937" s="11">
        <f>0.788*1.091</f>
        <v>0.85970800000000003</v>
      </c>
      <c r="I1937" s="12" t="e">
        <f>ROUND(#REF!*1000000/G1937/H1937,-3)</f>
        <v>#REF!</v>
      </c>
      <c r="J1937" s="137"/>
      <c r="K1937" s="13"/>
    </row>
    <row r="1938" spans="1:11" ht="15" customHeight="1">
      <c r="A1938" s="817"/>
      <c r="B1938" s="15" t="s">
        <v>595</v>
      </c>
      <c r="C1938" s="20">
        <v>150</v>
      </c>
      <c r="D1938" s="21" t="s">
        <v>1487</v>
      </c>
      <c r="E1938" s="214">
        <v>152500</v>
      </c>
      <c r="G1938" s="8">
        <v>150</v>
      </c>
      <c r="H1938" s="11">
        <f>0.788*1.091</f>
        <v>0.85970800000000003</v>
      </c>
      <c r="I1938" s="12" t="e">
        <f>ROUND(#REF!*1000000/G1938/H1938,-3)</f>
        <v>#REF!</v>
      </c>
      <c r="J1938" s="137"/>
      <c r="K1938" s="13"/>
    </row>
    <row r="1939" spans="1:11" ht="15" customHeight="1">
      <c r="A1939" s="811" t="s">
        <v>1488</v>
      </c>
      <c r="B1939" s="810" t="s">
        <v>1360</v>
      </c>
      <c r="C1939" s="33">
        <v>100</v>
      </c>
      <c r="D1939" s="21"/>
      <c r="E1939" s="25">
        <v>87500</v>
      </c>
      <c r="G1939" s="8">
        <v>100</v>
      </c>
      <c r="H1939" s="11">
        <v>0.88</v>
      </c>
      <c r="I1939" s="12" t="e">
        <f>ROUND(#REF!*1000000/G1939/H1939,-3)</f>
        <v>#REF!</v>
      </c>
      <c r="J1939" s="137"/>
      <c r="K1939" s="13"/>
    </row>
    <row r="1940" spans="1:11" ht="15" customHeight="1">
      <c r="A1940" s="811"/>
      <c r="B1940" s="810"/>
      <c r="C1940" s="33">
        <v>150</v>
      </c>
      <c r="D1940" s="21"/>
      <c r="E1940" s="25">
        <v>145000</v>
      </c>
      <c r="G1940" s="8">
        <v>150</v>
      </c>
      <c r="H1940" s="11">
        <v>0.88</v>
      </c>
      <c r="I1940" s="12" t="e">
        <f>ROUND(#REF!*1000000/G1940/H1940,-3)</f>
        <v>#REF!</v>
      </c>
      <c r="J1940" s="137"/>
      <c r="K1940" s="13"/>
    </row>
    <row r="1941" spans="1:11" ht="15" customHeight="1">
      <c r="A1941" s="825" t="s">
        <v>1489</v>
      </c>
      <c r="B1941" s="815" t="s">
        <v>213</v>
      </c>
      <c r="C1941" s="69">
        <v>120</v>
      </c>
      <c r="D1941" s="9" t="s">
        <v>1490</v>
      </c>
      <c r="E1941" s="148">
        <v>355000</v>
      </c>
      <c r="G1941" s="70">
        <v>120</v>
      </c>
      <c r="H1941" s="11">
        <f t="shared" ref="H1941:H1953" si="301">0.788*1.091</f>
        <v>0.85970800000000003</v>
      </c>
      <c r="I1941" s="12" t="e">
        <f>ROUND(#REF!*1000000/G1941/H1941,-3)</f>
        <v>#REF!</v>
      </c>
      <c r="J1941" s="137"/>
      <c r="K1941" s="13"/>
    </row>
    <row r="1942" spans="1:11" ht="15" customHeight="1">
      <c r="A1942" s="826"/>
      <c r="B1942" s="815"/>
      <c r="C1942" s="219">
        <f t="shared" ref="C1942:C1944" si="302">C1941</f>
        <v>120</v>
      </c>
      <c r="D1942" s="9" t="s">
        <v>1491</v>
      </c>
      <c r="E1942" s="148">
        <v>440000</v>
      </c>
      <c r="G1942" s="70">
        <v>120</v>
      </c>
      <c r="H1942" s="11">
        <f t="shared" si="301"/>
        <v>0.85970800000000003</v>
      </c>
      <c r="I1942" s="12" t="e">
        <f>ROUND(#REF!*1000000/G1942/H1942,-3)</f>
        <v>#REF!</v>
      </c>
      <c r="J1942" s="137"/>
      <c r="K1942" s="13"/>
    </row>
    <row r="1943" spans="1:11" ht="15" customHeight="1">
      <c r="A1943" s="826"/>
      <c r="B1943" s="815"/>
      <c r="C1943" s="219">
        <f t="shared" si="302"/>
        <v>120</v>
      </c>
      <c r="D1943" s="9" t="s">
        <v>1492</v>
      </c>
      <c r="E1943" s="148">
        <v>565000</v>
      </c>
      <c r="G1943" s="70">
        <v>120</v>
      </c>
      <c r="H1943" s="11">
        <f t="shared" si="301"/>
        <v>0.85970800000000003</v>
      </c>
      <c r="I1943" s="12" t="e">
        <f>ROUND(#REF!*1000000/G1943/H1943,-3)</f>
        <v>#REF!</v>
      </c>
      <c r="J1943" s="137"/>
      <c r="K1943" s="13"/>
    </row>
    <row r="1944" spans="1:11" ht="15" customHeight="1">
      <c r="A1944" s="826"/>
      <c r="B1944" s="815"/>
      <c r="C1944" s="220">
        <f t="shared" si="302"/>
        <v>120</v>
      </c>
      <c r="D1944" s="29" t="s">
        <v>1493</v>
      </c>
      <c r="E1944" s="148">
        <v>580000</v>
      </c>
      <c r="G1944" s="70">
        <v>120</v>
      </c>
      <c r="H1944" s="11">
        <f t="shared" si="301"/>
        <v>0.85970800000000003</v>
      </c>
      <c r="I1944" s="12" t="e">
        <f>ROUND(#REF!*1000000/G1944/H1944,-3)</f>
        <v>#REF!</v>
      </c>
      <c r="J1944" s="137"/>
      <c r="K1944" s="13"/>
    </row>
    <row r="1945" spans="1:11" ht="15" customHeight="1">
      <c r="A1945" s="826"/>
      <c r="B1945" s="815"/>
      <c r="C1945" s="69">
        <v>200</v>
      </c>
      <c r="D1945" s="9" t="s">
        <v>975</v>
      </c>
      <c r="E1945" s="148">
        <v>590000</v>
      </c>
      <c r="G1945" s="70">
        <v>200</v>
      </c>
      <c r="H1945" s="11">
        <f t="shared" si="301"/>
        <v>0.85970800000000003</v>
      </c>
      <c r="I1945" s="12" t="e">
        <f>ROUND(#REF!*1000000/G1945/H1945,-3)</f>
        <v>#REF!</v>
      </c>
      <c r="J1945" s="137"/>
      <c r="K1945" s="13"/>
    </row>
    <row r="1946" spans="1:11" ht="15" customHeight="1">
      <c r="A1946" s="826"/>
      <c r="B1946" s="815"/>
      <c r="C1946" s="69">
        <v>250</v>
      </c>
      <c r="D1946" s="9" t="s">
        <v>1494</v>
      </c>
      <c r="E1946" s="148">
        <v>735000</v>
      </c>
      <c r="G1946" s="70">
        <v>250</v>
      </c>
      <c r="H1946" s="11">
        <f t="shared" si="301"/>
        <v>0.85970800000000003</v>
      </c>
      <c r="I1946" s="12" t="e">
        <f>ROUND(#REF!*1000000/G1946/H1946,-3)</f>
        <v>#REF!</v>
      </c>
      <c r="J1946" s="137"/>
      <c r="K1946" s="13"/>
    </row>
    <row r="1947" spans="1:11" ht="15" customHeight="1">
      <c r="A1947" s="826"/>
      <c r="B1947" s="815"/>
      <c r="C1947" s="219">
        <f t="shared" ref="C1947:C1949" si="303">C1946</f>
        <v>250</v>
      </c>
      <c r="D1947" s="9" t="s">
        <v>1495</v>
      </c>
      <c r="E1947" s="148">
        <v>915000</v>
      </c>
      <c r="G1947" s="70">
        <v>250</v>
      </c>
      <c r="H1947" s="11">
        <f t="shared" si="301"/>
        <v>0.85970800000000003</v>
      </c>
      <c r="I1947" s="12" t="e">
        <f>ROUND(#REF!*1000000/G1947/H1947,-3)</f>
        <v>#REF!</v>
      </c>
      <c r="J1947" s="137"/>
      <c r="K1947" s="13"/>
    </row>
    <row r="1948" spans="1:11" ht="15" customHeight="1">
      <c r="A1948" s="826"/>
      <c r="B1948" s="815"/>
      <c r="C1948" s="219">
        <f t="shared" si="303"/>
        <v>250</v>
      </c>
      <c r="D1948" s="9" t="s">
        <v>1496</v>
      </c>
      <c r="E1948" s="148">
        <v>1180000</v>
      </c>
      <c r="G1948" s="70">
        <v>250</v>
      </c>
      <c r="H1948" s="11">
        <f t="shared" si="301"/>
        <v>0.85970800000000003</v>
      </c>
      <c r="I1948" s="12" t="e">
        <f>ROUND(#REF!*1000000/G1948/H1948,-3)</f>
        <v>#REF!</v>
      </c>
      <c r="J1948" s="137"/>
      <c r="K1948" s="13"/>
    </row>
    <row r="1949" spans="1:11" ht="15" customHeight="1">
      <c r="A1949" s="826"/>
      <c r="B1949" s="815"/>
      <c r="C1949" s="220">
        <f t="shared" si="303"/>
        <v>250</v>
      </c>
      <c r="D1949" s="29" t="s">
        <v>1497</v>
      </c>
      <c r="E1949" s="148">
        <v>1210000</v>
      </c>
      <c r="G1949" s="70">
        <v>250</v>
      </c>
      <c r="H1949" s="11">
        <f t="shared" si="301"/>
        <v>0.85970800000000003</v>
      </c>
      <c r="I1949" s="12" t="e">
        <f>ROUND(#REF!*1000000/G1949/H1949,-3)</f>
        <v>#REF!</v>
      </c>
      <c r="J1949" s="137"/>
      <c r="K1949" s="13"/>
    </row>
    <row r="1950" spans="1:11" ht="15" customHeight="1">
      <c r="A1950" s="826"/>
      <c r="B1950" s="815"/>
      <c r="C1950" s="69">
        <v>350</v>
      </c>
      <c r="D1950" s="9" t="s">
        <v>1498</v>
      </c>
      <c r="E1950" s="148">
        <v>1030000</v>
      </c>
      <c r="G1950" s="70">
        <v>350</v>
      </c>
      <c r="H1950" s="11">
        <f t="shared" si="301"/>
        <v>0.85970800000000003</v>
      </c>
      <c r="I1950" s="12" t="e">
        <f>ROUND(#REF!*1000000/G1950/H1950,-3)</f>
        <v>#REF!</v>
      </c>
      <c r="J1950" s="137"/>
      <c r="K1950" s="13"/>
    </row>
    <row r="1951" spans="1:11" ht="15" customHeight="1">
      <c r="A1951" s="826"/>
      <c r="B1951" s="815"/>
      <c r="C1951" s="219">
        <f t="shared" ref="C1951:C1953" si="304">C1950</f>
        <v>350</v>
      </c>
      <c r="D1951" s="9" t="s">
        <v>1499</v>
      </c>
      <c r="E1951" s="148">
        <v>1285000</v>
      </c>
      <c r="G1951" s="70">
        <v>350</v>
      </c>
      <c r="H1951" s="11">
        <f t="shared" si="301"/>
        <v>0.85970800000000003</v>
      </c>
      <c r="I1951" s="12" t="e">
        <f>ROUND(#REF!*1000000/G1951/H1951,-3)</f>
        <v>#REF!</v>
      </c>
      <c r="J1951" s="137"/>
      <c r="K1951" s="13"/>
    </row>
    <row r="1952" spans="1:11" ht="15" customHeight="1">
      <c r="A1952" s="826"/>
      <c r="B1952" s="815"/>
      <c r="C1952" s="219">
        <f t="shared" si="304"/>
        <v>350</v>
      </c>
      <c r="D1952" s="9" t="s">
        <v>1500</v>
      </c>
      <c r="E1952" s="148">
        <v>1650000</v>
      </c>
      <c r="G1952" s="70">
        <v>350</v>
      </c>
      <c r="H1952" s="11">
        <f t="shared" si="301"/>
        <v>0.85970800000000003</v>
      </c>
      <c r="I1952" s="12" t="e">
        <f>ROUND(#REF!*1000000/G1952/H1952,-3)</f>
        <v>#REF!</v>
      </c>
      <c r="J1952" s="137"/>
      <c r="K1952" s="13"/>
    </row>
    <row r="1953" spans="1:11" ht="15" customHeight="1">
      <c r="A1953" s="826"/>
      <c r="B1953" s="815"/>
      <c r="C1953" s="220">
        <f t="shared" si="304"/>
        <v>350</v>
      </c>
      <c r="D1953" s="29" t="s">
        <v>1501</v>
      </c>
      <c r="E1953" s="148">
        <v>1695000</v>
      </c>
      <c r="G1953" s="70">
        <v>350</v>
      </c>
      <c r="H1953" s="11">
        <f t="shared" si="301"/>
        <v>0.85970800000000003</v>
      </c>
      <c r="I1953" s="12" t="e">
        <f>ROUND(#REF!*1000000/G1953/H1953,-3)</f>
        <v>#REF!</v>
      </c>
      <c r="J1953" s="137"/>
      <c r="K1953" s="13"/>
    </row>
    <row r="1954" spans="1:11" ht="15" customHeight="1">
      <c r="A1954" s="826"/>
      <c r="B1954" s="815" t="s">
        <v>1502</v>
      </c>
      <c r="C1954" s="72">
        <v>120</v>
      </c>
      <c r="D1954" s="21" t="s">
        <v>779</v>
      </c>
      <c r="E1954" s="214">
        <v>257500</v>
      </c>
      <c r="G1954" s="70">
        <v>120</v>
      </c>
      <c r="H1954" s="11">
        <f t="shared" ref="H1954:H1961" si="305">0.72*1.02</f>
        <v>0.73439999999999994</v>
      </c>
      <c r="I1954" s="12" t="e">
        <f>ROUND(#REF!*1000000/G1954/H1954,-3)</f>
        <v>#REF!</v>
      </c>
      <c r="J1954" s="137"/>
      <c r="K1954" s="13"/>
    </row>
    <row r="1955" spans="1:11" ht="15" customHeight="1">
      <c r="A1955" s="826"/>
      <c r="B1955" s="815"/>
      <c r="C1955" s="218">
        <f t="shared" ref="C1955:C1957" si="306">C1954</f>
        <v>120</v>
      </c>
      <c r="D1955" s="21" t="s">
        <v>1503</v>
      </c>
      <c r="E1955" s="214">
        <v>317500</v>
      </c>
      <c r="G1955" s="70">
        <v>120</v>
      </c>
      <c r="H1955" s="11">
        <f t="shared" si="305"/>
        <v>0.73439999999999994</v>
      </c>
      <c r="I1955" s="12" t="e">
        <f>ROUND(#REF!*1000000/G1955/H1955,-3)</f>
        <v>#REF!</v>
      </c>
      <c r="J1955" s="137"/>
      <c r="K1955" s="13"/>
    </row>
    <row r="1956" spans="1:11" ht="15" customHeight="1">
      <c r="A1956" s="826"/>
      <c r="B1956" s="815"/>
      <c r="C1956" s="218">
        <f t="shared" si="306"/>
        <v>120</v>
      </c>
      <c r="D1956" s="21" t="s">
        <v>1492</v>
      </c>
      <c r="E1956" s="214">
        <v>407500</v>
      </c>
      <c r="G1956" s="70">
        <v>120</v>
      </c>
      <c r="H1956" s="11">
        <f t="shared" si="305"/>
        <v>0.73439999999999994</v>
      </c>
      <c r="I1956" s="12" t="e">
        <f>ROUND(#REF!*1000000/G1956/H1956,-3)</f>
        <v>#REF!</v>
      </c>
      <c r="J1956" s="137"/>
      <c r="K1956" s="13"/>
    </row>
    <row r="1957" spans="1:11" ht="15" customHeight="1">
      <c r="A1957" s="826"/>
      <c r="B1957" s="815"/>
      <c r="C1957" s="218">
        <f t="shared" si="306"/>
        <v>120</v>
      </c>
      <c r="D1957" s="21" t="s">
        <v>1493</v>
      </c>
      <c r="E1957" s="214">
        <v>420000</v>
      </c>
      <c r="G1957" s="70">
        <v>120</v>
      </c>
      <c r="H1957" s="11">
        <f t="shared" si="305"/>
        <v>0.73439999999999994</v>
      </c>
      <c r="I1957" s="12" t="e">
        <f>ROUND(#REF!*1000000/G1957/H1957,-3)</f>
        <v>#REF!</v>
      </c>
      <c r="J1957" s="137"/>
      <c r="K1957" s="13"/>
    </row>
    <row r="1958" spans="1:11" ht="15" customHeight="1">
      <c r="A1958" s="826"/>
      <c r="B1958" s="815"/>
      <c r="C1958" s="72">
        <v>250</v>
      </c>
      <c r="D1958" s="21" t="s">
        <v>1504</v>
      </c>
      <c r="E1958" s="214">
        <v>852500</v>
      </c>
      <c r="G1958" s="70">
        <v>250</v>
      </c>
      <c r="H1958" s="11">
        <f t="shared" si="305"/>
        <v>0.73439999999999994</v>
      </c>
      <c r="I1958" s="12" t="e">
        <f>ROUND(#REF!*1000000/G1958/H1958,-3)</f>
        <v>#REF!</v>
      </c>
      <c r="J1958" s="137"/>
      <c r="K1958" s="13"/>
    </row>
    <row r="1959" spans="1:11" ht="15" customHeight="1">
      <c r="A1959" s="826"/>
      <c r="B1959" s="815"/>
      <c r="C1959" s="72">
        <v>350</v>
      </c>
      <c r="D1959" s="21" t="s">
        <v>1505</v>
      </c>
      <c r="E1959" s="214">
        <v>927500</v>
      </c>
      <c r="G1959" s="70">
        <v>350</v>
      </c>
      <c r="H1959" s="11">
        <f t="shared" si="305"/>
        <v>0.73439999999999994</v>
      </c>
      <c r="I1959" s="12" t="e">
        <f>ROUND(#REF!*1000000/G1959/H1959,-3)</f>
        <v>#REF!</v>
      </c>
      <c r="J1959" s="137"/>
      <c r="K1959" s="13"/>
    </row>
    <row r="1960" spans="1:11" ht="15" customHeight="1">
      <c r="A1960" s="826"/>
      <c r="B1960" s="815"/>
      <c r="C1960" s="218">
        <f t="shared" ref="C1960:C1961" si="307">C1959</f>
        <v>350</v>
      </c>
      <c r="D1960" s="21" t="s">
        <v>1500</v>
      </c>
      <c r="E1960" s="214">
        <v>1192500</v>
      </c>
      <c r="G1960" s="70">
        <v>350</v>
      </c>
      <c r="H1960" s="11">
        <f t="shared" si="305"/>
        <v>0.73439999999999994</v>
      </c>
      <c r="I1960" s="12" t="e">
        <f>ROUND(#REF!*1000000/G1960/H1960,-3)</f>
        <v>#REF!</v>
      </c>
      <c r="J1960" s="137"/>
      <c r="K1960" s="13"/>
    </row>
    <row r="1961" spans="1:11" ht="15" customHeight="1">
      <c r="A1961" s="827"/>
      <c r="B1961" s="815"/>
      <c r="C1961" s="218">
        <f t="shared" si="307"/>
        <v>350</v>
      </c>
      <c r="D1961" s="21" t="s">
        <v>1501</v>
      </c>
      <c r="E1961" s="214">
        <v>1225000</v>
      </c>
      <c r="G1961" s="70">
        <v>350</v>
      </c>
      <c r="H1961" s="11">
        <f t="shared" si="305"/>
        <v>0.73439999999999994</v>
      </c>
      <c r="I1961" s="12" t="e">
        <f>ROUND(#REF!*1000000/G1961/H1961,-3)</f>
        <v>#REF!</v>
      </c>
      <c r="J1961" s="137"/>
      <c r="K1961" s="13"/>
    </row>
    <row r="1962" spans="1:11" ht="15" customHeight="1">
      <c r="A1962" s="815" t="s">
        <v>1506</v>
      </c>
      <c r="B1962" s="815" t="s">
        <v>27</v>
      </c>
      <c r="C1962" s="72">
        <v>100</v>
      </c>
      <c r="D1962" s="21" t="s">
        <v>763</v>
      </c>
      <c r="E1962" s="25">
        <v>195000</v>
      </c>
      <c r="G1962" s="70">
        <v>100</v>
      </c>
      <c r="H1962" s="11">
        <f t="shared" ref="H1962:H1963" si="308">0.788*1.091</f>
        <v>0.85970800000000003</v>
      </c>
      <c r="I1962" s="12" t="e">
        <f>ROUND(#REF!*1000000/G1962/H1962,-3)</f>
        <v>#REF!</v>
      </c>
      <c r="J1962" s="137"/>
      <c r="K1962" s="13"/>
    </row>
    <row r="1963" spans="1:11" ht="15" customHeight="1">
      <c r="A1963" s="815"/>
      <c r="B1963" s="815"/>
      <c r="C1963" s="72">
        <v>250</v>
      </c>
      <c r="D1963" s="21" t="s">
        <v>1507</v>
      </c>
      <c r="E1963" s="25">
        <v>475000</v>
      </c>
      <c r="G1963" s="70">
        <v>250</v>
      </c>
      <c r="H1963" s="11">
        <f t="shared" si="308"/>
        <v>0.85970800000000003</v>
      </c>
      <c r="I1963" s="12" t="e">
        <f>ROUND(#REF!*1000000/G1963/H1963,-3)</f>
        <v>#REF!</v>
      </c>
      <c r="J1963" s="137"/>
      <c r="K1963" s="13"/>
    </row>
    <row r="1964" spans="1:11" ht="15" customHeight="1">
      <c r="A1964" s="819" t="s">
        <v>1508</v>
      </c>
      <c r="B1964" s="815" t="s">
        <v>255</v>
      </c>
      <c r="C1964" s="82">
        <v>120</v>
      </c>
      <c r="D1964" s="29" t="s">
        <v>1509</v>
      </c>
      <c r="E1964" s="25">
        <v>280000</v>
      </c>
      <c r="G1964" s="70">
        <v>120</v>
      </c>
      <c r="H1964" s="11">
        <v>0.7</v>
      </c>
      <c r="I1964" s="12" t="e">
        <f>ROUND(#REF!*1000000/G1964/H1964,-3)</f>
        <v>#REF!</v>
      </c>
      <c r="J1964" s="137"/>
      <c r="K1964" s="13"/>
    </row>
    <row r="1965" spans="1:11" ht="15" customHeight="1">
      <c r="A1965" s="820"/>
      <c r="B1965" s="815"/>
      <c r="C1965" s="220">
        <f t="shared" ref="C1965:C1969" si="309">C1964</f>
        <v>120</v>
      </c>
      <c r="D1965" s="29" t="s">
        <v>1510</v>
      </c>
      <c r="E1965" s="25">
        <v>290000</v>
      </c>
      <c r="G1965" s="70">
        <v>120</v>
      </c>
      <c r="H1965" s="11">
        <v>0.7</v>
      </c>
      <c r="I1965" s="12" t="e">
        <f>ROUND(#REF!*1000000/G1965/H1965,-3)</f>
        <v>#REF!</v>
      </c>
      <c r="J1965" s="137"/>
      <c r="K1965" s="13"/>
    </row>
    <row r="1966" spans="1:11" ht="15" customHeight="1">
      <c r="A1966" s="820"/>
      <c r="B1966" s="815"/>
      <c r="C1966" s="220">
        <f t="shared" si="309"/>
        <v>120</v>
      </c>
      <c r="D1966" s="29" t="s">
        <v>1511</v>
      </c>
      <c r="E1966" s="25">
        <v>305000</v>
      </c>
      <c r="G1966" s="70">
        <v>120</v>
      </c>
      <c r="H1966" s="11">
        <v>0.7</v>
      </c>
      <c r="I1966" s="12" t="e">
        <f>ROUND(#REF!*1000000/G1966/H1966,-3)</f>
        <v>#REF!</v>
      </c>
      <c r="J1966" s="137"/>
      <c r="K1966" s="13"/>
    </row>
    <row r="1967" spans="1:11" ht="15" customHeight="1">
      <c r="A1967" s="820"/>
      <c r="B1967" s="815"/>
      <c r="C1967" s="220">
        <f t="shared" si="309"/>
        <v>120</v>
      </c>
      <c r="D1967" s="29" t="s">
        <v>1512</v>
      </c>
      <c r="E1967" s="25">
        <v>315000</v>
      </c>
      <c r="G1967" s="70">
        <v>120</v>
      </c>
      <c r="H1967" s="11">
        <v>0.7</v>
      </c>
      <c r="I1967" s="12" t="e">
        <f>ROUND(#REF!*1000000/G1967/H1967,-3)</f>
        <v>#REF!</v>
      </c>
      <c r="J1967" s="137"/>
      <c r="K1967" s="13"/>
    </row>
    <row r="1968" spans="1:11" ht="15" customHeight="1">
      <c r="A1968" s="820"/>
      <c r="B1968" s="815"/>
      <c r="C1968" s="220">
        <f t="shared" si="309"/>
        <v>120</v>
      </c>
      <c r="D1968" s="29" t="s">
        <v>1513</v>
      </c>
      <c r="E1968" s="25">
        <v>325000</v>
      </c>
      <c r="G1968" s="70">
        <v>120</v>
      </c>
      <c r="H1968" s="11">
        <v>0.7</v>
      </c>
      <c r="I1968" s="12" t="e">
        <f>ROUND(#REF!*1000000/G1968/H1968,-3)</f>
        <v>#REF!</v>
      </c>
      <c r="J1968" s="137"/>
      <c r="K1968" s="13"/>
    </row>
    <row r="1969" spans="1:11" ht="15" customHeight="1">
      <c r="A1969" s="820"/>
      <c r="B1969" s="815"/>
      <c r="C1969" s="220">
        <f t="shared" si="309"/>
        <v>120</v>
      </c>
      <c r="D1969" s="29" t="s">
        <v>1514</v>
      </c>
      <c r="E1969" s="25">
        <v>335000</v>
      </c>
      <c r="G1969" s="70">
        <v>120</v>
      </c>
      <c r="H1969" s="11">
        <v>0.7</v>
      </c>
      <c r="I1969" s="12" t="e">
        <f>ROUND(#REF!*1000000/G1969/H1969,-3)</f>
        <v>#REF!</v>
      </c>
      <c r="J1969" s="137"/>
      <c r="K1969" s="13"/>
    </row>
    <row r="1970" spans="1:11" ht="15" customHeight="1">
      <c r="A1970" s="820"/>
      <c r="B1970" s="815"/>
      <c r="C1970" s="82">
        <v>270</v>
      </c>
      <c r="D1970" s="29" t="s">
        <v>1509</v>
      </c>
      <c r="E1970" s="25">
        <v>625000</v>
      </c>
      <c r="G1970" s="70">
        <v>270</v>
      </c>
      <c r="H1970" s="11">
        <v>0.7</v>
      </c>
      <c r="I1970" s="12" t="e">
        <f>ROUND(#REF!*1000000/G1970/H1970,-3)</f>
        <v>#REF!</v>
      </c>
      <c r="J1970" s="137"/>
      <c r="K1970" s="13"/>
    </row>
    <row r="1971" spans="1:11" ht="15" customHeight="1">
      <c r="A1971" s="820"/>
      <c r="B1971" s="815"/>
      <c r="C1971" s="220">
        <f t="shared" ref="C1971:C1975" si="310">C1970</f>
        <v>270</v>
      </c>
      <c r="D1971" s="29" t="s">
        <v>1515</v>
      </c>
      <c r="E1971" s="25">
        <v>640000</v>
      </c>
      <c r="G1971" s="70">
        <v>270</v>
      </c>
      <c r="H1971" s="11">
        <v>0.7</v>
      </c>
      <c r="I1971" s="12" t="e">
        <f>ROUND(#REF!*1000000/G1971/H1971,-3)</f>
        <v>#REF!</v>
      </c>
      <c r="J1971" s="137"/>
      <c r="K1971" s="13"/>
    </row>
    <row r="1972" spans="1:11" ht="15" customHeight="1">
      <c r="A1972" s="820"/>
      <c r="B1972" s="815"/>
      <c r="C1972" s="220">
        <f t="shared" si="310"/>
        <v>270</v>
      </c>
      <c r="D1972" s="29" t="s">
        <v>1516</v>
      </c>
      <c r="E1972" s="25">
        <v>680000</v>
      </c>
      <c r="G1972" s="70">
        <v>270</v>
      </c>
      <c r="H1972" s="11">
        <v>0.7</v>
      </c>
      <c r="I1972" s="12" t="e">
        <f>ROUND(#REF!*1000000/G1972/H1972,-3)</f>
        <v>#REF!</v>
      </c>
      <c r="J1972" s="137"/>
      <c r="K1972" s="13"/>
    </row>
    <row r="1973" spans="1:11" ht="15" customHeight="1">
      <c r="A1973" s="820"/>
      <c r="B1973" s="815"/>
      <c r="C1973" s="220">
        <f t="shared" si="310"/>
        <v>270</v>
      </c>
      <c r="D1973" s="29" t="s">
        <v>1517</v>
      </c>
      <c r="E1973" s="25">
        <v>700000</v>
      </c>
      <c r="G1973" s="70">
        <v>270</v>
      </c>
      <c r="H1973" s="11">
        <v>0.7</v>
      </c>
      <c r="I1973" s="12" t="e">
        <f>ROUND(#REF!*1000000/G1973/H1973,-3)</f>
        <v>#REF!</v>
      </c>
      <c r="J1973" s="137"/>
      <c r="K1973" s="13"/>
    </row>
    <row r="1974" spans="1:11" ht="15" customHeight="1">
      <c r="A1974" s="820"/>
      <c r="B1974" s="815"/>
      <c r="C1974" s="220">
        <f t="shared" si="310"/>
        <v>270</v>
      </c>
      <c r="D1974" s="29" t="s">
        <v>1518</v>
      </c>
      <c r="E1974" s="25">
        <v>725000</v>
      </c>
      <c r="G1974" s="70">
        <v>270</v>
      </c>
      <c r="H1974" s="11">
        <v>0.7</v>
      </c>
      <c r="I1974" s="12" t="e">
        <f>ROUND(#REF!*1000000/G1974/H1974,-3)</f>
        <v>#REF!</v>
      </c>
      <c r="J1974" s="137"/>
      <c r="K1974" s="13"/>
    </row>
    <row r="1975" spans="1:11" ht="15" customHeight="1">
      <c r="A1975" s="820"/>
      <c r="B1975" s="815"/>
      <c r="C1975" s="220">
        <f t="shared" si="310"/>
        <v>270</v>
      </c>
      <c r="D1975" s="29" t="s">
        <v>1519</v>
      </c>
      <c r="E1975" s="25">
        <v>750000</v>
      </c>
      <c r="G1975" s="70">
        <v>270</v>
      </c>
      <c r="H1975" s="11">
        <v>0.7</v>
      </c>
      <c r="I1975" s="12" t="e">
        <f>ROUND(#REF!*1000000/G1975/H1975,-3)</f>
        <v>#REF!</v>
      </c>
      <c r="J1975" s="137"/>
      <c r="K1975" s="13"/>
    </row>
    <row r="1976" spans="1:11" ht="15" customHeight="1">
      <c r="A1976" s="820"/>
      <c r="B1976" s="815"/>
      <c r="C1976" s="82">
        <v>350</v>
      </c>
      <c r="D1976" s="29" t="s">
        <v>1509</v>
      </c>
      <c r="E1976" s="25">
        <v>810000</v>
      </c>
      <c r="G1976" s="70">
        <v>350</v>
      </c>
      <c r="H1976" s="11">
        <v>0.7</v>
      </c>
      <c r="I1976" s="12" t="e">
        <f>ROUND(#REF!*1000000/G1976/H1976,-3)</f>
        <v>#REF!</v>
      </c>
      <c r="J1976" s="137"/>
      <c r="K1976" s="13"/>
    </row>
    <row r="1977" spans="1:11" ht="15" customHeight="1">
      <c r="A1977" s="820"/>
      <c r="B1977" s="815"/>
      <c r="C1977" s="220">
        <f t="shared" ref="C1977:C1981" si="311">C1976</f>
        <v>350</v>
      </c>
      <c r="D1977" s="29" t="s">
        <v>1515</v>
      </c>
      <c r="E1977" s="25">
        <v>825000</v>
      </c>
      <c r="G1977" s="70">
        <v>350</v>
      </c>
      <c r="H1977" s="11">
        <v>0.7</v>
      </c>
      <c r="I1977" s="12" t="e">
        <f>ROUND(#REF!*1000000/G1977/H1977,-3)</f>
        <v>#REF!</v>
      </c>
      <c r="J1977" s="137"/>
      <c r="K1977" s="13"/>
    </row>
    <row r="1978" spans="1:11" ht="15" customHeight="1">
      <c r="A1978" s="820"/>
      <c r="B1978" s="815"/>
      <c r="C1978" s="220">
        <f t="shared" si="311"/>
        <v>350</v>
      </c>
      <c r="D1978" s="29" t="s">
        <v>1516</v>
      </c>
      <c r="E1978" s="25">
        <v>870000</v>
      </c>
      <c r="G1978" s="70">
        <v>350</v>
      </c>
      <c r="H1978" s="11">
        <v>0.7</v>
      </c>
      <c r="I1978" s="12" t="e">
        <f>ROUND(#REF!*1000000/G1978/H1978,-3)</f>
        <v>#REF!</v>
      </c>
      <c r="J1978" s="137"/>
      <c r="K1978" s="13"/>
    </row>
    <row r="1979" spans="1:11" ht="15" customHeight="1">
      <c r="A1979" s="820"/>
      <c r="B1979" s="815"/>
      <c r="C1979" s="220">
        <f t="shared" si="311"/>
        <v>350</v>
      </c>
      <c r="D1979" s="29" t="s">
        <v>1517</v>
      </c>
      <c r="E1979" s="25">
        <v>915000</v>
      </c>
      <c r="G1979" s="70">
        <v>350</v>
      </c>
      <c r="H1979" s="11">
        <v>0.7</v>
      </c>
      <c r="I1979" s="12" t="e">
        <f>ROUND(#REF!*1000000/G1979/H1979,-3)</f>
        <v>#REF!</v>
      </c>
      <c r="J1979" s="137"/>
      <c r="K1979" s="13"/>
    </row>
    <row r="1980" spans="1:11" ht="15" customHeight="1">
      <c r="A1980" s="820"/>
      <c r="B1980" s="815"/>
      <c r="C1980" s="220">
        <f t="shared" si="311"/>
        <v>350</v>
      </c>
      <c r="D1980" s="29" t="s">
        <v>1518</v>
      </c>
      <c r="E1980" s="25">
        <v>945000</v>
      </c>
      <c r="G1980" s="70">
        <v>350</v>
      </c>
      <c r="H1980" s="11">
        <v>0.7</v>
      </c>
      <c r="I1980" s="12" t="e">
        <f>ROUND(#REF!*1000000/G1980/H1980,-3)</f>
        <v>#REF!</v>
      </c>
      <c r="J1980" s="137"/>
      <c r="K1980" s="13"/>
    </row>
    <row r="1981" spans="1:11" ht="15" customHeight="1">
      <c r="A1981" s="820"/>
      <c r="B1981" s="815"/>
      <c r="C1981" s="220">
        <f t="shared" si="311"/>
        <v>350</v>
      </c>
      <c r="D1981" s="29" t="s">
        <v>1519</v>
      </c>
      <c r="E1981" s="25">
        <v>975000</v>
      </c>
      <c r="G1981" s="70">
        <v>350</v>
      </c>
      <c r="H1981" s="11">
        <v>0.7</v>
      </c>
      <c r="I1981" s="12" t="e">
        <f>ROUND(#REF!*1000000/G1981/H1981,-3)</f>
        <v>#REF!</v>
      </c>
      <c r="J1981" s="137"/>
      <c r="K1981" s="13"/>
    </row>
    <row r="1982" spans="1:11" ht="15" customHeight="1">
      <c r="A1982" s="820"/>
      <c r="B1982" s="822" t="s">
        <v>602</v>
      </c>
      <c r="C1982" s="69">
        <v>120</v>
      </c>
      <c r="D1982" s="9" t="s">
        <v>1520</v>
      </c>
      <c r="E1982" s="25">
        <v>370000</v>
      </c>
      <c r="G1982" s="70">
        <v>120</v>
      </c>
      <c r="H1982" s="11">
        <f>0.72*1.02</f>
        <v>0.73439999999999994</v>
      </c>
      <c r="I1982" s="12" t="e">
        <f>ROUND(#REF!*1000000/G1982/H1982,-3)</f>
        <v>#REF!</v>
      </c>
      <c r="J1982" s="137"/>
      <c r="K1982" s="13"/>
    </row>
    <row r="1983" spans="1:11" ht="15" customHeight="1">
      <c r="A1983" s="820"/>
      <c r="B1983" s="823"/>
      <c r="C1983" s="69">
        <v>270</v>
      </c>
      <c r="D1983" s="9" t="s">
        <v>1521</v>
      </c>
      <c r="E1983" s="25">
        <v>790000</v>
      </c>
      <c r="G1983" s="70">
        <v>270</v>
      </c>
      <c r="H1983" s="11">
        <f t="shared" ref="H1983:H1986" si="312">0.72*1.02</f>
        <v>0.73439999999999994</v>
      </c>
      <c r="I1983" s="12" t="e">
        <f>ROUND(#REF!*1000000/G1983/H1983,-3)</f>
        <v>#REF!</v>
      </c>
      <c r="J1983" s="137"/>
      <c r="K1983" s="13"/>
    </row>
    <row r="1984" spans="1:11" ht="15" customHeight="1">
      <c r="A1984" s="820"/>
      <c r="B1984" s="823"/>
      <c r="C1984" s="219">
        <f>C1983</f>
        <v>270</v>
      </c>
      <c r="D1984" s="9" t="s">
        <v>1520</v>
      </c>
      <c r="E1984" s="25">
        <v>830000</v>
      </c>
      <c r="G1984" s="70">
        <v>270</v>
      </c>
      <c r="H1984" s="11">
        <f t="shared" si="312"/>
        <v>0.73439999999999994</v>
      </c>
      <c r="I1984" s="12" t="e">
        <f>ROUND(#REF!*1000000/G1984/H1984,-3)</f>
        <v>#REF!</v>
      </c>
      <c r="J1984" s="137"/>
      <c r="K1984" s="13"/>
    </row>
    <row r="1985" spans="1:11" ht="15" customHeight="1">
      <c r="A1985" s="820"/>
      <c r="B1985" s="823"/>
      <c r="C1985" s="69">
        <v>350</v>
      </c>
      <c r="D1985" s="9" t="s">
        <v>1521</v>
      </c>
      <c r="E1985" s="25">
        <v>1025000</v>
      </c>
      <c r="G1985" s="70">
        <v>350</v>
      </c>
      <c r="H1985" s="11">
        <f t="shared" si="312"/>
        <v>0.73439999999999994</v>
      </c>
      <c r="I1985" s="12" t="e">
        <f>ROUND(#REF!*1000000/G1985/H1985,-3)</f>
        <v>#REF!</v>
      </c>
      <c r="J1985" s="137"/>
      <c r="K1985" s="13"/>
    </row>
    <row r="1986" spans="1:11" ht="15" customHeight="1">
      <c r="A1986" s="821"/>
      <c r="B1986" s="824"/>
      <c r="C1986" s="219">
        <f>C1985</f>
        <v>350</v>
      </c>
      <c r="D1986" s="9" t="s">
        <v>1520</v>
      </c>
      <c r="E1986" s="25">
        <v>1075000</v>
      </c>
      <c r="G1986" s="70">
        <v>350</v>
      </c>
      <c r="H1986" s="11">
        <f t="shared" si="312"/>
        <v>0.73439999999999994</v>
      </c>
      <c r="I1986" s="12" t="e">
        <f>ROUND(#REF!*1000000/G1986/H1986,-3)</f>
        <v>#REF!</v>
      </c>
      <c r="J1986" s="137"/>
      <c r="K1986" s="13"/>
    </row>
    <row r="1987" spans="1:11" ht="15" customHeight="1">
      <c r="A1987" s="814" t="s">
        <v>1522</v>
      </c>
      <c r="B1987" s="814" t="s">
        <v>213</v>
      </c>
      <c r="C1987" s="30">
        <v>203</v>
      </c>
      <c r="D1987" s="29" t="s">
        <v>1523</v>
      </c>
      <c r="E1987" s="25">
        <v>1085000</v>
      </c>
      <c r="G1987" s="8">
        <v>203</v>
      </c>
      <c r="H1987" s="11">
        <f t="shared" ref="H1987:H1996" si="313">0.788*1.091</f>
        <v>0.85970800000000003</v>
      </c>
      <c r="I1987" s="12" t="e">
        <f>ROUND(#REF!*1000000/G1987/H1987,-3)</f>
        <v>#REF!</v>
      </c>
      <c r="J1987" s="136">
        <v>236</v>
      </c>
      <c r="K1987" s="13"/>
    </row>
    <row r="1988" spans="1:11" ht="15" customHeight="1">
      <c r="A1988" s="804"/>
      <c r="B1988" s="804"/>
      <c r="C1988" s="30">
        <v>302</v>
      </c>
      <c r="D1988" s="29" t="s">
        <v>1524</v>
      </c>
      <c r="E1988" s="25">
        <v>1600000</v>
      </c>
      <c r="G1988" s="8">
        <v>302</v>
      </c>
      <c r="H1988" s="11">
        <f t="shared" si="313"/>
        <v>0.85970800000000003</v>
      </c>
      <c r="I1988" s="12" t="e">
        <f>ROUND(#REF!*1000000/G1988/H1988,-3)</f>
        <v>#REF!</v>
      </c>
      <c r="J1988" s="136">
        <v>361</v>
      </c>
      <c r="K1988" s="13"/>
    </row>
    <row r="1989" spans="1:11" ht="15" customHeight="1">
      <c r="A1989" s="804"/>
      <c r="B1989" s="804"/>
      <c r="C1989" s="30">
        <v>349</v>
      </c>
      <c r="D1989" s="29" t="s">
        <v>1525</v>
      </c>
      <c r="E1989" s="25">
        <v>1840000</v>
      </c>
      <c r="G1989" s="8">
        <v>349</v>
      </c>
      <c r="H1989" s="11">
        <f t="shared" si="313"/>
        <v>0.85970800000000003</v>
      </c>
      <c r="I1989" s="12" t="e">
        <f>ROUND(#REF!*1000000/G1989/H1989,-3)</f>
        <v>#REF!</v>
      </c>
      <c r="J1989" s="136">
        <v>418</v>
      </c>
      <c r="K1989" s="13"/>
    </row>
    <row r="1990" spans="1:11" ht="15" customHeight="1">
      <c r="A1990" s="804"/>
      <c r="B1990" s="804"/>
      <c r="C1990" s="30">
        <v>407</v>
      </c>
      <c r="D1990" s="29" t="s">
        <v>1526</v>
      </c>
      <c r="E1990" s="25">
        <v>2140000</v>
      </c>
      <c r="G1990" s="8">
        <v>407</v>
      </c>
      <c r="H1990" s="11">
        <f t="shared" si="313"/>
        <v>0.85970800000000003</v>
      </c>
      <c r="I1990" s="12" t="e">
        <f>ROUND(#REF!*1000000/G1990/H1990,-3)</f>
        <v>#REF!</v>
      </c>
      <c r="J1990" s="136">
        <v>492</v>
      </c>
      <c r="K1990" s="13"/>
    </row>
    <row r="1991" spans="1:11" ht="15" customHeight="1">
      <c r="A1991" s="804"/>
      <c r="B1991" s="804"/>
      <c r="C1991" s="30">
        <v>465</v>
      </c>
      <c r="D1991" s="29" t="s">
        <v>1527</v>
      </c>
      <c r="E1991" s="25">
        <v>2445000</v>
      </c>
      <c r="G1991" s="8">
        <v>465</v>
      </c>
      <c r="H1991" s="11">
        <f t="shared" si="313"/>
        <v>0.85970800000000003</v>
      </c>
      <c r="I1991" s="12" t="e">
        <f>ROUND(#REF!*1000000/G1991/H1991,-3)</f>
        <v>#REF!</v>
      </c>
      <c r="J1991" s="136">
        <v>564</v>
      </c>
      <c r="K1991" s="13"/>
    </row>
    <row r="1992" spans="1:11" ht="15" customHeight="1">
      <c r="A1992" s="804"/>
      <c r="B1992" s="804"/>
      <c r="C1992" s="20">
        <v>203</v>
      </c>
      <c r="D1992" s="21" t="s">
        <v>1481</v>
      </c>
      <c r="E1992" s="25">
        <v>555000</v>
      </c>
      <c r="G1992" s="8">
        <v>203</v>
      </c>
      <c r="H1992" s="11">
        <f t="shared" si="313"/>
        <v>0.85970800000000003</v>
      </c>
      <c r="I1992" s="12" t="e">
        <f>ROUND(#REF!*1000000/G1992/H1992,-3)</f>
        <v>#REF!</v>
      </c>
      <c r="J1992" s="136">
        <v>236</v>
      </c>
      <c r="K1992" s="13"/>
    </row>
    <row r="1993" spans="1:11" ht="15" customHeight="1">
      <c r="A1993" s="804"/>
      <c r="B1993" s="804"/>
      <c r="C1993" s="33">
        <v>302</v>
      </c>
      <c r="D1993" s="21" t="s">
        <v>1528</v>
      </c>
      <c r="E1993" s="25">
        <v>820000</v>
      </c>
      <c r="G1993" s="8">
        <v>302</v>
      </c>
      <c r="H1993" s="11">
        <f t="shared" si="313"/>
        <v>0.85970800000000003</v>
      </c>
      <c r="I1993" s="12" t="e">
        <f>ROUND(#REF!*1000000/G1993/H1993,-3)</f>
        <v>#REF!</v>
      </c>
      <c r="J1993" s="136">
        <v>361</v>
      </c>
      <c r="K1993" s="13"/>
    </row>
    <row r="1994" spans="1:11" ht="15" customHeight="1">
      <c r="A1994" s="804"/>
      <c r="B1994" s="804"/>
      <c r="C1994" s="33">
        <f>C1993</f>
        <v>302</v>
      </c>
      <c r="D1994" s="21" t="s">
        <v>1529</v>
      </c>
      <c r="E1994" s="25">
        <v>725000</v>
      </c>
      <c r="G1994" s="8">
        <v>302</v>
      </c>
      <c r="H1994" s="11">
        <f t="shared" si="313"/>
        <v>0.85970800000000003</v>
      </c>
      <c r="I1994" s="12" t="e">
        <f>ROUND(#REF!*1000000/G1994/H1994,-3)</f>
        <v>#REF!</v>
      </c>
      <c r="J1994" s="136">
        <v>361</v>
      </c>
      <c r="K1994" s="13"/>
    </row>
    <row r="1995" spans="1:11" ht="15" customHeight="1">
      <c r="A1995" s="804"/>
      <c r="B1995" s="804"/>
      <c r="C1995" s="33">
        <v>349</v>
      </c>
      <c r="D1995" s="21" t="s">
        <v>1530</v>
      </c>
      <c r="E1995" s="25">
        <v>950000</v>
      </c>
      <c r="G1995" s="8">
        <v>349</v>
      </c>
      <c r="H1995" s="11">
        <f t="shared" si="313"/>
        <v>0.85970800000000003</v>
      </c>
      <c r="I1995" s="12" t="e">
        <f>ROUND(#REF!*1000000/G1995/H1995,-3)</f>
        <v>#REF!</v>
      </c>
      <c r="J1995" s="136">
        <v>418</v>
      </c>
      <c r="K1995" s="13"/>
    </row>
    <row r="1996" spans="1:11" ht="15" customHeight="1">
      <c r="A1996" s="805"/>
      <c r="B1996" s="805"/>
      <c r="C1996" s="33">
        <v>465</v>
      </c>
      <c r="D1996" s="21" t="s">
        <v>1531</v>
      </c>
      <c r="E1996" s="25">
        <v>1260000</v>
      </c>
      <c r="G1996" s="8">
        <v>465</v>
      </c>
      <c r="H1996" s="11">
        <f t="shared" si="313"/>
        <v>0.85970800000000003</v>
      </c>
      <c r="I1996" s="12" t="e">
        <f>ROUND(#REF!*1000000/G1996/H1996,-3)</f>
        <v>#REF!</v>
      </c>
      <c r="J1996" s="136">
        <v>564</v>
      </c>
      <c r="K1996" s="13"/>
    </row>
    <row r="1997" spans="1:11" ht="15" customHeight="1">
      <c r="A1997" s="813" t="s">
        <v>1532</v>
      </c>
      <c r="B1997" s="814" t="s">
        <v>602</v>
      </c>
      <c r="C1997" s="33">
        <v>100</v>
      </c>
      <c r="D1997" s="21" t="s">
        <v>1533</v>
      </c>
      <c r="E1997" s="25">
        <v>125000</v>
      </c>
      <c r="G1997" s="8">
        <v>100</v>
      </c>
      <c r="H1997" s="11">
        <f t="shared" ref="H1997:H1998" si="314">0.72*1.02</f>
        <v>0.73439999999999994</v>
      </c>
      <c r="I1997" s="12" t="e">
        <f>ROUND(#REF!*1000000/G1997/H1997,-3)</f>
        <v>#REF!</v>
      </c>
      <c r="J1997" s="137"/>
      <c r="K1997" s="13"/>
    </row>
    <row r="1998" spans="1:11" ht="15" customHeight="1">
      <c r="A1998" s="817"/>
      <c r="B1998" s="805"/>
      <c r="C1998" s="33">
        <v>120</v>
      </c>
      <c r="D1998" s="21" t="s">
        <v>1533</v>
      </c>
      <c r="E1998" s="25">
        <v>150000</v>
      </c>
      <c r="G1998" s="8">
        <v>120</v>
      </c>
      <c r="H1998" s="11">
        <f t="shared" si="314"/>
        <v>0.73439999999999994</v>
      </c>
      <c r="I1998" s="12" t="e">
        <f>ROUND(#REF!*1000000/G1998/H1998,-3)</f>
        <v>#REF!</v>
      </c>
      <c r="J1998" s="137"/>
      <c r="K1998" s="13"/>
    </row>
    <row r="1999" spans="1:11" ht="15" customHeight="1">
      <c r="A1999" s="15" t="s">
        <v>1534</v>
      </c>
      <c r="B1999" s="7" t="s">
        <v>27</v>
      </c>
      <c r="C1999" s="33">
        <v>150</v>
      </c>
      <c r="D1999" s="21"/>
      <c r="E1999" s="25">
        <v>260000</v>
      </c>
      <c r="G1999" s="8">
        <v>150</v>
      </c>
      <c r="H1999" s="11">
        <f t="shared" ref="H1999" si="315">0.788*1.091</f>
        <v>0.85970800000000003</v>
      </c>
      <c r="I1999" s="12" t="e">
        <f>ROUND(#REF!*1000000/G1999/H1999,-3)</f>
        <v>#REF!</v>
      </c>
      <c r="J1999" s="137"/>
      <c r="K1999" s="13"/>
    </row>
    <row r="2000" spans="1:11" ht="15" customHeight="1">
      <c r="A2000" s="818" t="s">
        <v>4633</v>
      </c>
      <c r="B2000" s="809" t="s">
        <v>602</v>
      </c>
      <c r="C2000" s="14">
        <v>120</v>
      </c>
      <c r="D2000" s="9" t="s">
        <v>2912</v>
      </c>
      <c r="E2000" s="213">
        <v>300000</v>
      </c>
      <c r="G2000" s="8"/>
      <c r="H2000" s="11"/>
      <c r="I2000" s="12"/>
      <c r="J2000" s="137"/>
      <c r="K2000" s="13"/>
    </row>
    <row r="2001" spans="1:11" ht="15" customHeight="1">
      <c r="A2001" s="816"/>
      <c r="B2001" s="804"/>
      <c r="C2001" s="7">
        <f t="shared" ref="C2001:C2002" si="316">C2000</f>
        <v>120</v>
      </c>
      <c r="D2001" s="9" t="s">
        <v>2913</v>
      </c>
      <c r="E2001" s="213">
        <v>340000</v>
      </c>
      <c r="G2001" s="8"/>
      <c r="H2001" s="11"/>
      <c r="I2001" s="12"/>
      <c r="J2001" s="137"/>
      <c r="K2001" s="13"/>
    </row>
    <row r="2002" spans="1:11" ht="15" customHeight="1">
      <c r="A2002" s="817"/>
      <c r="B2002" s="805"/>
      <c r="C2002" s="7">
        <f t="shared" si="316"/>
        <v>120</v>
      </c>
      <c r="D2002" s="9" t="s">
        <v>2914</v>
      </c>
      <c r="E2002" s="213">
        <v>375000</v>
      </c>
      <c r="G2002" s="8"/>
      <c r="H2002" s="11"/>
      <c r="I2002" s="12"/>
      <c r="J2002" s="137"/>
      <c r="K2002" s="13"/>
    </row>
    <row r="2003" spans="1:11" ht="15" customHeight="1">
      <c r="A2003" s="811" t="s">
        <v>1535</v>
      </c>
      <c r="B2003" s="810" t="s">
        <v>1536</v>
      </c>
      <c r="C2003" s="20">
        <v>20</v>
      </c>
      <c r="D2003" s="21" t="s">
        <v>888</v>
      </c>
      <c r="E2003" s="25">
        <v>180000</v>
      </c>
      <c r="G2003" s="8">
        <v>20</v>
      </c>
      <c r="H2003" s="11">
        <f>1.2*0.85</f>
        <v>1.02</v>
      </c>
      <c r="I2003" s="12" t="e">
        <f>ROUND(#REF!*1000000/G2003/H2003,-3)</f>
        <v>#REF!</v>
      </c>
      <c r="J2003" s="137"/>
      <c r="K2003" s="13"/>
    </row>
    <row r="2004" spans="1:11" ht="15" customHeight="1">
      <c r="A2004" s="811"/>
      <c r="B2004" s="810"/>
      <c r="C2004" s="33">
        <f>C2003</f>
        <v>20</v>
      </c>
      <c r="D2004" s="21" t="s">
        <v>1537</v>
      </c>
      <c r="E2004" s="25">
        <v>200000</v>
      </c>
      <c r="G2004" s="8">
        <v>20</v>
      </c>
      <c r="H2004" s="11">
        <f>1.2*0.85</f>
        <v>1.02</v>
      </c>
      <c r="I2004" s="12" t="e">
        <f>ROUND(#REF!*1000000/G2004/H2004,-3)</f>
        <v>#REF!</v>
      </c>
      <c r="J2004" s="137"/>
      <c r="K2004" s="13"/>
    </row>
    <row r="2005" spans="1:11" ht="15" customHeight="1">
      <c r="A2005" s="813" t="s">
        <v>1538</v>
      </c>
      <c r="B2005" s="814" t="s">
        <v>343</v>
      </c>
      <c r="C2005" s="33">
        <v>140</v>
      </c>
      <c r="D2005" s="21" t="s">
        <v>1539</v>
      </c>
      <c r="E2005" s="25">
        <v>695000</v>
      </c>
      <c r="G2005" s="8">
        <v>140</v>
      </c>
      <c r="H2005" s="11">
        <f t="shared" ref="H2005:H2008" si="317">0.788*1.091</f>
        <v>0.85970800000000003</v>
      </c>
      <c r="I2005" s="12" t="e">
        <f>ROUND(#REF!*1000000/G2005/H2005,-3)</f>
        <v>#REF!</v>
      </c>
      <c r="J2005" s="137"/>
      <c r="K2005" s="13"/>
    </row>
    <row r="2006" spans="1:11" ht="15" customHeight="1">
      <c r="A2006" s="816"/>
      <c r="B2006" s="804"/>
      <c r="C2006" s="33">
        <f t="shared" ref="C2006:C2008" si="318">C2005</f>
        <v>140</v>
      </c>
      <c r="D2006" s="21" t="s">
        <v>1540</v>
      </c>
      <c r="E2006" s="25">
        <v>770000</v>
      </c>
      <c r="G2006" s="8">
        <v>140</v>
      </c>
      <c r="H2006" s="11">
        <f t="shared" si="317"/>
        <v>0.85970800000000003</v>
      </c>
      <c r="I2006" s="12" t="e">
        <f>ROUND(#REF!*1000000/G2006/H2006,-3)</f>
        <v>#REF!</v>
      </c>
      <c r="J2006" s="137"/>
      <c r="K2006" s="13"/>
    </row>
    <row r="2007" spans="1:11" ht="15" customHeight="1">
      <c r="A2007" s="816"/>
      <c r="B2007" s="804"/>
      <c r="C2007" s="33">
        <f t="shared" si="318"/>
        <v>140</v>
      </c>
      <c r="D2007" s="21" t="s">
        <v>1541</v>
      </c>
      <c r="E2007" s="25">
        <v>855000</v>
      </c>
      <c r="G2007" s="8">
        <v>140</v>
      </c>
      <c r="H2007" s="11">
        <f t="shared" si="317"/>
        <v>0.85970800000000003</v>
      </c>
      <c r="I2007" s="12" t="e">
        <f>ROUND(#REF!*1000000/G2007/H2007,-3)</f>
        <v>#REF!</v>
      </c>
      <c r="J2007" s="137"/>
      <c r="K2007" s="13"/>
    </row>
    <row r="2008" spans="1:11" ht="15" customHeight="1">
      <c r="A2008" s="816"/>
      <c r="B2008" s="804"/>
      <c r="C2008" s="33">
        <f t="shared" si="318"/>
        <v>140</v>
      </c>
      <c r="D2008" s="21" t="s">
        <v>1542</v>
      </c>
      <c r="E2008" s="25">
        <v>880000</v>
      </c>
      <c r="G2008" s="8">
        <v>140</v>
      </c>
      <c r="H2008" s="11">
        <f t="shared" si="317"/>
        <v>0.85970800000000003</v>
      </c>
      <c r="I2008" s="12" t="e">
        <f>ROUND(#REF!*1000000/G2008/H2008,-3)</f>
        <v>#REF!</v>
      </c>
      <c r="J2008" s="137"/>
      <c r="K2008" s="13"/>
    </row>
    <row r="2009" spans="1:11" ht="15" customHeight="1">
      <c r="A2009" s="816"/>
      <c r="B2009" s="810" t="s">
        <v>216</v>
      </c>
      <c r="C2009" s="33">
        <v>140</v>
      </c>
      <c r="D2009" s="21"/>
      <c r="E2009" s="25">
        <v>0</v>
      </c>
      <c r="G2009" s="8">
        <v>140</v>
      </c>
      <c r="H2009" s="11"/>
      <c r="I2009" s="12"/>
      <c r="J2009" s="137"/>
      <c r="K2009" s="13"/>
    </row>
    <row r="2010" spans="1:11" ht="15" customHeight="1">
      <c r="A2010" s="817"/>
      <c r="B2010" s="810"/>
      <c r="C2010" s="33">
        <f>C2009</f>
        <v>140</v>
      </c>
      <c r="D2010" s="21"/>
      <c r="E2010" s="25">
        <v>0</v>
      </c>
      <c r="G2010" s="8"/>
      <c r="H2010" s="11"/>
      <c r="I2010" s="12"/>
      <c r="J2010" s="137"/>
      <c r="K2010" s="13"/>
    </row>
    <row r="2011" spans="1:11" ht="15" customHeight="1">
      <c r="A2011" s="811" t="s">
        <v>1543</v>
      </c>
      <c r="B2011" s="810" t="s">
        <v>218</v>
      </c>
      <c r="C2011" s="16">
        <v>54</v>
      </c>
      <c r="D2011" s="29"/>
      <c r="E2011" s="25">
        <v>140000</v>
      </c>
      <c r="G2011" s="8">
        <v>54</v>
      </c>
      <c r="H2011" s="11">
        <f t="shared" ref="H2011:H2023" si="319">0.788*1.091</f>
        <v>0.85970800000000003</v>
      </c>
      <c r="I2011" s="12" t="e">
        <f>ROUND(#REF!*1000000/G2011/H2011,-3)</f>
        <v>#REF!</v>
      </c>
      <c r="J2011" s="137">
        <v>110</v>
      </c>
      <c r="K2011" s="13"/>
    </row>
    <row r="2012" spans="1:11" ht="15" customHeight="1">
      <c r="A2012" s="811"/>
      <c r="B2012" s="810"/>
      <c r="C2012" s="16">
        <v>76</v>
      </c>
      <c r="D2012" s="29"/>
      <c r="E2012" s="25">
        <v>200000</v>
      </c>
      <c r="G2012" s="8">
        <v>76</v>
      </c>
      <c r="H2012" s="11">
        <f t="shared" si="319"/>
        <v>0.85970800000000003</v>
      </c>
      <c r="I2012" s="12" t="e">
        <f>ROUND(#REF!*1000000/G2012/H2012,-3)</f>
        <v>#REF!</v>
      </c>
      <c r="J2012" s="137">
        <v>150</v>
      </c>
      <c r="K2012" s="13"/>
    </row>
    <row r="2013" spans="1:11" ht="15" customHeight="1">
      <c r="A2013" s="813" t="s">
        <v>1544</v>
      </c>
      <c r="B2013" s="814" t="s">
        <v>22</v>
      </c>
      <c r="C2013" s="7">
        <v>116</v>
      </c>
      <c r="D2013" s="9" t="s">
        <v>2915</v>
      </c>
      <c r="E2013" s="148">
        <v>605000</v>
      </c>
      <c r="G2013" s="8">
        <v>116</v>
      </c>
      <c r="H2013" s="11">
        <f t="shared" si="319"/>
        <v>0.85970800000000003</v>
      </c>
      <c r="I2013" s="12" t="e">
        <f>ROUND(#REF!*1000000/G2013/H2013,-3)</f>
        <v>#REF!</v>
      </c>
      <c r="J2013" s="137"/>
      <c r="K2013" s="13"/>
    </row>
    <row r="2014" spans="1:11" ht="15" customHeight="1">
      <c r="A2014" s="816"/>
      <c r="B2014" s="804"/>
      <c r="C2014" s="7">
        <f t="shared" ref="C2014:C2020" si="320">C2013</f>
        <v>116</v>
      </c>
      <c r="D2014" s="9" t="s">
        <v>2916</v>
      </c>
      <c r="E2014" s="148">
        <v>645000</v>
      </c>
      <c r="G2014" s="8">
        <v>116</v>
      </c>
      <c r="H2014" s="11">
        <f t="shared" si="319"/>
        <v>0.85970800000000003</v>
      </c>
      <c r="I2014" s="12" t="e">
        <f>ROUND(#REF!*1000000/G2014/H2014,-3)</f>
        <v>#REF!</v>
      </c>
      <c r="J2014" s="137"/>
      <c r="K2014" s="13"/>
    </row>
    <row r="2015" spans="1:11" ht="15" customHeight="1">
      <c r="A2015" s="816"/>
      <c r="B2015" s="804"/>
      <c r="C2015" s="7">
        <f t="shared" si="320"/>
        <v>116</v>
      </c>
      <c r="D2015" s="9" t="s">
        <v>1545</v>
      </c>
      <c r="E2015" s="148">
        <v>725000</v>
      </c>
      <c r="G2015" s="8">
        <v>116</v>
      </c>
      <c r="H2015" s="11">
        <f t="shared" si="319"/>
        <v>0.85970800000000003</v>
      </c>
      <c r="I2015" s="12" t="e">
        <f>ROUND(#REF!*1000000/G2015/H2015,-3)</f>
        <v>#REF!</v>
      </c>
      <c r="J2015" s="137"/>
      <c r="K2015" s="13"/>
    </row>
    <row r="2016" spans="1:11" ht="15" customHeight="1">
      <c r="A2016" s="816"/>
      <c r="B2016" s="804"/>
      <c r="C2016" s="33">
        <f t="shared" si="320"/>
        <v>116</v>
      </c>
      <c r="D2016" s="9" t="s">
        <v>2917</v>
      </c>
      <c r="E2016" s="148">
        <v>605000</v>
      </c>
      <c r="G2016" s="8">
        <v>116</v>
      </c>
      <c r="H2016" s="11">
        <f t="shared" si="319"/>
        <v>0.85970800000000003</v>
      </c>
      <c r="I2016" s="12" t="e">
        <f>ROUND(#REF!*1000000/G2016/H2016,-3)</f>
        <v>#REF!</v>
      </c>
      <c r="J2016" s="137"/>
      <c r="K2016" s="13"/>
    </row>
    <row r="2017" spans="1:11" ht="15" customHeight="1">
      <c r="A2017" s="816"/>
      <c r="B2017" s="804"/>
      <c r="C2017" s="33">
        <f t="shared" si="320"/>
        <v>116</v>
      </c>
      <c r="D2017" s="9" t="s">
        <v>2918</v>
      </c>
      <c r="E2017" s="148">
        <v>725000</v>
      </c>
      <c r="G2017" s="8">
        <v>116</v>
      </c>
      <c r="H2017" s="11">
        <f t="shared" si="319"/>
        <v>0.85970800000000003</v>
      </c>
      <c r="I2017" s="12" t="e">
        <f>ROUND(#REF!*1000000/G2017/H2017,-3)</f>
        <v>#REF!</v>
      </c>
      <c r="J2017" s="137"/>
      <c r="K2017" s="13"/>
    </row>
    <row r="2018" spans="1:11" ht="15" customHeight="1">
      <c r="A2018" s="816"/>
      <c r="B2018" s="804"/>
      <c r="C2018" s="33">
        <f t="shared" si="320"/>
        <v>116</v>
      </c>
      <c r="D2018" s="21" t="s">
        <v>2919</v>
      </c>
      <c r="E2018" s="214">
        <v>525000</v>
      </c>
      <c r="G2018" s="8">
        <v>116</v>
      </c>
      <c r="H2018" s="11">
        <f t="shared" si="319"/>
        <v>0.85970800000000003</v>
      </c>
      <c r="I2018" s="12" t="e">
        <f>ROUND(#REF!*1000000/G2018/H2018,-3)</f>
        <v>#REF!</v>
      </c>
      <c r="J2018" s="137"/>
      <c r="K2018" s="13"/>
    </row>
    <row r="2019" spans="1:11" ht="15" customHeight="1">
      <c r="A2019" s="816"/>
      <c r="B2019" s="804"/>
      <c r="C2019" s="33">
        <f t="shared" si="320"/>
        <v>116</v>
      </c>
      <c r="D2019" s="21" t="s">
        <v>2920</v>
      </c>
      <c r="E2019" s="214">
        <v>560000</v>
      </c>
      <c r="G2019" s="8">
        <v>116</v>
      </c>
      <c r="H2019" s="11">
        <f t="shared" si="319"/>
        <v>0.85970800000000003</v>
      </c>
      <c r="I2019" s="12" t="e">
        <f>ROUND(#REF!*1000000/G2019/H2019,-3)</f>
        <v>#REF!</v>
      </c>
      <c r="J2019" s="137"/>
      <c r="K2019" s="13"/>
    </row>
    <row r="2020" spans="1:11" ht="15" customHeight="1">
      <c r="A2020" s="816"/>
      <c r="B2020" s="804"/>
      <c r="C2020" s="33">
        <f t="shared" si="320"/>
        <v>116</v>
      </c>
      <c r="D2020" s="21" t="s">
        <v>1546</v>
      </c>
      <c r="E2020" s="214">
        <v>630000</v>
      </c>
      <c r="G2020" s="8">
        <v>116</v>
      </c>
      <c r="H2020" s="11">
        <f t="shared" si="319"/>
        <v>0.85970800000000003</v>
      </c>
      <c r="I2020" s="12" t="e">
        <f>ROUND(#REF!*1000000/G2020/H2020,-3)</f>
        <v>#REF!</v>
      </c>
      <c r="J2020" s="137"/>
      <c r="K2020" s="13"/>
    </row>
    <row r="2021" spans="1:11" ht="15" customHeight="1">
      <c r="A2021" s="817"/>
      <c r="B2021" s="805"/>
      <c r="C2021" s="20">
        <v>151</v>
      </c>
      <c r="D2021" s="21" t="s">
        <v>1547</v>
      </c>
      <c r="E2021" s="214">
        <v>710000</v>
      </c>
      <c r="G2021" s="8">
        <v>151</v>
      </c>
      <c r="H2021" s="11">
        <f t="shared" si="319"/>
        <v>0.85970800000000003</v>
      </c>
      <c r="I2021" s="12" t="e">
        <f>ROUND(#REF!*1000000/G2021/H2021,-3)</f>
        <v>#REF!</v>
      </c>
      <c r="J2021" s="137"/>
      <c r="K2021" s="13"/>
    </row>
    <row r="2022" spans="1:11" ht="15" customHeight="1">
      <c r="A2022" s="810" t="s">
        <v>1548</v>
      </c>
      <c r="B2022" s="810" t="s">
        <v>343</v>
      </c>
      <c r="C2022" s="33">
        <v>82</v>
      </c>
      <c r="D2022" s="21"/>
      <c r="E2022" s="214">
        <v>112500</v>
      </c>
      <c r="G2022" s="8">
        <v>82</v>
      </c>
      <c r="H2022" s="11">
        <f t="shared" si="319"/>
        <v>0.85970800000000003</v>
      </c>
      <c r="I2022" s="12" t="e">
        <f>ROUND(#REF!*1000000/G2022/H2022,-3)</f>
        <v>#REF!</v>
      </c>
      <c r="J2022" s="137"/>
      <c r="K2022" s="13"/>
    </row>
    <row r="2023" spans="1:11" ht="15" customHeight="1">
      <c r="A2023" s="810"/>
      <c r="B2023" s="810"/>
      <c r="C2023" s="33">
        <v>128</v>
      </c>
      <c r="D2023" s="21"/>
      <c r="E2023" s="214">
        <v>165000</v>
      </c>
      <c r="G2023" s="8">
        <v>128</v>
      </c>
      <c r="H2023" s="11">
        <f t="shared" si="319"/>
        <v>0.85970800000000003</v>
      </c>
      <c r="I2023" s="12" t="e">
        <f>ROUND(#REF!*1000000/G2023/H2023,-3)</f>
        <v>#REF!</v>
      </c>
      <c r="J2023" s="137"/>
      <c r="K2023" s="13"/>
    </row>
    <row r="2024" spans="1:11" ht="15" customHeight="1">
      <c r="A2024" s="810"/>
      <c r="B2024" s="7" t="s">
        <v>28</v>
      </c>
      <c r="C2024" s="33">
        <v>82</v>
      </c>
      <c r="D2024" s="21"/>
      <c r="E2024" s="214">
        <v>77500</v>
      </c>
      <c r="G2024" s="8">
        <v>82</v>
      </c>
      <c r="H2024" s="11">
        <f t="shared" ref="H2024" si="321">0.636*0.939</f>
        <v>0.59720399999999996</v>
      </c>
      <c r="I2024" s="12" t="e">
        <f>ROUND(#REF!*1000000/G2024/H2024,-3)</f>
        <v>#REF!</v>
      </c>
      <c r="J2024" s="137"/>
      <c r="K2024" s="13"/>
    </row>
    <row r="2025" spans="1:11" ht="15" customHeight="1">
      <c r="A2025" s="814" t="s">
        <v>1549</v>
      </c>
      <c r="B2025" s="7" t="s">
        <v>1550</v>
      </c>
      <c r="C2025" s="20">
        <v>280</v>
      </c>
      <c r="D2025" s="21"/>
      <c r="E2025" s="214">
        <v>230000</v>
      </c>
      <c r="G2025" s="8">
        <v>280</v>
      </c>
      <c r="H2025" s="11">
        <f>0.94*0.64</f>
        <v>0.60160000000000002</v>
      </c>
      <c r="I2025" s="12" t="e">
        <f>ROUND(#REF!*1000000/G2025/H2025,-3)</f>
        <v>#REF!</v>
      </c>
      <c r="J2025" s="137"/>
      <c r="K2025" s="13"/>
    </row>
    <row r="2026" spans="1:11" ht="15" customHeight="1">
      <c r="A2026" s="805"/>
      <c r="B2026" s="7" t="s">
        <v>1551</v>
      </c>
      <c r="C2026" s="20">
        <v>350</v>
      </c>
      <c r="D2026" s="21"/>
      <c r="E2026" s="25">
        <v>415000</v>
      </c>
      <c r="G2026" s="8">
        <v>350</v>
      </c>
      <c r="H2026" s="11">
        <f>0.79*1.091</f>
        <v>0.86189000000000004</v>
      </c>
      <c r="I2026" s="12" t="e">
        <f>ROUND(#REF!*1000000/G2026/H2026,-3)</f>
        <v>#REF!</v>
      </c>
      <c r="J2026" s="137"/>
      <c r="K2026" s="13"/>
    </row>
    <row r="2027" spans="1:11" ht="15" customHeight="1">
      <c r="A2027" s="811" t="s">
        <v>1552</v>
      </c>
      <c r="B2027" s="810" t="s">
        <v>218</v>
      </c>
      <c r="C2027" s="33">
        <v>79.599999999999994</v>
      </c>
      <c r="D2027" s="21" t="s">
        <v>1553</v>
      </c>
      <c r="E2027" s="25">
        <v>895000</v>
      </c>
      <c r="G2027" s="34">
        <v>79.599999999999994</v>
      </c>
      <c r="H2027" s="11">
        <f t="shared" ref="H2027:H2034" si="322">0.788*1.091</f>
        <v>0.85970800000000003</v>
      </c>
      <c r="I2027" s="12" t="e">
        <f>ROUND(#REF!*1000000/G2027/H2027,-3)</f>
        <v>#REF!</v>
      </c>
      <c r="J2027" s="137"/>
      <c r="K2027" s="13"/>
    </row>
    <row r="2028" spans="1:11" ht="15" customHeight="1">
      <c r="A2028" s="811"/>
      <c r="B2028" s="810"/>
      <c r="C2028" s="33">
        <f t="shared" ref="C2028:C2029" si="323">C2027</f>
        <v>79.599999999999994</v>
      </c>
      <c r="D2028" s="21" t="s">
        <v>1554</v>
      </c>
      <c r="E2028" s="25">
        <v>990000</v>
      </c>
      <c r="G2028" s="34">
        <v>79.599999999999994</v>
      </c>
      <c r="H2028" s="11">
        <f t="shared" si="322"/>
        <v>0.85970800000000003</v>
      </c>
      <c r="I2028" s="12" t="e">
        <f>ROUND(#REF!*1000000/G2028/H2028,-3)</f>
        <v>#REF!</v>
      </c>
      <c r="J2028" s="137"/>
      <c r="K2028" s="13"/>
    </row>
    <row r="2029" spans="1:11" ht="15" customHeight="1">
      <c r="A2029" s="811"/>
      <c r="B2029" s="810"/>
      <c r="C2029" s="33">
        <f t="shared" si="323"/>
        <v>79.599999999999994</v>
      </c>
      <c r="D2029" s="21" t="s">
        <v>1555</v>
      </c>
      <c r="E2029" s="25">
        <v>1065000</v>
      </c>
      <c r="G2029" s="34">
        <v>79.599999999999994</v>
      </c>
      <c r="H2029" s="11">
        <f t="shared" si="322"/>
        <v>0.85970800000000003</v>
      </c>
      <c r="I2029" s="12" t="e">
        <f>ROUND(#REF!*1000000/G2029/H2029,-3)</f>
        <v>#REF!</v>
      </c>
      <c r="J2029" s="137"/>
      <c r="K2029" s="13"/>
    </row>
    <row r="2030" spans="1:11" ht="15" customHeight="1">
      <c r="A2030" s="811"/>
      <c r="B2030" s="810"/>
      <c r="C2030" s="33">
        <v>120</v>
      </c>
      <c r="D2030" s="21" t="s">
        <v>1556</v>
      </c>
      <c r="E2030" s="25">
        <v>1350000</v>
      </c>
      <c r="G2030" s="8">
        <v>120</v>
      </c>
      <c r="H2030" s="11">
        <f t="shared" si="322"/>
        <v>0.85970800000000003</v>
      </c>
      <c r="I2030" s="12" t="e">
        <f>ROUND(#REF!*1000000/G2030/H2030,-3)</f>
        <v>#REF!</v>
      </c>
      <c r="J2030" s="137"/>
      <c r="K2030" s="13"/>
    </row>
    <row r="2031" spans="1:11" ht="15" customHeight="1">
      <c r="A2031" s="809" t="s">
        <v>1557</v>
      </c>
      <c r="B2031" s="809" t="s">
        <v>218</v>
      </c>
      <c r="C2031" s="33">
        <v>52</v>
      </c>
      <c r="D2031" s="21" t="s">
        <v>1558</v>
      </c>
      <c r="E2031" s="214">
        <v>210000</v>
      </c>
      <c r="G2031" s="8"/>
      <c r="H2031" s="11"/>
      <c r="I2031" s="12"/>
      <c r="J2031" s="137"/>
      <c r="K2031" s="13"/>
    </row>
    <row r="2032" spans="1:11" ht="15" customHeight="1">
      <c r="A2032" s="804"/>
      <c r="B2032" s="805"/>
      <c r="C2032" s="33">
        <f>C2031</f>
        <v>52</v>
      </c>
      <c r="D2032" s="21" t="s">
        <v>1559</v>
      </c>
      <c r="E2032" s="214">
        <v>200000</v>
      </c>
      <c r="G2032" s="8"/>
      <c r="H2032" s="11"/>
      <c r="I2032" s="12"/>
      <c r="J2032" s="137"/>
      <c r="K2032" s="13"/>
    </row>
    <row r="2033" spans="1:11" ht="15" customHeight="1">
      <c r="A2033" s="804"/>
      <c r="B2033" s="7" t="s">
        <v>336</v>
      </c>
      <c r="C2033" s="33">
        <v>52</v>
      </c>
      <c r="D2033" s="21" t="s">
        <v>1558</v>
      </c>
      <c r="E2033" s="214">
        <v>146000</v>
      </c>
      <c r="G2033" s="8">
        <v>52</v>
      </c>
      <c r="H2033" s="11">
        <f t="shared" si="322"/>
        <v>0.85970800000000003</v>
      </c>
      <c r="I2033" s="12" t="e">
        <f>ROUND(#REF!*1000000/G2033/H2033,-3)</f>
        <v>#REF!</v>
      </c>
      <c r="J2033" s="137"/>
      <c r="K2033" s="13"/>
    </row>
    <row r="2034" spans="1:11" ht="15" customHeight="1">
      <c r="A2034" s="805"/>
      <c r="B2034" s="7" t="s">
        <v>734</v>
      </c>
      <c r="C2034" s="33">
        <v>52</v>
      </c>
      <c r="D2034" s="21" t="s">
        <v>1559</v>
      </c>
      <c r="E2034" s="214">
        <v>139000</v>
      </c>
      <c r="G2034" s="8">
        <v>52</v>
      </c>
      <c r="H2034" s="11">
        <f t="shared" si="322"/>
        <v>0.85970800000000003</v>
      </c>
      <c r="I2034" s="12" t="e">
        <f>ROUND(#REF!*1000000/G2034/H2034,-3)</f>
        <v>#REF!</v>
      </c>
      <c r="J2034" s="137"/>
      <c r="K2034" s="13"/>
    </row>
    <row r="2035" spans="1:11" s="1" customFormat="1" ht="15" customHeight="1">
      <c r="A2035" s="818" t="s">
        <v>4901</v>
      </c>
      <c r="B2035" s="809" t="s">
        <v>20</v>
      </c>
      <c r="C2035" s="14">
        <v>260</v>
      </c>
      <c r="D2035" s="9"/>
      <c r="E2035" s="213">
        <v>680000</v>
      </c>
      <c r="G2035" s="8">
        <v>105</v>
      </c>
      <c r="H2035" s="11">
        <f t="shared" ref="H2035:H2046" si="324">1.091*0.788</f>
        <v>0.85970800000000003</v>
      </c>
      <c r="I2035" s="12" t="e">
        <f>ROUND(#REF!*1000000/G2035/H2035,-3)</f>
        <v>#REF!</v>
      </c>
      <c r="J2035" s="137"/>
      <c r="K2035" s="13"/>
    </row>
    <row r="2036" spans="1:11" s="1" customFormat="1" ht="15" customHeight="1">
      <c r="A2036" s="804"/>
      <c r="B2036" s="804"/>
      <c r="C2036" s="14">
        <v>310</v>
      </c>
      <c r="D2036" s="9"/>
      <c r="E2036" s="213">
        <v>810000</v>
      </c>
      <c r="G2036" s="8">
        <v>105</v>
      </c>
      <c r="H2036" s="11">
        <f t="shared" si="324"/>
        <v>0.85970800000000003</v>
      </c>
      <c r="I2036" s="12" t="e">
        <f>ROUND(#REF!*1000000/G2036/H2036,-3)</f>
        <v>#REF!</v>
      </c>
      <c r="J2036" s="137"/>
      <c r="K2036" s="13"/>
    </row>
    <row r="2037" spans="1:11" s="1" customFormat="1" ht="15" customHeight="1">
      <c r="A2037" s="804"/>
      <c r="B2037" s="805"/>
      <c r="C2037" s="14">
        <v>370</v>
      </c>
      <c r="D2037" s="9"/>
      <c r="E2037" s="213">
        <v>970000</v>
      </c>
      <c r="G2037" s="8"/>
      <c r="H2037" s="11"/>
      <c r="I2037" s="12"/>
      <c r="J2037" s="137"/>
      <c r="K2037" s="13"/>
    </row>
    <row r="2038" spans="1:11" s="1" customFormat="1" ht="15" customHeight="1">
      <c r="A2038" s="804"/>
      <c r="B2038" s="809" t="s">
        <v>2921</v>
      </c>
      <c r="C2038" s="14">
        <v>260</v>
      </c>
      <c r="D2038" s="9"/>
      <c r="E2038" s="213">
        <v>475000</v>
      </c>
      <c r="G2038" s="8"/>
      <c r="H2038" s="11"/>
      <c r="I2038" s="12"/>
      <c r="J2038" s="137"/>
      <c r="K2038" s="13"/>
    </row>
    <row r="2039" spans="1:11" s="1" customFormat="1" ht="15" customHeight="1">
      <c r="A2039" s="804"/>
      <c r="B2039" s="804"/>
      <c r="C2039" s="14">
        <v>310</v>
      </c>
      <c r="D2039" s="9"/>
      <c r="E2039" s="213">
        <v>570000</v>
      </c>
      <c r="G2039" s="8"/>
      <c r="H2039" s="11"/>
      <c r="I2039" s="12"/>
      <c r="J2039" s="137"/>
      <c r="K2039" s="13"/>
    </row>
    <row r="2040" spans="1:11" s="1" customFormat="1" ht="15" customHeight="1">
      <c r="A2040" s="804"/>
      <c r="B2040" s="805"/>
      <c r="C2040" s="14">
        <v>370</v>
      </c>
      <c r="D2040" s="9"/>
      <c r="E2040" s="213">
        <v>680000</v>
      </c>
      <c r="G2040" s="8"/>
      <c r="H2040" s="11"/>
      <c r="I2040" s="12"/>
      <c r="J2040" s="137"/>
      <c r="K2040" s="13"/>
    </row>
    <row r="2041" spans="1:11" s="1" customFormat="1" ht="15" customHeight="1">
      <c r="A2041" s="811" t="s">
        <v>1560</v>
      </c>
      <c r="B2041" s="810" t="s">
        <v>218</v>
      </c>
      <c r="C2041" s="7">
        <v>105</v>
      </c>
      <c r="D2041" s="9" t="s">
        <v>1561</v>
      </c>
      <c r="E2041" s="213">
        <v>475000</v>
      </c>
      <c r="G2041" s="8"/>
      <c r="H2041" s="11"/>
      <c r="I2041" s="12"/>
      <c r="J2041" s="137"/>
      <c r="K2041" s="13"/>
    </row>
    <row r="2042" spans="1:11" s="1" customFormat="1" ht="15" customHeight="1">
      <c r="A2042" s="810"/>
      <c r="B2042" s="810"/>
      <c r="C2042" s="7">
        <f t="shared" ref="C2042:C2043" si="325">C2041</f>
        <v>105</v>
      </c>
      <c r="D2042" s="9" t="s">
        <v>1562</v>
      </c>
      <c r="E2042" s="213">
        <v>550000</v>
      </c>
      <c r="G2042" s="8"/>
      <c r="H2042" s="11"/>
      <c r="I2042" s="12"/>
      <c r="J2042" s="137"/>
      <c r="K2042" s="13"/>
    </row>
    <row r="2043" spans="1:11" s="1" customFormat="1" ht="15" customHeight="1">
      <c r="A2043" s="810"/>
      <c r="B2043" s="810"/>
      <c r="C2043" s="7">
        <f t="shared" si="325"/>
        <v>105</v>
      </c>
      <c r="D2043" s="9" t="s">
        <v>1563</v>
      </c>
      <c r="E2043" s="213">
        <v>680000</v>
      </c>
      <c r="G2043" s="8">
        <v>105</v>
      </c>
      <c r="H2043" s="11">
        <f t="shared" si="324"/>
        <v>0.85970800000000003</v>
      </c>
      <c r="I2043" s="12" t="e">
        <f>ROUND(#REF!*1000000/G2043/H2043,-3)</f>
        <v>#REF!</v>
      </c>
      <c r="J2043" s="137"/>
      <c r="K2043" s="13"/>
    </row>
    <row r="2044" spans="1:11" s="1" customFormat="1" ht="15" customHeight="1">
      <c r="A2044" s="810"/>
      <c r="B2044" s="810"/>
      <c r="C2044" s="7">
        <v>186</v>
      </c>
      <c r="D2044" s="9" t="s">
        <v>1561</v>
      </c>
      <c r="E2044" s="213">
        <v>845000</v>
      </c>
      <c r="G2044" s="8">
        <v>186</v>
      </c>
      <c r="H2044" s="11">
        <f t="shared" si="324"/>
        <v>0.85970800000000003</v>
      </c>
      <c r="I2044" s="12" t="e">
        <f>ROUND(#REF!*1000000/G2044/H2044,-3)</f>
        <v>#REF!</v>
      </c>
      <c r="J2044" s="137"/>
      <c r="K2044" s="13"/>
    </row>
    <row r="2045" spans="1:11" s="1" customFormat="1" ht="15" customHeight="1">
      <c r="A2045" s="810"/>
      <c r="B2045" s="810"/>
      <c r="C2045" s="7">
        <f t="shared" ref="C2045:C2046" si="326">C2044</f>
        <v>186</v>
      </c>
      <c r="D2045" s="9" t="s">
        <v>1562</v>
      </c>
      <c r="E2045" s="213">
        <v>975000</v>
      </c>
      <c r="G2045" s="8">
        <v>186</v>
      </c>
      <c r="H2045" s="11">
        <f t="shared" si="324"/>
        <v>0.85970800000000003</v>
      </c>
      <c r="I2045" s="12" t="e">
        <f>ROUND(#REF!*1000000/G2045/H2045,-3)</f>
        <v>#REF!</v>
      </c>
      <c r="J2045" s="137"/>
      <c r="K2045" s="13"/>
    </row>
    <row r="2046" spans="1:11" s="1" customFormat="1" ht="15" customHeight="1">
      <c r="A2046" s="810"/>
      <c r="B2046" s="810"/>
      <c r="C2046" s="7">
        <f t="shared" si="326"/>
        <v>186</v>
      </c>
      <c r="D2046" s="9" t="s">
        <v>1563</v>
      </c>
      <c r="E2046" s="213">
        <v>1205000</v>
      </c>
      <c r="G2046" s="8">
        <v>186</v>
      </c>
      <c r="H2046" s="11">
        <f t="shared" si="324"/>
        <v>0.85970800000000003</v>
      </c>
      <c r="I2046" s="12" t="e">
        <f>ROUND(#REF!*1000000/G2046/H2046,-3)</f>
        <v>#REF!</v>
      </c>
      <c r="J2046" s="137"/>
      <c r="K2046" s="13"/>
    </row>
    <row r="2047" spans="1:11" ht="15" customHeight="1">
      <c r="A2047" s="810" t="s">
        <v>1564</v>
      </c>
      <c r="B2047" s="810" t="s">
        <v>1565</v>
      </c>
      <c r="C2047" s="33">
        <v>120</v>
      </c>
      <c r="D2047" s="21" t="s">
        <v>1186</v>
      </c>
      <c r="E2047" s="25">
        <v>2050000</v>
      </c>
      <c r="G2047" s="8">
        <v>120</v>
      </c>
      <c r="H2047" s="11">
        <f>0.71*1.01</f>
        <v>0.71709999999999996</v>
      </c>
      <c r="I2047" s="12" t="e">
        <f>ROUND(#REF!*1000000/G2047/H2047,-3)</f>
        <v>#REF!</v>
      </c>
      <c r="J2047" s="137"/>
      <c r="K2047" s="13"/>
    </row>
    <row r="2048" spans="1:11" ht="15" customHeight="1">
      <c r="A2048" s="810"/>
      <c r="B2048" s="810"/>
      <c r="C2048" s="33">
        <v>290</v>
      </c>
      <c r="D2048" s="21" t="s">
        <v>1566</v>
      </c>
      <c r="E2048" s="25">
        <v>2100000</v>
      </c>
      <c r="G2048" s="8">
        <v>290</v>
      </c>
      <c r="H2048" s="11">
        <f>0.71*1.01</f>
        <v>0.71709999999999996</v>
      </c>
      <c r="I2048" s="12" t="e">
        <f>ROUND(#REF!*1000000/G2048/H2048,-3)</f>
        <v>#REF!</v>
      </c>
      <c r="J2048" s="137"/>
      <c r="K2048" s="13"/>
    </row>
    <row r="2049" spans="1:11" ht="15" customHeight="1">
      <c r="A2049" s="810"/>
      <c r="B2049" s="810"/>
      <c r="C2049" s="33">
        <f>C2048</f>
        <v>290</v>
      </c>
      <c r="D2049" s="21" t="s">
        <v>1567</v>
      </c>
      <c r="E2049" s="25">
        <v>2365000</v>
      </c>
      <c r="G2049" s="8">
        <v>290</v>
      </c>
      <c r="H2049" s="11">
        <f>0.71*1.01</f>
        <v>0.71709999999999996</v>
      </c>
      <c r="I2049" s="12" t="e">
        <f>ROUND(#REF!*1000000/G2049/H2049,-3)</f>
        <v>#REF!</v>
      </c>
      <c r="J2049" s="137"/>
      <c r="K2049" s="13"/>
    </row>
    <row r="2050" spans="1:11" s="1" customFormat="1" ht="15" customHeight="1">
      <c r="A2050" s="810" t="s">
        <v>1568</v>
      </c>
      <c r="B2050" s="810" t="s">
        <v>1569</v>
      </c>
      <c r="C2050" s="7">
        <v>120</v>
      </c>
      <c r="D2050" s="9" t="s">
        <v>1570</v>
      </c>
      <c r="E2050" s="211">
        <v>545000</v>
      </c>
      <c r="G2050" s="8">
        <v>120</v>
      </c>
      <c r="H2050" s="11">
        <f t="shared" ref="H2050:H2060" si="327">0.78*0.9</f>
        <v>0.70200000000000007</v>
      </c>
      <c r="I2050" s="12" t="e">
        <f>ROUND(#REF!*1000000/G2050/H2050,-3)</f>
        <v>#REF!</v>
      </c>
      <c r="J2050" s="137"/>
      <c r="K2050" s="13"/>
    </row>
    <row r="2051" spans="1:11" s="1" customFormat="1" ht="15" customHeight="1">
      <c r="A2051" s="810"/>
      <c r="B2051" s="810"/>
      <c r="C2051" s="7">
        <f t="shared" ref="C2051:C2060" si="328">C2050</f>
        <v>120</v>
      </c>
      <c r="D2051" s="9" t="s">
        <v>1571</v>
      </c>
      <c r="E2051" s="211">
        <v>555000</v>
      </c>
      <c r="G2051" s="8">
        <v>120</v>
      </c>
      <c r="H2051" s="11">
        <f t="shared" si="327"/>
        <v>0.70200000000000007</v>
      </c>
      <c r="I2051" s="12" t="e">
        <f>ROUND(#REF!*1000000/G2051/H2051,-3)</f>
        <v>#REF!</v>
      </c>
      <c r="J2051" s="137"/>
      <c r="K2051" s="13"/>
    </row>
    <row r="2052" spans="1:11" s="1" customFormat="1" ht="15" customHeight="1">
      <c r="A2052" s="810"/>
      <c r="B2052" s="810"/>
      <c r="C2052" s="7">
        <f t="shared" si="328"/>
        <v>120</v>
      </c>
      <c r="D2052" s="9" t="s">
        <v>1572</v>
      </c>
      <c r="E2052" s="211">
        <v>580000</v>
      </c>
      <c r="G2052" s="8">
        <v>120</v>
      </c>
      <c r="H2052" s="11">
        <f t="shared" si="327"/>
        <v>0.70200000000000007</v>
      </c>
      <c r="I2052" s="12" t="e">
        <f>ROUND(#REF!*1000000/G2052/H2052,-3)</f>
        <v>#REF!</v>
      </c>
      <c r="J2052" s="137"/>
      <c r="K2052" s="13"/>
    </row>
    <row r="2053" spans="1:11" s="1" customFormat="1" ht="15" customHeight="1">
      <c r="A2053" s="810"/>
      <c r="B2053" s="810"/>
      <c r="C2053" s="7">
        <f t="shared" si="328"/>
        <v>120</v>
      </c>
      <c r="D2053" s="9" t="s">
        <v>1573</v>
      </c>
      <c r="E2053" s="211">
        <v>585000</v>
      </c>
      <c r="G2053" s="8">
        <v>120</v>
      </c>
      <c r="H2053" s="11">
        <f t="shared" si="327"/>
        <v>0.70200000000000007</v>
      </c>
      <c r="I2053" s="12" t="e">
        <f>ROUND(#REF!*1000000/G2053/H2053,-3)</f>
        <v>#REF!</v>
      </c>
      <c r="J2053" s="137"/>
      <c r="K2053" s="13"/>
    </row>
    <row r="2054" spans="1:11" s="1" customFormat="1" ht="15" customHeight="1">
      <c r="A2054" s="810"/>
      <c r="B2054" s="810"/>
      <c r="C2054" s="7">
        <f t="shared" si="328"/>
        <v>120</v>
      </c>
      <c r="D2054" s="9" t="s">
        <v>1574</v>
      </c>
      <c r="E2054" s="211">
        <v>590000</v>
      </c>
      <c r="G2054" s="8">
        <v>120</v>
      </c>
      <c r="H2054" s="11">
        <f t="shared" si="327"/>
        <v>0.70200000000000007</v>
      </c>
      <c r="I2054" s="12" t="e">
        <f>ROUND(#REF!*1000000/G2054/H2054,-3)</f>
        <v>#REF!</v>
      </c>
      <c r="J2054" s="137"/>
      <c r="K2054" s="13"/>
    </row>
    <row r="2055" spans="1:11" s="1" customFormat="1" ht="15" customHeight="1">
      <c r="A2055" s="810"/>
      <c r="B2055" s="810"/>
      <c r="C2055" s="7">
        <f t="shared" si="328"/>
        <v>120</v>
      </c>
      <c r="D2055" s="9" t="s">
        <v>1575</v>
      </c>
      <c r="E2055" s="211">
        <v>595000</v>
      </c>
      <c r="G2055" s="8">
        <v>120</v>
      </c>
      <c r="H2055" s="11">
        <f t="shared" si="327"/>
        <v>0.70200000000000007</v>
      </c>
      <c r="I2055" s="12" t="e">
        <f>ROUND(#REF!*1000000/G2055/H2055,-3)</f>
        <v>#REF!</v>
      </c>
      <c r="J2055" s="137"/>
      <c r="K2055" s="13"/>
    </row>
    <row r="2056" spans="1:11" s="1" customFormat="1" ht="15" customHeight="1">
      <c r="A2056" s="810"/>
      <c r="B2056" s="810"/>
      <c r="C2056" s="7">
        <f t="shared" si="328"/>
        <v>120</v>
      </c>
      <c r="D2056" s="9" t="s">
        <v>1576</v>
      </c>
      <c r="E2056" s="211">
        <v>600000</v>
      </c>
      <c r="G2056" s="8">
        <v>120</v>
      </c>
      <c r="H2056" s="11">
        <f t="shared" si="327"/>
        <v>0.70200000000000007</v>
      </c>
      <c r="I2056" s="12" t="e">
        <f>ROUND(#REF!*1000000/G2056/H2056,-3)</f>
        <v>#REF!</v>
      </c>
      <c r="J2056" s="137"/>
      <c r="K2056" s="13"/>
    </row>
    <row r="2057" spans="1:11" s="1" customFormat="1" ht="15" customHeight="1">
      <c r="A2057" s="810"/>
      <c r="B2057" s="810"/>
      <c r="C2057" s="7">
        <f t="shared" si="328"/>
        <v>120</v>
      </c>
      <c r="D2057" s="9" t="s">
        <v>384</v>
      </c>
      <c r="E2057" s="211">
        <v>645000</v>
      </c>
      <c r="G2057" s="8">
        <v>120</v>
      </c>
      <c r="H2057" s="11">
        <f t="shared" si="327"/>
        <v>0.70200000000000007</v>
      </c>
      <c r="I2057" s="12" t="e">
        <f>ROUND(#REF!*1000000/G2057/H2057,-3)</f>
        <v>#REF!</v>
      </c>
      <c r="J2057" s="137"/>
      <c r="K2057" s="13"/>
    </row>
    <row r="2058" spans="1:11" s="1" customFormat="1" ht="15" customHeight="1">
      <c r="A2058" s="810"/>
      <c r="B2058" s="810"/>
      <c r="C2058" s="7">
        <f t="shared" si="328"/>
        <v>120</v>
      </c>
      <c r="D2058" s="9" t="s">
        <v>1577</v>
      </c>
      <c r="E2058" s="211">
        <v>655000</v>
      </c>
      <c r="G2058" s="8">
        <v>120</v>
      </c>
      <c r="H2058" s="11">
        <f t="shared" si="327"/>
        <v>0.70200000000000007</v>
      </c>
      <c r="I2058" s="12" t="e">
        <f>ROUND(#REF!*1000000/G2058/H2058,-3)</f>
        <v>#REF!</v>
      </c>
      <c r="J2058" s="137"/>
      <c r="K2058" s="13"/>
    </row>
    <row r="2059" spans="1:11" s="1" customFormat="1" ht="15" customHeight="1">
      <c r="A2059" s="810"/>
      <c r="B2059" s="810"/>
      <c r="C2059" s="7">
        <f t="shared" si="328"/>
        <v>120</v>
      </c>
      <c r="D2059" s="9" t="s">
        <v>1578</v>
      </c>
      <c r="E2059" s="211">
        <v>690000</v>
      </c>
      <c r="G2059" s="8">
        <v>120</v>
      </c>
      <c r="H2059" s="11">
        <f t="shared" si="327"/>
        <v>0.70200000000000007</v>
      </c>
      <c r="I2059" s="12" t="e">
        <f>ROUND(#REF!*1000000/G2059/H2059,-3)</f>
        <v>#REF!</v>
      </c>
      <c r="J2059" s="137"/>
      <c r="K2059" s="13"/>
    </row>
    <row r="2060" spans="1:11" s="1" customFormat="1" ht="15" customHeight="1">
      <c r="A2060" s="810"/>
      <c r="B2060" s="810"/>
      <c r="C2060" s="7">
        <f t="shared" si="328"/>
        <v>120</v>
      </c>
      <c r="D2060" s="9" t="s">
        <v>1579</v>
      </c>
      <c r="E2060" s="211">
        <v>715000</v>
      </c>
      <c r="G2060" s="8">
        <v>120</v>
      </c>
      <c r="H2060" s="11">
        <f t="shared" si="327"/>
        <v>0.70200000000000007</v>
      </c>
      <c r="I2060" s="12" t="e">
        <f>ROUND(#REF!*1000000/G2060/H2060,-3)</f>
        <v>#REF!</v>
      </c>
      <c r="J2060" s="137"/>
      <c r="K2060" s="13"/>
    </row>
    <row r="2061" spans="1:11" ht="15" customHeight="1">
      <c r="A2061" s="810"/>
      <c r="B2061" s="810" t="s">
        <v>520</v>
      </c>
      <c r="C2061" s="7">
        <v>120</v>
      </c>
      <c r="D2061" s="9" t="s">
        <v>1580</v>
      </c>
      <c r="E2061" s="25">
        <v>0</v>
      </c>
      <c r="G2061" s="8">
        <v>120</v>
      </c>
      <c r="H2061" s="11"/>
      <c r="I2061" s="12"/>
      <c r="J2061" s="137"/>
      <c r="K2061" s="13"/>
    </row>
    <row r="2062" spans="1:11" ht="15" customHeight="1">
      <c r="A2062" s="810"/>
      <c r="B2062" s="810"/>
      <c r="C2062" s="7">
        <f>C2061</f>
        <v>120</v>
      </c>
      <c r="D2062" s="9" t="s">
        <v>1581</v>
      </c>
      <c r="E2062" s="25">
        <v>0</v>
      </c>
      <c r="G2062" s="8"/>
      <c r="H2062" s="11"/>
      <c r="I2062" s="12"/>
      <c r="J2062" s="137"/>
      <c r="K2062" s="13"/>
    </row>
    <row r="2063" spans="1:11" ht="15" customHeight="1">
      <c r="A2063" s="811" t="s">
        <v>1582</v>
      </c>
      <c r="B2063" s="810" t="s">
        <v>1583</v>
      </c>
      <c r="C2063" s="33">
        <v>17</v>
      </c>
      <c r="D2063" s="21" t="s">
        <v>1584</v>
      </c>
      <c r="E2063" s="25">
        <v>32500</v>
      </c>
      <c r="G2063" s="8">
        <v>17</v>
      </c>
      <c r="H2063" s="11">
        <f t="shared" ref="H2063:H2069" si="329">0.76*0.51</f>
        <v>0.3876</v>
      </c>
      <c r="I2063" s="12" t="e">
        <f>ROUND(#REF!*1000000/G2063/H2063,-3)</f>
        <v>#REF!</v>
      </c>
      <c r="J2063" s="137"/>
      <c r="K2063" s="13"/>
    </row>
    <row r="2064" spans="1:11" ht="15" customHeight="1">
      <c r="A2064" s="811"/>
      <c r="B2064" s="810"/>
      <c r="C2064" s="33">
        <f>C2063</f>
        <v>17</v>
      </c>
      <c r="D2064" s="21" t="s">
        <v>1585</v>
      </c>
      <c r="E2064" s="25">
        <v>37500</v>
      </c>
      <c r="G2064" s="8">
        <v>17</v>
      </c>
      <c r="H2064" s="11">
        <f t="shared" si="329"/>
        <v>0.3876</v>
      </c>
      <c r="I2064" s="12" t="e">
        <f>ROUND(#REF!*1000000/G2064/H2064,-3)</f>
        <v>#REF!</v>
      </c>
      <c r="J2064" s="137"/>
      <c r="K2064" s="13"/>
    </row>
    <row r="2065" spans="1:11" ht="15" customHeight="1">
      <c r="A2065" s="811"/>
      <c r="B2065" s="814" t="s">
        <v>595</v>
      </c>
      <c r="C2065" s="20">
        <v>30</v>
      </c>
      <c r="D2065" s="21" t="s">
        <v>1586</v>
      </c>
      <c r="E2065" s="25">
        <v>60000</v>
      </c>
      <c r="G2065" s="8">
        <v>30</v>
      </c>
      <c r="H2065" s="11">
        <f>0.788*1.091</f>
        <v>0.85970800000000003</v>
      </c>
      <c r="I2065" s="12" t="e">
        <f>ROUND(#REF!*1000000/G2065/H2065,-3)</f>
        <v>#REF!</v>
      </c>
      <c r="J2065" s="137"/>
      <c r="K2065" s="13"/>
    </row>
    <row r="2066" spans="1:11" ht="15" customHeight="1">
      <c r="A2066" s="811"/>
      <c r="B2066" s="805"/>
      <c r="C2066" s="20">
        <v>32</v>
      </c>
      <c r="D2066" s="21" t="s">
        <v>1587</v>
      </c>
      <c r="E2066" s="25">
        <v>65000</v>
      </c>
      <c r="G2066" s="8">
        <v>32</v>
      </c>
      <c r="H2066" s="11">
        <f>0.788*1.091</f>
        <v>0.85970800000000003</v>
      </c>
      <c r="I2066" s="12" t="e">
        <f>ROUND(#REF!*1000000/G2066/H2066,-3)</f>
        <v>#REF!</v>
      </c>
      <c r="J2066" s="137"/>
      <c r="K2066" s="13"/>
    </row>
    <row r="2067" spans="1:11" ht="15" customHeight="1">
      <c r="A2067" s="811"/>
      <c r="B2067" s="810" t="s">
        <v>1588</v>
      </c>
      <c r="C2067" s="33">
        <v>25</v>
      </c>
      <c r="D2067" s="21" t="s">
        <v>1589</v>
      </c>
      <c r="E2067" s="25">
        <v>67500</v>
      </c>
      <c r="G2067" s="8">
        <v>25</v>
      </c>
      <c r="H2067" s="11">
        <f t="shared" si="329"/>
        <v>0.3876</v>
      </c>
      <c r="I2067" s="12" t="e">
        <f>ROUND(#REF!*1000000/G2067/H2067,-3)</f>
        <v>#REF!</v>
      </c>
      <c r="J2067" s="137"/>
      <c r="K2067" s="13"/>
    </row>
    <row r="2068" spans="1:11" ht="15" customHeight="1">
      <c r="A2068" s="811"/>
      <c r="B2068" s="810"/>
      <c r="C2068" s="33">
        <f t="shared" ref="C2068:C2069" si="330">C2067</f>
        <v>25</v>
      </c>
      <c r="D2068" s="21" t="s">
        <v>1590</v>
      </c>
      <c r="E2068" s="25">
        <v>72500</v>
      </c>
      <c r="G2068" s="8">
        <v>25</v>
      </c>
      <c r="H2068" s="11">
        <f t="shared" si="329"/>
        <v>0.3876</v>
      </c>
      <c r="I2068" s="12" t="e">
        <f>ROUND(#REF!*1000000/G2068/H2068,-3)</f>
        <v>#REF!</v>
      </c>
      <c r="J2068" s="137"/>
      <c r="K2068" s="13"/>
    </row>
    <row r="2069" spans="1:11" ht="15" customHeight="1">
      <c r="A2069" s="811"/>
      <c r="B2069" s="810"/>
      <c r="C2069" s="33">
        <f t="shared" si="330"/>
        <v>25</v>
      </c>
      <c r="D2069" s="21" t="s">
        <v>1591</v>
      </c>
      <c r="E2069" s="25">
        <v>80000</v>
      </c>
      <c r="G2069" s="8">
        <v>25</v>
      </c>
      <c r="H2069" s="11">
        <f t="shared" si="329"/>
        <v>0.3876</v>
      </c>
      <c r="I2069" s="12" t="e">
        <f>ROUND(#REF!*1000000/G2069/H2069,-3)</f>
        <v>#REF!</v>
      </c>
      <c r="J2069" s="137"/>
      <c r="K2069" s="13"/>
    </row>
    <row r="2070" spans="1:11" ht="15" customHeight="1">
      <c r="A2070" s="811"/>
      <c r="B2070" s="810" t="s">
        <v>28</v>
      </c>
      <c r="C2070" s="33">
        <v>19</v>
      </c>
      <c r="D2070" s="21" t="s">
        <v>1592</v>
      </c>
      <c r="E2070" s="25">
        <v>85000</v>
      </c>
      <c r="G2070" s="8">
        <v>19</v>
      </c>
      <c r="H2070" s="11">
        <f t="shared" ref="H2070:H2071" si="331">0.636*0.939</f>
        <v>0.59720399999999996</v>
      </c>
      <c r="I2070" s="12" t="e">
        <f>ROUND(#REF!*1000000/G2070/H2070,-3)</f>
        <v>#REF!</v>
      </c>
      <c r="J2070" s="137"/>
      <c r="K2070" s="13"/>
    </row>
    <row r="2071" spans="1:11" ht="15" customHeight="1">
      <c r="A2071" s="811"/>
      <c r="B2071" s="810"/>
      <c r="C2071" s="33">
        <f>C2070</f>
        <v>19</v>
      </c>
      <c r="D2071" s="21" t="s">
        <v>1593</v>
      </c>
      <c r="E2071" s="25">
        <v>95000</v>
      </c>
      <c r="G2071" s="8">
        <v>19</v>
      </c>
      <c r="H2071" s="11">
        <f t="shared" si="331"/>
        <v>0.59720399999999996</v>
      </c>
      <c r="I2071" s="12" t="e">
        <f>ROUND(#REF!*1000000/G2071/H2071,-3)</f>
        <v>#REF!</v>
      </c>
      <c r="J2071" s="137"/>
      <c r="K2071" s="13"/>
    </row>
    <row r="2072" spans="1:11" ht="15" customHeight="1">
      <c r="A2072" s="811"/>
      <c r="B2072" s="814" t="s">
        <v>1594</v>
      </c>
      <c r="C2072" s="20">
        <v>20</v>
      </c>
      <c r="D2072" s="21" t="s">
        <v>1595</v>
      </c>
      <c r="E2072" s="25">
        <v>67500</v>
      </c>
      <c r="G2072" s="8">
        <v>20</v>
      </c>
      <c r="H2072" s="11">
        <f t="shared" ref="H2072:H2073" si="332">0.788*0.545</f>
        <v>0.42946000000000006</v>
      </c>
      <c r="I2072" s="12" t="e">
        <f>ROUND(#REF!*1000000/G2072/H2072,-3)</f>
        <v>#REF!</v>
      </c>
      <c r="J2072" s="137"/>
      <c r="K2072" s="13"/>
    </row>
    <row r="2073" spans="1:11" ht="15" customHeight="1">
      <c r="A2073" s="811"/>
      <c r="B2073" s="805"/>
      <c r="C2073" s="33">
        <f>C2072</f>
        <v>20</v>
      </c>
      <c r="D2073" s="21" t="s">
        <v>1596</v>
      </c>
      <c r="E2073" s="25">
        <v>77500</v>
      </c>
      <c r="G2073" s="8">
        <v>20</v>
      </c>
      <c r="H2073" s="11">
        <f t="shared" si="332"/>
        <v>0.42946000000000006</v>
      </c>
      <c r="I2073" s="12" t="e">
        <f>ROUND(#REF!*1000000/G2073/H2073,-3)</f>
        <v>#REF!</v>
      </c>
      <c r="J2073" s="137"/>
      <c r="K2073" s="13"/>
    </row>
    <row r="2074" spans="1:11" ht="15" customHeight="1">
      <c r="A2074" s="812" t="s">
        <v>1597</v>
      </c>
      <c r="B2074" s="811" t="s">
        <v>218</v>
      </c>
      <c r="C2074" s="7">
        <v>116</v>
      </c>
      <c r="D2074" s="9" t="s">
        <v>1598</v>
      </c>
      <c r="E2074" s="25">
        <v>620000</v>
      </c>
      <c r="G2074" s="8">
        <v>116</v>
      </c>
      <c r="H2074" s="11">
        <f t="shared" ref="H2074:H2093" si="333">1.091*0.788</f>
        <v>0.85970800000000003</v>
      </c>
      <c r="I2074" s="12" t="e">
        <f>ROUND(#REF!*1000000/G2074/H2074,-3)</f>
        <v>#REF!</v>
      </c>
      <c r="J2074" s="137"/>
      <c r="K2074" s="13"/>
    </row>
    <row r="2075" spans="1:11" ht="15" customHeight="1">
      <c r="A2075" s="812"/>
      <c r="B2075" s="811"/>
      <c r="C2075" s="7">
        <f t="shared" ref="C2075:C2080" si="334">C2074</f>
        <v>116</v>
      </c>
      <c r="D2075" s="9" t="s">
        <v>1599</v>
      </c>
      <c r="E2075" s="25">
        <v>600000</v>
      </c>
      <c r="G2075" s="8">
        <v>116</v>
      </c>
      <c r="H2075" s="11">
        <f t="shared" si="333"/>
        <v>0.85970800000000003</v>
      </c>
      <c r="I2075" s="12" t="e">
        <f>ROUND(#REF!*1000000/G2075/H2075,-3)</f>
        <v>#REF!</v>
      </c>
      <c r="J2075" s="137"/>
      <c r="K2075" s="13"/>
    </row>
    <row r="2076" spans="1:11" ht="15" customHeight="1">
      <c r="A2076" s="812"/>
      <c r="B2076" s="811"/>
      <c r="C2076" s="7">
        <f t="shared" si="334"/>
        <v>116</v>
      </c>
      <c r="D2076" s="9" t="s">
        <v>1600</v>
      </c>
      <c r="E2076" s="25">
        <v>645000</v>
      </c>
      <c r="G2076" s="8">
        <v>116</v>
      </c>
      <c r="H2076" s="11">
        <f t="shared" si="333"/>
        <v>0.85970800000000003</v>
      </c>
      <c r="I2076" s="12" t="e">
        <f>ROUND(#REF!*1000000/G2076/H2076,-3)</f>
        <v>#REF!</v>
      </c>
      <c r="J2076" s="137"/>
      <c r="K2076" s="13"/>
    </row>
    <row r="2077" spans="1:11" ht="15" customHeight="1">
      <c r="A2077" s="812"/>
      <c r="B2077" s="811"/>
      <c r="C2077" s="7">
        <f t="shared" si="334"/>
        <v>116</v>
      </c>
      <c r="D2077" s="9" t="s">
        <v>1601</v>
      </c>
      <c r="E2077" s="25">
        <v>690000</v>
      </c>
      <c r="G2077" s="8">
        <v>116</v>
      </c>
      <c r="H2077" s="11">
        <f t="shared" si="333"/>
        <v>0.85970800000000003</v>
      </c>
      <c r="I2077" s="12" t="e">
        <f>ROUND(#REF!*1000000/G2077/H2077,-3)</f>
        <v>#REF!</v>
      </c>
      <c r="J2077" s="137"/>
      <c r="K2077" s="13"/>
    </row>
    <row r="2078" spans="1:11" ht="15" customHeight="1">
      <c r="A2078" s="812"/>
      <c r="B2078" s="811"/>
      <c r="C2078" s="7">
        <f t="shared" si="334"/>
        <v>116</v>
      </c>
      <c r="D2078" s="9" t="s">
        <v>1602</v>
      </c>
      <c r="E2078" s="25">
        <v>750000</v>
      </c>
      <c r="G2078" s="8">
        <v>116</v>
      </c>
      <c r="H2078" s="11">
        <f t="shared" si="333"/>
        <v>0.85970800000000003</v>
      </c>
      <c r="I2078" s="12" t="e">
        <f>ROUND(#REF!*1000000/G2078/H2078,-3)</f>
        <v>#REF!</v>
      </c>
      <c r="J2078" s="137"/>
      <c r="K2078" s="13"/>
    </row>
    <row r="2079" spans="1:11" ht="15" customHeight="1">
      <c r="A2079" s="812"/>
      <c r="B2079" s="811"/>
      <c r="C2079" s="7">
        <f t="shared" si="334"/>
        <v>116</v>
      </c>
      <c r="D2079" s="9" t="s">
        <v>1603</v>
      </c>
      <c r="E2079" s="25">
        <v>820000</v>
      </c>
      <c r="G2079" s="8">
        <v>116</v>
      </c>
      <c r="H2079" s="11">
        <f t="shared" si="333"/>
        <v>0.85970800000000003</v>
      </c>
      <c r="I2079" s="12" t="e">
        <f>ROUND(#REF!*1000000/G2079/H2079,-3)</f>
        <v>#REF!</v>
      </c>
      <c r="J2079" s="137"/>
      <c r="K2079" s="13"/>
    </row>
    <row r="2080" spans="1:11" ht="15" customHeight="1">
      <c r="A2080" s="812"/>
      <c r="B2080" s="811"/>
      <c r="C2080" s="7">
        <f t="shared" si="334"/>
        <v>116</v>
      </c>
      <c r="D2080" s="9" t="s">
        <v>1604</v>
      </c>
      <c r="E2080" s="25">
        <v>910000</v>
      </c>
      <c r="G2080" s="8">
        <v>116</v>
      </c>
      <c r="H2080" s="11">
        <f t="shared" si="333"/>
        <v>0.85970800000000003</v>
      </c>
      <c r="I2080" s="12" t="e">
        <f>ROUND(#REF!*1000000/G2080/H2080,-3)</f>
        <v>#REF!</v>
      </c>
      <c r="J2080" s="137"/>
      <c r="K2080" s="13"/>
    </row>
    <row r="2081" spans="1:11" ht="15" customHeight="1">
      <c r="A2081" s="812"/>
      <c r="B2081" s="811"/>
      <c r="C2081" s="7">
        <v>198</v>
      </c>
      <c r="D2081" s="9" t="s">
        <v>1598</v>
      </c>
      <c r="E2081" s="25">
        <v>1060000</v>
      </c>
      <c r="G2081" s="8">
        <v>198</v>
      </c>
      <c r="H2081" s="11">
        <f t="shared" si="333"/>
        <v>0.85970800000000003</v>
      </c>
      <c r="I2081" s="12" t="e">
        <f>ROUND(#REF!*1000000/G2081/H2081,-3)</f>
        <v>#REF!</v>
      </c>
      <c r="J2081" s="137"/>
      <c r="K2081" s="13"/>
    </row>
    <row r="2082" spans="1:11" ht="15" customHeight="1">
      <c r="A2082" s="812"/>
      <c r="B2082" s="811"/>
      <c r="C2082" s="7">
        <f t="shared" ref="C2082:C2087" si="335">C2081</f>
        <v>198</v>
      </c>
      <c r="D2082" s="9" t="s">
        <v>1599</v>
      </c>
      <c r="E2082" s="25">
        <v>1025000</v>
      </c>
      <c r="G2082" s="8">
        <v>198</v>
      </c>
      <c r="H2082" s="11">
        <f t="shared" si="333"/>
        <v>0.85970800000000003</v>
      </c>
      <c r="I2082" s="12" t="e">
        <f>ROUND(#REF!*1000000/G2082/H2082,-3)</f>
        <v>#REF!</v>
      </c>
      <c r="J2082" s="137"/>
      <c r="K2082" s="13"/>
    </row>
    <row r="2083" spans="1:11" ht="15" customHeight="1">
      <c r="A2083" s="812"/>
      <c r="B2083" s="811"/>
      <c r="C2083" s="7">
        <f t="shared" si="335"/>
        <v>198</v>
      </c>
      <c r="D2083" s="9" t="s">
        <v>1600</v>
      </c>
      <c r="E2083" s="25">
        <v>1100000</v>
      </c>
      <c r="G2083" s="8">
        <v>198</v>
      </c>
      <c r="H2083" s="11">
        <f t="shared" si="333"/>
        <v>0.85970800000000003</v>
      </c>
      <c r="I2083" s="12" t="e">
        <f>ROUND(#REF!*1000000/G2083/H2083,-3)</f>
        <v>#REF!</v>
      </c>
      <c r="J2083" s="137"/>
      <c r="K2083" s="13"/>
    </row>
    <row r="2084" spans="1:11" ht="15" customHeight="1">
      <c r="A2084" s="812"/>
      <c r="B2084" s="811"/>
      <c r="C2084" s="7">
        <f t="shared" si="335"/>
        <v>198</v>
      </c>
      <c r="D2084" s="9" t="s">
        <v>1601</v>
      </c>
      <c r="E2084" s="25">
        <v>1175000</v>
      </c>
      <c r="G2084" s="8">
        <v>198</v>
      </c>
      <c r="H2084" s="11">
        <f t="shared" si="333"/>
        <v>0.85970800000000003</v>
      </c>
      <c r="I2084" s="12" t="e">
        <f>ROUND(#REF!*1000000/G2084/H2084,-3)</f>
        <v>#REF!</v>
      </c>
      <c r="J2084" s="137"/>
      <c r="K2084" s="13"/>
    </row>
    <row r="2085" spans="1:11" ht="15" customHeight="1">
      <c r="A2085" s="812"/>
      <c r="B2085" s="811"/>
      <c r="C2085" s="7">
        <f t="shared" si="335"/>
        <v>198</v>
      </c>
      <c r="D2085" s="9" t="s">
        <v>1602</v>
      </c>
      <c r="E2085" s="25">
        <v>1280000</v>
      </c>
      <c r="G2085" s="8">
        <v>198</v>
      </c>
      <c r="H2085" s="11">
        <f t="shared" si="333"/>
        <v>0.85970800000000003</v>
      </c>
      <c r="I2085" s="12" t="e">
        <f>ROUND(#REF!*1000000/G2085/H2085,-3)</f>
        <v>#REF!</v>
      </c>
      <c r="J2085" s="137"/>
      <c r="K2085" s="13"/>
    </row>
    <row r="2086" spans="1:11" ht="15" customHeight="1">
      <c r="A2086" s="812"/>
      <c r="B2086" s="811"/>
      <c r="C2086" s="7">
        <f t="shared" si="335"/>
        <v>198</v>
      </c>
      <c r="D2086" s="9" t="s">
        <v>1603</v>
      </c>
      <c r="E2086" s="25">
        <v>1400000</v>
      </c>
      <c r="G2086" s="8">
        <v>198</v>
      </c>
      <c r="H2086" s="11">
        <f t="shared" si="333"/>
        <v>0.85970800000000003</v>
      </c>
      <c r="I2086" s="12" t="e">
        <f>ROUND(#REF!*1000000/G2086/H2086,-3)</f>
        <v>#REF!</v>
      </c>
      <c r="J2086" s="137"/>
      <c r="K2086" s="13"/>
    </row>
    <row r="2087" spans="1:11" ht="15" customHeight="1">
      <c r="A2087" s="812"/>
      <c r="B2087" s="811"/>
      <c r="C2087" s="7">
        <f t="shared" si="335"/>
        <v>198</v>
      </c>
      <c r="D2087" s="9" t="s">
        <v>1604</v>
      </c>
      <c r="E2087" s="25">
        <v>1550000</v>
      </c>
      <c r="G2087" s="8">
        <v>198</v>
      </c>
      <c r="H2087" s="11">
        <f t="shared" si="333"/>
        <v>0.85970800000000003</v>
      </c>
      <c r="I2087" s="12" t="e">
        <f>ROUND(#REF!*1000000/G2087/H2087,-3)</f>
        <v>#REF!</v>
      </c>
      <c r="J2087" s="137"/>
      <c r="K2087" s="13"/>
    </row>
    <row r="2088" spans="1:11" ht="15" customHeight="1">
      <c r="A2088" s="812"/>
      <c r="B2088" s="811"/>
      <c r="C2088" s="7">
        <v>244</v>
      </c>
      <c r="D2088" s="9" t="s">
        <v>1598</v>
      </c>
      <c r="E2088" s="25">
        <v>1305000</v>
      </c>
      <c r="G2088" s="8">
        <v>244</v>
      </c>
      <c r="H2088" s="11">
        <f t="shared" si="333"/>
        <v>0.85970800000000003</v>
      </c>
      <c r="I2088" s="12" t="e">
        <f>ROUND(#REF!*1000000/G2088/H2088,-3)</f>
        <v>#REF!</v>
      </c>
      <c r="J2088" s="137"/>
      <c r="K2088" s="13"/>
    </row>
    <row r="2089" spans="1:11" ht="15" customHeight="1">
      <c r="A2089" s="812"/>
      <c r="B2089" s="811"/>
      <c r="C2089" s="7">
        <f t="shared" ref="C2089:C2092" si="336">C2088</f>
        <v>244</v>
      </c>
      <c r="D2089" s="9" t="s">
        <v>1605</v>
      </c>
      <c r="E2089" s="25">
        <v>1265000</v>
      </c>
      <c r="G2089" s="8">
        <v>244</v>
      </c>
      <c r="H2089" s="11">
        <f t="shared" si="333"/>
        <v>0.85970800000000003</v>
      </c>
      <c r="I2089" s="12" t="e">
        <f>ROUND(#REF!*1000000/G2089/H2089,-3)</f>
        <v>#REF!</v>
      </c>
      <c r="J2089" s="137"/>
      <c r="K2089" s="13"/>
    </row>
    <row r="2090" spans="1:11" ht="15" customHeight="1">
      <c r="A2090" s="812"/>
      <c r="B2090" s="811"/>
      <c r="C2090" s="7">
        <f t="shared" si="336"/>
        <v>244</v>
      </c>
      <c r="D2090" s="9" t="s">
        <v>1606</v>
      </c>
      <c r="E2090" s="25">
        <v>1355000</v>
      </c>
      <c r="G2090" s="8">
        <v>244</v>
      </c>
      <c r="H2090" s="11">
        <f t="shared" si="333"/>
        <v>0.85970800000000003</v>
      </c>
      <c r="I2090" s="12" t="e">
        <f>ROUND(#REF!*1000000/G2090/H2090,-3)</f>
        <v>#REF!</v>
      </c>
      <c r="J2090" s="137"/>
      <c r="K2090" s="13"/>
    </row>
    <row r="2091" spans="1:11" ht="15" customHeight="1">
      <c r="A2091" s="812"/>
      <c r="B2091" s="811"/>
      <c r="C2091" s="7">
        <f t="shared" si="336"/>
        <v>244</v>
      </c>
      <c r="D2091" s="9" t="s">
        <v>1607</v>
      </c>
      <c r="E2091" s="25">
        <v>1575000</v>
      </c>
      <c r="G2091" s="8">
        <v>244</v>
      </c>
      <c r="H2091" s="11">
        <f t="shared" si="333"/>
        <v>0.85970800000000003</v>
      </c>
      <c r="I2091" s="12" t="e">
        <f>ROUND(#REF!*1000000/G2091/H2091,-3)</f>
        <v>#REF!</v>
      </c>
      <c r="J2091" s="137"/>
      <c r="K2091" s="13"/>
    </row>
    <row r="2092" spans="1:11" ht="15" customHeight="1">
      <c r="A2092" s="812"/>
      <c r="B2092" s="811"/>
      <c r="C2092" s="7">
        <f t="shared" si="336"/>
        <v>244</v>
      </c>
      <c r="D2092" s="9" t="s">
        <v>1608</v>
      </c>
      <c r="E2092" s="25">
        <v>1915000</v>
      </c>
      <c r="G2092" s="8">
        <v>244</v>
      </c>
      <c r="H2092" s="11">
        <f t="shared" si="333"/>
        <v>0.85970800000000003</v>
      </c>
      <c r="I2092" s="12" t="e">
        <f>ROUND(#REF!*1000000/G2092/H2092,-3)</f>
        <v>#REF!</v>
      </c>
      <c r="J2092" s="137"/>
      <c r="K2092" s="13"/>
    </row>
    <row r="2093" spans="1:11" ht="15" customHeight="1">
      <c r="A2093" s="812"/>
      <c r="B2093" s="811"/>
      <c r="C2093" s="16">
        <v>291</v>
      </c>
      <c r="D2093" s="29" t="s">
        <v>1598</v>
      </c>
      <c r="E2093" s="25">
        <v>1550000</v>
      </c>
      <c r="G2093" s="8">
        <v>291</v>
      </c>
      <c r="H2093" s="11">
        <f t="shared" si="333"/>
        <v>0.85970800000000003</v>
      </c>
      <c r="I2093" s="12" t="e">
        <f>ROUND(#REF!*1000000/G2093/H2093,-3)</f>
        <v>#REF!</v>
      </c>
      <c r="J2093" s="137"/>
      <c r="K2093" s="13"/>
    </row>
    <row r="2094" spans="1:11" ht="15" customHeight="1">
      <c r="A2094" s="810" t="s">
        <v>1609</v>
      </c>
      <c r="B2094" s="810" t="s">
        <v>22</v>
      </c>
      <c r="C2094" s="14">
        <v>110</v>
      </c>
      <c r="D2094" s="9" t="s">
        <v>2922</v>
      </c>
      <c r="E2094" s="148">
        <v>575000</v>
      </c>
      <c r="G2094" s="8">
        <v>110</v>
      </c>
      <c r="H2094" s="11">
        <f t="shared" ref="H2094:H2100" si="337">0.788*1.091</f>
        <v>0.85970800000000003</v>
      </c>
      <c r="I2094" s="12" t="e">
        <f>ROUND(#REF!*1000000/G2094/H2094,-3)</f>
        <v>#REF!</v>
      </c>
      <c r="J2094" s="137"/>
      <c r="K2094" s="13"/>
    </row>
    <row r="2095" spans="1:11" ht="15" customHeight="1">
      <c r="A2095" s="810"/>
      <c r="B2095" s="810"/>
      <c r="C2095" s="7">
        <f t="shared" ref="C2095:C2097" si="338">C2094</f>
        <v>110</v>
      </c>
      <c r="D2095" s="9" t="s">
        <v>2923</v>
      </c>
      <c r="E2095" s="148">
        <v>900000</v>
      </c>
      <c r="G2095" s="8">
        <v>110</v>
      </c>
      <c r="H2095" s="11">
        <f t="shared" si="337"/>
        <v>0.85970800000000003</v>
      </c>
      <c r="I2095" s="12" t="e">
        <f>ROUND(#REF!*1000000/G2095/H2095,-3)</f>
        <v>#REF!</v>
      </c>
      <c r="J2095" s="137"/>
      <c r="K2095" s="13"/>
    </row>
    <row r="2096" spans="1:11" ht="15" customHeight="1">
      <c r="A2096" s="810"/>
      <c r="B2096" s="810"/>
      <c r="C2096" s="33">
        <f t="shared" si="338"/>
        <v>110</v>
      </c>
      <c r="D2096" s="21" t="s">
        <v>1610</v>
      </c>
      <c r="E2096" s="214">
        <v>505000</v>
      </c>
      <c r="G2096" s="8">
        <v>110</v>
      </c>
      <c r="H2096" s="11">
        <f t="shared" si="337"/>
        <v>0.85970800000000003</v>
      </c>
      <c r="I2096" s="12" t="e">
        <f>ROUND(#REF!*1000000/G2096/H2096,-3)</f>
        <v>#REF!</v>
      </c>
      <c r="J2096" s="137"/>
      <c r="K2096" s="13"/>
    </row>
    <row r="2097" spans="1:11" ht="15" customHeight="1">
      <c r="A2097" s="810"/>
      <c r="B2097" s="810"/>
      <c r="C2097" s="33">
        <f t="shared" si="338"/>
        <v>110</v>
      </c>
      <c r="D2097" s="21" t="s">
        <v>2924</v>
      </c>
      <c r="E2097" s="214">
        <v>765000</v>
      </c>
      <c r="G2097" s="8">
        <v>110</v>
      </c>
      <c r="H2097" s="11">
        <f t="shared" si="337"/>
        <v>0.85970800000000003</v>
      </c>
      <c r="I2097" s="12" t="e">
        <f>ROUND(#REF!*1000000/G2097/H2097,-3)</f>
        <v>#REF!</v>
      </c>
      <c r="J2097" s="137"/>
      <c r="K2097" s="13"/>
    </row>
    <row r="2098" spans="1:11" ht="15" customHeight="1">
      <c r="A2098" s="811" t="s">
        <v>1611</v>
      </c>
      <c r="B2098" s="810" t="s">
        <v>22</v>
      </c>
      <c r="C2098" s="7">
        <v>151</v>
      </c>
      <c r="D2098" s="36"/>
      <c r="E2098" s="25">
        <v>2485000</v>
      </c>
      <c r="G2098" s="8">
        <v>151</v>
      </c>
      <c r="H2098" s="11">
        <f t="shared" si="337"/>
        <v>0.85970800000000003</v>
      </c>
      <c r="I2098" s="12" t="e">
        <f>ROUND(#REF!*1000000/G2098/H2098,-3)</f>
        <v>#REF!</v>
      </c>
      <c r="J2098" s="137"/>
      <c r="K2098" s="13"/>
    </row>
    <row r="2099" spans="1:11" ht="15" customHeight="1">
      <c r="A2099" s="811"/>
      <c r="B2099" s="810"/>
      <c r="C2099" s="7">
        <v>233</v>
      </c>
      <c r="D2099" s="36"/>
      <c r="E2099" s="25">
        <v>3835000</v>
      </c>
      <c r="G2099" s="8">
        <v>233</v>
      </c>
      <c r="H2099" s="11">
        <f t="shared" si="337"/>
        <v>0.85970800000000003</v>
      </c>
      <c r="I2099" s="12" t="e">
        <f>ROUND(#REF!*1000000/G2099/H2099,-3)</f>
        <v>#REF!</v>
      </c>
      <c r="J2099" s="137"/>
      <c r="K2099" s="13"/>
    </row>
    <row r="2100" spans="1:11" ht="15" customHeight="1">
      <c r="A2100" s="811"/>
      <c r="B2100" s="810"/>
      <c r="C2100" s="7">
        <v>407</v>
      </c>
      <c r="D2100" s="36"/>
      <c r="E2100" s="25">
        <v>6695000</v>
      </c>
      <c r="G2100" s="8">
        <v>407</v>
      </c>
      <c r="H2100" s="11">
        <f t="shared" si="337"/>
        <v>0.85970800000000003</v>
      </c>
      <c r="I2100" s="12" t="e">
        <f>ROUND(#REF!*1000000/G2100/H2100,-3)</f>
        <v>#REF!</v>
      </c>
      <c r="J2100" s="137"/>
      <c r="K2100" s="13"/>
    </row>
    <row r="2101" spans="1:11" ht="15" customHeight="1">
      <c r="A2101" s="811" t="s">
        <v>1612</v>
      </c>
      <c r="B2101" s="810" t="s">
        <v>1</v>
      </c>
      <c r="C2101" s="7">
        <v>227</v>
      </c>
      <c r="D2101" s="36" t="s">
        <v>1613</v>
      </c>
      <c r="E2101" s="25">
        <v>1145000</v>
      </c>
      <c r="G2101" s="8">
        <v>227</v>
      </c>
      <c r="H2101" s="11">
        <v>0.88</v>
      </c>
      <c r="I2101" s="12" t="e">
        <f>ROUND(#REF!*1000000/G2101/H2101,-3)</f>
        <v>#REF!</v>
      </c>
      <c r="J2101" s="137"/>
      <c r="K2101" s="13"/>
    </row>
    <row r="2102" spans="1:11" ht="15" customHeight="1">
      <c r="A2102" s="811"/>
      <c r="B2102" s="810"/>
      <c r="C2102" s="7">
        <f t="shared" ref="C2102:C2107" si="339">C2101</f>
        <v>227</v>
      </c>
      <c r="D2102" s="36" t="s">
        <v>1614</v>
      </c>
      <c r="E2102" s="25">
        <v>1380000</v>
      </c>
      <c r="G2102" s="8">
        <v>227</v>
      </c>
      <c r="H2102" s="11">
        <v>0.88</v>
      </c>
      <c r="I2102" s="12" t="e">
        <f>ROUND(#REF!*1000000/G2102/H2102,-3)</f>
        <v>#REF!</v>
      </c>
      <c r="J2102" s="137"/>
      <c r="K2102" s="13"/>
    </row>
    <row r="2103" spans="1:11" ht="15" customHeight="1">
      <c r="A2103" s="811"/>
      <c r="B2103" s="810"/>
      <c r="C2103" s="7">
        <f t="shared" si="339"/>
        <v>227</v>
      </c>
      <c r="D2103" s="36" t="s">
        <v>1615</v>
      </c>
      <c r="E2103" s="25">
        <v>1545000</v>
      </c>
      <c r="G2103" s="8">
        <v>227</v>
      </c>
      <c r="H2103" s="11">
        <v>0.88</v>
      </c>
      <c r="I2103" s="12" t="e">
        <f>ROUND(#REF!*1000000/G2103/H2103,-3)</f>
        <v>#REF!</v>
      </c>
      <c r="J2103" s="137"/>
      <c r="K2103" s="13"/>
    </row>
    <row r="2104" spans="1:11" ht="15" customHeight="1">
      <c r="A2104" s="811"/>
      <c r="B2104" s="810"/>
      <c r="C2104" s="7">
        <f t="shared" si="339"/>
        <v>227</v>
      </c>
      <c r="D2104" s="9">
        <v>17.25</v>
      </c>
      <c r="E2104" s="25">
        <v>2210000</v>
      </c>
      <c r="G2104" s="8">
        <v>227</v>
      </c>
      <c r="H2104" s="11">
        <v>0.88</v>
      </c>
      <c r="I2104" s="12" t="e">
        <f>ROUND(#REF!*1000000/G2104/H2104,-3)</f>
        <v>#REF!</v>
      </c>
      <c r="J2104" s="137"/>
      <c r="K2104" s="13"/>
    </row>
    <row r="2105" spans="1:11" ht="15" customHeight="1">
      <c r="A2105" s="811"/>
      <c r="B2105" s="810"/>
      <c r="C2105" s="33">
        <f t="shared" si="339"/>
        <v>227</v>
      </c>
      <c r="D2105" s="21" t="s">
        <v>1616</v>
      </c>
      <c r="E2105" s="25">
        <v>1020000</v>
      </c>
      <c r="G2105" s="8">
        <v>227</v>
      </c>
      <c r="H2105" s="11">
        <v>1.88</v>
      </c>
      <c r="I2105" s="12" t="e">
        <f>ROUND(#REF!*1000000/G2105/H2105,-3)</f>
        <v>#REF!</v>
      </c>
      <c r="J2105" s="137"/>
      <c r="K2105" s="13"/>
    </row>
    <row r="2106" spans="1:11" ht="15" customHeight="1">
      <c r="A2106" s="811"/>
      <c r="B2106" s="810"/>
      <c r="C2106" s="33">
        <f t="shared" si="339"/>
        <v>227</v>
      </c>
      <c r="D2106" s="21" t="s">
        <v>1617</v>
      </c>
      <c r="E2106" s="25">
        <v>1375000</v>
      </c>
      <c r="G2106" s="8">
        <v>227</v>
      </c>
      <c r="H2106" s="11">
        <v>2.88</v>
      </c>
      <c r="I2106" s="12" t="e">
        <f>ROUND(#REF!*1000000/G2106/H2106,-3)</f>
        <v>#REF!</v>
      </c>
      <c r="J2106" s="137"/>
      <c r="K2106" s="13"/>
    </row>
    <row r="2107" spans="1:11" ht="15" customHeight="1">
      <c r="A2107" s="811"/>
      <c r="B2107" s="810"/>
      <c r="C2107" s="33">
        <f t="shared" si="339"/>
        <v>227</v>
      </c>
      <c r="D2107" s="21" t="s">
        <v>1618</v>
      </c>
      <c r="E2107" s="25">
        <v>1610000</v>
      </c>
      <c r="G2107" s="8">
        <v>227</v>
      </c>
      <c r="H2107" s="11">
        <v>3.88</v>
      </c>
      <c r="I2107" s="12" t="e">
        <f>ROUND(#REF!*1000000/G2107/H2107,-3)</f>
        <v>#REF!</v>
      </c>
      <c r="J2107" s="137"/>
      <c r="K2107" s="13"/>
    </row>
    <row r="2108" spans="1:11" ht="15" customHeight="1">
      <c r="A2108" s="811"/>
      <c r="B2108" s="810"/>
      <c r="C2108" s="7">
        <v>307</v>
      </c>
      <c r="D2108" s="9" t="s">
        <v>383</v>
      </c>
      <c r="E2108" s="25">
        <v>1550000</v>
      </c>
      <c r="G2108" s="8">
        <v>307</v>
      </c>
      <c r="H2108" s="11">
        <v>0.88</v>
      </c>
      <c r="I2108" s="12" t="e">
        <f>ROUND(#REF!*1000000/G2108/H2108,-3)</f>
        <v>#REF!</v>
      </c>
      <c r="J2108" s="137"/>
      <c r="K2108" s="13"/>
    </row>
    <row r="2109" spans="1:11" ht="15" customHeight="1">
      <c r="A2109" s="811"/>
      <c r="B2109" s="810"/>
      <c r="C2109" s="7">
        <f>C2108</f>
        <v>307</v>
      </c>
      <c r="D2109" s="9" t="s">
        <v>1619</v>
      </c>
      <c r="E2109" s="25">
        <v>2085000</v>
      </c>
      <c r="G2109" s="8">
        <v>307</v>
      </c>
      <c r="H2109" s="11">
        <v>0.88</v>
      </c>
      <c r="I2109" s="12" t="e">
        <f>ROUND(#REF!*1000000/G2109/H2109,-3)</f>
        <v>#REF!</v>
      </c>
      <c r="J2109" s="137"/>
      <c r="K2109" s="13"/>
    </row>
    <row r="2110" spans="1:11" ht="15" customHeight="1">
      <c r="A2110" s="811" t="s">
        <v>1620</v>
      </c>
      <c r="B2110" s="810" t="s">
        <v>595</v>
      </c>
      <c r="C2110" s="7">
        <v>303</v>
      </c>
      <c r="D2110" s="9"/>
      <c r="E2110" s="148">
        <v>407500</v>
      </c>
      <c r="G2110" s="8">
        <v>303</v>
      </c>
      <c r="H2110" s="11">
        <f t="shared" ref="H2110:H2122" si="340">0.788*1.091</f>
        <v>0.85970800000000003</v>
      </c>
      <c r="I2110" s="12" t="e">
        <f>ROUND(#REF!*1000000/G2110/H2110,-3)</f>
        <v>#REF!</v>
      </c>
      <c r="J2110" s="137"/>
      <c r="K2110" s="13"/>
    </row>
    <row r="2111" spans="1:11" ht="15" customHeight="1">
      <c r="A2111" s="811"/>
      <c r="B2111" s="810"/>
      <c r="C2111" s="14">
        <v>332</v>
      </c>
      <c r="D2111" s="9"/>
      <c r="E2111" s="148">
        <v>445000</v>
      </c>
      <c r="G2111" s="8">
        <v>332</v>
      </c>
      <c r="H2111" s="11">
        <f t="shared" si="340"/>
        <v>0.85970800000000003</v>
      </c>
      <c r="I2111" s="12" t="e">
        <f>ROUND(#REF!*1000000/G2111/H2111,-3)</f>
        <v>#REF!</v>
      </c>
      <c r="J2111" s="137"/>
      <c r="K2111" s="13"/>
    </row>
    <row r="2112" spans="1:11" ht="15" customHeight="1">
      <c r="A2112" s="811"/>
      <c r="B2112" s="810"/>
      <c r="C2112" s="7">
        <v>361</v>
      </c>
      <c r="D2112" s="9"/>
      <c r="E2112" s="148">
        <v>487500</v>
      </c>
      <c r="G2112" s="8">
        <v>361</v>
      </c>
      <c r="H2112" s="11">
        <f t="shared" si="340"/>
        <v>0.85970800000000003</v>
      </c>
      <c r="I2112" s="12" t="e">
        <f>ROUND(#REF!*1000000/G2112/H2112,-3)</f>
        <v>#REF!</v>
      </c>
      <c r="J2112" s="137"/>
      <c r="K2112" s="13"/>
    </row>
    <row r="2113" spans="1:11" ht="15" customHeight="1">
      <c r="A2113" s="811"/>
      <c r="B2113" s="810"/>
      <c r="C2113" s="7">
        <v>390</v>
      </c>
      <c r="D2113" s="9"/>
      <c r="E2113" s="148">
        <v>550000</v>
      </c>
      <c r="G2113" s="8">
        <v>390</v>
      </c>
      <c r="H2113" s="11">
        <f t="shared" si="340"/>
        <v>0.85970800000000003</v>
      </c>
      <c r="I2113" s="12" t="e">
        <f>ROUND(#REF!*1000000/G2113/H2113,-3)</f>
        <v>#REF!</v>
      </c>
      <c r="J2113" s="137"/>
      <c r="K2113" s="13"/>
    </row>
    <row r="2114" spans="1:11" ht="15" customHeight="1">
      <c r="A2114" s="811"/>
      <c r="B2114" s="810"/>
      <c r="C2114" s="7">
        <v>420</v>
      </c>
      <c r="D2114" s="9"/>
      <c r="E2114" s="148">
        <v>592500</v>
      </c>
      <c r="G2114" s="8">
        <v>420</v>
      </c>
      <c r="H2114" s="11">
        <f t="shared" si="340"/>
        <v>0.85970800000000003</v>
      </c>
      <c r="I2114" s="12" t="e">
        <f>ROUND(#REF!*1000000/G2114/H2114,-3)</f>
        <v>#REF!</v>
      </c>
      <c r="J2114" s="137"/>
      <c r="K2114" s="13"/>
    </row>
    <row r="2115" spans="1:11" ht="15" customHeight="1">
      <c r="A2115" s="811"/>
      <c r="B2115" s="810"/>
      <c r="C2115" s="7">
        <v>488</v>
      </c>
      <c r="D2115" s="9"/>
      <c r="E2115" s="148">
        <v>690000</v>
      </c>
      <c r="G2115" s="8">
        <v>488</v>
      </c>
      <c r="H2115" s="11">
        <f t="shared" si="340"/>
        <v>0.85970800000000003</v>
      </c>
      <c r="I2115" s="12" t="e">
        <f>ROUND(#REF!*1000000/G2115/H2115,-3)</f>
        <v>#REF!</v>
      </c>
      <c r="J2115" s="137"/>
      <c r="K2115" s="13"/>
    </row>
    <row r="2116" spans="1:11" ht="15" customHeight="1">
      <c r="A2116" s="811" t="s">
        <v>1621</v>
      </c>
      <c r="B2116" s="7" t="s">
        <v>850</v>
      </c>
      <c r="C2116" s="14">
        <v>390</v>
      </c>
      <c r="D2116" s="9" t="s">
        <v>1622</v>
      </c>
      <c r="E2116" s="25">
        <v>0</v>
      </c>
      <c r="G2116" s="8">
        <v>390</v>
      </c>
      <c r="H2116" s="11"/>
      <c r="I2116" s="12"/>
      <c r="J2116" s="137"/>
      <c r="K2116" s="13"/>
    </row>
    <row r="2117" spans="1:11" ht="15" customHeight="1">
      <c r="A2117" s="811"/>
      <c r="B2117" s="7" t="s">
        <v>216</v>
      </c>
      <c r="C2117" s="7">
        <v>280</v>
      </c>
      <c r="D2117" s="9" t="s">
        <v>1623</v>
      </c>
      <c r="E2117" s="25">
        <v>0</v>
      </c>
      <c r="G2117" s="8">
        <v>280</v>
      </c>
      <c r="H2117" s="11"/>
      <c r="I2117" s="12"/>
      <c r="J2117" s="137"/>
      <c r="K2117" s="13"/>
    </row>
    <row r="2118" spans="1:11" ht="15" customHeight="1">
      <c r="A2118" s="813" t="s">
        <v>1624</v>
      </c>
      <c r="B2118" s="814" t="s">
        <v>20</v>
      </c>
      <c r="C2118" s="14">
        <v>100</v>
      </c>
      <c r="D2118" s="36" t="s">
        <v>1625</v>
      </c>
      <c r="E2118" s="25">
        <v>157500</v>
      </c>
      <c r="G2118" s="8">
        <v>100</v>
      </c>
      <c r="H2118" s="11">
        <f>0.8*1.1</f>
        <v>0.88000000000000012</v>
      </c>
      <c r="I2118" s="12" t="e">
        <f>ROUND(#REF!*1000000/G2118/H2118,-3)</f>
        <v>#REF!</v>
      </c>
      <c r="J2118" s="137">
        <v>138</v>
      </c>
      <c r="K2118" s="13"/>
    </row>
    <row r="2119" spans="1:11" ht="15" customHeight="1">
      <c r="A2119" s="816"/>
      <c r="B2119" s="805"/>
      <c r="C2119" s="14">
        <v>120</v>
      </c>
      <c r="D2119" s="36" t="s">
        <v>1625</v>
      </c>
      <c r="E2119" s="25">
        <v>189000</v>
      </c>
      <c r="G2119" s="8">
        <v>120</v>
      </c>
      <c r="H2119" s="11">
        <f>0.8*1.1</f>
        <v>0.88000000000000012</v>
      </c>
      <c r="I2119" s="12" t="e">
        <f>ROUND(#REF!*1000000/G2119/H2119,-3)</f>
        <v>#REF!</v>
      </c>
      <c r="J2119" s="137">
        <v>164</v>
      </c>
      <c r="K2119" s="13"/>
    </row>
    <row r="2120" spans="1:11" ht="15" customHeight="1">
      <c r="A2120" s="816"/>
      <c r="B2120" s="814" t="s">
        <v>213</v>
      </c>
      <c r="C2120" s="7">
        <v>120</v>
      </c>
      <c r="D2120" s="36" t="s">
        <v>1626</v>
      </c>
      <c r="E2120" s="25">
        <v>184500</v>
      </c>
      <c r="G2120" s="8">
        <v>120</v>
      </c>
      <c r="H2120" s="11">
        <f t="shared" si="340"/>
        <v>0.85970800000000003</v>
      </c>
      <c r="I2120" s="12" t="e">
        <f>ROUND(#REF!*1000000/G2120/H2120,-3)</f>
        <v>#REF!</v>
      </c>
      <c r="J2120" s="137">
        <v>145</v>
      </c>
      <c r="K2120" s="13"/>
    </row>
    <row r="2121" spans="1:11" ht="15" customHeight="1">
      <c r="A2121" s="816"/>
      <c r="B2121" s="804"/>
      <c r="C2121" s="7">
        <v>80</v>
      </c>
      <c r="D2121" s="36" t="s">
        <v>1627</v>
      </c>
      <c r="E2121" s="25">
        <v>120000</v>
      </c>
      <c r="G2121" s="8">
        <v>80</v>
      </c>
      <c r="H2121" s="11">
        <f t="shared" si="340"/>
        <v>0.85970800000000003</v>
      </c>
      <c r="I2121" s="12" t="e">
        <f>ROUND(#REF!*1000000/G2121/H2121,-3)</f>
        <v>#REF!</v>
      </c>
      <c r="J2121" s="137"/>
      <c r="K2121" s="13"/>
    </row>
    <row r="2122" spans="1:11" ht="15" customHeight="1">
      <c r="A2122" s="817"/>
      <c r="B2122" s="805"/>
      <c r="C2122" s="7">
        <v>120</v>
      </c>
      <c r="D2122" s="36" t="s">
        <v>1628</v>
      </c>
      <c r="E2122" s="25">
        <v>180000</v>
      </c>
      <c r="G2122" s="8">
        <v>120</v>
      </c>
      <c r="H2122" s="11">
        <f t="shared" si="340"/>
        <v>0.85970800000000003</v>
      </c>
      <c r="I2122" s="12" t="e">
        <f>ROUND(#REF!*1000000/G2122/H2122,-3)</f>
        <v>#REF!</v>
      </c>
      <c r="J2122" s="137"/>
      <c r="K2122" s="13"/>
    </row>
    <row r="2123" spans="1:11" ht="15" customHeight="1">
      <c r="A2123" s="813" t="s">
        <v>1629</v>
      </c>
      <c r="B2123" s="814" t="s">
        <v>1630</v>
      </c>
      <c r="C2123" s="7">
        <v>128</v>
      </c>
      <c r="D2123" s="9" t="s">
        <v>1631</v>
      </c>
      <c r="E2123" s="25">
        <v>530000</v>
      </c>
      <c r="G2123" s="8">
        <v>128</v>
      </c>
      <c r="H2123" s="11">
        <f t="shared" ref="H2123:H2128" si="341">0.788*0.542</f>
        <v>0.42709600000000003</v>
      </c>
      <c r="I2123" s="12" t="e">
        <f>ROUND(#REF!*1000000/G2123/H2123,-3)</f>
        <v>#REF!</v>
      </c>
      <c r="J2123" s="137"/>
      <c r="K2123" s="13"/>
    </row>
    <row r="2124" spans="1:11" ht="15" customHeight="1">
      <c r="A2124" s="816"/>
      <c r="B2124" s="804"/>
      <c r="C2124" s="7">
        <v>110</v>
      </c>
      <c r="D2124" s="9" t="s">
        <v>1632</v>
      </c>
      <c r="E2124" s="25">
        <v>455000</v>
      </c>
      <c r="G2124" s="8">
        <v>110</v>
      </c>
      <c r="H2124" s="11">
        <f t="shared" si="341"/>
        <v>0.42709600000000003</v>
      </c>
      <c r="I2124" s="12" t="e">
        <f>ROUND(#REF!*1000000/G2124/H2124,-3)</f>
        <v>#REF!</v>
      </c>
      <c r="J2124" s="137"/>
      <c r="K2124" s="13"/>
    </row>
    <row r="2125" spans="1:11" ht="15" customHeight="1">
      <c r="A2125" s="816"/>
      <c r="B2125" s="804"/>
      <c r="C2125" s="7">
        <v>120</v>
      </c>
      <c r="D2125" s="9" t="s">
        <v>1633</v>
      </c>
      <c r="E2125" s="25">
        <v>180000</v>
      </c>
      <c r="G2125" s="8">
        <v>120</v>
      </c>
      <c r="H2125" s="11">
        <f t="shared" si="341"/>
        <v>0.42709600000000003</v>
      </c>
      <c r="I2125" s="12" t="e">
        <f>ROUND(#REF!*1000000/G2125/H2125,-3)</f>
        <v>#REF!</v>
      </c>
      <c r="J2125" s="137"/>
      <c r="K2125" s="13"/>
    </row>
    <row r="2126" spans="1:11" ht="15" customHeight="1">
      <c r="A2126" s="816"/>
      <c r="B2126" s="804"/>
      <c r="C2126" s="7">
        <v>205</v>
      </c>
      <c r="D2126" s="9" t="s">
        <v>1634</v>
      </c>
      <c r="E2126" s="25">
        <v>295000</v>
      </c>
      <c r="G2126" s="8">
        <v>205</v>
      </c>
      <c r="H2126" s="11">
        <f t="shared" si="341"/>
        <v>0.42709600000000003</v>
      </c>
      <c r="I2126" s="12" t="e">
        <f>ROUND(#REF!*1000000/G2126/H2126,-3)</f>
        <v>#REF!</v>
      </c>
      <c r="J2126" s="137"/>
      <c r="K2126" s="13"/>
    </row>
    <row r="2127" spans="1:11" ht="15" customHeight="1">
      <c r="A2127" s="816"/>
      <c r="B2127" s="804"/>
      <c r="C2127" s="7">
        <v>250</v>
      </c>
      <c r="D2127" s="9" t="s">
        <v>1634</v>
      </c>
      <c r="E2127" s="25">
        <v>325000</v>
      </c>
      <c r="G2127" s="8">
        <v>250</v>
      </c>
      <c r="H2127" s="11">
        <f t="shared" si="341"/>
        <v>0.42709600000000003</v>
      </c>
      <c r="I2127" s="12" t="e">
        <f>ROUND(#REF!*1000000/G2127/H2127,-3)</f>
        <v>#REF!</v>
      </c>
      <c r="J2127" s="137"/>
      <c r="K2127" s="13"/>
    </row>
    <row r="2128" spans="1:11" ht="15" customHeight="1">
      <c r="A2128" s="816"/>
      <c r="B2128" s="804"/>
      <c r="C2128" s="7">
        <v>300</v>
      </c>
      <c r="D2128" s="9" t="s">
        <v>1635</v>
      </c>
      <c r="E2128" s="25">
        <v>355000</v>
      </c>
      <c r="G2128" s="8">
        <v>300</v>
      </c>
      <c r="H2128" s="11">
        <f t="shared" si="341"/>
        <v>0.42709600000000003</v>
      </c>
      <c r="I2128" s="12" t="e">
        <f>ROUND(#REF!*1000000/G2128/H2128,-3)</f>
        <v>#REF!</v>
      </c>
      <c r="J2128" s="137"/>
      <c r="K2128" s="13"/>
    </row>
    <row r="2129" spans="1:11" ht="15" customHeight="1">
      <c r="A2129" s="810" t="s">
        <v>1636</v>
      </c>
      <c r="B2129" s="810" t="s">
        <v>22</v>
      </c>
      <c r="C2129" s="7">
        <v>120</v>
      </c>
      <c r="D2129" s="9" t="s">
        <v>1637</v>
      </c>
      <c r="E2129" s="25">
        <v>735000</v>
      </c>
      <c r="G2129" s="8">
        <v>120</v>
      </c>
      <c r="H2129" s="11">
        <f t="shared" ref="H2129:H2143" si="342">0.788*1.091</f>
        <v>0.85970800000000003</v>
      </c>
      <c r="I2129" s="12" t="e">
        <f>ROUND(#REF!*1000000/G2129/H2129,-3)</f>
        <v>#REF!</v>
      </c>
      <c r="J2129" s="137"/>
      <c r="K2129" s="13"/>
    </row>
    <row r="2130" spans="1:11" ht="15" customHeight="1">
      <c r="A2130" s="810"/>
      <c r="B2130" s="810"/>
      <c r="C2130" s="7">
        <f>C2129</f>
        <v>120</v>
      </c>
      <c r="D2130" s="9" t="s">
        <v>1638</v>
      </c>
      <c r="E2130" s="25">
        <v>815000</v>
      </c>
      <c r="G2130" s="8">
        <v>120</v>
      </c>
      <c r="H2130" s="11">
        <f t="shared" si="342"/>
        <v>0.85970800000000003</v>
      </c>
      <c r="I2130" s="12" t="e">
        <f>ROUND(#REF!*1000000/G2130/H2130,-3)</f>
        <v>#REF!</v>
      </c>
      <c r="J2130" s="137"/>
      <c r="K2130" s="13"/>
    </row>
    <row r="2131" spans="1:11" ht="15" customHeight="1">
      <c r="A2131" s="810"/>
      <c r="B2131" s="810"/>
      <c r="C2131" s="7">
        <v>157</v>
      </c>
      <c r="D2131" s="9" t="s">
        <v>1639</v>
      </c>
      <c r="E2131" s="25">
        <v>965000</v>
      </c>
      <c r="G2131" s="8">
        <v>157</v>
      </c>
      <c r="H2131" s="11">
        <f t="shared" si="342"/>
        <v>0.85970800000000003</v>
      </c>
      <c r="I2131" s="12" t="e">
        <f>ROUND(#REF!*1000000/G2131/H2131,-3)</f>
        <v>#REF!</v>
      </c>
      <c r="J2131" s="137"/>
      <c r="K2131" s="13"/>
    </row>
    <row r="2132" spans="1:11" ht="15" customHeight="1">
      <c r="A2132" s="810"/>
      <c r="B2132" s="810"/>
      <c r="C2132" s="7">
        <f>C2131</f>
        <v>157</v>
      </c>
      <c r="D2132" s="9" t="s">
        <v>1640</v>
      </c>
      <c r="E2132" s="25">
        <v>1060000</v>
      </c>
      <c r="G2132" s="8">
        <v>157</v>
      </c>
      <c r="H2132" s="11">
        <f t="shared" si="342"/>
        <v>0.85970800000000003</v>
      </c>
      <c r="I2132" s="12" t="e">
        <f>ROUND(#REF!*1000000/G2132/H2132,-3)</f>
        <v>#REF!</v>
      </c>
      <c r="J2132" s="137"/>
      <c r="K2132" s="13"/>
    </row>
    <row r="2133" spans="1:11" ht="15" customHeight="1">
      <c r="A2133" s="810" t="s">
        <v>1641</v>
      </c>
      <c r="B2133" s="810" t="s">
        <v>22</v>
      </c>
      <c r="C2133" s="7">
        <v>120</v>
      </c>
      <c r="D2133" s="9" t="s">
        <v>1642</v>
      </c>
      <c r="E2133" s="25">
        <v>690000</v>
      </c>
      <c r="G2133" s="8">
        <v>120</v>
      </c>
      <c r="H2133" s="11">
        <f t="shared" si="342"/>
        <v>0.85970800000000003</v>
      </c>
      <c r="I2133" s="12" t="e">
        <f>ROUND(#REF!*1000000/G2133/H2133,-3)</f>
        <v>#REF!</v>
      </c>
      <c r="J2133" s="137"/>
      <c r="K2133" s="13"/>
    </row>
    <row r="2134" spans="1:11" ht="15" customHeight="1">
      <c r="A2134" s="810"/>
      <c r="B2134" s="810"/>
      <c r="C2134" s="7">
        <f t="shared" ref="C2134:C2135" si="343">C2133</f>
        <v>120</v>
      </c>
      <c r="D2134" s="9" t="s">
        <v>1643</v>
      </c>
      <c r="E2134" s="25">
        <v>745000</v>
      </c>
      <c r="G2134" s="8">
        <v>120</v>
      </c>
      <c r="H2134" s="11">
        <f t="shared" si="342"/>
        <v>0.85970800000000003</v>
      </c>
      <c r="I2134" s="12" t="e">
        <f>ROUND(#REF!*1000000/G2134/H2134,-3)</f>
        <v>#REF!</v>
      </c>
      <c r="J2134" s="137"/>
      <c r="K2134" s="13"/>
    </row>
    <row r="2135" spans="1:11" ht="15" customHeight="1">
      <c r="A2135" s="810"/>
      <c r="B2135" s="810"/>
      <c r="C2135" s="33">
        <f t="shared" si="343"/>
        <v>120</v>
      </c>
      <c r="D2135" s="21" t="s">
        <v>1644</v>
      </c>
      <c r="E2135" s="25">
        <v>695000</v>
      </c>
      <c r="G2135" s="8">
        <v>120</v>
      </c>
      <c r="H2135" s="11">
        <f t="shared" si="342"/>
        <v>0.85970800000000003</v>
      </c>
      <c r="I2135" s="12" t="e">
        <f>ROUND(#REF!*1000000/G2135/H2135,-3)</f>
        <v>#REF!</v>
      </c>
      <c r="J2135" s="137"/>
      <c r="K2135" s="13"/>
    </row>
    <row r="2136" spans="1:11" ht="15" customHeight="1">
      <c r="A2136" s="811" t="s">
        <v>1645</v>
      </c>
      <c r="B2136" s="814" t="s">
        <v>22</v>
      </c>
      <c r="C2136" s="33">
        <v>105</v>
      </c>
      <c r="D2136" s="21" t="s">
        <v>763</v>
      </c>
      <c r="E2136" s="25">
        <v>665000</v>
      </c>
      <c r="G2136" s="8">
        <v>105</v>
      </c>
      <c r="H2136" s="11">
        <f t="shared" si="342"/>
        <v>0.85970800000000003</v>
      </c>
      <c r="I2136" s="12" t="e">
        <f>ROUND(#REF!*1000000/G2136/H2136,-3)</f>
        <v>#REF!</v>
      </c>
      <c r="J2136" s="137"/>
      <c r="K2136" s="13"/>
    </row>
    <row r="2137" spans="1:11" ht="15" customHeight="1">
      <c r="A2137" s="811"/>
      <c r="B2137" s="804"/>
      <c r="C2137" s="33">
        <v>128</v>
      </c>
      <c r="D2137" s="21" t="s">
        <v>761</v>
      </c>
      <c r="E2137" s="25">
        <v>810000</v>
      </c>
      <c r="G2137" s="8">
        <v>128</v>
      </c>
      <c r="H2137" s="11">
        <f t="shared" si="342"/>
        <v>0.85970800000000003</v>
      </c>
      <c r="I2137" s="12" t="e">
        <f>ROUND(#REF!*1000000/G2137/H2137,-3)</f>
        <v>#REF!</v>
      </c>
      <c r="J2137" s="137"/>
      <c r="K2137" s="13"/>
    </row>
    <row r="2138" spans="1:11" ht="15" customHeight="1">
      <c r="A2138" s="811"/>
      <c r="B2138" s="804"/>
      <c r="C2138" s="33">
        <v>157</v>
      </c>
      <c r="D2138" s="21" t="s">
        <v>761</v>
      </c>
      <c r="E2138" s="25">
        <v>1000000</v>
      </c>
      <c r="G2138" s="8">
        <v>157</v>
      </c>
      <c r="H2138" s="11">
        <f t="shared" si="342"/>
        <v>0.85970800000000003</v>
      </c>
      <c r="I2138" s="12" t="e">
        <f>ROUND(#REF!*1000000/G2138/H2138,-3)</f>
        <v>#REF!</v>
      </c>
      <c r="J2138" s="137"/>
      <c r="K2138" s="13"/>
    </row>
    <row r="2139" spans="1:11" ht="15" customHeight="1">
      <c r="A2139" s="811"/>
      <c r="B2139" s="805"/>
      <c r="C2139" s="33">
        <v>209</v>
      </c>
      <c r="D2139" s="21" t="s">
        <v>761</v>
      </c>
      <c r="E2139" s="25">
        <v>1335000</v>
      </c>
      <c r="G2139" s="8">
        <v>209</v>
      </c>
      <c r="H2139" s="11">
        <f t="shared" si="342"/>
        <v>0.85970800000000003</v>
      </c>
      <c r="I2139" s="12" t="e">
        <f>ROUND(#REF!*1000000/G2139/H2139,-3)</f>
        <v>#REF!</v>
      </c>
      <c r="J2139" s="137"/>
      <c r="K2139" s="13"/>
    </row>
    <row r="2140" spans="1:11" ht="15" customHeight="1">
      <c r="A2140" s="811" t="s">
        <v>1646</v>
      </c>
      <c r="B2140" s="814" t="s">
        <v>22</v>
      </c>
      <c r="C2140" s="33">
        <v>105</v>
      </c>
      <c r="D2140" s="21" t="s">
        <v>761</v>
      </c>
      <c r="E2140" s="25">
        <v>870000</v>
      </c>
      <c r="G2140" s="8">
        <v>105</v>
      </c>
      <c r="H2140" s="11">
        <f t="shared" si="342"/>
        <v>0.85970800000000003</v>
      </c>
      <c r="I2140" s="12" t="e">
        <f>ROUND(#REF!*1000000/G2140/H2140,-3)</f>
        <v>#REF!</v>
      </c>
      <c r="J2140" s="137"/>
      <c r="K2140" s="13"/>
    </row>
    <row r="2141" spans="1:11" ht="15" customHeight="1">
      <c r="A2141" s="811"/>
      <c r="B2141" s="804"/>
      <c r="C2141" s="33">
        <v>128</v>
      </c>
      <c r="D2141" s="21" t="s">
        <v>761</v>
      </c>
      <c r="E2141" s="25">
        <v>1065000</v>
      </c>
      <c r="G2141" s="8">
        <v>128</v>
      </c>
      <c r="H2141" s="11">
        <f t="shared" si="342"/>
        <v>0.85970800000000003</v>
      </c>
      <c r="I2141" s="12" t="e">
        <f>ROUND(#REF!*1000000/G2141/H2141,-3)</f>
        <v>#REF!</v>
      </c>
      <c r="J2141" s="137"/>
      <c r="K2141" s="13"/>
    </row>
    <row r="2142" spans="1:11" ht="15" customHeight="1">
      <c r="A2142" s="811"/>
      <c r="B2142" s="804"/>
      <c r="C2142" s="33">
        <v>157</v>
      </c>
      <c r="D2142" s="21" t="s">
        <v>761</v>
      </c>
      <c r="E2142" s="25">
        <v>1295000</v>
      </c>
      <c r="G2142" s="8">
        <v>157</v>
      </c>
      <c r="H2142" s="11">
        <f t="shared" si="342"/>
        <v>0.85970800000000003</v>
      </c>
      <c r="I2142" s="12" t="e">
        <f>ROUND(#REF!*1000000/G2142/H2142,-3)</f>
        <v>#REF!</v>
      </c>
      <c r="J2142" s="137"/>
      <c r="K2142" s="13"/>
    </row>
    <row r="2143" spans="1:11" ht="15" customHeight="1">
      <c r="A2143" s="811"/>
      <c r="B2143" s="805"/>
      <c r="C2143" s="33">
        <v>209</v>
      </c>
      <c r="D2143" s="21" t="s">
        <v>761</v>
      </c>
      <c r="E2143" s="25">
        <v>1735000</v>
      </c>
      <c r="G2143" s="8">
        <v>209</v>
      </c>
      <c r="H2143" s="11">
        <f t="shared" si="342"/>
        <v>0.85970800000000003</v>
      </c>
      <c r="I2143" s="12" t="e">
        <f>ROUND(#REF!*1000000/G2143/H2143,-3)</f>
        <v>#REF!</v>
      </c>
      <c r="J2143" s="137"/>
      <c r="K2143" s="13"/>
    </row>
    <row r="2144" spans="1:11" ht="15" customHeight="1">
      <c r="A2144" s="815" t="s">
        <v>1647</v>
      </c>
      <c r="B2144" s="815" t="s">
        <v>1648</v>
      </c>
      <c r="C2144" s="82">
        <v>65</v>
      </c>
      <c r="D2144" s="29"/>
      <c r="E2144" s="25">
        <v>99500</v>
      </c>
      <c r="G2144" s="70">
        <v>65</v>
      </c>
      <c r="H2144" s="11">
        <f>0.765*1.085</f>
        <v>0.83002500000000001</v>
      </c>
      <c r="I2144" s="12" t="e">
        <f>ROUND(#REF!*1000000/G2144/H2144,-3)</f>
        <v>#REF!</v>
      </c>
      <c r="J2144" s="141">
        <v>127</v>
      </c>
      <c r="K2144" s="13"/>
    </row>
    <row r="2145" spans="1:11" ht="15" customHeight="1">
      <c r="A2145" s="815"/>
      <c r="B2145" s="815"/>
      <c r="C2145" s="30" t="s">
        <v>1649</v>
      </c>
      <c r="D2145" s="29"/>
      <c r="E2145" s="25">
        <v>123000</v>
      </c>
      <c r="G2145" s="70">
        <v>82</v>
      </c>
      <c r="H2145" s="11">
        <f>0.765*1.085</f>
        <v>0.83002500000000001</v>
      </c>
      <c r="I2145" s="12" t="e">
        <f>ROUND(#REF!*1000000/G2145/H2145,-3)</f>
        <v>#REF!</v>
      </c>
      <c r="J2145" s="136">
        <v>157</v>
      </c>
      <c r="K2145" s="13"/>
    </row>
    <row r="2146" spans="1:11" ht="15" customHeight="1">
      <c r="A2146" s="815"/>
      <c r="B2146" s="815" t="s">
        <v>1650</v>
      </c>
      <c r="C2146" s="82">
        <v>65</v>
      </c>
      <c r="D2146" s="29"/>
      <c r="E2146" s="25">
        <v>66000</v>
      </c>
      <c r="G2146" s="70">
        <v>65</v>
      </c>
      <c r="H2146" s="11">
        <f>0.625*0.88</f>
        <v>0.55000000000000004</v>
      </c>
      <c r="I2146" s="12" t="e">
        <f>ROUND(#REF!*1000000/G2146/H2146,-3)</f>
        <v>#REF!</v>
      </c>
      <c r="J2146" s="141">
        <v>127</v>
      </c>
      <c r="K2146" s="13"/>
    </row>
    <row r="2147" spans="1:11" ht="15" customHeight="1">
      <c r="A2147" s="815"/>
      <c r="B2147" s="815"/>
      <c r="C2147" s="30" t="s">
        <v>1649</v>
      </c>
      <c r="D2147" s="29"/>
      <c r="E2147" s="25">
        <v>81500</v>
      </c>
      <c r="G2147" s="70">
        <v>82</v>
      </c>
      <c r="H2147" s="11">
        <f>0.625*0.88</f>
        <v>0.55000000000000004</v>
      </c>
      <c r="I2147" s="12" t="e">
        <f>ROUND(#REF!*1000000/G2147/H2147,-3)</f>
        <v>#REF!</v>
      </c>
      <c r="J2147" s="136">
        <v>157</v>
      </c>
      <c r="K2147" s="13"/>
    </row>
    <row r="2148" spans="1:11" ht="15" customHeight="1">
      <c r="A2148" s="815" t="s">
        <v>1651</v>
      </c>
      <c r="B2148" s="815" t="s">
        <v>22</v>
      </c>
      <c r="C2148" s="7">
        <v>105</v>
      </c>
      <c r="D2148" s="9" t="s">
        <v>1652</v>
      </c>
      <c r="E2148" s="25">
        <v>620000</v>
      </c>
      <c r="G2148" s="8">
        <v>105</v>
      </c>
      <c r="H2148" s="11">
        <f t="shared" ref="H2148:H2162" si="344">0.788*1.091</f>
        <v>0.85970800000000003</v>
      </c>
      <c r="I2148" s="12" t="e">
        <f>ROUND(#REF!*1000000/G2148/H2148,-3)</f>
        <v>#REF!</v>
      </c>
      <c r="J2148" s="137"/>
      <c r="K2148" s="13"/>
    </row>
    <row r="2149" spans="1:11" ht="15" customHeight="1">
      <c r="A2149" s="815"/>
      <c r="B2149" s="815"/>
      <c r="C2149" s="7">
        <f>C2148</f>
        <v>105</v>
      </c>
      <c r="D2149" s="9" t="s">
        <v>1653</v>
      </c>
      <c r="E2149" s="25">
        <v>640000</v>
      </c>
      <c r="G2149" s="8">
        <v>105</v>
      </c>
      <c r="H2149" s="11">
        <f t="shared" si="344"/>
        <v>0.85970800000000003</v>
      </c>
      <c r="I2149" s="12" t="e">
        <f>ROUND(#REF!*1000000/G2149/H2149,-3)</f>
        <v>#REF!</v>
      </c>
      <c r="J2149" s="137"/>
      <c r="K2149" s="13"/>
    </row>
    <row r="2150" spans="1:11" ht="15" customHeight="1">
      <c r="A2150" s="815"/>
      <c r="B2150" s="815"/>
      <c r="C2150" s="7">
        <v>157</v>
      </c>
      <c r="D2150" s="9" t="s">
        <v>1652</v>
      </c>
      <c r="E2150" s="25">
        <v>925000</v>
      </c>
      <c r="G2150" s="8">
        <v>157</v>
      </c>
      <c r="H2150" s="11">
        <f t="shared" si="344"/>
        <v>0.85970800000000003</v>
      </c>
      <c r="I2150" s="12" t="e">
        <f>ROUND(#REF!*1000000/G2150/H2150,-3)</f>
        <v>#REF!</v>
      </c>
      <c r="J2150" s="137"/>
      <c r="K2150" s="13"/>
    </row>
    <row r="2151" spans="1:11" ht="15" customHeight="1">
      <c r="A2151" s="815"/>
      <c r="B2151" s="815"/>
      <c r="C2151" s="7">
        <f>C2150</f>
        <v>157</v>
      </c>
      <c r="D2151" s="9" t="s">
        <v>1653</v>
      </c>
      <c r="E2151" s="25">
        <v>955000</v>
      </c>
      <c r="G2151" s="8">
        <v>157</v>
      </c>
      <c r="H2151" s="11">
        <f t="shared" si="344"/>
        <v>0.85970800000000003</v>
      </c>
      <c r="I2151" s="12" t="e">
        <f>ROUND(#REF!*1000000/G2151/H2151,-3)</f>
        <v>#REF!</v>
      </c>
      <c r="J2151" s="137"/>
      <c r="K2151" s="13"/>
    </row>
    <row r="2152" spans="1:11" ht="15" customHeight="1">
      <c r="A2152" s="815"/>
      <c r="B2152" s="815"/>
      <c r="C2152" s="69">
        <v>209</v>
      </c>
      <c r="D2152" s="9" t="s">
        <v>1654</v>
      </c>
      <c r="E2152" s="25">
        <v>1235000</v>
      </c>
      <c r="G2152" s="70">
        <v>209</v>
      </c>
      <c r="H2152" s="11">
        <f t="shared" si="344"/>
        <v>0.85970800000000003</v>
      </c>
      <c r="I2152" s="12" t="e">
        <f>ROUND(#REF!*1000000/G2152/H2152,-3)</f>
        <v>#REF!</v>
      </c>
      <c r="J2152" s="137"/>
      <c r="K2152" s="13"/>
    </row>
    <row r="2153" spans="1:11" ht="15" customHeight="1">
      <c r="A2153" s="815"/>
      <c r="B2153" s="815"/>
      <c r="C2153" s="219">
        <f t="shared" ref="C2153:C2155" si="345">C2152</f>
        <v>209</v>
      </c>
      <c r="D2153" s="9" t="s">
        <v>1655</v>
      </c>
      <c r="E2153" s="25">
        <v>1270000</v>
      </c>
      <c r="G2153" s="70">
        <v>209</v>
      </c>
      <c r="H2153" s="11">
        <f t="shared" si="344"/>
        <v>0.85970800000000003</v>
      </c>
      <c r="I2153" s="12" t="e">
        <f>ROUND(#REF!*1000000/G2153/H2153,-3)</f>
        <v>#REF!</v>
      </c>
      <c r="J2153" s="137"/>
      <c r="K2153" s="13"/>
    </row>
    <row r="2154" spans="1:11" ht="15" customHeight="1">
      <c r="A2154" s="815"/>
      <c r="B2154" s="815"/>
      <c r="C2154" s="219">
        <f t="shared" si="345"/>
        <v>209</v>
      </c>
      <c r="D2154" s="9" t="s">
        <v>1656</v>
      </c>
      <c r="E2154" s="25">
        <v>1345000</v>
      </c>
      <c r="G2154" s="70">
        <v>209</v>
      </c>
      <c r="H2154" s="11">
        <f t="shared" si="344"/>
        <v>0.85970800000000003</v>
      </c>
      <c r="I2154" s="12" t="e">
        <f>ROUND(#REF!*1000000/G2154/H2154,-3)</f>
        <v>#REF!</v>
      </c>
      <c r="J2154" s="137"/>
      <c r="K2154" s="13"/>
    </row>
    <row r="2155" spans="1:11" ht="15" customHeight="1">
      <c r="A2155" s="815"/>
      <c r="B2155" s="815"/>
      <c r="C2155" s="219">
        <f t="shared" si="345"/>
        <v>209</v>
      </c>
      <c r="D2155" s="9" t="s">
        <v>1657</v>
      </c>
      <c r="E2155" s="25">
        <v>1620000</v>
      </c>
      <c r="G2155" s="70">
        <v>209</v>
      </c>
      <c r="H2155" s="11">
        <f t="shared" si="344"/>
        <v>0.85970800000000003</v>
      </c>
      <c r="I2155" s="12" t="e">
        <f>ROUND(#REF!*1000000/G2155/H2155,-3)</f>
        <v>#REF!</v>
      </c>
      <c r="J2155" s="137"/>
      <c r="K2155" s="13"/>
    </row>
    <row r="2156" spans="1:11" ht="15" customHeight="1">
      <c r="A2156" s="815"/>
      <c r="B2156" s="815"/>
      <c r="C2156" s="7">
        <v>233</v>
      </c>
      <c r="D2156" s="9" t="s">
        <v>1652</v>
      </c>
      <c r="E2156" s="25">
        <v>1375000</v>
      </c>
      <c r="G2156" s="8">
        <v>233</v>
      </c>
      <c r="H2156" s="11">
        <f t="shared" si="344"/>
        <v>0.85970800000000003</v>
      </c>
      <c r="I2156" s="12" t="e">
        <f>ROUND(#REF!*1000000/G2156/H2156,-3)</f>
        <v>#REF!</v>
      </c>
      <c r="J2156" s="137"/>
      <c r="K2156" s="13"/>
    </row>
    <row r="2157" spans="1:11" ht="15" customHeight="1">
      <c r="A2157" s="815"/>
      <c r="B2157" s="815"/>
      <c r="C2157" s="7">
        <f>C2156</f>
        <v>233</v>
      </c>
      <c r="D2157" s="9" t="s">
        <v>1653</v>
      </c>
      <c r="E2157" s="25">
        <v>1420000</v>
      </c>
      <c r="G2157" s="8">
        <v>233</v>
      </c>
      <c r="H2157" s="11">
        <f t="shared" si="344"/>
        <v>0.85970800000000003</v>
      </c>
      <c r="I2157" s="12" t="e">
        <f>ROUND(#REF!*1000000/G2157/H2157,-3)</f>
        <v>#REF!</v>
      </c>
      <c r="J2157" s="137"/>
      <c r="K2157" s="13"/>
    </row>
    <row r="2158" spans="1:11" ht="15" customHeight="1">
      <c r="A2158" s="815"/>
      <c r="B2158" s="815"/>
      <c r="C2158" s="69">
        <v>256</v>
      </c>
      <c r="D2158" s="9" t="s">
        <v>1654</v>
      </c>
      <c r="E2158" s="25">
        <v>1510000</v>
      </c>
      <c r="G2158" s="70">
        <v>256</v>
      </c>
      <c r="H2158" s="11">
        <f t="shared" si="344"/>
        <v>0.85970800000000003</v>
      </c>
      <c r="I2158" s="12" t="e">
        <f>ROUND(#REF!*1000000/G2158/H2158,-3)</f>
        <v>#REF!</v>
      </c>
      <c r="J2158" s="137"/>
      <c r="K2158" s="13"/>
    </row>
    <row r="2159" spans="1:11" ht="15" customHeight="1">
      <c r="A2159" s="815"/>
      <c r="B2159" s="815"/>
      <c r="C2159" s="219">
        <f t="shared" ref="C2159:C2161" si="346">C2158</f>
        <v>256</v>
      </c>
      <c r="D2159" s="9" t="s">
        <v>1655</v>
      </c>
      <c r="E2159" s="25">
        <v>1560000</v>
      </c>
      <c r="G2159" s="70">
        <v>256</v>
      </c>
      <c r="H2159" s="11">
        <f t="shared" si="344"/>
        <v>0.85970800000000003</v>
      </c>
      <c r="I2159" s="12" t="e">
        <f>ROUND(#REF!*1000000/G2159/H2159,-3)</f>
        <v>#REF!</v>
      </c>
      <c r="J2159" s="137"/>
      <c r="K2159" s="13"/>
    </row>
    <row r="2160" spans="1:11" ht="15" customHeight="1">
      <c r="A2160" s="815"/>
      <c r="B2160" s="815"/>
      <c r="C2160" s="219">
        <f t="shared" si="346"/>
        <v>256</v>
      </c>
      <c r="D2160" s="9" t="s">
        <v>1656</v>
      </c>
      <c r="E2160" s="25">
        <v>1650000</v>
      </c>
      <c r="G2160" s="70">
        <v>256</v>
      </c>
      <c r="H2160" s="11">
        <f t="shared" si="344"/>
        <v>0.85970800000000003</v>
      </c>
      <c r="I2160" s="12" t="e">
        <f>ROUND(#REF!*1000000/G2160/H2160,-3)</f>
        <v>#REF!</v>
      </c>
      <c r="J2160" s="137"/>
      <c r="K2160" s="13"/>
    </row>
    <row r="2161" spans="1:11" ht="15" customHeight="1">
      <c r="A2161" s="815"/>
      <c r="B2161" s="815"/>
      <c r="C2161" s="219">
        <f t="shared" si="346"/>
        <v>256</v>
      </c>
      <c r="D2161" s="9" t="s">
        <v>1657</v>
      </c>
      <c r="E2161" s="25">
        <v>1980000</v>
      </c>
      <c r="G2161" s="70">
        <v>256</v>
      </c>
      <c r="H2161" s="11">
        <f t="shared" si="344"/>
        <v>0.85970800000000003</v>
      </c>
      <c r="I2161" s="12" t="e">
        <f>ROUND(#REF!*1000000/G2161/H2161,-3)</f>
        <v>#REF!</v>
      </c>
      <c r="J2161" s="137"/>
      <c r="K2161" s="13"/>
    </row>
    <row r="2162" spans="1:11" ht="15" customHeight="1">
      <c r="A2162" s="815"/>
      <c r="B2162" s="815"/>
      <c r="C2162" s="69">
        <v>419</v>
      </c>
      <c r="D2162" s="9" t="s">
        <v>1652</v>
      </c>
      <c r="E2162" s="25">
        <v>2775000</v>
      </c>
      <c r="G2162" s="70">
        <v>419</v>
      </c>
      <c r="H2162" s="11">
        <f t="shared" si="344"/>
        <v>0.85970800000000003</v>
      </c>
      <c r="I2162" s="12" t="e">
        <f>ROUND(#REF!*1000000/G2162/H2162,-3)</f>
        <v>#REF!</v>
      </c>
      <c r="J2162" s="137"/>
      <c r="K2162" s="13"/>
    </row>
    <row r="2163" spans="1:11" ht="15" customHeight="1">
      <c r="A2163" s="813" t="s">
        <v>1658</v>
      </c>
      <c r="B2163" s="814" t="s">
        <v>1502</v>
      </c>
      <c r="C2163" s="14">
        <v>120</v>
      </c>
      <c r="D2163" s="9" t="s">
        <v>1659</v>
      </c>
      <c r="E2163" s="25">
        <v>920000</v>
      </c>
      <c r="G2163" s="8">
        <v>120</v>
      </c>
      <c r="H2163" s="11">
        <f t="shared" ref="H2163:H2176" si="347">0.72*1.02</f>
        <v>0.73439999999999994</v>
      </c>
      <c r="I2163" s="12" t="e">
        <f>ROUND(#REF!*1000000/G2163/H2163,-3)</f>
        <v>#REF!</v>
      </c>
      <c r="J2163" s="137"/>
      <c r="K2163" s="13"/>
    </row>
    <row r="2164" spans="1:11" ht="15" customHeight="1">
      <c r="A2164" s="816"/>
      <c r="B2164" s="804"/>
      <c r="C2164" s="7">
        <f t="shared" ref="C2164:C2165" si="348">C2163</f>
        <v>120</v>
      </c>
      <c r="D2164" s="9" t="s">
        <v>1660</v>
      </c>
      <c r="E2164" s="25">
        <v>985000</v>
      </c>
      <c r="G2164" s="8">
        <v>120</v>
      </c>
      <c r="H2164" s="11">
        <f t="shared" si="347"/>
        <v>0.73439999999999994</v>
      </c>
      <c r="I2164" s="12" t="e">
        <f>ROUND(#REF!*1000000/G2164/H2164,-3)</f>
        <v>#REF!</v>
      </c>
      <c r="J2164" s="137"/>
      <c r="K2164" s="13"/>
    </row>
    <row r="2165" spans="1:11" ht="15" customHeight="1">
      <c r="A2165" s="816"/>
      <c r="B2165" s="804"/>
      <c r="C2165" s="7">
        <f t="shared" si="348"/>
        <v>120</v>
      </c>
      <c r="D2165" s="9" t="s">
        <v>1661</v>
      </c>
      <c r="E2165" s="25">
        <v>1070000</v>
      </c>
      <c r="G2165" s="8">
        <v>120</v>
      </c>
      <c r="H2165" s="11">
        <f t="shared" si="347"/>
        <v>0.73439999999999994</v>
      </c>
      <c r="I2165" s="12" t="e">
        <f>ROUND(#REF!*1000000/G2165/H2165,-3)</f>
        <v>#REF!</v>
      </c>
      <c r="J2165" s="137"/>
      <c r="K2165" s="13"/>
    </row>
    <row r="2166" spans="1:11" ht="15" customHeight="1">
      <c r="A2166" s="816"/>
      <c r="B2166" s="804"/>
      <c r="C2166" s="14">
        <v>240</v>
      </c>
      <c r="D2166" s="9" t="s">
        <v>1662</v>
      </c>
      <c r="E2166" s="25">
        <v>1835000</v>
      </c>
      <c r="G2166" s="8">
        <v>240</v>
      </c>
      <c r="H2166" s="11">
        <f t="shared" si="347"/>
        <v>0.73439999999999994</v>
      </c>
      <c r="I2166" s="12" t="e">
        <f>ROUND(#REF!*1000000/G2166/H2166,-3)</f>
        <v>#REF!</v>
      </c>
      <c r="J2166" s="137"/>
      <c r="K2166" s="13"/>
    </row>
    <row r="2167" spans="1:11" ht="15" customHeight="1">
      <c r="A2167" s="816"/>
      <c r="B2167" s="804"/>
      <c r="C2167" s="7">
        <f t="shared" ref="C2167:C2168" si="349">C2166</f>
        <v>240</v>
      </c>
      <c r="D2167" s="9" t="s">
        <v>1663</v>
      </c>
      <c r="E2167" s="25">
        <v>1975000</v>
      </c>
      <c r="G2167" s="8">
        <v>240</v>
      </c>
      <c r="H2167" s="11">
        <f t="shared" si="347"/>
        <v>0.73439999999999994</v>
      </c>
      <c r="I2167" s="12" t="e">
        <f>ROUND(#REF!*1000000/G2167/H2167,-3)</f>
        <v>#REF!</v>
      </c>
      <c r="J2167" s="137"/>
      <c r="K2167" s="13"/>
    </row>
    <row r="2168" spans="1:11" ht="15" customHeight="1">
      <c r="A2168" s="816"/>
      <c r="B2168" s="804"/>
      <c r="C2168" s="7">
        <f t="shared" si="349"/>
        <v>240</v>
      </c>
      <c r="D2168" s="9" t="s">
        <v>1664</v>
      </c>
      <c r="E2168" s="25">
        <v>2065000</v>
      </c>
      <c r="G2168" s="8">
        <v>240</v>
      </c>
      <c r="H2168" s="11">
        <f t="shared" si="347"/>
        <v>0.73439999999999994</v>
      </c>
      <c r="I2168" s="12" t="e">
        <f>ROUND(#REF!*1000000/G2168/H2168,-3)</f>
        <v>#REF!</v>
      </c>
      <c r="J2168" s="137"/>
      <c r="K2168" s="13"/>
    </row>
    <row r="2169" spans="1:11" ht="15" customHeight="1">
      <c r="A2169" s="816"/>
      <c r="B2169" s="804"/>
      <c r="C2169" s="7">
        <v>330</v>
      </c>
      <c r="D2169" s="9" t="s">
        <v>1665</v>
      </c>
      <c r="E2169" s="25">
        <v>2525000</v>
      </c>
      <c r="G2169" s="8">
        <v>330</v>
      </c>
      <c r="H2169" s="11">
        <f t="shared" si="347"/>
        <v>0.73439999999999994</v>
      </c>
      <c r="I2169" s="12" t="e">
        <f>ROUND(#REF!*1000000/G2169/H2169,-3)</f>
        <v>#REF!</v>
      </c>
      <c r="J2169" s="137"/>
      <c r="K2169" s="13"/>
    </row>
    <row r="2170" spans="1:11" ht="15" customHeight="1">
      <c r="A2170" s="816"/>
      <c r="B2170" s="804"/>
      <c r="C2170" s="7">
        <f t="shared" ref="C2170:C2173" si="350">C2169</f>
        <v>330</v>
      </c>
      <c r="D2170" s="9" t="s">
        <v>1666</v>
      </c>
      <c r="E2170" s="25">
        <v>2710000</v>
      </c>
      <c r="G2170" s="8">
        <v>330</v>
      </c>
      <c r="H2170" s="11">
        <f t="shared" si="347"/>
        <v>0.73439999999999994</v>
      </c>
      <c r="I2170" s="12" t="e">
        <f>ROUND(#REF!*1000000/G2170/H2170,-3)</f>
        <v>#REF!</v>
      </c>
      <c r="J2170" s="137"/>
      <c r="K2170" s="13"/>
    </row>
    <row r="2171" spans="1:11" ht="15" customHeight="1">
      <c r="A2171" s="816"/>
      <c r="B2171" s="804"/>
      <c r="C2171" s="7">
        <f t="shared" si="350"/>
        <v>330</v>
      </c>
      <c r="D2171" s="9" t="s">
        <v>1667</v>
      </c>
      <c r="E2171" s="25">
        <v>2900000</v>
      </c>
      <c r="G2171" s="8">
        <v>330</v>
      </c>
      <c r="H2171" s="11">
        <f t="shared" si="347"/>
        <v>0.73439999999999994</v>
      </c>
      <c r="I2171" s="12" t="e">
        <f>ROUND(#REF!*1000000/G2171/H2171,-3)</f>
        <v>#REF!</v>
      </c>
      <c r="J2171" s="137"/>
      <c r="K2171" s="13"/>
    </row>
    <row r="2172" spans="1:11" ht="15" customHeight="1">
      <c r="A2172" s="816"/>
      <c r="B2172" s="804"/>
      <c r="C2172" s="33">
        <f t="shared" si="350"/>
        <v>330</v>
      </c>
      <c r="D2172" s="21" t="s">
        <v>1668</v>
      </c>
      <c r="E2172" s="25">
        <v>2310000</v>
      </c>
      <c r="G2172" s="8">
        <v>330</v>
      </c>
      <c r="H2172" s="11">
        <f t="shared" si="347"/>
        <v>0.73439999999999994</v>
      </c>
      <c r="I2172" s="12" t="e">
        <f>ROUND(#REF!*1000000/G2172/H2172,-3)</f>
        <v>#REF!</v>
      </c>
      <c r="J2172" s="137"/>
      <c r="K2172" s="13"/>
    </row>
    <row r="2173" spans="1:11" ht="15" customHeight="1">
      <c r="A2173" s="816"/>
      <c r="B2173" s="804"/>
      <c r="C2173" s="33">
        <f t="shared" si="350"/>
        <v>330</v>
      </c>
      <c r="D2173" s="21" t="s">
        <v>1669</v>
      </c>
      <c r="E2173" s="25">
        <v>1600000</v>
      </c>
      <c r="G2173" s="8">
        <v>330</v>
      </c>
      <c r="H2173" s="11">
        <f t="shared" si="347"/>
        <v>0.73439999999999994</v>
      </c>
      <c r="I2173" s="12" t="e">
        <f>ROUND(#REF!*1000000/G2173/H2173,-3)</f>
        <v>#REF!</v>
      </c>
      <c r="J2173" s="137"/>
      <c r="K2173" s="13"/>
    </row>
    <row r="2174" spans="1:11" ht="15" customHeight="1">
      <c r="A2174" s="816"/>
      <c r="B2174" s="804"/>
      <c r="C2174" s="7">
        <v>120</v>
      </c>
      <c r="D2174" s="9" t="s">
        <v>1670</v>
      </c>
      <c r="E2174" s="25">
        <v>1070000</v>
      </c>
      <c r="G2174" s="8">
        <v>120</v>
      </c>
      <c r="H2174" s="11">
        <f t="shared" si="347"/>
        <v>0.73439999999999994</v>
      </c>
      <c r="I2174" s="12" t="e">
        <f>ROUND(#REF!*1000000/G2174/H2174,-3)</f>
        <v>#REF!</v>
      </c>
      <c r="J2174" s="137"/>
      <c r="K2174" s="13"/>
    </row>
    <row r="2175" spans="1:11" ht="15" customHeight="1">
      <c r="A2175" s="816"/>
      <c r="B2175" s="804"/>
      <c r="C2175" s="7">
        <v>240</v>
      </c>
      <c r="D2175" s="9" t="s">
        <v>1671</v>
      </c>
      <c r="E2175" s="25">
        <v>2065000</v>
      </c>
      <c r="G2175" s="8">
        <v>240</v>
      </c>
      <c r="H2175" s="11">
        <f t="shared" si="347"/>
        <v>0.73439999999999994</v>
      </c>
      <c r="I2175" s="12" t="e">
        <f>ROUND(#REF!*1000000/G2175/H2175,-3)</f>
        <v>#REF!</v>
      </c>
      <c r="J2175" s="137"/>
      <c r="K2175" s="13"/>
    </row>
    <row r="2176" spans="1:11" ht="15" customHeight="1">
      <c r="A2176" s="817"/>
      <c r="B2176" s="805"/>
      <c r="C2176" s="7">
        <v>330</v>
      </c>
      <c r="D2176" s="9" t="s">
        <v>1672</v>
      </c>
      <c r="E2176" s="25">
        <v>2900000</v>
      </c>
      <c r="G2176" s="8">
        <v>330</v>
      </c>
      <c r="H2176" s="11">
        <f t="shared" si="347"/>
        <v>0.73439999999999994</v>
      </c>
      <c r="I2176" s="12" t="e">
        <f>ROUND(#REF!*1000000/G2176/H2176,-3)</f>
        <v>#REF!</v>
      </c>
      <c r="J2176" s="137"/>
      <c r="K2176" s="13"/>
    </row>
    <row r="2177" spans="1:11" ht="15" customHeight="1">
      <c r="A2177" s="810" t="s">
        <v>1673</v>
      </c>
      <c r="B2177" s="810" t="s">
        <v>1674</v>
      </c>
      <c r="C2177" s="7">
        <v>112</v>
      </c>
      <c r="D2177" s="9" t="s">
        <v>1675</v>
      </c>
      <c r="E2177" s="148">
        <v>490000</v>
      </c>
      <c r="G2177" s="8">
        <v>112</v>
      </c>
      <c r="H2177" s="11">
        <f t="shared" ref="H2177:H2179" si="351">0.787*1.092</f>
        <v>0.85940400000000006</v>
      </c>
      <c r="I2177" s="12" t="e">
        <f>ROUND(#REF!*1000000/G2177/H2177,-3)</f>
        <v>#REF!</v>
      </c>
      <c r="J2177" s="137"/>
      <c r="K2177" s="13"/>
    </row>
    <row r="2178" spans="1:11" ht="15" customHeight="1">
      <c r="A2178" s="810"/>
      <c r="B2178" s="810"/>
      <c r="C2178" s="7">
        <f t="shared" ref="C2178:C2179" si="352">C2177</f>
        <v>112</v>
      </c>
      <c r="D2178" s="9" t="s">
        <v>1676</v>
      </c>
      <c r="E2178" s="148">
        <v>535000</v>
      </c>
      <c r="G2178" s="8">
        <v>112</v>
      </c>
      <c r="H2178" s="11">
        <f t="shared" si="351"/>
        <v>0.85940400000000006</v>
      </c>
      <c r="I2178" s="12" t="e">
        <f>ROUND(#REF!*1000000/G2178/H2178,-3)</f>
        <v>#REF!</v>
      </c>
      <c r="J2178" s="137"/>
      <c r="K2178" s="13"/>
    </row>
    <row r="2179" spans="1:11" ht="15" customHeight="1">
      <c r="A2179" s="810"/>
      <c r="B2179" s="810"/>
      <c r="C2179" s="33">
        <f t="shared" si="352"/>
        <v>112</v>
      </c>
      <c r="D2179" s="21" t="s">
        <v>1677</v>
      </c>
      <c r="E2179" s="214">
        <v>480000</v>
      </c>
      <c r="G2179" s="8">
        <v>112</v>
      </c>
      <c r="H2179" s="11">
        <f t="shared" si="351"/>
        <v>0.85940400000000006</v>
      </c>
      <c r="I2179" s="12" t="e">
        <f>ROUND(#REF!*1000000/G2179/H2179,-3)</f>
        <v>#REF!</v>
      </c>
      <c r="J2179" s="137"/>
      <c r="K2179" s="13"/>
    </row>
    <row r="2180" spans="1:11" ht="15" customHeight="1">
      <c r="A2180" s="810"/>
      <c r="B2180" s="810"/>
      <c r="C2180" s="7">
        <v>253</v>
      </c>
      <c r="D2180" s="9" t="s">
        <v>1678</v>
      </c>
      <c r="E2180" s="148">
        <v>1210000</v>
      </c>
      <c r="G2180" s="8">
        <v>253</v>
      </c>
      <c r="H2180" s="11">
        <f>0.787*1.092</f>
        <v>0.85940400000000006</v>
      </c>
      <c r="I2180" s="12" t="e">
        <f>ROUND(#REF!*1000000/G2180/H2180,-3)</f>
        <v>#REF!</v>
      </c>
      <c r="J2180" s="137"/>
      <c r="K2180" s="13"/>
    </row>
    <row r="2181" spans="1:11" ht="15" customHeight="1">
      <c r="A2181" s="810"/>
      <c r="B2181" s="810"/>
      <c r="C2181" s="7">
        <f>C2180</f>
        <v>253</v>
      </c>
      <c r="D2181" s="9" t="s">
        <v>1679</v>
      </c>
      <c r="E2181" s="148">
        <v>1325000</v>
      </c>
      <c r="G2181" s="8">
        <v>253</v>
      </c>
      <c r="H2181" s="11">
        <f t="shared" ref="H2181:H2187" si="353">0.788*1.091</f>
        <v>0.85970800000000003</v>
      </c>
      <c r="I2181" s="12" t="e">
        <f>ROUND(#REF!*1000000/G2181/H2181,-3)</f>
        <v>#REF!</v>
      </c>
      <c r="J2181" s="137"/>
      <c r="K2181" s="13"/>
    </row>
    <row r="2182" spans="1:11" ht="15" customHeight="1">
      <c r="A2182" s="811" t="s">
        <v>1680</v>
      </c>
      <c r="B2182" s="810" t="s">
        <v>213</v>
      </c>
      <c r="C2182" s="7">
        <v>130</v>
      </c>
      <c r="D2182" s="9" t="s">
        <v>1652</v>
      </c>
      <c r="E2182" s="25">
        <v>450000</v>
      </c>
      <c r="G2182" s="8">
        <v>130</v>
      </c>
      <c r="H2182" s="11">
        <f t="shared" si="353"/>
        <v>0.85970800000000003</v>
      </c>
      <c r="I2182" s="12" t="e">
        <f>ROUND(#REF!*1000000/G2182/H2182,-3)</f>
        <v>#REF!</v>
      </c>
      <c r="J2182" s="137"/>
      <c r="K2182" s="13"/>
    </row>
    <row r="2183" spans="1:11" ht="15" customHeight="1">
      <c r="A2183" s="811"/>
      <c r="B2183" s="810"/>
      <c r="C2183" s="7">
        <f>C2182</f>
        <v>130</v>
      </c>
      <c r="D2183" s="9" t="s">
        <v>1653</v>
      </c>
      <c r="E2183" s="25">
        <v>485000</v>
      </c>
      <c r="G2183" s="8">
        <v>130</v>
      </c>
      <c r="H2183" s="11">
        <f t="shared" si="353"/>
        <v>0.85970800000000003</v>
      </c>
      <c r="I2183" s="12" t="e">
        <f>ROUND(#REF!*1000000/G2183/H2183,-3)</f>
        <v>#REF!</v>
      </c>
      <c r="J2183" s="137"/>
      <c r="K2183" s="13"/>
    </row>
    <row r="2184" spans="1:11" ht="15" customHeight="1">
      <c r="A2184" s="811"/>
      <c r="B2184" s="810"/>
      <c r="C2184" s="7">
        <v>240</v>
      </c>
      <c r="D2184" s="9" t="s">
        <v>1652</v>
      </c>
      <c r="E2184" s="25">
        <v>835000</v>
      </c>
      <c r="G2184" s="8">
        <v>240</v>
      </c>
      <c r="H2184" s="11">
        <f t="shared" si="353"/>
        <v>0.85970800000000003</v>
      </c>
      <c r="I2184" s="12" t="e">
        <f>ROUND(#REF!*1000000/G2184/H2184,-3)</f>
        <v>#REF!</v>
      </c>
      <c r="J2184" s="137"/>
      <c r="K2184" s="13"/>
    </row>
    <row r="2185" spans="1:11" ht="15" customHeight="1">
      <c r="A2185" s="811"/>
      <c r="B2185" s="810"/>
      <c r="C2185" s="7">
        <f>C2184</f>
        <v>240</v>
      </c>
      <c r="D2185" s="9" t="s">
        <v>1653</v>
      </c>
      <c r="E2185" s="25">
        <v>895000</v>
      </c>
      <c r="G2185" s="8">
        <v>240</v>
      </c>
      <c r="H2185" s="11">
        <f t="shared" si="353"/>
        <v>0.85970800000000003</v>
      </c>
      <c r="I2185" s="12" t="e">
        <f>ROUND(#REF!*1000000/G2185/H2185,-3)</f>
        <v>#REF!</v>
      </c>
      <c r="J2185" s="137"/>
      <c r="K2185" s="13"/>
    </row>
    <row r="2186" spans="1:11" ht="15" customHeight="1">
      <c r="A2186" s="811"/>
      <c r="B2186" s="810"/>
      <c r="C2186" s="7">
        <v>350</v>
      </c>
      <c r="D2186" s="9" t="s">
        <v>1652</v>
      </c>
      <c r="E2186" s="25">
        <v>1215000</v>
      </c>
      <c r="G2186" s="8">
        <v>350</v>
      </c>
      <c r="H2186" s="11">
        <f t="shared" si="353"/>
        <v>0.85970800000000003</v>
      </c>
      <c r="I2186" s="12" t="e">
        <f>ROUND(#REF!*1000000/G2186/H2186,-3)</f>
        <v>#REF!</v>
      </c>
      <c r="J2186" s="137"/>
      <c r="K2186" s="13"/>
    </row>
    <row r="2187" spans="1:11" ht="15" customHeight="1">
      <c r="A2187" s="811"/>
      <c r="B2187" s="810"/>
      <c r="C2187" s="7">
        <f>C2186</f>
        <v>350</v>
      </c>
      <c r="D2187" s="9" t="s">
        <v>1653</v>
      </c>
      <c r="E2187" s="25">
        <v>1305000</v>
      </c>
      <c r="G2187" s="8">
        <v>350</v>
      </c>
      <c r="H2187" s="11">
        <f t="shared" si="353"/>
        <v>0.85970800000000003</v>
      </c>
      <c r="I2187" s="12" t="e">
        <f>ROUND(#REF!*1000000/G2187/H2187,-3)</f>
        <v>#REF!</v>
      </c>
      <c r="J2187" s="137"/>
      <c r="K2187" s="13"/>
    </row>
    <row r="2188" spans="1:11" ht="15" customHeight="1">
      <c r="A2188" s="811"/>
      <c r="B2188" s="810" t="s">
        <v>1502</v>
      </c>
      <c r="C2188" s="7">
        <v>130</v>
      </c>
      <c r="D2188" s="9" t="s">
        <v>1681</v>
      </c>
      <c r="E2188" s="25">
        <v>410000</v>
      </c>
      <c r="G2188" s="8">
        <v>130</v>
      </c>
      <c r="H2188" s="11">
        <f t="shared" ref="H2188:H2196" si="354">0.72*1.02</f>
        <v>0.73439999999999994</v>
      </c>
      <c r="I2188" s="12" t="e">
        <f>ROUND(#REF!*1000000/G2188/H2188,-3)</f>
        <v>#REF!</v>
      </c>
      <c r="J2188" s="137"/>
      <c r="K2188" s="13"/>
    </row>
    <row r="2189" spans="1:11" ht="15" customHeight="1">
      <c r="A2189" s="811"/>
      <c r="B2189" s="810"/>
      <c r="C2189" s="7">
        <f t="shared" ref="C2189:C2190" si="355">C2188</f>
        <v>130</v>
      </c>
      <c r="D2189" s="9" t="s">
        <v>245</v>
      </c>
      <c r="E2189" s="25">
        <v>465000</v>
      </c>
      <c r="G2189" s="8">
        <v>130</v>
      </c>
      <c r="H2189" s="11">
        <f t="shared" si="354"/>
        <v>0.73439999999999994</v>
      </c>
      <c r="I2189" s="12" t="e">
        <f>ROUND(#REF!*1000000/G2189/H2189,-3)</f>
        <v>#REF!</v>
      </c>
      <c r="J2189" s="137"/>
      <c r="K2189" s="13"/>
    </row>
    <row r="2190" spans="1:11" ht="15" customHeight="1">
      <c r="A2190" s="811"/>
      <c r="B2190" s="810"/>
      <c r="C2190" s="33">
        <f t="shared" si="355"/>
        <v>130</v>
      </c>
      <c r="D2190" s="21" t="s">
        <v>1682</v>
      </c>
      <c r="E2190" s="25">
        <v>410000</v>
      </c>
      <c r="G2190" s="8">
        <v>130</v>
      </c>
      <c r="H2190" s="11">
        <f t="shared" si="354"/>
        <v>0.73439999999999994</v>
      </c>
      <c r="I2190" s="12" t="e">
        <f>ROUND(#REF!*1000000/G2190/H2190,-3)</f>
        <v>#REF!</v>
      </c>
      <c r="J2190" s="137"/>
      <c r="K2190" s="13"/>
    </row>
    <row r="2191" spans="1:11" ht="15" customHeight="1">
      <c r="A2191" s="811"/>
      <c r="B2191" s="810"/>
      <c r="C2191" s="7">
        <v>240</v>
      </c>
      <c r="D2191" s="9" t="s">
        <v>1681</v>
      </c>
      <c r="E2191" s="25">
        <v>750000</v>
      </c>
      <c r="G2191" s="8">
        <v>240</v>
      </c>
      <c r="H2191" s="11">
        <f t="shared" si="354"/>
        <v>0.73439999999999994</v>
      </c>
      <c r="I2191" s="12" t="e">
        <f>ROUND(#REF!*1000000/G2191/H2191,-3)</f>
        <v>#REF!</v>
      </c>
      <c r="J2191" s="137"/>
      <c r="K2191" s="13"/>
    </row>
    <row r="2192" spans="1:11" ht="15" customHeight="1">
      <c r="A2192" s="811"/>
      <c r="B2192" s="810"/>
      <c r="C2192" s="7">
        <f t="shared" ref="C2192:C2193" si="356">C2191</f>
        <v>240</v>
      </c>
      <c r="D2192" s="9" t="s">
        <v>245</v>
      </c>
      <c r="E2192" s="25">
        <v>860000</v>
      </c>
      <c r="G2192" s="8">
        <v>240</v>
      </c>
      <c r="H2192" s="11">
        <f t="shared" si="354"/>
        <v>0.73439999999999994</v>
      </c>
      <c r="I2192" s="12" t="e">
        <f>ROUND(#REF!*1000000/G2192/H2192,-3)</f>
        <v>#REF!</v>
      </c>
      <c r="J2192" s="137"/>
      <c r="K2192" s="13"/>
    </row>
    <row r="2193" spans="1:11" ht="15" customHeight="1">
      <c r="A2193" s="811"/>
      <c r="B2193" s="810"/>
      <c r="C2193" s="33">
        <f t="shared" si="356"/>
        <v>240</v>
      </c>
      <c r="D2193" s="21" t="s">
        <v>1682</v>
      </c>
      <c r="E2193" s="25">
        <v>755000</v>
      </c>
      <c r="G2193" s="8">
        <v>240</v>
      </c>
      <c r="H2193" s="11">
        <f t="shared" si="354"/>
        <v>0.73439999999999994</v>
      </c>
      <c r="I2193" s="12" t="e">
        <f>ROUND(#REF!*1000000/G2193/H2193,-3)</f>
        <v>#REF!</v>
      </c>
      <c r="J2193" s="137"/>
      <c r="K2193" s="13"/>
    </row>
    <row r="2194" spans="1:11" ht="15" customHeight="1">
      <c r="A2194" s="811"/>
      <c r="B2194" s="810"/>
      <c r="C2194" s="7">
        <v>350</v>
      </c>
      <c r="D2194" s="9" t="s">
        <v>1681</v>
      </c>
      <c r="E2194" s="25">
        <v>1100000</v>
      </c>
      <c r="G2194" s="8">
        <v>350</v>
      </c>
      <c r="H2194" s="11">
        <f t="shared" si="354"/>
        <v>0.73439999999999994</v>
      </c>
      <c r="I2194" s="12" t="e">
        <f>ROUND(#REF!*1000000/G2194/H2194,-3)</f>
        <v>#REF!</v>
      </c>
      <c r="J2194" s="137"/>
      <c r="K2194" s="13"/>
    </row>
    <row r="2195" spans="1:11" ht="15" customHeight="1">
      <c r="A2195" s="811"/>
      <c r="B2195" s="810"/>
      <c r="C2195" s="7">
        <f t="shared" ref="C2195:C2196" si="357">C2194</f>
        <v>350</v>
      </c>
      <c r="D2195" s="9" t="s">
        <v>245</v>
      </c>
      <c r="E2195" s="25">
        <v>1250000</v>
      </c>
      <c r="G2195" s="8">
        <v>350</v>
      </c>
      <c r="H2195" s="11">
        <f t="shared" si="354"/>
        <v>0.73439999999999994</v>
      </c>
      <c r="I2195" s="12" t="e">
        <f>ROUND(#REF!*1000000/G2195/H2195,-3)</f>
        <v>#REF!</v>
      </c>
      <c r="J2195" s="137"/>
      <c r="K2195" s="13"/>
    </row>
    <row r="2196" spans="1:11" ht="15" customHeight="1">
      <c r="A2196" s="811"/>
      <c r="B2196" s="810"/>
      <c r="C2196" s="33">
        <f t="shared" si="357"/>
        <v>350</v>
      </c>
      <c r="D2196" s="21" t="s">
        <v>1682</v>
      </c>
      <c r="E2196" s="25">
        <v>1105000</v>
      </c>
      <c r="G2196" s="8">
        <v>350</v>
      </c>
      <c r="H2196" s="11">
        <f t="shared" si="354"/>
        <v>0.73439999999999994</v>
      </c>
      <c r="I2196" s="12" t="e">
        <f>ROUND(#REF!*1000000/G2196/H2196,-3)</f>
        <v>#REF!</v>
      </c>
      <c r="J2196" s="137"/>
      <c r="K2196" s="13"/>
    </row>
    <row r="2197" spans="1:11" ht="15" customHeight="1">
      <c r="A2197" s="7" t="s">
        <v>1683</v>
      </c>
      <c r="B2197" s="7" t="s">
        <v>1684</v>
      </c>
      <c r="C2197" s="31">
        <v>80</v>
      </c>
      <c r="D2197" s="32" t="s">
        <v>1685</v>
      </c>
      <c r="E2197" s="25">
        <v>0</v>
      </c>
      <c r="G2197" s="8">
        <v>80</v>
      </c>
      <c r="H2197" s="11">
        <f>0.914*10</f>
        <v>9.14</v>
      </c>
      <c r="I2197" s="12" t="e">
        <f>ROUND(#REF!*1000000/G2197/H2197,-3)</f>
        <v>#REF!</v>
      </c>
      <c r="J2197" s="137"/>
      <c r="K2197" s="13"/>
    </row>
    <row r="2198" spans="1:11" ht="15" customHeight="1">
      <c r="A2198" s="813" t="s">
        <v>1686</v>
      </c>
      <c r="B2198" s="814" t="s">
        <v>1687</v>
      </c>
      <c r="C2198" s="14">
        <v>62</v>
      </c>
      <c r="D2198" s="9" t="s">
        <v>1688</v>
      </c>
      <c r="E2198" s="25" t="s">
        <v>4893</v>
      </c>
      <c r="G2198" s="8"/>
      <c r="H2198" s="11">
        <f>1.092*1000</f>
        <v>1092</v>
      </c>
      <c r="I2198" s="12" t="e">
        <f>ROUNDDOWN(#REF!/H2198,-1)</f>
        <v>#REF!</v>
      </c>
      <c r="J2198" s="136">
        <v>190</v>
      </c>
      <c r="K2198" s="13"/>
    </row>
    <row r="2199" spans="1:11" ht="15" customHeight="1">
      <c r="A2199" s="804"/>
      <c r="B2199" s="804"/>
      <c r="C2199" s="14">
        <v>71</v>
      </c>
      <c r="D2199" s="9" t="s">
        <v>1689</v>
      </c>
      <c r="E2199" s="25" t="s">
        <v>4894</v>
      </c>
      <c r="G2199" s="8"/>
      <c r="H2199" s="11">
        <f>1.092*1000</f>
        <v>1092</v>
      </c>
      <c r="I2199" s="12" t="e">
        <f>ROUNDDOWN(#REF!/H2199,-1)</f>
        <v>#REF!</v>
      </c>
      <c r="J2199" s="136">
        <v>220</v>
      </c>
      <c r="K2199" s="13"/>
    </row>
    <row r="2200" spans="1:11" ht="15" customHeight="1">
      <c r="A2200" s="804"/>
      <c r="B2200" s="805"/>
      <c r="C2200" s="14">
        <v>111</v>
      </c>
      <c r="D2200" s="9" t="s">
        <v>1690</v>
      </c>
      <c r="E2200" s="25" t="s">
        <v>4895</v>
      </c>
      <c r="G2200" s="8"/>
      <c r="H2200" s="11">
        <f>1.092*1000</f>
        <v>1092</v>
      </c>
      <c r="I2200" s="12" t="e">
        <f>ROUNDDOWN(#REF!/H2200,-1)</f>
        <v>#REF!</v>
      </c>
      <c r="J2200" s="136">
        <v>290</v>
      </c>
      <c r="K2200" s="13"/>
    </row>
    <row r="2201" spans="1:11" ht="15" customHeight="1">
      <c r="A2201" s="804"/>
      <c r="B2201" s="814" t="s">
        <v>1691</v>
      </c>
      <c r="C2201" s="14">
        <v>52</v>
      </c>
      <c r="D2201" s="9" t="s">
        <v>1692</v>
      </c>
      <c r="E2201" s="25" t="s">
        <v>4896</v>
      </c>
      <c r="G2201" s="8"/>
      <c r="H2201" s="11">
        <f>1.55*1000</f>
        <v>1550</v>
      </c>
      <c r="I2201" s="12" t="e">
        <f>ROUNDDOWN(#REF!/H2201,-1)</f>
        <v>#REF!</v>
      </c>
      <c r="J2201" s="136">
        <v>155</v>
      </c>
      <c r="K2201" s="13"/>
    </row>
    <row r="2202" spans="1:11" ht="15" customHeight="1">
      <c r="A2202" s="804"/>
      <c r="B2202" s="805"/>
      <c r="C2202" s="20">
        <v>60</v>
      </c>
      <c r="D2202" s="21" t="s">
        <v>1693</v>
      </c>
      <c r="E2202" s="25" t="s">
        <v>4897</v>
      </c>
      <c r="G2202" s="8"/>
      <c r="H2202" s="11">
        <f>1.55*1000</f>
        <v>1550</v>
      </c>
      <c r="I2202" s="12" t="e">
        <f>ROUNDDOWN(#REF!/H2202,-1)</f>
        <v>#REF!</v>
      </c>
      <c r="J2202" s="136">
        <v>190</v>
      </c>
    </row>
    <row r="2203" spans="1:11" ht="15" customHeight="1">
      <c r="A2203" s="804"/>
      <c r="B2203" s="814" t="s">
        <v>1694</v>
      </c>
      <c r="C2203" s="14">
        <v>62</v>
      </c>
      <c r="D2203" s="9" t="s">
        <v>1688</v>
      </c>
      <c r="E2203" s="25">
        <v>695000</v>
      </c>
      <c r="G2203" s="8"/>
      <c r="H2203" s="11">
        <f>1.092*0.788</f>
        <v>0.86049600000000015</v>
      </c>
      <c r="I2203" s="12" t="e">
        <f>ROUNDDOWN(#REF!/H2203,-1)</f>
        <v>#REF!</v>
      </c>
      <c r="J2203" s="136">
        <v>190</v>
      </c>
      <c r="K2203" s="13"/>
    </row>
    <row r="2204" spans="1:11" ht="15" customHeight="1">
      <c r="A2204" s="804"/>
      <c r="B2204" s="804"/>
      <c r="C2204" s="14">
        <v>71</v>
      </c>
      <c r="D2204" s="9" t="s">
        <v>1689</v>
      </c>
      <c r="E2204" s="25">
        <v>885000</v>
      </c>
      <c r="G2204" s="8"/>
      <c r="H2204" s="11">
        <f t="shared" ref="H2204:H2205" si="358">1.092*0.788</f>
        <v>0.86049600000000015</v>
      </c>
      <c r="I2204" s="12" t="e">
        <f>ROUNDDOWN(#REF!/H2204,-1)</f>
        <v>#REF!</v>
      </c>
      <c r="J2204" s="136">
        <v>220</v>
      </c>
      <c r="K2204" s="13"/>
    </row>
    <row r="2205" spans="1:11" ht="15" customHeight="1">
      <c r="A2205" s="804"/>
      <c r="B2205" s="805"/>
      <c r="C2205" s="14">
        <v>111</v>
      </c>
      <c r="D2205" s="9" t="s">
        <v>1690</v>
      </c>
      <c r="E2205" s="25">
        <v>1695000</v>
      </c>
      <c r="G2205" s="8"/>
      <c r="H2205" s="11">
        <f t="shared" si="358"/>
        <v>0.86049600000000015</v>
      </c>
      <c r="I2205" s="12" t="e">
        <f>ROUNDDOWN(#REF!/H2205,-1)</f>
        <v>#REF!</v>
      </c>
      <c r="J2205" s="136">
        <v>290</v>
      </c>
      <c r="K2205" s="13"/>
    </row>
    <row r="2206" spans="1:11" ht="15" customHeight="1">
      <c r="A2206" s="804"/>
      <c r="B2206" s="814" t="s">
        <v>1695</v>
      </c>
      <c r="C2206" s="14">
        <v>52</v>
      </c>
      <c r="D2206" s="9" t="s">
        <v>1692</v>
      </c>
      <c r="E2206" s="25">
        <v>815000</v>
      </c>
      <c r="G2206" s="8"/>
      <c r="H2206" s="11">
        <f>0.775*1.092</f>
        <v>0.84630000000000005</v>
      </c>
      <c r="I2206" s="12" t="e">
        <f>ROUNDDOWN(#REF!/H2206,-1)</f>
        <v>#REF!</v>
      </c>
      <c r="J2206" s="136">
        <v>155</v>
      </c>
      <c r="K2206" s="13"/>
    </row>
    <row r="2207" spans="1:11" ht="15" customHeight="1">
      <c r="A2207" s="805"/>
      <c r="B2207" s="805"/>
      <c r="C2207" s="20">
        <v>60</v>
      </c>
      <c r="D2207" s="21" t="s">
        <v>1693</v>
      </c>
      <c r="E2207" s="25">
        <v>805000</v>
      </c>
      <c r="G2207" s="8"/>
      <c r="H2207" s="11">
        <f>0.775*1.092</f>
        <v>0.84630000000000005</v>
      </c>
      <c r="I2207" s="12" t="e">
        <f>ROUNDDOWN(#REF!/H2207,-1)</f>
        <v>#REF!</v>
      </c>
      <c r="J2207" s="136">
        <v>190</v>
      </c>
      <c r="K2207" s="13"/>
    </row>
    <row r="2208" spans="1:11" ht="15" customHeight="1">
      <c r="A2208" s="811" t="s">
        <v>1696</v>
      </c>
      <c r="B2208" s="810" t="s">
        <v>1</v>
      </c>
      <c r="C2208" s="7">
        <v>50</v>
      </c>
      <c r="D2208" s="36"/>
      <c r="E2208" s="25">
        <v>76000</v>
      </c>
      <c r="G2208" s="8">
        <v>50</v>
      </c>
      <c r="H2208" s="11">
        <v>0.88</v>
      </c>
      <c r="I2208" s="12" t="e">
        <f>ROUND(#REF!*1000000/G2208/H2208,-3)</f>
        <v>#REF!</v>
      </c>
      <c r="J2208" s="137"/>
      <c r="K2208" s="13"/>
    </row>
    <row r="2209" spans="1:11" ht="15" customHeight="1">
      <c r="A2209" s="811"/>
      <c r="B2209" s="810"/>
      <c r="C2209" s="7">
        <v>80</v>
      </c>
      <c r="D2209" s="36"/>
      <c r="E2209" s="25">
        <v>122000</v>
      </c>
      <c r="G2209" s="8">
        <v>80</v>
      </c>
      <c r="H2209" s="11">
        <v>0.88</v>
      </c>
      <c r="I2209" s="12" t="e">
        <f>ROUND(#REF!*1000000/G2209/H2209,-3)</f>
        <v>#REF!</v>
      </c>
      <c r="J2209" s="136">
        <v>105</v>
      </c>
      <c r="K2209" s="13"/>
    </row>
    <row r="2210" spans="1:11" ht="15" customHeight="1">
      <c r="A2210" s="811"/>
      <c r="B2210" s="810"/>
      <c r="C2210" s="7">
        <v>100</v>
      </c>
      <c r="D2210" s="36"/>
      <c r="E2210" s="25">
        <v>139000</v>
      </c>
      <c r="G2210" s="8">
        <v>100</v>
      </c>
      <c r="H2210" s="11">
        <v>0.88</v>
      </c>
      <c r="I2210" s="12" t="e">
        <f>ROUND(#REF!*1000000/G2210/H2210,-3)</f>
        <v>#REF!</v>
      </c>
      <c r="J2210" s="136">
        <v>128</v>
      </c>
      <c r="K2210" s="13"/>
    </row>
    <row r="2211" spans="1:11" ht="15" customHeight="1">
      <c r="A2211" s="811"/>
      <c r="B2211" s="810"/>
      <c r="C2211" s="7">
        <v>120</v>
      </c>
      <c r="D2211" s="36"/>
      <c r="E2211" s="25">
        <v>166500</v>
      </c>
      <c r="G2211" s="8">
        <v>120</v>
      </c>
      <c r="H2211" s="11">
        <v>0.88</v>
      </c>
      <c r="I2211" s="12" t="e">
        <f>ROUND(#REF!*1000000/G2211/H2211,-3)</f>
        <v>#REF!</v>
      </c>
      <c r="J2211" s="136">
        <v>154</v>
      </c>
      <c r="K2211" s="13"/>
    </row>
    <row r="2212" spans="1:11" ht="15" customHeight="1">
      <c r="A2212" s="811"/>
      <c r="B2212" s="810"/>
      <c r="C2212" s="7">
        <v>150</v>
      </c>
      <c r="D2212" s="36"/>
      <c r="E2212" s="25">
        <v>208500</v>
      </c>
      <c r="G2212" s="8">
        <v>150</v>
      </c>
      <c r="H2212" s="11">
        <v>0.88</v>
      </c>
      <c r="I2212" s="12" t="e">
        <f>ROUND(#REF!*1000000/G2212/H2212,-3)</f>
        <v>#REF!</v>
      </c>
      <c r="J2212" s="136">
        <v>193</v>
      </c>
      <c r="K2212" s="13"/>
    </row>
    <row r="2213" spans="1:11" ht="15" customHeight="1">
      <c r="A2213" s="811"/>
      <c r="B2213" s="7" t="s">
        <v>1697</v>
      </c>
      <c r="C2213" s="7">
        <v>80</v>
      </c>
      <c r="D2213" s="36"/>
      <c r="E2213" s="25">
        <v>0</v>
      </c>
      <c r="G2213" s="8">
        <v>80</v>
      </c>
      <c r="H2213" s="11">
        <f>0.8*6000</f>
        <v>4800</v>
      </c>
      <c r="I2213" s="12" t="e">
        <f>ROUND(#REF!*1000000/G2213/H2213,-3)</f>
        <v>#REF!</v>
      </c>
      <c r="J2213" s="136">
        <v>105</v>
      </c>
      <c r="K2213" s="13"/>
    </row>
    <row r="2214" spans="1:11" ht="15" customHeight="1">
      <c r="A2214" s="811"/>
      <c r="B2214" s="7" t="s">
        <v>1698</v>
      </c>
      <c r="C2214" s="7">
        <v>100</v>
      </c>
      <c r="D2214" s="36"/>
      <c r="E2214" s="25">
        <v>0</v>
      </c>
      <c r="G2214" s="8">
        <v>100</v>
      </c>
      <c r="H2214" s="11">
        <f>0.8*5000</f>
        <v>4000</v>
      </c>
      <c r="I2214" s="12" t="e">
        <f>ROUND(#REF!*1000000/G2214/H2214,-3)</f>
        <v>#REF!</v>
      </c>
      <c r="J2214" s="136">
        <v>128</v>
      </c>
      <c r="K2214" s="13"/>
    </row>
    <row r="2215" spans="1:11" ht="15" customHeight="1">
      <c r="A2215" s="811"/>
      <c r="B2215" s="7" t="s">
        <v>1699</v>
      </c>
      <c r="C2215" s="7">
        <v>120</v>
      </c>
      <c r="D2215" s="36"/>
      <c r="E2215" s="25">
        <v>0</v>
      </c>
      <c r="G2215" s="8">
        <v>120</v>
      </c>
      <c r="H2215" s="11">
        <f>0.8*4000</f>
        <v>3200</v>
      </c>
      <c r="I2215" s="12" t="e">
        <f>ROUND(#REF!*1000000/G2215/H2215,-3)</f>
        <v>#REF!</v>
      </c>
      <c r="J2215" s="136">
        <v>154</v>
      </c>
      <c r="K2215" s="13"/>
    </row>
    <row r="2216" spans="1:11" ht="15" customHeight="1">
      <c r="A2216" s="811"/>
      <c r="B2216" s="7" t="s">
        <v>1700</v>
      </c>
      <c r="C2216" s="7">
        <v>150</v>
      </c>
      <c r="D2216" s="36"/>
      <c r="E2216" s="25">
        <v>0</v>
      </c>
      <c r="G2216" s="8">
        <v>150</v>
      </c>
      <c r="H2216" s="11">
        <f>0.8*3200</f>
        <v>2560</v>
      </c>
      <c r="I2216" s="12" t="e">
        <f>ROUND(#REF!*1000000/G2216/H2216,-3)</f>
        <v>#REF!</v>
      </c>
      <c r="J2216" s="136">
        <v>193</v>
      </c>
      <c r="K2216" s="13"/>
    </row>
    <row r="2217" spans="1:11" ht="15" customHeight="1">
      <c r="A2217" s="810" t="s">
        <v>1701</v>
      </c>
      <c r="B2217" s="810" t="s">
        <v>1702</v>
      </c>
      <c r="C2217" s="33">
        <v>125</v>
      </c>
      <c r="D2217" s="37" t="s">
        <v>1703</v>
      </c>
      <c r="E2217" s="25">
        <v>110000</v>
      </c>
      <c r="G2217" s="8">
        <v>125</v>
      </c>
      <c r="H2217" s="11">
        <f>0.5*0.65</f>
        <v>0.32500000000000001</v>
      </c>
      <c r="I2217" s="12" t="e">
        <f>ROUND(#REF!*1000000/G2217/H2217,-3)</f>
        <v>#REF!</v>
      </c>
      <c r="J2217" s="137"/>
      <c r="K2217" s="13"/>
    </row>
    <row r="2218" spans="1:11" ht="15" customHeight="1">
      <c r="A2218" s="810"/>
      <c r="B2218" s="810"/>
      <c r="C2218" s="20">
        <v>224</v>
      </c>
      <c r="D2218" s="37" t="s">
        <v>1704</v>
      </c>
      <c r="E2218" s="25">
        <v>200000</v>
      </c>
      <c r="G2218" s="8">
        <v>224</v>
      </c>
      <c r="H2218" s="11">
        <f>0.5*0.65</f>
        <v>0.32500000000000001</v>
      </c>
      <c r="I2218" s="12" t="e">
        <f>ROUND(#REF!*1000000/G2218/H2218,-3)</f>
        <v>#REF!</v>
      </c>
      <c r="J2218" s="137"/>
      <c r="K2218" s="13"/>
    </row>
    <row r="2219" spans="1:11" ht="15" customHeight="1">
      <c r="A2219" s="810"/>
      <c r="B2219" s="7" t="s">
        <v>1705</v>
      </c>
      <c r="C2219" s="33">
        <v>350</v>
      </c>
      <c r="D2219" s="37" t="s">
        <v>1706</v>
      </c>
      <c r="E2219" s="25">
        <v>1920000</v>
      </c>
      <c r="G2219" s="8">
        <v>350</v>
      </c>
      <c r="H2219" s="11">
        <f>0.35</f>
        <v>0.35</v>
      </c>
      <c r="I2219" s="12" t="e">
        <f>ROUND(#REF!*1000000/G2219/H2219,-3)</f>
        <v>#REF!</v>
      </c>
      <c r="J2219" s="137"/>
      <c r="K2219" s="13"/>
    </row>
    <row r="2220" spans="1:11" ht="15" customHeight="1">
      <c r="A2220" s="810"/>
      <c r="B2220" s="7" t="s">
        <v>1707</v>
      </c>
      <c r="C2220" s="33">
        <v>300</v>
      </c>
      <c r="D2220" s="37" t="s">
        <v>1708</v>
      </c>
      <c r="E2220" s="25">
        <v>1565000</v>
      </c>
      <c r="G2220" s="8">
        <v>300</v>
      </c>
      <c r="H2220" s="11">
        <f>0.56*0.76</f>
        <v>0.42560000000000003</v>
      </c>
      <c r="I2220" s="12" t="e">
        <f>ROUND(#REF!*1000000/G2220/H2220,-3)</f>
        <v>#REF!</v>
      </c>
      <c r="J2220" s="137"/>
      <c r="K2220" s="13"/>
    </row>
    <row r="2221" spans="1:11" ht="15" customHeight="1">
      <c r="A2221" s="810"/>
      <c r="B2221" s="7" t="s">
        <v>1709</v>
      </c>
      <c r="C2221" s="33">
        <v>300</v>
      </c>
      <c r="D2221" s="37" t="s">
        <v>1710</v>
      </c>
      <c r="E2221" s="25">
        <v>2250000</v>
      </c>
      <c r="G2221" s="8">
        <v>300</v>
      </c>
      <c r="H2221" s="11">
        <f>0.24*0.32</f>
        <v>7.6799999999999993E-2</v>
      </c>
      <c r="I2221" s="12" t="e">
        <f>ROUND(#REF!*1000000/G2221/H2221,-3)</f>
        <v>#REF!</v>
      </c>
      <c r="J2221" s="137"/>
      <c r="K2221" s="13"/>
    </row>
    <row r="2222" spans="1:11" s="1" customFormat="1" ht="15" customHeight="1">
      <c r="A2222" s="806" t="s">
        <v>1711</v>
      </c>
      <c r="B2222" s="809" t="s">
        <v>337</v>
      </c>
      <c r="C2222" s="7">
        <v>120</v>
      </c>
      <c r="D2222" s="9" t="s">
        <v>2925</v>
      </c>
      <c r="E2222" s="148">
        <v>260000</v>
      </c>
      <c r="G2222" s="8">
        <v>120</v>
      </c>
      <c r="H2222" s="11">
        <f t="shared" ref="H2222:H2229" si="359">0.787*1.092</f>
        <v>0.85940400000000006</v>
      </c>
      <c r="I2222" s="12" t="e">
        <f>ROUND(#REF!*1000000/G2222/H2222,-3)</f>
        <v>#REF!</v>
      </c>
      <c r="J2222" s="137"/>
      <c r="K2222" s="13"/>
    </row>
    <row r="2223" spans="1:11" s="1" customFormat="1" ht="15" customHeight="1">
      <c r="A2223" s="807"/>
      <c r="B2223" s="804"/>
      <c r="C2223" s="7">
        <v>200</v>
      </c>
      <c r="D2223" s="9" t="s">
        <v>1712</v>
      </c>
      <c r="E2223" s="148">
        <v>360000</v>
      </c>
      <c r="G2223" s="8">
        <v>200</v>
      </c>
      <c r="H2223" s="11">
        <f t="shared" si="359"/>
        <v>0.85940400000000006</v>
      </c>
      <c r="I2223" s="12" t="e">
        <f>ROUND(#REF!*1000000/G2223/H2223,-3)</f>
        <v>#REF!</v>
      </c>
      <c r="J2223" s="137"/>
      <c r="K2223" s="13"/>
    </row>
    <row r="2224" spans="1:11" s="1" customFormat="1" ht="15" customHeight="1">
      <c r="A2224" s="807"/>
      <c r="B2224" s="804"/>
      <c r="C2224" s="7">
        <v>250</v>
      </c>
      <c r="D2224" s="9" t="s">
        <v>1712</v>
      </c>
      <c r="E2224" s="148">
        <v>450000</v>
      </c>
      <c r="G2224" s="8">
        <v>250</v>
      </c>
      <c r="H2224" s="11">
        <f t="shared" si="359"/>
        <v>0.85940400000000006</v>
      </c>
      <c r="I2224" s="12" t="e">
        <f>ROUND(#REF!*1000000/G2224/H2224,-3)</f>
        <v>#REF!</v>
      </c>
      <c r="J2224" s="137"/>
      <c r="K2224" s="13"/>
    </row>
    <row r="2225" spans="1:11" s="1" customFormat="1" ht="15" customHeight="1">
      <c r="A2225" s="807"/>
      <c r="B2225" s="804"/>
      <c r="C2225" s="7">
        <v>300</v>
      </c>
      <c r="D2225" s="9" t="s">
        <v>1712</v>
      </c>
      <c r="E2225" s="148">
        <v>540000</v>
      </c>
      <c r="G2225" s="8">
        <v>300</v>
      </c>
      <c r="H2225" s="11">
        <f t="shared" si="359"/>
        <v>0.85940400000000006</v>
      </c>
      <c r="I2225" s="12" t="e">
        <f>ROUND(#REF!*1000000/G2225/H2225,-3)</f>
        <v>#REF!</v>
      </c>
      <c r="J2225" s="137"/>
      <c r="K2225" s="13"/>
    </row>
    <row r="2226" spans="1:11" s="1" customFormat="1" ht="15" customHeight="1">
      <c r="A2226" s="807"/>
      <c r="B2226" s="804"/>
      <c r="C2226" s="7">
        <v>350</v>
      </c>
      <c r="D2226" s="9" t="s">
        <v>1712</v>
      </c>
      <c r="E2226" s="148">
        <v>625000</v>
      </c>
      <c r="G2226" s="8">
        <v>350</v>
      </c>
      <c r="H2226" s="11">
        <f t="shared" si="359"/>
        <v>0.85940400000000006</v>
      </c>
      <c r="I2226" s="12" t="e">
        <f>ROUND(#REF!*1000000/G2226/H2226,-3)</f>
        <v>#REF!</v>
      </c>
      <c r="J2226" s="137"/>
      <c r="K2226" s="13"/>
    </row>
    <row r="2227" spans="1:11" s="1" customFormat="1" ht="15" customHeight="1">
      <c r="A2227" s="807"/>
      <c r="B2227" s="804"/>
      <c r="C2227" s="7">
        <v>400</v>
      </c>
      <c r="D2227" s="9" t="s">
        <v>2925</v>
      </c>
      <c r="E2227" s="148">
        <v>715000</v>
      </c>
      <c r="G2227" s="8">
        <v>400</v>
      </c>
      <c r="H2227" s="11">
        <f t="shared" si="359"/>
        <v>0.85940400000000006</v>
      </c>
      <c r="I2227" s="12" t="e">
        <f>ROUND(#REF!*1000000/G2227/H2227,-3)</f>
        <v>#REF!</v>
      </c>
      <c r="J2227" s="137"/>
      <c r="K2227" s="13"/>
    </row>
    <row r="2228" spans="1:11" s="1" customFormat="1" ht="15" customHeight="1">
      <c r="A2228" s="807"/>
      <c r="B2228" s="804"/>
      <c r="C2228" s="7">
        <v>500</v>
      </c>
      <c r="D2228" s="9" t="s">
        <v>2925</v>
      </c>
      <c r="E2228" s="148">
        <v>895000</v>
      </c>
      <c r="G2228" s="8">
        <v>500</v>
      </c>
      <c r="H2228" s="11">
        <f t="shared" si="359"/>
        <v>0.85940400000000006</v>
      </c>
      <c r="I2228" s="12" t="e">
        <f>ROUND(#REF!*1000000/G2228/H2228,-3)</f>
        <v>#REF!</v>
      </c>
      <c r="J2228" s="137"/>
      <c r="K2228" s="13"/>
    </row>
    <row r="2229" spans="1:11" s="1" customFormat="1" ht="15" customHeight="1">
      <c r="A2229" s="807"/>
      <c r="B2229" s="804"/>
      <c r="C2229" s="7">
        <v>700</v>
      </c>
      <c r="D2229" s="9" t="s">
        <v>1712</v>
      </c>
      <c r="E2229" s="148">
        <v>1550000</v>
      </c>
      <c r="G2229" s="8">
        <v>700</v>
      </c>
      <c r="H2229" s="11">
        <f t="shared" si="359"/>
        <v>0.85940400000000006</v>
      </c>
      <c r="I2229" s="12" t="e">
        <f>ROUND(#REF!*1000000/G2229/H2229,-3)</f>
        <v>#REF!</v>
      </c>
      <c r="J2229" s="137"/>
      <c r="K2229" s="13"/>
    </row>
    <row r="2230" spans="1:11" s="1" customFormat="1" ht="15" customHeight="1">
      <c r="A2230" s="807"/>
      <c r="B2230" s="805"/>
      <c r="C2230" s="16">
        <v>1000</v>
      </c>
      <c r="D2230" s="29" t="s">
        <v>763</v>
      </c>
      <c r="E2230" s="148">
        <v>2000000</v>
      </c>
      <c r="G2230" s="8">
        <v>1000</v>
      </c>
      <c r="H2230" s="11">
        <f>0.787*1.092</f>
        <v>0.85940400000000006</v>
      </c>
      <c r="I2230" s="12" t="e">
        <f>ROUND(#REF!*1000000/G2230/H2230,-3)</f>
        <v>#REF!</v>
      </c>
      <c r="J2230" s="137"/>
      <c r="K2230" s="13"/>
    </row>
    <row r="2231" spans="1:11" s="1" customFormat="1" ht="15" customHeight="1">
      <c r="A2231" s="808"/>
      <c r="B2231" s="69" t="s">
        <v>1713</v>
      </c>
      <c r="C2231" s="7">
        <v>1250</v>
      </c>
      <c r="D2231" s="9" t="s">
        <v>763</v>
      </c>
      <c r="E2231" s="148">
        <v>2570000</v>
      </c>
      <c r="G2231" s="8">
        <v>1250</v>
      </c>
      <c r="H2231" s="11">
        <f>0.78*1.085</f>
        <v>0.84630000000000005</v>
      </c>
      <c r="I2231" s="12" t="e">
        <f>ROUND(#REF!*1000000/G2231/H2231,-3)</f>
        <v>#REF!</v>
      </c>
      <c r="J2231" s="137"/>
      <c r="K2231" s="13"/>
    </row>
    <row r="2232" spans="1:11" ht="15" customHeight="1">
      <c r="A2232" s="812" t="s">
        <v>1714</v>
      </c>
      <c r="B2232" s="810" t="s">
        <v>520</v>
      </c>
      <c r="C2232" s="7">
        <v>200</v>
      </c>
      <c r="D2232" s="9" t="s">
        <v>1715</v>
      </c>
      <c r="E2232" s="148">
        <v>0</v>
      </c>
      <c r="G2232" s="8"/>
      <c r="H2232" s="11"/>
      <c r="I2232" s="12"/>
      <c r="J2232" s="137"/>
      <c r="K2232" s="13"/>
    </row>
    <row r="2233" spans="1:11" ht="15" customHeight="1">
      <c r="A2233" s="812"/>
      <c r="B2233" s="810"/>
      <c r="C2233" s="7">
        <v>300</v>
      </c>
      <c r="D2233" s="9" t="s">
        <v>1716</v>
      </c>
      <c r="E2233" s="148">
        <v>0</v>
      </c>
      <c r="G2233" s="8"/>
      <c r="H2233" s="11"/>
      <c r="I2233" s="12"/>
      <c r="J2233" s="137"/>
      <c r="K2233" s="13"/>
    </row>
    <row r="2234" spans="1:11" ht="15" customHeight="1">
      <c r="A2234" s="812"/>
      <c r="B2234" s="810"/>
      <c r="C2234" s="7">
        <v>400</v>
      </c>
      <c r="D2234" s="9" t="s">
        <v>1717</v>
      </c>
      <c r="E2234" s="148">
        <v>0</v>
      </c>
      <c r="G2234" s="8"/>
      <c r="H2234" s="11"/>
      <c r="I2234" s="12"/>
      <c r="J2234" s="137"/>
      <c r="K2234" s="13"/>
    </row>
    <row r="2235" spans="1:11" ht="15" customHeight="1">
      <c r="A2235" s="812"/>
      <c r="B2235" s="810"/>
      <c r="C2235" s="7">
        <v>200</v>
      </c>
      <c r="D2235" s="9" t="s">
        <v>1718</v>
      </c>
      <c r="E2235" s="148">
        <v>0</v>
      </c>
      <c r="G2235" s="8"/>
      <c r="H2235" s="11"/>
      <c r="I2235" s="12"/>
      <c r="J2235" s="137"/>
      <c r="K2235" s="13"/>
    </row>
    <row r="2236" spans="1:11" ht="15" customHeight="1">
      <c r="A2236" s="812"/>
      <c r="B2236" s="810"/>
      <c r="C2236" s="7">
        <v>300</v>
      </c>
      <c r="D2236" s="9" t="s">
        <v>1719</v>
      </c>
      <c r="E2236" s="148">
        <v>0</v>
      </c>
      <c r="G2236" s="8"/>
      <c r="H2236" s="11"/>
      <c r="I2236" s="12"/>
      <c r="J2236" s="137"/>
      <c r="K2236" s="13"/>
    </row>
    <row r="2237" spans="1:11" ht="15" customHeight="1">
      <c r="A2237" s="812"/>
      <c r="B2237" s="810"/>
      <c r="C2237" s="7">
        <v>440</v>
      </c>
      <c r="D2237" s="9" t="s">
        <v>1720</v>
      </c>
      <c r="E2237" s="148">
        <v>0</v>
      </c>
      <c r="G2237" s="8"/>
      <c r="H2237" s="11"/>
      <c r="I2237" s="12"/>
      <c r="J2237" s="137"/>
      <c r="K2237" s="13"/>
    </row>
    <row r="2238" spans="1:11" ht="15" customHeight="1">
      <c r="A2238" s="812"/>
      <c r="B2238" s="810"/>
      <c r="C2238" s="7">
        <v>80</v>
      </c>
      <c r="D2238" s="11" t="s">
        <v>1721</v>
      </c>
      <c r="E2238" s="148">
        <v>0</v>
      </c>
      <c r="G2238" s="8"/>
      <c r="H2238" s="11"/>
      <c r="I2238" s="12"/>
      <c r="J2238" s="137"/>
      <c r="K2238" s="13"/>
    </row>
    <row r="2239" spans="1:11" ht="15" customHeight="1">
      <c r="A2239" s="812"/>
      <c r="B2239" s="810"/>
      <c r="C2239" s="30">
        <v>120</v>
      </c>
      <c r="D2239" s="29" t="s">
        <v>1722</v>
      </c>
      <c r="E2239" s="148">
        <v>0</v>
      </c>
      <c r="G2239" s="8"/>
      <c r="H2239" s="11"/>
      <c r="I2239" s="12"/>
      <c r="J2239" s="137"/>
      <c r="K2239" s="13"/>
    </row>
    <row r="2240" spans="1:11" ht="15" customHeight="1">
      <c r="A2240" s="812"/>
      <c r="B2240" s="810" t="s">
        <v>1076</v>
      </c>
      <c r="C2240" s="7">
        <v>200</v>
      </c>
      <c r="D2240" s="9" t="s">
        <v>1715</v>
      </c>
      <c r="E2240" s="148">
        <v>0</v>
      </c>
      <c r="G2240" s="8">
        <v>200</v>
      </c>
      <c r="H2240" s="11"/>
      <c r="I2240" s="12"/>
      <c r="J2240" s="137"/>
      <c r="K2240" s="13"/>
    </row>
    <row r="2241" spans="1:11" ht="15" customHeight="1">
      <c r="A2241" s="812"/>
      <c r="B2241" s="810"/>
      <c r="C2241" s="7">
        <v>300</v>
      </c>
      <c r="D2241" s="9" t="s">
        <v>1716</v>
      </c>
      <c r="E2241" s="148">
        <v>0</v>
      </c>
      <c r="G2241" s="8">
        <v>300</v>
      </c>
      <c r="H2241" s="11"/>
      <c r="I2241" s="12"/>
      <c r="J2241" s="137"/>
      <c r="K2241" s="13"/>
    </row>
    <row r="2242" spans="1:11" ht="15" customHeight="1">
      <c r="A2242" s="812"/>
      <c r="B2242" s="810"/>
      <c r="C2242" s="7">
        <v>400</v>
      </c>
      <c r="D2242" s="9" t="s">
        <v>1717</v>
      </c>
      <c r="E2242" s="148">
        <v>0</v>
      </c>
      <c r="G2242" s="8">
        <v>400</v>
      </c>
      <c r="H2242" s="11"/>
      <c r="I2242" s="12"/>
      <c r="J2242" s="137"/>
      <c r="K2242" s="13"/>
    </row>
    <row r="2243" spans="1:11" ht="15" customHeight="1">
      <c r="A2243" s="812"/>
      <c r="B2243" s="810"/>
      <c r="C2243" s="7">
        <v>120</v>
      </c>
      <c r="D2243" s="9" t="s">
        <v>1723</v>
      </c>
      <c r="E2243" s="148">
        <v>0</v>
      </c>
      <c r="G2243" s="8">
        <v>120</v>
      </c>
      <c r="H2243" s="12"/>
      <c r="I2243" s="12"/>
      <c r="J2243" s="137"/>
      <c r="K2243" s="13"/>
    </row>
    <row r="2244" spans="1:11" ht="15" customHeight="1">
      <c r="A2244" s="812"/>
      <c r="B2244" s="810"/>
      <c r="C2244" s="69">
        <v>200</v>
      </c>
      <c r="D2244" s="9" t="s">
        <v>1718</v>
      </c>
      <c r="E2244" s="148">
        <v>0</v>
      </c>
      <c r="G2244" s="70">
        <v>205</v>
      </c>
      <c r="H2244" s="11"/>
      <c r="I2244" s="12"/>
      <c r="J2244" s="137"/>
      <c r="K2244" s="13"/>
    </row>
    <row r="2245" spans="1:11" ht="15" customHeight="1">
      <c r="A2245" s="812"/>
      <c r="B2245" s="810"/>
      <c r="C2245" s="69">
        <v>300</v>
      </c>
      <c r="D2245" s="9" t="s">
        <v>1719</v>
      </c>
      <c r="E2245" s="148">
        <v>0</v>
      </c>
      <c r="G2245" s="70">
        <v>300</v>
      </c>
      <c r="H2245" s="11"/>
      <c r="I2245" s="12"/>
      <c r="J2245" s="137"/>
      <c r="K2245" s="13"/>
    </row>
    <row r="2246" spans="1:11" ht="15" customHeight="1">
      <c r="A2246" s="812"/>
      <c r="B2246" s="810"/>
      <c r="C2246" s="69">
        <v>440</v>
      </c>
      <c r="D2246" s="9" t="s">
        <v>1720</v>
      </c>
      <c r="E2246" s="148">
        <v>0</v>
      </c>
      <c r="G2246" s="70">
        <v>440</v>
      </c>
      <c r="H2246" s="11"/>
      <c r="I2246" s="12"/>
      <c r="J2246" s="137"/>
      <c r="K2246" s="13"/>
    </row>
    <row r="2247" spans="1:11" ht="15" customHeight="1">
      <c r="A2247" s="812"/>
      <c r="B2247" s="810"/>
      <c r="C2247" s="69">
        <v>80</v>
      </c>
      <c r="D2247" s="11" t="s">
        <v>1721</v>
      </c>
      <c r="E2247" s="148">
        <v>0</v>
      </c>
      <c r="G2247" s="70">
        <v>80</v>
      </c>
      <c r="H2247" s="11"/>
      <c r="I2247" s="12"/>
      <c r="J2247" s="137"/>
      <c r="K2247" s="13"/>
    </row>
    <row r="2248" spans="1:11" ht="15" customHeight="1">
      <c r="A2248" s="812"/>
      <c r="B2248" s="810"/>
      <c r="C2248" s="69">
        <v>220</v>
      </c>
      <c r="D2248" s="11" t="s">
        <v>1724</v>
      </c>
      <c r="E2248" s="148">
        <v>0</v>
      </c>
      <c r="G2248" s="70">
        <v>220</v>
      </c>
      <c r="H2248" s="11"/>
      <c r="I2248" s="12"/>
      <c r="J2248" s="137"/>
      <c r="K2248" s="13"/>
    </row>
    <row r="2249" spans="1:11" ht="15" customHeight="1">
      <c r="A2249" s="812"/>
      <c r="B2249" s="810"/>
      <c r="C2249" s="219">
        <f>C2248</f>
        <v>220</v>
      </c>
      <c r="D2249" s="11" t="s">
        <v>1725</v>
      </c>
      <c r="E2249" s="148">
        <v>0</v>
      </c>
      <c r="G2249" s="70" t="s">
        <v>1726</v>
      </c>
      <c r="H2249" s="11"/>
      <c r="I2249" s="12"/>
      <c r="J2249" s="137">
        <v>90</v>
      </c>
      <c r="K2249" s="13"/>
    </row>
    <row r="2250" spans="1:11" ht="15" customHeight="1">
      <c r="A2250" s="812"/>
      <c r="B2250" s="810"/>
      <c r="C2250" s="69">
        <v>190</v>
      </c>
      <c r="D2250" s="11" t="s">
        <v>1727</v>
      </c>
      <c r="E2250" s="148">
        <v>0</v>
      </c>
      <c r="G2250" s="70">
        <v>190</v>
      </c>
      <c r="H2250" s="11"/>
      <c r="I2250" s="12"/>
      <c r="J2250" s="137"/>
      <c r="K2250" s="13"/>
    </row>
    <row r="2251" spans="1:11" ht="15" customHeight="1">
      <c r="A2251" s="812"/>
      <c r="B2251" s="810"/>
      <c r="C2251" s="69">
        <v>220</v>
      </c>
      <c r="D2251" s="11" t="s">
        <v>1728</v>
      </c>
      <c r="E2251" s="148">
        <v>0</v>
      </c>
      <c r="G2251" s="70">
        <v>220</v>
      </c>
      <c r="H2251" s="11"/>
      <c r="I2251" s="12"/>
      <c r="J2251" s="137"/>
      <c r="K2251" s="13"/>
    </row>
    <row r="2252" spans="1:11" ht="15" customHeight="1">
      <c r="A2252" s="812"/>
      <c r="B2252" s="810"/>
      <c r="C2252" s="69">
        <v>250</v>
      </c>
      <c r="D2252" s="11" t="s">
        <v>1729</v>
      </c>
      <c r="E2252" s="148">
        <v>0</v>
      </c>
      <c r="G2252" s="70">
        <v>250</v>
      </c>
      <c r="H2252" s="11"/>
      <c r="I2252" s="12"/>
      <c r="J2252" s="137"/>
      <c r="K2252" s="13"/>
    </row>
    <row r="2253" spans="1:11" ht="15" customHeight="1">
      <c r="A2253" s="812"/>
      <c r="B2253" s="810"/>
      <c r="C2253" s="69">
        <v>220</v>
      </c>
      <c r="D2253" s="11" t="s">
        <v>1730</v>
      </c>
      <c r="E2253" s="148">
        <v>0</v>
      </c>
      <c r="G2253" s="70">
        <v>220</v>
      </c>
      <c r="H2253" s="11"/>
      <c r="I2253" s="12"/>
      <c r="J2253" s="137"/>
      <c r="K2253" s="13"/>
    </row>
    <row r="2254" spans="1:11" ht="15" customHeight="1">
      <c r="A2254" s="812"/>
      <c r="B2254" s="810"/>
      <c r="C2254" s="69">
        <v>300</v>
      </c>
      <c r="D2254" s="11" t="s">
        <v>1731</v>
      </c>
      <c r="E2254" s="148">
        <v>0</v>
      </c>
      <c r="G2254" s="70">
        <v>300</v>
      </c>
      <c r="H2254" s="11"/>
      <c r="I2254" s="12"/>
      <c r="J2254" s="137"/>
      <c r="K2254" s="13"/>
    </row>
    <row r="2255" spans="1:11" ht="15" customHeight="1">
      <c r="A2255" s="812"/>
      <c r="B2255" s="810"/>
      <c r="C2255" s="69">
        <v>300</v>
      </c>
      <c r="D2255" s="11" t="s">
        <v>1732</v>
      </c>
      <c r="E2255" s="148">
        <v>0</v>
      </c>
      <c r="G2255" s="70">
        <v>300</v>
      </c>
      <c r="H2255" s="11"/>
      <c r="I2255" s="12"/>
      <c r="J2255" s="137"/>
      <c r="K2255" s="13"/>
    </row>
    <row r="2256" spans="1:11" ht="15" customHeight="1">
      <c r="A2256" s="812"/>
      <c r="B2256" s="810"/>
      <c r="C2256" s="69">
        <v>260</v>
      </c>
      <c r="D2256" s="11" t="s">
        <v>1733</v>
      </c>
      <c r="E2256" s="148">
        <v>0</v>
      </c>
      <c r="G2256" s="70">
        <v>260</v>
      </c>
      <c r="H2256" s="11"/>
      <c r="I2256" s="12"/>
      <c r="J2256" s="137"/>
      <c r="K2256" s="13"/>
    </row>
    <row r="2257" spans="1:11" ht="15" customHeight="1">
      <c r="A2257" s="812"/>
      <c r="B2257" s="810"/>
      <c r="C2257" s="69">
        <v>300</v>
      </c>
      <c r="D2257" s="11" t="s">
        <v>1734</v>
      </c>
      <c r="E2257" s="148">
        <v>0</v>
      </c>
      <c r="G2257" s="70">
        <v>380</v>
      </c>
      <c r="H2257" s="11"/>
      <c r="I2257" s="12"/>
      <c r="J2257" s="137"/>
      <c r="K2257" s="13"/>
    </row>
    <row r="2258" spans="1:11" ht="15" customHeight="1">
      <c r="A2258" s="812"/>
      <c r="B2258" s="810"/>
      <c r="C2258" s="69">
        <v>380</v>
      </c>
      <c r="D2258" s="11" t="s">
        <v>1735</v>
      </c>
      <c r="E2258" s="148">
        <v>0</v>
      </c>
      <c r="G2258" s="70">
        <v>450</v>
      </c>
      <c r="H2258" s="11"/>
      <c r="I2258" s="12"/>
      <c r="J2258" s="137"/>
      <c r="K2258" s="13"/>
    </row>
    <row r="2259" spans="1:11" ht="15" customHeight="1">
      <c r="A2259" s="812"/>
      <c r="B2259" s="810"/>
      <c r="C2259" s="69">
        <v>450</v>
      </c>
      <c r="D2259" s="11" t="s">
        <v>1736</v>
      </c>
      <c r="E2259" s="148">
        <v>0</v>
      </c>
      <c r="G2259" s="70">
        <v>330</v>
      </c>
      <c r="H2259" s="11"/>
      <c r="I2259" s="12"/>
      <c r="J2259" s="137"/>
      <c r="K2259" s="13"/>
    </row>
    <row r="2260" spans="1:11" ht="15" customHeight="1">
      <c r="A2260" s="812"/>
      <c r="B2260" s="810"/>
      <c r="C2260" s="69">
        <v>330</v>
      </c>
      <c r="D2260" s="11" t="s">
        <v>1737</v>
      </c>
      <c r="E2260" s="148">
        <v>0</v>
      </c>
      <c r="G2260" s="70">
        <v>516</v>
      </c>
      <c r="H2260" s="11"/>
      <c r="I2260" s="12"/>
      <c r="J2260" s="137"/>
      <c r="K2260" s="13"/>
    </row>
    <row r="2261" spans="1:11" ht="15" customHeight="1">
      <c r="A2261" s="812"/>
      <c r="B2261" s="810"/>
      <c r="C2261" s="69">
        <v>516</v>
      </c>
      <c r="D2261" s="11" t="s">
        <v>1738</v>
      </c>
      <c r="E2261" s="148">
        <v>0</v>
      </c>
      <c r="G2261" s="70">
        <v>396</v>
      </c>
      <c r="H2261" s="11"/>
      <c r="I2261" s="12"/>
      <c r="J2261" s="137"/>
      <c r="K2261" s="13"/>
    </row>
    <row r="2262" spans="1:11" ht="15" customHeight="1">
      <c r="A2262" s="812"/>
      <c r="B2262" s="810"/>
      <c r="C2262" s="69">
        <v>396</v>
      </c>
      <c r="D2262" s="11" t="s">
        <v>1739</v>
      </c>
      <c r="E2262" s="148">
        <v>0</v>
      </c>
      <c r="G2262" s="70" t="s">
        <v>1741</v>
      </c>
      <c r="H2262" s="11"/>
      <c r="I2262" s="12"/>
      <c r="J2262" s="141">
        <v>1000</v>
      </c>
      <c r="K2262" s="13"/>
    </row>
    <row r="2263" spans="1:11" ht="15" customHeight="1">
      <c r="A2263" s="812"/>
      <c r="B2263" s="810"/>
      <c r="C2263" s="69">
        <v>700</v>
      </c>
      <c r="D2263" s="11" t="s">
        <v>1740</v>
      </c>
      <c r="E2263" s="148">
        <v>0</v>
      </c>
      <c r="G2263" s="70" t="s">
        <v>1743</v>
      </c>
      <c r="H2263" s="11"/>
      <c r="I2263" s="12"/>
      <c r="J2263" s="141">
        <v>2000</v>
      </c>
      <c r="K2263" s="13"/>
    </row>
    <row r="2264" spans="1:11" ht="15" customHeight="1">
      <c r="A2264" s="812"/>
      <c r="B2264" s="810"/>
      <c r="C2264" s="69">
        <v>1350</v>
      </c>
      <c r="D2264" s="11" t="s">
        <v>1742</v>
      </c>
      <c r="E2264" s="148">
        <v>0</v>
      </c>
      <c r="G2264" s="70" t="s">
        <v>1745</v>
      </c>
      <c r="H2264" s="11"/>
      <c r="I2264" s="12"/>
      <c r="J2264" s="141">
        <v>3000</v>
      </c>
      <c r="K2264" s="13"/>
    </row>
    <row r="2265" spans="1:11" ht="15" customHeight="1">
      <c r="A2265" s="812"/>
      <c r="B2265" s="810"/>
      <c r="C2265" s="69">
        <v>2150</v>
      </c>
      <c r="D2265" s="11" t="s">
        <v>1744</v>
      </c>
      <c r="E2265" s="148">
        <v>0</v>
      </c>
      <c r="G2265" s="70" t="s">
        <v>1741</v>
      </c>
      <c r="H2265" s="11"/>
      <c r="I2265" s="12"/>
      <c r="J2265" s="141">
        <v>1000</v>
      </c>
      <c r="K2265" s="13"/>
    </row>
    <row r="2266" spans="1:11" ht="15" customHeight="1">
      <c r="A2266" s="812"/>
      <c r="B2266" s="810"/>
      <c r="C2266" s="69">
        <v>700</v>
      </c>
      <c r="D2266" s="11" t="s">
        <v>1746</v>
      </c>
      <c r="E2266" s="148">
        <v>0</v>
      </c>
      <c r="G2266" s="70" t="s">
        <v>1743</v>
      </c>
      <c r="H2266" s="11"/>
      <c r="I2266" s="12"/>
      <c r="J2266" s="141">
        <v>2000</v>
      </c>
      <c r="K2266" s="13"/>
    </row>
    <row r="2267" spans="1:11" ht="15" customHeight="1">
      <c r="A2267" s="812"/>
      <c r="B2267" s="810"/>
      <c r="C2267" s="69">
        <v>1350</v>
      </c>
      <c r="D2267" s="11" t="s">
        <v>1747</v>
      </c>
      <c r="E2267" s="148">
        <v>0</v>
      </c>
      <c r="G2267" s="70" t="s">
        <v>1745</v>
      </c>
      <c r="H2267" s="11"/>
      <c r="I2267" s="12"/>
      <c r="J2267" s="141">
        <v>3000</v>
      </c>
      <c r="K2267" s="13"/>
    </row>
    <row r="2268" spans="1:11" ht="15" customHeight="1">
      <c r="A2268" s="812"/>
      <c r="B2268" s="810"/>
      <c r="C2268" s="69">
        <v>2150</v>
      </c>
      <c r="D2268" s="11" t="s">
        <v>1748</v>
      </c>
      <c r="E2268" s="148">
        <v>0</v>
      </c>
      <c r="G2268" s="70" t="s">
        <v>1741</v>
      </c>
      <c r="H2268" s="11"/>
      <c r="I2268" s="12"/>
      <c r="J2268" s="137"/>
      <c r="K2268" s="13"/>
    </row>
    <row r="2269" spans="1:11" ht="15" customHeight="1">
      <c r="A2269" s="812"/>
      <c r="B2269" s="810"/>
      <c r="C2269" s="30">
        <v>120</v>
      </c>
      <c r="D2269" s="29" t="s">
        <v>1749</v>
      </c>
      <c r="E2269" s="148">
        <v>0</v>
      </c>
      <c r="G2269" s="70" t="s">
        <v>1745</v>
      </c>
      <c r="H2269" s="11"/>
      <c r="I2269" s="12"/>
      <c r="J2269" s="137"/>
      <c r="K2269" s="13"/>
    </row>
    <row r="2270" spans="1:11" ht="12.9" customHeight="1">
      <c r="A2270" s="812"/>
      <c r="B2270" s="7" t="s">
        <v>1750</v>
      </c>
      <c r="C2270" s="82">
        <v>120</v>
      </c>
      <c r="D2270" s="29" t="s">
        <v>1722</v>
      </c>
      <c r="E2270" s="148">
        <v>0</v>
      </c>
      <c r="G2270" s="83"/>
    </row>
    <row r="2271" spans="1:11" ht="12.9" customHeight="1">
      <c r="A2271" s="1"/>
      <c r="B2271" s="1"/>
      <c r="C2271" s="221"/>
      <c r="D2271" s="3"/>
      <c r="G2271" s="83"/>
    </row>
    <row r="2272" spans="1:11" ht="12.9" customHeight="1">
      <c r="A2272" s="1"/>
      <c r="B2272" s="1"/>
      <c r="C2272" s="221"/>
      <c r="D2272" s="3"/>
      <c r="G2272" s="83"/>
    </row>
    <row r="2273" spans="1:7" ht="12.9" customHeight="1">
      <c r="A2273" s="1"/>
      <c r="B2273" s="1"/>
      <c r="C2273" s="221"/>
      <c r="D2273" s="3"/>
      <c r="G2273" s="83"/>
    </row>
    <row r="2274" spans="1:7" ht="12.9" customHeight="1">
      <c r="A2274" s="1"/>
      <c r="B2274" s="1"/>
      <c r="C2274" s="221"/>
      <c r="D2274" s="3"/>
      <c r="G2274" s="83"/>
    </row>
    <row r="2275" spans="1:7" ht="12.9" customHeight="1">
      <c r="A2275" s="1"/>
      <c r="B2275" s="1"/>
      <c r="C2275" s="221"/>
      <c r="D2275" s="3"/>
      <c r="G2275" s="83"/>
    </row>
    <row r="2276" spans="1:7" ht="12.9" customHeight="1">
      <c r="A2276" s="1"/>
      <c r="B2276" s="1"/>
      <c r="C2276" s="221"/>
      <c r="D2276" s="3"/>
      <c r="G2276" s="83"/>
    </row>
    <row r="2277" spans="1:7" ht="12.9" customHeight="1">
      <c r="A2277" s="1"/>
      <c r="B2277" s="1"/>
      <c r="C2277" s="221"/>
      <c r="D2277" s="3"/>
      <c r="G2277" s="83"/>
    </row>
    <row r="2278" spans="1:7" ht="12.9" customHeight="1">
      <c r="A2278" s="1"/>
      <c r="B2278" s="1"/>
      <c r="C2278" s="221"/>
      <c r="D2278" s="3"/>
      <c r="G2278" s="83"/>
    </row>
  </sheetData>
  <mergeCells count="628">
    <mergeCell ref="A36:A38"/>
    <mergeCell ref="B36:B38"/>
    <mergeCell ref="A39:A44"/>
    <mergeCell ref="B39:B41"/>
    <mergeCell ref="B42:B44"/>
    <mergeCell ref="A2:A29"/>
    <mergeCell ref="B2:B29"/>
    <mergeCell ref="A30:A35"/>
    <mergeCell ref="B30:B35"/>
    <mergeCell ref="A50:A73"/>
    <mergeCell ref="B50:B67"/>
    <mergeCell ref="B68:B73"/>
    <mergeCell ref="A74:A101"/>
    <mergeCell ref="B74:B97"/>
    <mergeCell ref="B98:B101"/>
    <mergeCell ref="A45:A46"/>
    <mergeCell ref="B45:B46"/>
    <mergeCell ref="A47:A49"/>
    <mergeCell ref="B47:B49"/>
    <mergeCell ref="B147:B151"/>
    <mergeCell ref="B152:B156"/>
    <mergeCell ref="B157:B158"/>
    <mergeCell ref="B160:B161"/>
    <mergeCell ref="B162:B164"/>
    <mergeCell ref="B174:B175"/>
    <mergeCell ref="A102:A189"/>
    <mergeCell ref="B108:B109"/>
    <mergeCell ref="B111:B115"/>
    <mergeCell ref="B116:B121"/>
    <mergeCell ref="B122:B127"/>
    <mergeCell ref="B128:B129"/>
    <mergeCell ref="B131:B134"/>
    <mergeCell ref="B135:B136"/>
    <mergeCell ref="B144:B145"/>
    <mergeCell ref="A202:A206"/>
    <mergeCell ref="B202:B206"/>
    <mergeCell ref="A207:A210"/>
    <mergeCell ref="B207:B208"/>
    <mergeCell ref="B209:B210"/>
    <mergeCell ref="B182:B183"/>
    <mergeCell ref="A190:A197"/>
    <mergeCell ref="B190:B193"/>
    <mergeCell ref="B194:B197"/>
    <mergeCell ref="A198:A201"/>
    <mergeCell ref="B198:B199"/>
    <mergeCell ref="B200:B201"/>
    <mergeCell ref="A222:A230"/>
    <mergeCell ref="B222:B229"/>
    <mergeCell ref="A231:A236"/>
    <mergeCell ref="B231:B236"/>
    <mergeCell ref="A211:A213"/>
    <mergeCell ref="B211:B213"/>
    <mergeCell ref="A214:A221"/>
    <mergeCell ref="B214:B216"/>
    <mergeCell ref="B217:B221"/>
    <mergeCell ref="B262:B267"/>
    <mergeCell ref="A268:A304"/>
    <mergeCell ref="B268:B297"/>
    <mergeCell ref="B298:B304"/>
    <mergeCell ref="A257:A259"/>
    <mergeCell ref="B257:B259"/>
    <mergeCell ref="A260:A267"/>
    <mergeCell ref="B260:B261"/>
    <mergeCell ref="A237:A256"/>
    <mergeCell ref="B255:B256"/>
    <mergeCell ref="B237:B254"/>
    <mergeCell ref="A315:A328"/>
    <mergeCell ref="B315:B318"/>
    <mergeCell ref="B319:B328"/>
    <mergeCell ref="A329:A334"/>
    <mergeCell ref="B329:B334"/>
    <mergeCell ref="A305:A308"/>
    <mergeCell ref="B305:B308"/>
    <mergeCell ref="A309:A314"/>
    <mergeCell ref="B309:B313"/>
    <mergeCell ref="A363:A367"/>
    <mergeCell ref="B363:B367"/>
    <mergeCell ref="A368:A387"/>
    <mergeCell ref="B368:B376"/>
    <mergeCell ref="B377:B385"/>
    <mergeCell ref="B386:B387"/>
    <mergeCell ref="A336:A362"/>
    <mergeCell ref="B336:B344"/>
    <mergeCell ref="B345:B353"/>
    <mergeCell ref="B354:B359"/>
    <mergeCell ref="B360:B362"/>
    <mergeCell ref="A415:A437"/>
    <mergeCell ref="A439:A440"/>
    <mergeCell ref="A405:A407"/>
    <mergeCell ref="B405:B407"/>
    <mergeCell ref="A408:A414"/>
    <mergeCell ref="B408:B410"/>
    <mergeCell ref="B411:B412"/>
    <mergeCell ref="B413:B414"/>
    <mergeCell ref="A388:A391"/>
    <mergeCell ref="B388:B390"/>
    <mergeCell ref="A393:A404"/>
    <mergeCell ref="B393:B398"/>
    <mergeCell ref="B399:B404"/>
    <mergeCell ref="A462:A469"/>
    <mergeCell ref="B462:B469"/>
    <mergeCell ref="A470:A476"/>
    <mergeCell ref="B470:B476"/>
    <mergeCell ref="A446:A447"/>
    <mergeCell ref="A448:A455"/>
    <mergeCell ref="B448:B454"/>
    <mergeCell ref="A456:A461"/>
    <mergeCell ref="B456:B461"/>
    <mergeCell ref="B551:B552"/>
    <mergeCell ref="B553:B554"/>
    <mergeCell ref="B556:B559"/>
    <mergeCell ref="B561:B566"/>
    <mergeCell ref="A567:A581"/>
    <mergeCell ref="B567:B581"/>
    <mergeCell ref="B517:B521"/>
    <mergeCell ref="B522:B528"/>
    <mergeCell ref="B529:B534"/>
    <mergeCell ref="B536:B542"/>
    <mergeCell ref="B543:B545"/>
    <mergeCell ref="B547:B550"/>
    <mergeCell ref="A477:A566"/>
    <mergeCell ref="B478:B481"/>
    <mergeCell ref="B482:B485"/>
    <mergeCell ref="B486:B488"/>
    <mergeCell ref="B490:B493"/>
    <mergeCell ref="B495:B498"/>
    <mergeCell ref="B499:B506"/>
    <mergeCell ref="B507:B512"/>
    <mergeCell ref="B513:B516"/>
    <mergeCell ref="A617:A636"/>
    <mergeCell ref="B617:B632"/>
    <mergeCell ref="B634:B635"/>
    <mergeCell ref="A637:A638"/>
    <mergeCell ref="B637:B638"/>
    <mergeCell ref="A582:A611"/>
    <mergeCell ref="B582:B611"/>
    <mergeCell ref="A613:A616"/>
    <mergeCell ref="B613:B616"/>
    <mergeCell ref="B659:B660"/>
    <mergeCell ref="B668:B669"/>
    <mergeCell ref="A670:A687"/>
    <mergeCell ref="B670:B687"/>
    <mergeCell ref="A688:A691"/>
    <mergeCell ref="A639:A640"/>
    <mergeCell ref="B639:B640"/>
    <mergeCell ref="A641:A669"/>
    <mergeCell ref="B641:B642"/>
    <mergeCell ref="B643:B644"/>
    <mergeCell ref="B647:B649"/>
    <mergeCell ref="B651:B653"/>
    <mergeCell ref="B655:B656"/>
    <mergeCell ref="A709:A714"/>
    <mergeCell ref="B709:B714"/>
    <mergeCell ref="A715:A716"/>
    <mergeCell ref="B715:B716"/>
    <mergeCell ref="A705:A706"/>
    <mergeCell ref="B705:B706"/>
    <mergeCell ref="A707:A708"/>
    <mergeCell ref="B707:B708"/>
    <mergeCell ref="A692:A697"/>
    <mergeCell ref="B692:B697"/>
    <mergeCell ref="A699:A704"/>
    <mergeCell ref="B699:B704"/>
    <mergeCell ref="A735:A744"/>
    <mergeCell ref="B735:B739"/>
    <mergeCell ref="B740:B744"/>
    <mergeCell ref="A745:A748"/>
    <mergeCell ref="B745:B748"/>
    <mergeCell ref="A717:A725"/>
    <mergeCell ref="B717:B722"/>
    <mergeCell ref="B723:B725"/>
    <mergeCell ref="A726:A734"/>
    <mergeCell ref="B726:B728"/>
    <mergeCell ref="B729:B731"/>
    <mergeCell ref="B732:B734"/>
    <mergeCell ref="A760:A765"/>
    <mergeCell ref="B760:B765"/>
    <mergeCell ref="A766:A767"/>
    <mergeCell ref="B766:B767"/>
    <mergeCell ref="A749:A755"/>
    <mergeCell ref="B749:B751"/>
    <mergeCell ref="B752:B755"/>
    <mergeCell ref="A756:A759"/>
    <mergeCell ref="B756:B759"/>
    <mergeCell ref="A787:A798"/>
    <mergeCell ref="B787:B798"/>
    <mergeCell ref="A799:A806"/>
    <mergeCell ref="B799:B806"/>
    <mergeCell ref="A782:A783"/>
    <mergeCell ref="B782:B783"/>
    <mergeCell ref="A784:A786"/>
    <mergeCell ref="B784:B786"/>
    <mergeCell ref="A768:A771"/>
    <mergeCell ref="B768:B771"/>
    <mergeCell ref="A772:A781"/>
    <mergeCell ref="B772:B781"/>
    <mergeCell ref="A817:A821"/>
    <mergeCell ref="B817:B821"/>
    <mergeCell ref="A822:A824"/>
    <mergeCell ref="B822:B824"/>
    <mergeCell ref="A807:A814"/>
    <mergeCell ref="B807:B810"/>
    <mergeCell ref="B811:B814"/>
    <mergeCell ref="A815:A816"/>
    <mergeCell ref="B815:B816"/>
    <mergeCell ref="A865:A873"/>
    <mergeCell ref="B865:B869"/>
    <mergeCell ref="B870:B872"/>
    <mergeCell ref="A874:A883"/>
    <mergeCell ref="B874:B878"/>
    <mergeCell ref="B879:B883"/>
    <mergeCell ref="A825:A854"/>
    <mergeCell ref="B825:B839"/>
    <mergeCell ref="B840:B854"/>
    <mergeCell ref="A855:A864"/>
    <mergeCell ref="B855:B861"/>
    <mergeCell ref="B862:B864"/>
    <mergeCell ref="A898:A899"/>
    <mergeCell ref="B898:B899"/>
    <mergeCell ref="A900:A939"/>
    <mergeCell ref="B900:B919"/>
    <mergeCell ref="B920:B939"/>
    <mergeCell ref="A884:A886"/>
    <mergeCell ref="B885:B886"/>
    <mergeCell ref="A887:A892"/>
    <mergeCell ref="B887:B892"/>
    <mergeCell ref="A893:A897"/>
    <mergeCell ref="B893:B896"/>
    <mergeCell ref="A956:A965"/>
    <mergeCell ref="B956:B960"/>
    <mergeCell ref="B961:B965"/>
    <mergeCell ref="A966:A971"/>
    <mergeCell ref="B966:B968"/>
    <mergeCell ref="B969:B971"/>
    <mergeCell ref="A940:A947"/>
    <mergeCell ref="B940:B942"/>
    <mergeCell ref="B943:B947"/>
    <mergeCell ref="A948:A955"/>
    <mergeCell ref="B948:B951"/>
    <mergeCell ref="B952:B955"/>
    <mergeCell ref="A983:A987"/>
    <mergeCell ref="B983:B985"/>
    <mergeCell ref="B986:B987"/>
    <mergeCell ref="A988:A1011"/>
    <mergeCell ref="B988:B995"/>
    <mergeCell ref="B996:B1003"/>
    <mergeCell ref="B1004:B1011"/>
    <mergeCell ref="A972:A973"/>
    <mergeCell ref="B972:B973"/>
    <mergeCell ref="A974:A981"/>
    <mergeCell ref="B974:B976"/>
    <mergeCell ref="B977:B981"/>
    <mergeCell ref="A1022:A1028"/>
    <mergeCell ref="B1022:B1023"/>
    <mergeCell ref="B1024:B1028"/>
    <mergeCell ref="A1029:A1034"/>
    <mergeCell ref="B1029:B1034"/>
    <mergeCell ref="A1012:A1015"/>
    <mergeCell ref="B1012:B1015"/>
    <mergeCell ref="A1016:A1021"/>
    <mergeCell ref="B1016:B1018"/>
    <mergeCell ref="B1020:B1021"/>
    <mergeCell ref="A1047:A1053"/>
    <mergeCell ref="B1047:B1053"/>
    <mergeCell ref="A1054:A1055"/>
    <mergeCell ref="B1054:B1055"/>
    <mergeCell ref="A1035:A1036"/>
    <mergeCell ref="B1035:B1036"/>
    <mergeCell ref="A1037:A1046"/>
    <mergeCell ref="B1037:B1041"/>
    <mergeCell ref="B1042:B1046"/>
    <mergeCell ref="A1072:A1073"/>
    <mergeCell ref="B1072:B1073"/>
    <mergeCell ref="A1074:A1087"/>
    <mergeCell ref="B1074:B1079"/>
    <mergeCell ref="B1081:B1087"/>
    <mergeCell ref="A1056:A1071"/>
    <mergeCell ref="B1056:B1057"/>
    <mergeCell ref="B1058:B1059"/>
    <mergeCell ref="B1064:B1065"/>
    <mergeCell ref="B1066:B1068"/>
    <mergeCell ref="A1096:A1099"/>
    <mergeCell ref="B1096:B1099"/>
    <mergeCell ref="A1100:A1108"/>
    <mergeCell ref="B1100:B1104"/>
    <mergeCell ref="B1105:B1108"/>
    <mergeCell ref="A1088:A1091"/>
    <mergeCell ref="B1088:B1091"/>
    <mergeCell ref="A1092:A1095"/>
    <mergeCell ref="B1092:B1095"/>
    <mergeCell ref="A1136:A1139"/>
    <mergeCell ref="B1136:B1139"/>
    <mergeCell ref="A1140:A1143"/>
    <mergeCell ref="B1140:B1141"/>
    <mergeCell ref="B1142:B1143"/>
    <mergeCell ref="A1109:A1131"/>
    <mergeCell ref="B1109:B1131"/>
    <mergeCell ref="A1132:A1135"/>
    <mergeCell ref="B1132:B1135"/>
    <mergeCell ref="A1160:A1164"/>
    <mergeCell ref="B1160:B1164"/>
    <mergeCell ref="A1166:A1167"/>
    <mergeCell ref="B1166:B1167"/>
    <mergeCell ref="A1151:A1156"/>
    <mergeCell ref="B1151:B1153"/>
    <mergeCell ref="B1154:B1156"/>
    <mergeCell ref="A1158:A1159"/>
    <mergeCell ref="A1144:A1147"/>
    <mergeCell ref="B1144:B1147"/>
    <mergeCell ref="A1148:A1150"/>
    <mergeCell ref="B1148:B1150"/>
    <mergeCell ref="A1182:A1190"/>
    <mergeCell ref="B1182:B1190"/>
    <mergeCell ref="A1191:A1192"/>
    <mergeCell ref="B1191:B1192"/>
    <mergeCell ref="A1168:A1174"/>
    <mergeCell ref="A1175:A1181"/>
    <mergeCell ref="B1175:B1179"/>
    <mergeCell ref="B1180:B1181"/>
    <mergeCell ref="B1168:B1172"/>
    <mergeCell ref="A1210:A1220"/>
    <mergeCell ref="B1210:B1220"/>
    <mergeCell ref="A1221:A1223"/>
    <mergeCell ref="B1221:B1223"/>
    <mergeCell ref="A1199:A1205"/>
    <mergeCell ref="B1199:B1205"/>
    <mergeCell ref="A1206:A1209"/>
    <mergeCell ref="B1206:B1209"/>
    <mergeCell ref="A1193:A1195"/>
    <mergeCell ref="B1193:B1195"/>
    <mergeCell ref="A1196:A1198"/>
    <mergeCell ref="B1196:B1198"/>
    <mergeCell ref="A1282:A1285"/>
    <mergeCell ref="B1282:B1285"/>
    <mergeCell ref="A1286:A1293"/>
    <mergeCell ref="B1286:B1293"/>
    <mergeCell ref="A1224:A1231"/>
    <mergeCell ref="B1224:B1231"/>
    <mergeCell ref="A1232:A1281"/>
    <mergeCell ref="B1232:B1276"/>
    <mergeCell ref="B1277:B1281"/>
    <mergeCell ref="A1306:A1311"/>
    <mergeCell ref="B1306:B1311"/>
    <mergeCell ref="A1312:A1328"/>
    <mergeCell ref="B1312:B1321"/>
    <mergeCell ref="B1324:B1327"/>
    <mergeCell ref="A1294:A1299"/>
    <mergeCell ref="B1294:B1299"/>
    <mergeCell ref="A1300:A1301"/>
    <mergeCell ref="A1302:A1305"/>
    <mergeCell ref="B1302:B1305"/>
    <mergeCell ref="A1354:A1363"/>
    <mergeCell ref="B1354:B1358"/>
    <mergeCell ref="B1359:B1363"/>
    <mergeCell ref="A1364:A1365"/>
    <mergeCell ref="A1344:A1347"/>
    <mergeCell ref="B1344:B1347"/>
    <mergeCell ref="A1348:A1353"/>
    <mergeCell ref="B1348:B1353"/>
    <mergeCell ref="A1329:A1336"/>
    <mergeCell ref="B1329:B1332"/>
    <mergeCell ref="B1333:B1336"/>
    <mergeCell ref="A1338:A1343"/>
    <mergeCell ref="B1338:B1342"/>
    <mergeCell ref="A1383:A1389"/>
    <mergeCell ref="B1383:B1389"/>
    <mergeCell ref="A1390:A1397"/>
    <mergeCell ref="B1390:B1397"/>
    <mergeCell ref="A1366:A1369"/>
    <mergeCell ref="B1366:B1367"/>
    <mergeCell ref="B1368:B1369"/>
    <mergeCell ref="A1371:A1382"/>
    <mergeCell ref="B1371:B1377"/>
    <mergeCell ref="B1378:B1382"/>
    <mergeCell ref="C1417:C1422"/>
    <mergeCell ref="C1423:C1430"/>
    <mergeCell ref="C1431:C1441"/>
    <mergeCell ref="A1409:A1416"/>
    <mergeCell ref="B1409:B1412"/>
    <mergeCell ref="B1413:B1416"/>
    <mergeCell ref="A1417:A1452"/>
    <mergeCell ref="A1398:A1399"/>
    <mergeCell ref="A1400:A1408"/>
    <mergeCell ref="B1400:B1408"/>
    <mergeCell ref="A1463:A1467"/>
    <mergeCell ref="B1463:B1466"/>
    <mergeCell ref="A1468:A1481"/>
    <mergeCell ref="B1468:B1474"/>
    <mergeCell ref="B1475:B1481"/>
    <mergeCell ref="C1442:C1452"/>
    <mergeCell ref="A1453:A1455"/>
    <mergeCell ref="B1453:B1455"/>
    <mergeCell ref="A1456:A1462"/>
    <mergeCell ref="B1456:B1462"/>
    <mergeCell ref="A1506:A1508"/>
    <mergeCell ref="B1506:B1508"/>
    <mergeCell ref="A1510:A1515"/>
    <mergeCell ref="B1510:B1512"/>
    <mergeCell ref="B1514:B1515"/>
    <mergeCell ref="A1482:A1505"/>
    <mergeCell ref="B1482:B1483"/>
    <mergeCell ref="B1484:B1486"/>
    <mergeCell ref="B1487:B1488"/>
    <mergeCell ref="B1490:B1491"/>
    <mergeCell ref="B1500:B1501"/>
    <mergeCell ref="A1534:A1548"/>
    <mergeCell ref="B1534:B1538"/>
    <mergeCell ref="B1539:B1542"/>
    <mergeCell ref="B1543:B1547"/>
    <mergeCell ref="A1549:A1554"/>
    <mergeCell ref="B1549:B1551"/>
    <mergeCell ref="B1552:B1554"/>
    <mergeCell ref="A1516:A1519"/>
    <mergeCell ref="B1516:B1519"/>
    <mergeCell ref="A1520:A1533"/>
    <mergeCell ref="B1520:B1526"/>
    <mergeCell ref="B1527:B1533"/>
    <mergeCell ref="A1578:A1598"/>
    <mergeCell ref="B1578:B1598"/>
    <mergeCell ref="A1600:A1602"/>
    <mergeCell ref="B1600:B1602"/>
    <mergeCell ref="A1563:A1566"/>
    <mergeCell ref="B1563:B1566"/>
    <mergeCell ref="A1567:A1576"/>
    <mergeCell ref="B1567:B1576"/>
    <mergeCell ref="A1555:A1557"/>
    <mergeCell ref="B1555:B1557"/>
    <mergeCell ref="A1558:A1562"/>
    <mergeCell ref="B1558:B1560"/>
    <mergeCell ref="B1561:B1562"/>
    <mergeCell ref="A1613:A1619"/>
    <mergeCell ref="A1620:A1621"/>
    <mergeCell ref="B1620:B1621"/>
    <mergeCell ref="A1603:A1604"/>
    <mergeCell ref="B1603:B1604"/>
    <mergeCell ref="A1605:A1612"/>
    <mergeCell ref="B1605:B1608"/>
    <mergeCell ref="B1609:B1612"/>
    <mergeCell ref="B1613:B1618"/>
    <mergeCell ref="A1631:A1644"/>
    <mergeCell ref="B1631:B1637"/>
    <mergeCell ref="B1638:B1644"/>
    <mergeCell ref="A1646:A1673"/>
    <mergeCell ref="B1646:B1647"/>
    <mergeCell ref="B1648:B1663"/>
    <mergeCell ref="B1664:B1671"/>
    <mergeCell ref="B1672:B1673"/>
    <mergeCell ref="A1622:A1624"/>
    <mergeCell ref="A1629:A1630"/>
    <mergeCell ref="B1629:B1630"/>
    <mergeCell ref="A1626:A1628"/>
    <mergeCell ref="B1626:B1628"/>
    <mergeCell ref="B1711:B1712"/>
    <mergeCell ref="A1713:A1717"/>
    <mergeCell ref="B1713:B1717"/>
    <mergeCell ref="A1718:A1722"/>
    <mergeCell ref="B1718:B1722"/>
    <mergeCell ref="A1675:A1712"/>
    <mergeCell ref="B1675:B1681"/>
    <mergeCell ref="B1682:B1688"/>
    <mergeCell ref="B1689:B1697"/>
    <mergeCell ref="B1698:B1706"/>
    <mergeCell ref="B1707:B1708"/>
    <mergeCell ref="B1709:B1710"/>
    <mergeCell ref="A1746:A1750"/>
    <mergeCell ref="B1747:B1750"/>
    <mergeCell ref="A1751:A1754"/>
    <mergeCell ref="B1751:B1752"/>
    <mergeCell ref="B1753:B1754"/>
    <mergeCell ref="A1723:A1745"/>
    <mergeCell ref="B1738:B1743"/>
    <mergeCell ref="B1744:B1745"/>
    <mergeCell ref="B1723:B1733"/>
    <mergeCell ref="B1734:B1735"/>
    <mergeCell ref="B1736:B1737"/>
    <mergeCell ref="A1770:A1775"/>
    <mergeCell ref="B1770:B1775"/>
    <mergeCell ref="A1776:A1778"/>
    <mergeCell ref="B1776:B1778"/>
    <mergeCell ref="A1755:A1764"/>
    <mergeCell ref="B1755:B1761"/>
    <mergeCell ref="B1762:B1764"/>
    <mergeCell ref="A1765:A1768"/>
    <mergeCell ref="B1765:B1768"/>
    <mergeCell ref="A1794:A1798"/>
    <mergeCell ref="B1795:B1798"/>
    <mergeCell ref="A1801:A1808"/>
    <mergeCell ref="B1801:B1808"/>
    <mergeCell ref="A1779:A1788"/>
    <mergeCell ref="B1779:B1783"/>
    <mergeCell ref="B1784:B1788"/>
    <mergeCell ref="A1789:A1793"/>
    <mergeCell ref="B1789:B1790"/>
    <mergeCell ref="B1791:B1793"/>
    <mergeCell ref="A1799:A1800"/>
    <mergeCell ref="B1799:B1800"/>
    <mergeCell ref="A1819:A1836"/>
    <mergeCell ref="B1819:B1828"/>
    <mergeCell ref="B1830:B1831"/>
    <mergeCell ref="B1833:B1836"/>
    <mergeCell ref="A1838:A1843"/>
    <mergeCell ref="B1838:B1843"/>
    <mergeCell ref="A1809:A1818"/>
    <mergeCell ref="B1809:B1811"/>
    <mergeCell ref="B1812:B1813"/>
    <mergeCell ref="B1814:B1816"/>
    <mergeCell ref="B1817:B1818"/>
    <mergeCell ref="A1878:A1899"/>
    <mergeCell ref="B1878:B1888"/>
    <mergeCell ref="B1889:B1899"/>
    <mergeCell ref="A1902:A1907"/>
    <mergeCell ref="B1902:B1907"/>
    <mergeCell ref="A1844:A1869"/>
    <mergeCell ref="B1844:B1856"/>
    <mergeCell ref="B1857:B1869"/>
    <mergeCell ref="A1870:A1877"/>
    <mergeCell ref="B1870:B1873"/>
    <mergeCell ref="B1874:B1877"/>
    <mergeCell ref="A1931:A1938"/>
    <mergeCell ref="A1939:A1940"/>
    <mergeCell ref="B1939:B1940"/>
    <mergeCell ref="A1920:A1925"/>
    <mergeCell ref="B1920:B1925"/>
    <mergeCell ref="A1926:A1930"/>
    <mergeCell ref="B1926:B1930"/>
    <mergeCell ref="A1908:A1916"/>
    <mergeCell ref="B1908:B1912"/>
    <mergeCell ref="B1913:B1916"/>
    <mergeCell ref="A1917:A1919"/>
    <mergeCell ref="B1917:B1919"/>
    <mergeCell ref="B1931:B1934"/>
    <mergeCell ref="A1964:A1986"/>
    <mergeCell ref="B1964:B1981"/>
    <mergeCell ref="B1982:B1986"/>
    <mergeCell ref="A1987:A1996"/>
    <mergeCell ref="B1987:B1996"/>
    <mergeCell ref="A1941:A1961"/>
    <mergeCell ref="B1941:B1953"/>
    <mergeCell ref="B1954:B1961"/>
    <mergeCell ref="A1962:A1963"/>
    <mergeCell ref="B1962:B1963"/>
    <mergeCell ref="A2005:A2010"/>
    <mergeCell ref="B2005:B2008"/>
    <mergeCell ref="B2009:B2010"/>
    <mergeCell ref="A2011:A2012"/>
    <mergeCell ref="B2011:B2012"/>
    <mergeCell ref="A1997:A1998"/>
    <mergeCell ref="B1997:B1998"/>
    <mergeCell ref="A2003:A2004"/>
    <mergeCell ref="B2003:B2004"/>
    <mergeCell ref="A2000:A2002"/>
    <mergeCell ref="B2000:B2002"/>
    <mergeCell ref="A2035:A2040"/>
    <mergeCell ref="B2035:B2037"/>
    <mergeCell ref="B2038:B2040"/>
    <mergeCell ref="A2041:A2046"/>
    <mergeCell ref="B2041:B2046"/>
    <mergeCell ref="A2025:A2026"/>
    <mergeCell ref="A2027:A2030"/>
    <mergeCell ref="B2027:B2030"/>
    <mergeCell ref="A2013:A2021"/>
    <mergeCell ref="B2013:B2021"/>
    <mergeCell ref="A2022:A2024"/>
    <mergeCell ref="B2022:B2023"/>
    <mergeCell ref="A2031:A2034"/>
    <mergeCell ref="B2031:B2032"/>
    <mergeCell ref="A2050:A2062"/>
    <mergeCell ref="B2050:B2060"/>
    <mergeCell ref="B2061:B2062"/>
    <mergeCell ref="A2063:A2073"/>
    <mergeCell ref="B2063:B2064"/>
    <mergeCell ref="B2065:B2066"/>
    <mergeCell ref="B2067:B2069"/>
    <mergeCell ref="B2070:B2071"/>
    <mergeCell ref="A2047:A2049"/>
    <mergeCell ref="B2047:B2049"/>
    <mergeCell ref="A2098:A2100"/>
    <mergeCell ref="B2098:B2100"/>
    <mergeCell ref="A2101:A2109"/>
    <mergeCell ref="B2101:B2109"/>
    <mergeCell ref="B2072:B2073"/>
    <mergeCell ref="A2074:A2093"/>
    <mergeCell ref="B2074:B2093"/>
    <mergeCell ref="A2094:A2097"/>
    <mergeCell ref="B2094:B2097"/>
    <mergeCell ref="A2123:A2128"/>
    <mergeCell ref="B2123:B2128"/>
    <mergeCell ref="A2129:A2132"/>
    <mergeCell ref="B2129:B2132"/>
    <mergeCell ref="A2110:A2115"/>
    <mergeCell ref="B2110:B2115"/>
    <mergeCell ref="A2116:A2117"/>
    <mergeCell ref="A2118:A2122"/>
    <mergeCell ref="B2118:B2119"/>
    <mergeCell ref="B2120:B2122"/>
    <mergeCell ref="B2163:B2176"/>
    <mergeCell ref="A2140:A2143"/>
    <mergeCell ref="B2140:B2143"/>
    <mergeCell ref="A2144:A2147"/>
    <mergeCell ref="B2144:B2145"/>
    <mergeCell ref="A2133:A2135"/>
    <mergeCell ref="B2133:B2135"/>
    <mergeCell ref="A2136:A2139"/>
    <mergeCell ref="B2136:B2139"/>
    <mergeCell ref="A441:A445"/>
    <mergeCell ref="A2222:A2231"/>
    <mergeCell ref="B2222:B2230"/>
    <mergeCell ref="B2232:B2239"/>
    <mergeCell ref="A2208:A2216"/>
    <mergeCell ref="B2208:B2212"/>
    <mergeCell ref="A2217:A2221"/>
    <mergeCell ref="B2217:B2218"/>
    <mergeCell ref="A2232:A2270"/>
    <mergeCell ref="B2240:B2269"/>
    <mergeCell ref="A2198:A2207"/>
    <mergeCell ref="B2198:B2200"/>
    <mergeCell ref="B2201:B2202"/>
    <mergeCell ref="B2203:B2205"/>
    <mergeCell ref="B2206:B2207"/>
    <mergeCell ref="A2177:A2181"/>
    <mergeCell ref="B2177:B2181"/>
    <mergeCell ref="A2182:A2196"/>
    <mergeCell ref="B2182:B2187"/>
    <mergeCell ref="B2188:B2196"/>
    <mergeCell ref="B2146:B2147"/>
    <mergeCell ref="A2148:A2162"/>
    <mergeCell ref="B2148:B2162"/>
    <mergeCell ref="A2163:A2176"/>
  </mergeCells>
  <phoneticPr fontId="3" type="noConversion"/>
  <pageMargins left="0.7" right="0.7" top="0.75" bottom="0.75" header="0.3" footer="0.3"/>
  <pageSetup paperSize="9" scale="49" orientation="portrait" r:id="rId1"/>
  <rowBreaks count="2" manualBreakCount="2">
    <brk id="192" max="11" man="1"/>
    <brk id="297" max="11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1E2DA-9A80-4605-9D63-90A415CB8879}">
  <dimension ref="A1:L2549"/>
  <sheetViews>
    <sheetView view="pageBreakPreview" topLeftCell="A2194" zoomScaleNormal="100" zoomScaleSheetLayoutView="100" workbookViewId="0">
      <selection activeCell="A2206" sqref="A2206:A2243"/>
    </sheetView>
  </sheetViews>
  <sheetFormatPr defaultColWidth="10" defaultRowHeight="15" customHeight="1"/>
  <cols>
    <col min="1" max="1" width="19.5" style="209" customWidth="1"/>
    <col min="2" max="2" width="15.69921875" style="101" customWidth="1"/>
    <col min="3" max="3" width="7.5" style="210" customWidth="1"/>
    <col min="4" max="4" width="36.796875" style="101" bestFit="1" customWidth="1"/>
    <col min="5" max="5" width="11.19921875" style="704" customWidth="1"/>
    <col min="6" max="6" width="4.3984375" style="86" hidden="1" customWidth="1"/>
    <col min="7" max="9" width="0" style="86" hidden="1" customWidth="1"/>
    <col min="10" max="16384" width="10" style="86"/>
  </cols>
  <sheetData>
    <row r="1" spans="1:12" ht="15" customHeight="1">
      <c r="A1" s="118" t="s">
        <v>2348</v>
      </c>
      <c r="B1" s="119" t="s">
        <v>2316</v>
      </c>
      <c r="C1" s="120" t="s">
        <v>2351</v>
      </c>
      <c r="D1" s="121" t="s">
        <v>2350</v>
      </c>
      <c r="E1" s="122" t="s">
        <v>1751</v>
      </c>
      <c r="J1" s="135" t="s">
        <v>2747</v>
      </c>
      <c r="L1" s="122"/>
    </row>
    <row r="2" spans="1:12" ht="15" customHeight="1">
      <c r="A2" s="922" t="s">
        <v>3275</v>
      </c>
      <c r="B2" s="850" t="s">
        <v>1752</v>
      </c>
      <c r="C2" s="88">
        <v>90</v>
      </c>
      <c r="D2" s="222" t="s">
        <v>4634</v>
      </c>
      <c r="E2" s="223">
        <v>135000</v>
      </c>
    </row>
    <row r="3" spans="1:12" ht="15" customHeight="1">
      <c r="A3" s="922" t="str">
        <f t="shared" ref="A3:A21" si="0">A2</f>
        <v>가르다
(GAR)*</v>
      </c>
      <c r="B3" s="846"/>
      <c r="C3" s="88">
        <v>100</v>
      </c>
      <c r="D3" s="224" t="s">
        <v>1837</v>
      </c>
      <c r="E3" s="223">
        <v>150000</v>
      </c>
    </row>
    <row r="4" spans="1:12" ht="15" customHeight="1">
      <c r="A4" s="922" t="str">
        <f t="shared" si="0"/>
        <v>가르다
(GAR)*</v>
      </c>
      <c r="B4" s="846"/>
      <c r="C4" s="88">
        <v>115</v>
      </c>
      <c r="D4" s="224" t="s">
        <v>1829</v>
      </c>
      <c r="E4" s="223">
        <v>166500</v>
      </c>
    </row>
    <row r="5" spans="1:12" ht="15" customHeight="1">
      <c r="A5" s="922" t="str">
        <f t="shared" si="0"/>
        <v>가르다
(GAR)*</v>
      </c>
      <c r="B5" s="846"/>
      <c r="C5" s="88">
        <v>135</v>
      </c>
      <c r="D5" s="224" t="s">
        <v>1831</v>
      </c>
      <c r="E5" s="223">
        <v>180000</v>
      </c>
    </row>
    <row r="6" spans="1:12" ht="15" customHeight="1">
      <c r="A6" s="922" t="str">
        <f t="shared" si="0"/>
        <v>가르다
(GAR)*</v>
      </c>
      <c r="B6" s="846"/>
      <c r="C6" s="88">
        <v>150</v>
      </c>
      <c r="D6" s="224" t="s">
        <v>1833</v>
      </c>
      <c r="E6" s="223">
        <v>200000</v>
      </c>
    </row>
    <row r="7" spans="1:12" ht="15" customHeight="1">
      <c r="A7" s="922" t="str">
        <f t="shared" si="0"/>
        <v>가르다
(GAR)*</v>
      </c>
      <c r="B7" s="846"/>
      <c r="C7" s="88">
        <v>200</v>
      </c>
      <c r="D7" s="224" t="s">
        <v>1835</v>
      </c>
      <c r="E7" s="223">
        <v>280000</v>
      </c>
    </row>
    <row r="8" spans="1:12" ht="15" customHeight="1">
      <c r="A8" s="922" t="str">
        <f t="shared" si="0"/>
        <v>가르다
(GAR)*</v>
      </c>
      <c r="B8" s="851"/>
      <c r="C8" s="88">
        <v>250</v>
      </c>
      <c r="D8" s="224" t="s">
        <v>3276</v>
      </c>
      <c r="E8" s="226">
        <v>285000</v>
      </c>
    </row>
    <row r="9" spans="1:12" ht="15" customHeight="1">
      <c r="A9" s="922" t="str">
        <f t="shared" si="0"/>
        <v>가르다
(GAR)*</v>
      </c>
      <c r="B9" s="848" t="s">
        <v>1754</v>
      </c>
      <c r="C9" s="89">
        <v>90</v>
      </c>
      <c r="D9" s="227" t="s">
        <v>3277</v>
      </c>
      <c r="E9" s="228">
        <v>65000</v>
      </c>
    </row>
    <row r="10" spans="1:12" ht="15" customHeight="1">
      <c r="A10" s="922" t="str">
        <f t="shared" si="0"/>
        <v>가르다
(GAR)*</v>
      </c>
      <c r="B10" s="846"/>
      <c r="C10" s="88">
        <v>100</v>
      </c>
      <c r="D10" s="224" t="s">
        <v>1838</v>
      </c>
      <c r="E10" s="223">
        <v>95000</v>
      </c>
    </row>
    <row r="11" spans="1:12" ht="15" customHeight="1">
      <c r="A11" s="922" t="e">
        <f>#REF!</f>
        <v>#REF!</v>
      </c>
      <c r="B11" s="846"/>
      <c r="C11" s="88">
        <v>135</v>
      </c>
      <c r="D11" s="224" t="s">
        <v>1832</v>
      </c>
      <c r="E11" s="223">
        <v>130000</v>
      </c>
    </row>
    <row r="12" spans="1:12" ht="15" customHeight="1">
      <c r="A12" s="922" t="e">
        <f t="shared" si="0"/>
        <v>#REF!</v>
      </c>
      <c r="B12" s="846"/>
      <c r="C12" s="88">
        <v>150</v>
      </c>
      <c r="D12" s="224" t="s">
        <v>1834</v>
      </c>
      <c r="E12" s="223">
        <v>150000</v>
      </c>
    </row>
    <row r="13" spans="1:12" ht="15" customHeight="1">
      <c r="A13" s="922" t="e">
        <f t="shared" si="0"/>
        <v>#REF!</v>
      </c>
      <c r="B13" s="846"/>
      <c r="C13" s="88">
        <v>200</v>
      </c>
      <c r="D13" s="224" t="s">
        <v>1836</v>
      </c>
      <c r="E13" s="223">
        <v>195000</v>
      </c>
    </row>
    <row r="14" spans="1:12" ht="15" customHeight="1">
      <c r="A14" s="922" t="e">
        <f t="shared" si="0"/>
        <v>#REF!</v>
      </c>
      <c r="B14" s="851"/>
      <c r="C14" s="88">
        <v>250</v>
      </c>
      <c r="D14" s="224" t="s">
        <v>3023</v>
      </c>
      <c r="E14" s="223">
        <v>255000</v>
      </c>
    </row>
    <row r="15" spans="1:12" ht="15" customHeight="1">
      <c r="A15" s="922" t="e">
        <f t="shared" si="0"/>
        <v>#REF!</v>
      </c>
      <c r="B15" s="848" t="s">
        <v>3278</v>
      </c>
      <c r="C15" s="89">
        <v>115</v>
      </c>
      <c r="D15" s="227" t="s">
        <v>3279</v>
      </c>
      <c r="E15" s="228">
        <v>60000</v>
      </c>
    </row>
    <row r="16" spans="1:12" ht="15" customHeight="1">
      <c r="A16" s="922" t="e">
        <f t="shared" si="0"/>
        <v>#REF!</v>
      </c>
      <c r="B16" s="846"/>
      <c r="C16" s="88">
        <v>135</v>
      </c>
      <c r="D16" s="222" t="s">
        <v>1755</v>
      </c>
      <c r="E16" s="223">
        <v>75000</v>
      </c>
    </row>
    <row r="17" spans="1:5" ht="15" customHeight="1">
      <c r="A17" s="922" t="e">
        <f t="shared" si="0"/>
        <v>#REF!</v>
      </c>
      <c r="B17" s="846"/>
      <c r="C17" s="88">
        <v>150</v>
      </c>
      <c r="D17" s="222" t="s">
        <v>1755</v>
      </c>
      <c r="E17" s="223">
        <v>80000</v>
      </c>
    </row>
    <row r="18" spans="1:5" ht="15" customHeight="1">
      <c r="A18" s="922" t="e">
        <f t="shared" si="0"/>
        <v>#REF!</v>
      </c>
      <c r="B18" s="846"/>
      <c r="C18" s="88">
        <v>200</v>
      </c>
      <c r="D18" s="222" t="s">
        <v>1755</v>
      </c>
      <c r="E18" s="223">
        <v>105000</v>
      </c>
    </row>
    <row r="19" spans="1:5" ht="15" customHeight="1">
      <c r="A19" s="922" t="e">
        <f t="shared" si="0"/>
        <v>#REF!</v>
      </c>
      <c r="B19" s="851"/>
      <c r="C19" s="229">
        <v>250</v>
      </c>
      <c r="D19" s="230"/>
      <c r="E19" s="226">
        <v>140000</v>
      </c>
    </row>
    <row r="20" spans="1:5" ht="15" customHeight="1">
      <c r="A20" s="922" t="e">
        <f t="shared" si="0"/>
        <v>#REF!</v>
      </c>
      <c r="B20" s="87" t="s">
        <v>3280</v>
      </c>
      <c r="C20" s="88">
        <v>200</v>
      </c>
      <c r="D20" s="222" t="s">
        <v>3279</v>
      </c>
      <c r="E20" s="223">
        <v>55000</v>
      </c>
    </row>
    <row r="21" spans="1:5" ht="15" customHeight="1">
      <c r="A21" s="960" t="e">
        <f t="shared" si="0"/>
        <v>#REF!</v>
      </c>
      <c r="B21" s="170" t="s">
        <v>3281</v>
      </c>
      <c r="C21" s="88">
        <v>250</v>
      </c>
      <c r="D21" s="222"/>
      <c r="E21" s="231">
        <v>72500</v>
      </c>
    </row>
    <row r="22" spans="1:5" ht="15" customHeight="1">
      <c r="A22" s="938" t="s">
        <v>2926</v>
      </c>
      <c r="B22" s="850" t="s">
        <v>1756</v>
      </c>
      <c r="C22" s="165">
        <v>310</v>
      </c>
      <c r="D22" s="232" t="s">
        <v>2927</v>
      </c>
      <c r="E22" s="233">
        <v>2375000</v>
      </c>
    </row>
    <row r="23" spans="1:5" ht="15" customHeight="1">
      <c r="A23" s="938" t="str">
        <f>A22</f>
        <v xml:space="preserve">갈라파고스
(GALA)                         </v>
      </c>
      <c r="B23" s="846"/>
      <c r="C23" s="88">
        <v>310</v>
      </c>
      <c r="D23" s="150" t="s">
        <v>2928</v>
      </c>
      <c r="E23" s="234">
        <v>2300000</v>
      </c>
    </row>
    <row r="24" spans="1:5" ht="15" customHeight="1">
      <c r="A24" s="938" t="str">
        <f>A23</f>
        <v xml:space="preserve">갈라파고스
(GALA)                         </v>
      </c>
      <c r="B24" s="846"/>
      <c r="C24" s="229">
        <v>310</v>
      </c>
      <c r="D24" s="235" t="s">
        <v>2929</v>
      </c>
      <c r="E24" s="236">
        <v>2700000</v>
      </c>
    </row>
    <row r="25" spans="1:5" ht="15" customHeight="1">
      <c r="A25" s="938" t="str">
        <f>A24</f>
        <v xml:space="preserve">갈라파고스
(GALA)                         </v>
      </c>
      <c r="B25" s="846"/>
      <c r="C25" s="88">
        <v>300</v>
      </c>
      <c r="D25" s="150" t="s">
        <v>2930</v>
      </c>
      <c r="E25" s="234">
        <v>1475000</v>
      </c>
    </row>
    <row r="26" spans="1:5" ht="15" customHeight="1">
      <c r="A26" s="938" t="str">
        <f>A25</f>
        <v xml:space="preserve">갈라파고스
(GALA)                         </v>
      </c>
      <c r="B26" s="846"/>
      <c r="C26" s="88">
        <v>300</v>
      </c>
      <c r="D26" s="150" t="s">
        <v>2931</v>
      </c>
      <c r="E26" s="234">
        <v>1500000</v>
      </c>
    </row>
    <row r="27" spans="1:5" ht="15" customHeight="1">
      <c r="A27" s="938" t="str">
        <f>A26</f>
        <v xml:space="preserve">갈라파고스
(GALA)                         </v>
      </c>
      <c r="B27" s="847"/>
      <c r="C27" s="171">
        <v>300</v>
      </c>
      <c r="D27" s="237" t="s">
        <v>2932</v>
      </c>
      <c r="E27" s="238">
        <v>1800000</v>
      </c>
    </row>
    <row r="28" spans="1:5" ht="15" customHeight="1">
      <c r="A28" s="923" t="s">
        <v>3282</v>
      </c>
      <c r="B28" s="850" t="s">
        <v>1757</v>
      </c>
      <c r="C28" s="239">
        <v>115</v>
      </c>
      <c r="D28" s="150" t="s">
        <v>3283</v>
      </c>
      <c r="E28" s="223">
        <v>174000</v>
      </c>
    </row>
    <row r="29" spans="1:5" ht="15" customHeight="1">
      <c r="A29" s="923" t="str">
        <f t="shared" ref="A29:A40" si="1">A28</f>
        <v>그라시아
(GRA)</v>
      </c>
      <c r="B29" s="846"/>
      <c r="C29" s="88">
        <v>135</v>
      </c>
      <c r="D29" s="240" t="s">
        <v>3284</v>
      </c>
      <c r="E29" s="234">
        <v>190000</v>
      </c>
    </row>
    <row r="30" spans="1:5" ht="15" customHeight="1">
      <c r="A30" s="923" t="str">
        <f t="shared" si="1"/>
        <v>그라시아
(GRA)</v>
      </c>
      <c r="B30" s="846"/>
      <c r="C30" s="88">
        <v>150</v>
      </c>
      <c r="D30" s="240" t="s">
        <v>3285</v>
      </c>
      <c r="E30" s="234">
        <v>210000</v>
      </c>
    </row>
    <row r="31" spans="1:5" ht="15" customHeight="1">
      <c r="A31" s="923" t="str">
        <f t="shared" si="1"/>
        <v>그라시아
(GRA)</v>
      </c>
      <c r="B31" s="846"/>
      <c r="C31" s="88">
        <v>170</v>
      </c>
      <c r="D31" s="240" t="s">
        <v>3286</v>
      </c>
      <c r="E31" s="234">
        <v>259000</v>
      </c>
    </row>
    <row r="32" spans="1:5" ht="15" customHeight="1">
      <c r="A32" s="923" t="str">
        <f t="shared" si="1"/>
        <v>그라시아
(GRA)</v>
      </c>
      <c r="B32" s="846"/>
      <c r="C32" s="88">
        <v>200</v>
      </c>
      <c r="D32" s="240" t="s">
        <v>1833</v>
      </c>
      <c r="E32" s="234">
        <v>318000</v>
      </c>
    </row>
    <row r="33" spans="1:5" ht="15" customHeight="1">
      <c r="A33" s="923" t="str">
        <f t="shared" si="1"/>
        <v>그라시아
(GRA)</v>
      </c>
      <c r="B33" s="851"/>
      <c r="C33" s="88">
        <v>250</v>
      </c>
      <c r="D33" s="240" t="s">
        <v>3287</v>
      </c>
      <c r="E33" s="236">
        <v>380000</v>
      </c>
    </row>
    <row r="34" spans="1:5" ht="15" customHeight="1">
      <c r="A34" s="923" t="str">
        <f t="shared" si="1"/>
        <v>그라시아
(GRA)</v>
      </c>
      <c r="B34" s="194" t="s">
        <v>1752</v>
      </c>
      <c r="C34" s="89">
        <v>135</v>
      </c>
      <c r="D34" s="153" t="s">
        <v>3288</v>
      </c>
      <c r="E34" s="241">
        <v>190000</v>
      </c>
    </row>
    <row r="35" spans="1:5" ht="15" customHeight="1">
      <c r="A35" s="923" t="str">
        <f t="shared" si="1"/>
        <v>그라시아
(GRA)</v>
      </c>
      <c r="B35" s="848" t="s">
        <v>1754</v>
      </c>
      <c r="C35" s="89">
        <v>115</v>
      </c>
      <c r="D35" s="153" t="s">
        <v>2933</v>
      </c>
      <c r="E35" s="241">
        <v>127000</v>
      </c>
    </row>
    <row r="36" spans="1:5" ht="15" customHeight="1">
      <c r="A36" s="923" t="str">
        <f t="shared" si="1"/>
        <v>그라시아
(GRA)</v>
      </c>
      <c r="B36" s="846"/>
      <c r="C36" s="88">
        <v>135</v>
      </c>
      <c r="D36" s="240" t="s">
        <v>1836</v>
      </c>
      <c r="E36" s="234">
        <v>150000</v>
      </c>
    </row>
    <row r="37" spans="1:5" ht="15" customHeight="1">
      <c r="A37" s="923" t="str">
        <f t="shared" si="1"/>
        <v>그라시아
(GRA)</v>
      </c>
      <c r="B37" s="846"/>
      <c r="C37" s="88">
        <v>150</v>
      </c>
      <c r="D37" s="240" t="s">
        <v>1837</v>
      </c>
      <c r="E37" s="234">
        <v>166000</v>
      </c>
    </row>
    <row r="38" spans="1:5" ht="15" customHeight="1">
      <c r="A38" s="923" t="str">
        <f t="shared" si="1"/>
        <v>그라시아
(GRA)</v>
      </c>
      <c r="B38" s="846"/>
      <c r="C38" s="88">
        <v>170</v>
      </c>
      <c r="D38" s="240" t="s">
        <v>3289</v>
      </c>
      <c r="E38" s="234">
        <v>181000</v>
      </c>
    </row>
    <row r="39" spans="1:5" ht="15" customHeight="1">
      <c r="A39" s="923" t="str">
        <f t="shared" si="1"/>
        <v>그라시아
(GRA)</v>
      </c>
      <c r="B39" s="846"/>
      <c r="C39" s="88">
        <v>200</v>
      </c>
      <c r="D39" s="240" t="s">
        <v>2114</v>
      </c>
      <c r="E39" s="234">
        <v>221000</v>
      </c>
    </row>
    <row r="40" spans="1:5" ht="15" customHeight="1">
      <c r="A40" s="923" t="str">
        <f t="shared" si="1"/>
        <v>그라시아
(GRA)</v>
      </c>
      <c r="B40" s="849"/>
      <c r="C40" s="154">
        <v>250</v>
      </c>
      <c r="D40" s="242" t="s">
        <v>1959</v>
      </c>
      <c r="E40" s="243">
        <v>277000</v>
      </c>
    </row>
    <row r="41" spans="1:5" ht="15" customHeight="1">
      <c r="A41" s="921" t="s">
        <v>1758</v>
      </c>
      <c r="B41" s="845" t="s">
        <v>1759</v>
      </c>
      <c r="C41" s="842">
        <v>300</v>
      </c>
      <c r="D41" s="232" t="s">
        <v>1760</v>
      </c>
      <c r="E41" s="233">
        <v>1225000</v>
      </c>
    </row>
    <row r="42" spans="1:5" ht="15" customHeight="1">
      <c r="A42" s="921" t="str">
        <f>A41</f>
        <v>구몬드3
(G3)</v>
      </c>
      <c r="B42" s="846"/>
      <c r="C42" s="843"/>
      <c r="D42" s="150" t="s">
        <v>1761</v>
      </c>
      <c r="E42" s="234">
        <v>1425000</v>
      </c>
    </row>
    <row r="43" spans="1:5" ht="15" customHeight="1">
      <c r="A43" s="921" t="str">
        <f>A42</f>
        <v>구몬드3
(G3)</v>
      </c>
      <c r="B43" s="846"/>
      <c r="C43" s="844"/>
      <c r="D43" s="235" t="s">
        <v>2934</v>
      </c>
      <c r="E43" s="236">
        <v>2050000</v>
      </c>
    </row>
    <row r="44" spans="1:5" ht="15" customHeight="1">
      <c r="A44" s="921" t="str">
        <f>A43</f>
        <v>구몬드3
(G3)</v>
      </c>
      <c r="B44" s="847"/>
      <c r="C44" s="89">
        <v>310</v>
      </c>
      <c r="D44" s="153" t="s">
        <v>2935</v>
      </c>
      <c r="E44" s="241">
        <v>2100000</v>
      </c>
    </row>
    <row r="45" spans="1:5" ht="15" customHeight="1">
      <c r="A45" s="921" t="s">
        <v>1762</v>
      </c>
      <c r="B45" s="850" t="s">
        <v>1763</v>
      </c>
      <c r="C45" s="855">
        <v>110</v>
      </c>
      <c r="D45" s="232" t="s">
        <v>1764</v>
      </c>
      <c r="E45" s="233">
        <v>865000</v>
      </c>
    </row>
    <row r="46" spans="1:5" ht="15" customHeight="1">
      <c r="A46" s="922" t="str">
        <f t="shared" ref="A46:A53" si="2">A45</f>
        <v>구몬드 골드
(GG)</v>
      </c>
      <c r="B46" s="846"/>
      <c r="C46" s="843"/>
      <c r="D46" s="150" t="s">
        <v>1765</v>
      </c>
      <c r="E46" s="234">
        <v>1295000</v>
      </c>
    </row>
    <row r="47" spans="1:5" ht="15" customHeight="1">
      <c r="A47" s="922" t="str">
        <f t="shared" si="2"/>
        <v>구몬드 골드
(GG)</v>
      </c>
      <c r="B47" s="846"/>
      <c r="C47" s="843"/>
      <c r="D47" s="150" t="s">
        <v>2936</v>
      </c>
      <c r="E47" s="234">
        <v>1560000</v>
      </c>
    </row>
    <row r="48" spans="1:5" ht="15" customHeight="1">
      <c r="A48" s="922" t="str">
        <f t="shared" si="2"/>
        <v>구몬드 골드
(GG)</v>
      </c>
      <c r="B48" s="846"/>
      <c r="C48" s="844"/>
      <c r="D48" s="235" t="s">
        <v>1766</v>
      </c>
      <c r="E48" s="236">
        <v>1640000</v>
      </c>
    </row>
    <row r="49" spans="1:5" ht="15" customHeight="1">
      <c r="A49" s="922" t="str">
        <f t="shared" si="2"/>
        <v>구몬드 골드
(GG)</v>
      </c>
      <c r="B49" s="846"/>
      <c r="C49" s="90">
        <v>210</v>
      </c>
      <c r="D49" s="156" t="s">
        <v>1767</v>
      </c>
      <c r="E49" s="244">
        <v>2875000</v>
      </c>
    </row>
    <row r="50" spans="1:5" ht="15" customHeight="1">
      <c r="A50" s="922" t="str">
        <f t="shared" si="2"/>
        <v>구몬드 골드
(GG)</v>
      </c>
      <c r="B50" s="846"/>
      <c r="C50" s="853">
        <v>310</v>
      </c>
      <c r="D50" s="150" t="s">
        <v>1768</v>
      </c>
      <c r="E50" s="234">
        <v>2060000</v>
      </c>
    </row>
    <row r="51" spans="1:5" ht="15" customHeight="1">
      <c r="A51" s="922" t="str">
        <f t="shared" si="2"/>
        <v>구몬드 골드
(GG)</v>
      </c>
      <c r="B51" s="846"/>
      <c r="C51" s="843"/>
      <c r="D51" s="150" t="s">
        <v>2937</v>
      </c>
      <c r="E51" s="234">
        <v>3060000</v>
      </c>
    </row>
    <row r="52" spans="1:5" ht="15" customHeight="1">
      <c r="A52" s="922" t="str">
        <f t="shared" si="2"/>
        <v>구몬드 골드
(GG)</v>
      </c>
      <c r="B52" s="846"/>
      <c r="C52" s="843"/>
      <c r="D52" s="150" t="s">
        <v>2938</v>
      </c>
      <c r="E52" s="234">
        <v>3690000</v>
      </c>
    </row>
    <row r="53" spans="1:5" ht="15" customHeight="1">
      <c r="A53" s="922" t="str">
        <f t="shared" si="2"/>
        <v>구몬드 골드
(GG)</v>
      </c>
      <c r="B53" s="846"/>
      <c r="C53" s="843"/>
      <c r="D53" s="150" t="s">
        <v>1769</v>
      </c>
      <c r="E53" s="234">
        <v>3875000</v>
      </c>
    </row>
    <row r="54" spans="1:5" ht="15" customHeight="1">
      <c r="A54" s="922"/>
      <c r="B54" s="846"/>
      <c r="C54" s="843"/>
      <c r="D54" s="150" t="s">
        <v>4635</v>
      </c>
      <c r="E54" s="234">
        <v>2665000</v>
      </c>
    </row>
    <row r="55" spans="1:5" ht="15" customHeight="1">
      <c r="A55" s="922"/>
      <c r="B55" s="846"/>
      <c r="C55" s="843"/>
      <c r="D55" s="150" t="s">
        <v>4636</v>
      </c>
      <c r="E55" s="234">
        <v>2200000</v>
      </c>
    </row>
    <row r="56" spans="1:5" ht="15" customHeight="1">
      <c r="A56" s="923" t="str">
        <f>A53</f>
        <v>구몬드 골드
(GG)</v>
      </c>
      <c r="B56" s="847"/>
      <c r="C56" s="854"/>
      <c r="D56" s="245" t="s">
        <v>4637</v>
      </c>
      <c r="E56" s="231">
        <v>2425000</v>
      </c>
    </row>
    <row r="57" spans="1:5" ht="15" customHeight="1">
      <c r="A57" s="924" t="s">
        <v>4638</v>
      </c>
      <c r="B57" s="850" t="s">
        <v>4639</v>
      </c>
      <c r="C57" s="855">
        <v>320</v>
      </c>
      <c r="D57" s="222" t="s">
        <v>4640</v>
      </c>
      <c r="E57" s="223">
        <v>2225000</v>
      </c>
    </row>
    <row r="58" spans="1:5" ht="15" customHeight="1">
      <c r="A58" s="925"/>
      <c r="B58" s="846"/>
      <c r="C58" s="843"/>
      <c r="D58" s="222" t="s">
        <v>4641</v>
      </c>
      <c r="E58" s="223">
        <v>2225000</v>
      </c>
    </row>
    <row r="59" spans="1:5" ht="15" customHeight="1">
      <c r="A59" s="925"/>
      <c r="B59" s="846"/>
      <c r="C59" s="843"/>
      <c r="D59" s="222" t="s">
        <v>2112</v>
      </c>
      <c r="E59" s="223">
        <v>2450000</v>
      </c>
    </row>
    <row r="60" spans="1:5" ht="15" customHeight="1">
      <c r="A60" s="961"/>
      <c r="B60" s="847"/>
      <c r="C60" s="854"/>
      <c r="D60" s="222" t="s">
        <v>4642</v>
      </c>
      <c r="E60" s="223">
        <v>2625000</v>
      </c>
    </row>
    <row r="61" spans="1:5" ht="15" customHeight="1">
      <c r="A61" s="921" t="s">
        <v>1770</v>
      </c>
      <c r="B61" s="850" t="s">
        <v>1771</v>
      </c>
      <c r="C61" s="855">
        <v>130</v>
      </c>
      <c r="D61" s="232" t="s">
        <v>2939</v>
      </c>
      <c r="E61" s="233">
        <v>1465000</v>
      </c>
    </row>
    <row r="62" spans="1:5" ht="15" customHeight="1">
      <c r="A62" s="922" t="str">
        <f t="shared" ref="A62:A71" si="3">A61</f>
        <v>구몬드 스페셜
(GMS)</v>
      </c>
      <c r="B62" s="846"/>
      <c r="C62" s="844"/>
      <c r="D62" s="235" t="s">
        <v>1772</v>
      </c>
      <c r="E62" s="236">
        <v>1530000</v>
      </c>
    </row>
    <row r="63" spans="1:5" ht="15" customHeight="1">
      <c r="A63" s="922" t="str">
        <f t="shared" si="3"/>
        <v>구몬드 스페셜
(GMS)</v>
      </c>
      <c r="B63" s="846"/>
      <c r="C63" s="853">
        <v>120</v>
      </c>
      <c r="D63" s="153" t="s">
        <v>2940</v>
      </c>
      <c r="E63" s="241">
        <v>665000</v>
      </c>
    </row>
    <row r="64" spans="1:5" ht="15" customHeight="1">
      <c r="A64" s="922" t="str">
        <f t="shared" si="3"/>
        <v>구몬드 스페셜
(GMS)</v>
      </c>
      <c r="B64" s="846"/>
      <c r="C64" s="843"/>
      <c r="D64" s="150" t="s">
        <v>2941</v>
      </c>
      <c r="E64" s="234">
        <v>795000</v>
      </c>
    </row>
    <row r="65" spans="1:5" ht="15" customHeight="1">
      <c r="A65" s="922" t="str">
        <f t="shared" si="3"/>
        <v>구몬드 스페셜
(GMS)</v>
      </c>
      <c r="B65" s="846"/>
      <c r="C65" s="844"/>
      <c r="D65" s="235" t="s">
        <v>2942</v>
      </c>
      <c r="E65" s="236">
        <v>925000</v>
      </c>
    </row>
    <row r="66" spans="1:5" ht="15" customHeight="1">
      <c r="A66" s="922" t="str">
        <f t="shared" si="3"/>
        <v>구몬드 스페셜
(GMS)</v>
      </c>
      <c r="B66" s="846"/>
      <c r="C66" s="853">
        <v>130</v>
      </c>
      <c r="D66" s="150" t="s">
        <v>2943</v>
      </c>
      <c r="E66" s="234">
        <v>1450000</v>
      </c>
    </row>
    <row r="67" spans="1:5" ht="15" customHeight="1">
      <c r="A67" s="922" t="str">
        <f t="shared" si="3"/>
        <v>구몬드 스페셜
(GMS)</v>
      </c>
      <c r="B67" s="846"/>
      <c r="C67" s="843"/>
      <c r="D67" s="150" t="s">
        <v>1773</v>
      </c>
      <c r="E67" s="234">
        <v>1700000</v>
      </c>
    </row>
    <row r="68" spans="1:5" ht="15" customHeight="1">
      <c r="A68" s="922" t="str">
        <f t="shared" si="3"/>
        <v>구몬드 스페셜
(GMS)</v>
      </c>
      <c r="B68" s="846"/>
      <c r="C68" s="843"/>
      <c r="D68" s="150" t="s">
        <v>1774</v>
      </c>
      <c r="E68" s="234">
        <v>2100000</v>
      </c>
    </row>
    <row r="69" spans="1:5" ht="15" customHeight="1">
      <c r="A69" s="922" t="str">
        <f t="shared" si="3"/>
        <v>구몬드 스페셜
(GMS)</v>
      </c>
      <c r="B69" s="846"/>
      <c r="C69" s="843"/>
      <c r="D69" s="150" t="s">
        <v>1775</v>
      </c>
      <c r="E69" s="234">
        <v>1730000</v>
      </c>
    </row>
    <row r="70" spans="1:5" ht="15" customHeight="1">
      <c r="A70" s="922" t="str">
        <f t="shared" si="3"/>
        <v>구몬드 스페셜
(GMS)</v>
      </c>
      <c r="B70" s="846"/>
      <c r="C70" s="843"/>
      <c r="D70" s="150" t="s">
        <v>1776</v>
      </c>
      <c r="E70" s="234">
        <v>1915000</v>
      </c>
    </row>
    <row r="71" spans="1:5" ht="15" customHeight="1">
      <c r="A71" s="923" t="str">
        <f t="shared" si="3"/>
        <v>구몬드 스페셜
(GMS)</v>
      </c>
      <c r="B71" s="847"/>
      <c r="C71" s="854"/>
      <c r="D71" s="237" t="s">
        <v>1777</v>
      </c>
      <c r="E71" s="238">
        <v>1770000</v>
      </c>
    </row>
    <row r="72" spans="1:5" ht="15" customHeight="1">
      <c r="A72" s="962" t="s">
        <v>1778</v>
      </c>
      <c r="B72" s="850" t="s">
        <v>1779</v>
      </c>
      <c r="C72" s="165">
        <v>120</v>
      </c>
      <c r="D72" s="247" t="s">
        <v>1780</v>
      </c>
      <c r="E72" s="233">
        <v>240000</v>
      </c>
    </row>
    <row r="73" spans="1:5" ht="15" customHeight="1">
      <c r="A73" s="948" t="str">
        <f t="shared" ref="A73:A81" si="4">A72</f>
        <v>그래피카
(PGP)</v>
      </c>
      <c r="B73" s="852"/>
      <c r="C73" s="88">
        <v>240</v>
      </c>
      <c r="D73" s="240" t="s">
        <v>1781</v>
      </c>
      <c r="E73" s="234">
        <v>540000</v>
      </c>
    </row>
    <row r="74" spans="1:5" ht="15" customHeight="1">
      <c r="A74" s="948" t="str">
        <f t="shared" si="4"/>
        <v>그래피카
(PGP)</v>
      </c>
      <c r="B74" s="856" t="s">
        <v>1779</v>
      </c>
      <c r="C74" s="249">
        <v>120</v>
      </c>
      <c r="D74" s="250" t="s">
        <v>1782</v>
      </c>
      <c r="E74" s="251">
        <v>240000</v>
      </c>
    </row>
    <row r="75" spans="1:5" ht="15" customHeight="1">
      <c r="A75" s="948" t="str">
        <f t="shared" si="4"/>
        <v>그래피카
(PGP)</v>
      </c>
      <c r="B75" s="846"/>
      <c r="C75" s="88">
        <v>150</v>
      </c>
      <c r="D75" s="240" t="s">
        <v>1783</v>
      </c>
      <c r="E75" s="234">
        <v>300000</v>
      </c>
    </row>
    <row r="76" spans="1:5" ht="15" customHeight="1">
      <c r="A76" s="948" t="str">
        <f t="shared" si="4"/>
        <v>그래피카
(PGP)</v>
      </c>
      <c r="B76" s="846"/>
      <c r="C76" s="88">
        <v>240</v>
      </c>
      <c r="D76" s="240" t="s">
        <v>1784</v>
      </c>
      <c r="E76" s="234">
        <v>540000</v>
      </c>
    </row>
    <row r="77" spans="1:5" ht="15" customHeight="1">
      <c r="A77" s="948" t="str">
        <f t="shared" si="4"/>
        <v>그래피카
(PGP)</v>
      </c>
      <c r="B77" s="852"/>
      <c r="C77" s="88">
        <v>300</v>
      </c>
      <c r="D77" s="240" t="s">
        <v>1785</v>
      </c>
      <c r="E77" s="234">
        <v>675000</v>
      </c>
    </row>
    <row r="78" spans="1:5" ht="15" customHeight="1">
      <c r="A78" s="948" t="str">
        <f t="shared" si="4"/>
        <v>그래피카
(PGP)</v>
      </c>
      <c r="B78" s="856" t="s">
        <v>1779</v>
      </c>
      <c r="C78" s="249">
        <v>120</v>
      </c>
      <c r="D78" s="250" t="s">
        <v>1786</v>
      </c>
      <c r="E78" s="251">
        <v>240000</v>
      </c>
    </row>
    <row r="79" spans="1:5" ht="15" customHeight="1">
      <c r="A79" s="948" t="str">
        <f t="shared" si="4"/>
        <v>그래피카
(PGP)</v>
      </c>
      <c r="B79" s="852"/>
      <c r="C79" s="88">
        <v>240</v>
      </c>
      <c r="D79" s="240" t="s">
        <v>1787</v>
      </c>
      <c r="E79" s="234">
        <v>540000</v>
      </c>
    </row>
    <row r="80" spans="1:5" ht="15" customHeight="1">
      <c r="A80" s="948" t="str">
        <f t="shared" si="4"/>
        <v>그래피카
(PGP)</v>
      </c>
      <c r="B80" s="856" t="s">
        <v>1788</v>
      </c>
      <c r="C80" s="249">
        <v>90</v>
      </c>
      <c r="D80" s="250" t="s">
        <v>1789</v>
      </c>
      <c r="E80" s="251">
        <v>125000</v>
      </c>
    </row>
    <row r="81" spans="1:5" ht="15" customHeight="1">
      <c r="A81" s="963" t="str">
        <f t="shared" si="4"/>
        <v>그래피카
(PGP)</v>
      </c>
      <c r="B81" s="849"/>
      <c r="C81" s="154">
        <v>90</v>
      </c>
      <c r="D81" s="242" t="s">
        <v>1790</v>
      </c>
      <c r="E81" s="243">
        <v>125000</v>
      </c>
    </row>
    <row r="82" spans="1:5" ht="15" customHeight="1">
      <c r="A82" s="964" t="s">
        <v>3290</v>
      </c>
      <c r="B82" s="845" t="s">
        <v>3291</v>
      </c>
      <c r="C82" s="229">
        <v>190</v>
      </c>
      <c r="D82" s="252" t="s">
        <v>3292</v>
      </c>
      <c r="E82" s="253">
        <v>340000</v>
      </c>
    </row>
    <row r="83" spans="1:5" ht="15" customHeight="1">
      <c r="A83" s="965" t="str">
        <f>A82</f>
        <v>네뚜노
(NE)PM용</v>
      </c>
      <c r="B83" s="846"/>
      <c r="C83" s="88">
        <v>280</v>
      </c>
      <c r="D83" s="150" t="s">
        <v>3293</v>
      </c>
      <c r="E83" s="234">
        <v>590000</v>
      </c>
    </row>
    <row r="84" spans="1:5" ht="15" customHeight="1">
      <c r="A84" s="965" t="str">
        <f>A83</f>
        <v>네뚜노
(NE)PM용</v>
      </c>
      <c r="B84" s="846"/>
      <c r="C84" s="88"/>
      <c r="D84" s="150" t="s">
        <v>3294</v>
      </c>
      <c r="E84" s="234">
        <v>675000</v>
      </c>
    </row>
    <row r="85" spans="1:5" ht="15" customHeight="1">
      <c r="A85" s="965" t="str">
        <f>A84</f>
        <v>네뚜노
(NE)PM용</v>
      </c>
      <c r="B85" s="846"/>
      <c r="C85" s="229"/>
      <c r="D85" s="235" t="s">
        <v>3295</v>
      </c>
      <c r="E85" s="236">
        <v>720000</v>
      </c>
    </row>
    <row r="86" spans="1:5" ht="15" customHeight="1">
      <c r="A86" s="965" t="str">
        <f>A85</f>
        <v>네뚜노
(NE)PM용</v>
      </c>
      <c r="B86" s="846"/>
      <c r="C86" s="88">
        <v>360</v>
      </c>
      <c r="D86" s="150" t="s">
        <v>1791</v>
      </c>
      <c r="E86" s="234">
        <v>865000</v>
      </c>
    </row>
    <row r="87" spans="1:5" ht="15" customHeight="1">
      <c r="A87" s="966" t="str">
        <f>A86</f>
        <v>네뚜노
(NE)PM용</v>
      </c>
      <c r="B87" s="847"/>
      <c r="C87" s="171"/>
      <c r="D87" s="237" t="s">
        <v>3296</v>
      </c>
      <c r="E87" s="238">
        <v>930000</v>
      </c>
    </row>
    <row r="88" spans="1:5" ht="15" customHeight="1">
      <c r="A88" s="921" t="s">
        <v>3297</v>
      </c>
      <c r="B88" s="254" t="s">
        <v>2944</v>
      </c>
      <c r="C88" s="88">
        <v>110</v>
      </c>
      <c r="D88" s="150" t="s">
        <v>1792</v>
      </c>
      <c r="E88" s="233"/>
    </row>
    <row r="89" spans="1:5" ht="15" customHeight="1">
      <c r="A89" s="922" t="str">
        <f t="shared" ref="A89:A98" si="5">A88</f>
        <v>뉴에코블랙
(NEBL)
재생펄프 40% 
재고한정</v>
      </c>
      <c r="B89" s="848" t="s">
        <v>1814</v>
      </c>
      <c r="C89" s="89">
        <v>110</v>
      </c>
      <c r="D89" s="153" t="s">
        <v>3298</v>
      </c>
      <c r="E89" s="241">
        <v>225000</v>
      </c>
    </row>
    <row r="90" spans="1:5" ht="15" customHeight="1">
      <c r="A90" s="922" t="str">
        <f t="shared" si="5"/>
        <v>뉴에코블랙
(NEBL)
재생펄프 40% 
재고한정</v>
      </c>
      <c r="B90" s="846"/>
      <c r="C90" s="88">
        <v>150</v>
      </c>
      <c r="D90" s="255" t="s">
        <v>3284</v>
      </c>
      <c r="E90" s="256">
        <v>265000</v>
      </c>
    </row>
    <row r="91" spans="1:5" ht="15" customHeight="1">
      <c r="A91" s="922" t="str">
        <f t="shared" si="5"/>
        <v>뉴에코블랙
(NEBL)
재생펄프 40% 
재고한정</v>
      </c>
      <c r="B91" s="846"/>
      <c r="C91" s="88">
        <v>200</v>
      </c>
      <c r="D91" s="255" t="s">
        <v>3286</v>
      </c>
      <c r="E91" s="256">
        <v>325000</v>
      </c>
    </row>
    <row r="92" spans="1:5" ht="15" customHeight="1">
      <c r="A92" s="922" t="str">
        <f t="shared" si="5"/>
        <v>뉴에코블랙
(NEBL)
재생펄프 40% 
재고한정</v>
      </c>
      <c r="B92" s="846"/>
      <c r="C92" s="88">
        <v>250</v>
      </c>
      <c r="D92" s="257" t="s">
        <v>3299</v>
      </c>
      <c r="E92" s="256">
        <v>405000</v>
      </c>
    </row>
    <row r="93" spans="1:5" ht="15" customHeight="1">
      <c r="A93" s="922" t="str">
        <f t="shared" si="5"/>
        <v>뉴에코블랙
(NEBL)
재생펄프 40% 
재고한정</v>
      </c>
      <c r="B93" s="846"/>
      <c r="C93" s="88">
        <v>300</v>
      </c>
      <c r="D93" s="255" t="s">
        <v>3300</v>
      </c>
      <c r="E93" s="256">
        <v>490000</v>
      </c>
    </row>
    <row r="94" spans="1:5" ht="15" customHeight="1">
      <c r="A94" s="922" t="str">
        <f t="shared" si="5"/>
        <v>뉴에코블랙
(NEBL)
재생펄프 40% 
재고한정</v>
      </c>
      <c r="B94" s="846"/>
      <c r="C94" s="88">
        <v>350</v>
      </c>
      <c r="D94" s="255" t="s">
        <v>3301</v>
      </c>
      <c r="E94" s="256">
        <v>570000</v>
      </c>
    </row>
    <row r="95" spans="1:5" ht="15" customHeight="1">
      <c r="A95" s="922" t="str">
        <f t="shared" si="5"/>
        <v>뉴에코블랙
(NEBL)
재생펄프 40% 
재고한정</v>
      </c>
      <c r="B95" s="846"/>
      <c r="C95" s="88">
        <v>400</v>
      </c>
      <c r="D95" s="255" t="s">
        <v>3302</v>
      </c>
      <c r="E95" s="256">
        <v>650000</v>
      </c>
    </row>
    <row r="96" spans="1:5" ht="15" customHeight="1">
      <c r="A96" s="922" t="str">
        <f t="shared" si="5"/>
        <v>뉴에코블랙
(NEBL)
재생펄프 40% 
재고한정</v>
      </c>
      <c r="B96" s="846"/>
      <c r="C96" s="88">
        <v>500</v>
      </c>
      <c r="D96" s="240" t="s">
        <v>2945</v>
      </c>
      <c r="E96" s="234">
        <v>1585000</v>
      </c>
    </row>
    <row r="97" spans="1:5" ht="15" customHeight="1">
      <c r="A97" s="922" t="str">
        <f t="shared" si="5"/>
        <v>뉴에코블랙
(NEBL)
재생펄프 40% 
재고한정</v>
      </c>
      <c r="B97" s="851"/>
      <c r="C97" s="229" t="s">
        <v>3303</v>
      </c>
      <c r="D97" s="252" t="s">
        <v>3304</v>
      </c>
      <c r="E97" s="253">
        <v>1510000</v>
      </c>
    </row>
    <row r="98" spans="1:5" ht="15" customHeight="1">
      <c r="A98" s="923" t="str">
        <f t="shared" si="5"/>
        <v>뉴에코블랙
(NEBL)
재생펄프 40% 
재고한정</v>
      </c>
      <c r="B98" s="170" t="s">
        <v>1825</v>
      </c>
      <c r="C98" s="171" t="s">
        <v>3305</v>
      </c>
      <c r="D98" s="258" t="s">
        <v>1795</v>
      </c>
      <c r="E98" s="259" t="s">
        <v>1755</v>
      </c>
    </row>
    <row r="99" spans="1:5" ht="15" customHeight="1">
      <c r="A99" s="922" t="s">
        <v>3306</v>
      </c>
      <c r="B99" s="850" t="s">
        <v>1814</v>
      </c>
      <c r="C99" s="88">
        <v>110</v>
      </c>
      <c r="D99" s="240" t="s">
        <v>3298</v>
      </c>
      <c r="E99" s="234">
        <v>225000</v>
      </c>
    </row>
    <row r="100" spans="1:5" ht="15" customHeight="1">
      <c r="A100" s="922"/>
      <c r="B100" s="846"/>
      <c r="C100" s="88">
        <v>120</v>
      </c>
      <c r="D100" s="240" t="s">
        <v>3307</v>
      </c>
      <c r="E100" s="234">
        <v>245000</v>
      </c>
    </row>
    <row r="101" spans="1:5" ht="15" customHeight="1">
      <c r="A101" s="922" t="s">
        <v>3308</v>
      </c>
      <c r="B101" s="846"/>
      <c r="C101" s="88">
        <v>150</v>
      </c>
      <c r="D101" s="240" t="s">
        <v>3309</v>
      </c>
      <c r="E101" s="234">
        <v>305000</v>
      </c>
    </row>
    <row r="102" spans="1:5" ht="15" customHeight="1">
      <c r="A102" s="922" t="s">
        <v>1796</v>
      </c>
      <c r="B102" s="846"/>
      <c r="C102" s="88">
        <v>200</v>
      </c>
      <c r="D102" s="260" t="s">
        <v>2946</v>
      </c>
      <c r="E102" s="234">
        <v>380000</v>
      </c>
    </row>
    <row r="103" spans="1:5" ht="15" customHeight="1">
      <c r="A103" s="922" t="s">
        <v>1797</v>
      </c>
      <c r="B103" s="846"/>
      <c r="C103" s="88">
        <v>250</v>
      </c>
      <c r="D103" s="240" t="s">
        <v>2947</v>
      </c>
      <c r="E103" s="234">
        <v>475000</v>
      </c>
    </row>
    <row r="104" spans="1:5" ht="15" customHeight="1">
      <c r="A104" s="922" t="s">
        <v>1798</v>
      </c>
      <c r="B104" s="846"/>
      <c r="C104" s="88">
        <v>300</v>
      </c>
      <c r="D104" s="240" t="s">
        <v>2948</v>
      </c>
      <c r="E104" s="234">
        <v>570000</v>
      </c>
    </row>
    <row r="105" spans="1:5" ht="15" customHeight="1">
      <c r="A105" s="922" t="s">
        <v>1799</v>
      </c>
      <c r="B105" s="846"/>
      <c r="C105" s="88">
        <v>350</v>
      </c>
      <c r="D105" s="260" t="s">
        <v>2026</v>
      </c>
      <c r="E105" s="234">
        <v>660000</v>
      </c>
    </row>
    <row r="106" spans="1:5" ht="15" customHeight="1">
      <c r="A106" s="922" t="s">
        <v>1800</v>
      </c>
      <c r="B106" s="846"/>
      <c r="C106" s="88">
        <v>400</v>
      </c>
      <c r="D106" s="240" t="s">
        <v>2949</v>
      </c>
      <c r="E106" s="234">
        <v>750000</v>
      </c>
    </row>
    <row r="107" spans="1:5" ht="15" customHeight="1">
      <c r="A107" s="922" t="s">
        <v>2950</v>
      </c>
      <c r="B107" s="846"/>
      <c r="C107" s="88">
        <v>500</v>
      </c>
      <c r="D107" s="150" t="s">
        <v>2951</v>
      </c>
      <c r="E107" s="234">
        <v>940000</v>
      </c>
    </row>
    <row r="108" spans="1:5" ht="15" customHeight="1">
      <c r="A108" s="922"/>
      <c r="B108" s="846"/>
      <c r="C108" s="88">
        <v>500</v>
      </c>
      <c r="D108" s="150" t="s">
        <v>1801</v>
      </c>
      <c r="E108" s="234">
        <v>1135000</v>
      </c>
    </row>
    <row r="109" spans="1:5" ht="15" customHeight="1">
      <c r="A109" s="922"/>
      <c r="B109" s="846"/>
      <c r="C109" s="88">
        <v>710</v>
      </c>
      <c r="D109" s="150" t="s">
        <v>2952</v>
      </c>
      <c r="E109" s="234">
        <v>1630000</v>
      </c>
    </row>
    <row r="110" spans="1:5" ht="15" customHeight="1">
      <c r="A110" s="922" t="s">
        <v>3310</v>
      </c>
      <c r="B110" s="846"/>
      <c r="C110" s="88">
        <v>1000</v>
      </c>
      <c r="D110" s="150" t="s">
        <v>1755</v>
      </c>
      <c r="E110" s="234">
        <v>2250000</v>
      </c>
    </row>
    <row r="111" spans="1:5" ht="15" customHeight="1">
      <c r="A111" s="922" t="s">
        <v>3311</v>
      </c>
      <c r="B111" s="851"/>
      <c r="C111" s="229">
        <v>1200</v>
      </c>
      <c r="D111" s="235" t="s">
        <v>1755</v>
      </c>
      <c r="E111" s="236">
        <v>2750000</v>
      </c>
    </row>
    <row r="112" spans="1:5" ht="15" customHeight="1">
      <c r="A112" s="922"/>
      <c r="B112" s="848" t="s">
        <v>1825</v>
      </c>
      <c r="C112" s="89">
        <v>350</v>
      </c>
      <c r="D112" s="261" t="s">
        <v>2953</v>
      </c>
      <c r="E112" s="241">
        <v>330000</v>
      </c>
    </row>
    <row r="113" spans="1:5" ht="15" customHeight="1">
      <c r="A113" s="922"/>
      <c r="B113" s="846"/>
      <c r="C113" s="88">
        <v>400</v>
      </c>
      <c r="D113" s="262" t="s">
        <v>2954</v>
      </c>
      <c r="E113" s="234">
        <v>375000</v>
      </c>
    </row>
    <row r="114" spans="1:5" ht="15" customHeight="1">
      <c r="A114" s="923" t="s">
        <v>1802</v>
      </c>
      <c r="B114" s="849"/>
      <c r="C114" s="154" t="s">
        <v>2133</v>
      </c>
      <c r="D114" s="263" t="s">
        <v>1795</v>
      </c>
      <c r="E114" s="243" t="s">
        <v>1755</v>
      </c>
    </row>
    <row r="115" spans="1:5" ht="15" customHeight="1">
      <c r="A115" s="954" t="s">
        <v>3312</v>
      </c>
      <c r="B115" s="845" t="s">
        <v>1757</v>
      </c>
      <c r="C115" s="264">
        <v>90</v>
      </c>
      <c r="D115" s="265" t="s">
        <v>3313</v>
      </c>
      <c r="E115" s="266">
        <v>92000</v>
      </c>
    </row>
    <row r="116" spans="1:5" ht="15" customHeight="1">
      <c r="A116" s="925"/>
      <c r="B116" s="846"/>
      <c r="C116" s="88">
        <v>110</v>
      </c>
      <c r="D116" s="163" t="s">
        <v>3314</v>
      </c>
      <c r="E116" s="267">
        <v>108000</v>
      </c>
    </row>
    <row r="117" spans="1:5" ht="15" customHeight="1">
      <c r="A117" s="925"/>
      <c r="B117" s="846"/>
      <c r="C117" s="88">
        <v>161</v>
      </c>
      <c r="D117" s="184" t="s">
        <v>3315</v>
      </c>
      <c r="E117" s="234">
        <v>158000</v>
      </c>
    </row>
    <row r="118" spans="1:5" ht="15" customHeight="1">
      <c r="A118" s="925"/>
      <c r="B118" s="846"/>
      <c r="C118" s="88">
        <v>170</v>
      </c>
      <c r="D118" s="184" t="s">
        <v>3316</v>
      </c>
      <c r="E118" s="234">
        <v>165000</v>
      </c>
    </row>
    <row r="119" spans="1:5" ht="15" customHeight="1">
      <c r="A119" s="925"/>
      <c r="B119" s="846"/>
      <c r="C119" s="88">
        <v>175</v>
      </c>
      <c r="D119" s="262" t="s">
        <v>3317</v>
      </c>
      <c r="E119" s="234">
        <v>170000</v>
      </c>
    </row>
    <row r="120" spans="1:5" ht="15" customHeight="1">
      <c r="A120" s="925"/>
      <c r="B120" s="846"/>
      <c r="C120" s="88">
        <v>200</v>
      </c>
      <c r="D120" s="184" t="s">
        <v>3318</v>
      </c>
      <c r="E120" s="234">
        <v>195000</v>
      </c>
    </row>
    <row r="121" spans="1:5" ht="15" customHeight="1">
      <c r="A121" s="925"/>
      <c r="B121" s="846"/>
      <c r="C121" s="88" t="s">
        <v>3319</v>
      </c>
      <c r="D121" s="268" t="s">
        <v>3320</v>
      </c>
      <c r="E121" s="256">
        <v>175000</v>
      </c>
    </row>
    <row r="122" spans="1:5" ht="15" customHeight="1">
      <c r="A122" s="925"/>
      <c r="B122" s="846"/>
      <c r="C122" s="88">
        <v>225</v>
      </c>
      <c r="D122" s="222" t="s">
        <v>3321</v>
      </c>
      <c r="E122" s="267">
        <v>218000</v>
      </c>
    </row>
    <row r="123" spans="1:5" ht="15" customHeight="1">
      <c r="A123" s="925"/>
      <c r="B123" s="846"/>
      <c r="C123" s="88">
        <v>250</v>
      </c>
      <c r="D123" s="222" t="s">
        <v>3322</v>
      </c>
      <c r="E123" s="267">
        <v>242500</v>
      </c>
    </row>
    <row r="124" spans="1:5" ht="15" customHeight="1">
      <c r="A124" s="925"/>
      <c r="B124" s="846"/>
      <c r="C124" s="88" t="s">
        <v>3323</v>
      </c>
      <c r="D124" s="257"/>
      <c r="E124" s="256">
        <v>280000</v>
      </c>
    </row>
    <row r="125" spans="1:5" ht="15" customHeight="1">
      <c r="A125" s="925"/>
      <c r="B125" s="846"/>
      <c r="C125" s="88">
        <v>280</v>
      </c>
      <c r="D125" s="150" t="s">
        <v>3324</v>
      </c>
      <c r="E125" s="234">
        <v>280000</v>
      </c>
    </row>
    <row r="126" spans="1:5" ht="15" customHeight="1">
      <c r="A126" s="925"/>
      <c r="B126" s="846"/>
      <c r="C126" s="88">
        <v>300</v>
      </c>
      <c r="D126" s="240" t="s">
        <v>3325</v>
      </c>
      <c r="E126" s="234">
        <v>291000</v>
      </c>
    </row>
    <row r="127" spans="1:5" ht="15" customHeight="1">
      <c r="A127" s="925"/>
      <c r="B127" s="846"/>
      <c r="C127" s="88">
        <v>337</v>
      </c>
      <c r="D127" s="240" t="s">
        <v>3326</v>
      </c>
      <c r="E127" s="234">
        <v>327000</v>
      </c>
    </row>
    <row r="128" spans="1:5" ht="15" customHeight="1">
      <c r="A128" s="925"/>
      <c r="B128" s="851"/>
      <c r="C128" s="229">
        <v>440</v>
      </c>
      <c r="D128" s="269" t="s">
        <v>3327</v>
      </c>
      <c r="E128" s="236">
        <v>427000</v>
      </c>
    </row>
    <row r="129" spans="1:5" ht="15" customHeight="1">
      <c r="A129" s="925"/>
      <c r="B129" s="848" t="s">
        <v>3328</v>
      </c>
      <c r="C129" s="88">
        <v>200</v>
      </c>
      <c r="D129" s="222" t="s">
        <v>3329</v>
      </c>
      <c r="E129" s="267">
        <v>135000</v>
      </c>
    </row>
    <row r="130" spans="1:5" ht="15" customHeight="1">
      <c r="A130" s="925"/>
      <c r="B130" s="846"/>
      <c r="C130" s="88" t="s">
        <v>3319</v>
      </c>
      <c r="D130" s="257" t="s">
        <v>3320</v>
      </c>
      <c r="E130" s="256">
        <v>120000</v>
      </c>
    </row>
    <row r="131" spans="1:5" ht="15" customHeight="1">
      <c r="A131" s="925"/>
      <c r="B131" s="846"/>
      <c r="C131" s="88">
        <v>250</v>
      </c>
      <c r="D131" s="150" t="s">
        <v>3330</v>
      </c>
      <c r="E131" s="234">
        <v>168000</v>
      </c>
    </row>
    <row r="132" spans="1:5" ht="15" customHeight="1">
      <c r="A132" s="925"/>
      <c r="B132" s="846"/>
      <c r="C132" s="88">
        <v>300</v>
      </c>
      <c r="D132" s="150" t="s">
        <v>3331</v>
      </c>
      <c r="E132" s="234">
        <v>202000</v>
      </c>
    </row>
    <row r="133" spans="1:5" ht="15" customHeight="1">
      <c r="A133" s="925"/>
      <c r="B133" s="851"/>
      <c r="C133" s="88">
        <v>337</v>
      </c>
      <c r="D133" s="150" t="s">
        <v>3332</v>
      </c>
      <c r="E133" s="234">
        <v>227000</v>
      </c>
    </row>
    <row r="134" spans="1:5" ht="15" customHeight="1">
      <c r="A134" s="925"/>
      <c r="B134" s="848" t="s">
        <v>1811</v>
      </c>
      <c r="C134" s="89">
        <v>90</v>
      </c>
      <c r="D134" s="153" t="s">
        <v>3333</v>
      </c>
      <c r="E134" s="241">
        <v>115000</v>
      </c>
    </row>
    <row r="135" spans="1:5" ht="15" customHeight="1">
      <c r="A135" s="925"/>
      <c r="B135" s="846"/>
      <c r="C135" s="88">
        <v>110</v>
      </c>
      <c r="D135" s="240" t="s">
        <v>3334</v>
      </c>
      <c r="E135" s="234">
        <v>136000</v>
      </c>
    </row>
    <row r="136" spans="1:5" ht="15" customHeight="1">
      <c r="A136" s="925"/>
      <c r="B136" s="846"/>
      <c r="C136" s="88">
        <v>161</v>
      </c>
      <c r="D136" s="150" t="s">
        <v>3335</v>
      </c>
      <c r="E136" s="234">
        <v>199000</v>
      </c>
    </row>
    <row r="137" spans="1:5" ht="15" customHeight="1">
      <c r="A137" s="925"/>
      <c r="B137" s="846"/>
      <c r="C137" s="88">
        <v>175</v>
      </c>
      <c r="D137" s="150" t="s">
        <v>3336</v>
      </c>
      <c r="E137" s="234">
        <v>213000</v>
      </c>
    </row>
    <row r="138" spans="1:5" ht="15" customHeight="1">
      <c r="A138" s="925"/>
      <c r="B138" s="851"/>
      <c r="C138" s="88">
        <v>200</v>
      </c>
      <c r="D138" s="150" t="s">
        <v>3337</v>
      </c>
      <c r="E138" s="234">
        <v>244000</v>
      </c>
    </row>
    <row r="139" spans="1:5" ht="15" customHeight="1">
      <c r="A139" s="925"/>
      <c r="B139" s="190" t="s">
        <v>3338</v>
      </c>
      <c r="C139" s="89">
        <v>175</v>
      </c>
      <c r="D139" s="153" t="s">
        <v>3339</v>
      </c>
      <c r="E139" s="244">
        <v>107000</v>
      </c>
    </row>
    <row r="140" spans="1:5" ht="15" customHeight="1">
      <c r="A140" s="925"/>
      <c r="B140" s="848" t="s">
        <v>3340</v>
      </c>
      <c r="C140" s="89">
        <v>161</v>
      </c>
      <c r="D140" s="153" t="s">
        <v>3341</v>
      </c>
      <c r="E140" s="241">
        <v>82000</v>
      </c>
    </row>
    <row r="141" spans="1:5" ht="15" customHeight="1">
      <c r="A141" s="925"/>
      <c r="B141" s="846"/>
      <c r="C141" s="88">
        <v>200</v>
      </c>
      <c r="D141" s="150" t="s">
        <v>3342</v>
      </c>
      <c r="E141" s="234">
        <v>101000</v>
      </c>
    </row>
    <row r="142" spans="1:5" ht="15" customHeight="1">
      <c r="A142" s="925"/>
      <c r="B142" s="846"/>
      <c r="C142" s="88">
        <v>250</v>
      </c>
      <c r="D142" s="240" t="s">
        <v>3343</v>
      </c>
      <c r="E142" s="234">
        <v>125000</v>
      </c>
    </row>
    <row r="143" spans="1:5" ht="15" customHeight="1">
      <c r="A143" s="925"/>
      <c r="B143" s="852"/>
      <c r="C143" s="88">
        <v>300</v>
      </c>
      <c r="D143" s="150" t="s">
        <v>3344</v>
      </c>
      <c r="E143" s="234">
        <v>150000</v>
      </c>
    </row>
    <row r="144" spans="1:5" ht="15" customHeight="1">
      <c r="A144" s="925"/>
      <c r="B144" s="248" t="s">
        <v>3345</v>
      </c>
      <c r="C144" s="249">
        <v>90</v>
      </c>
      <c r="D144" s="270" t="s">
        <v>3346</v>
      </c>
      <c r="E144" s="241"/>
    </row>
    <row r="145" spans="1:5" ht="15" customHeight="1">
      <c r="A145" s="925"/>
      <c r="B145" s="187"/>
      <c r="C145" s="88">
        <v>161</v>
      </c>
      <c r="D145" s="150"/>
      <c r="E145" s="234"/>
    </row>
    <row r="146" spans="1:5" ht="15" customHeight="1">
      <c r="A146" s="925"/>
      <c r="B146" s="187"/>
      <c r="C146" s="88" t="s">
        <v>3347</v>
      </c>
      <c r="D146" s="150"/>
      <c r="E146" s="234"/>
    </row>
    <row r="147" spans="1:5" ht="15" customHeight="1">
      <c r="A147" s="925"/>
      <c r="B147" s="187"/>
      <c r="C147" s="88">
        <v>440</v>
      </c>
      <c r="D147" s="150"/>
      <c r="E147" s="234"/>
    </row>
    <row r="148" spans="1:5" ht="15" customHeight="1">
      <c r="A148" s="926"/>
      <c r="B148" s="193" t="s">
        <v>3348</v>
      </c>
      <c r="C148" s="154" t="s">
        <v>3349</v>
      </c>
      <c r="D148" s="155" t="s">
        <v>3350</v>
      </c>
      <c r="E148" s="271"/>
    </row>
    <row r="149" spans="1:5" ht="15" customHeight="1">
      <c r="A149" s="927" t="s">
        <v>1813</v>
      </c>
      <c r="B149" s="845" t="s">
        <v>1814</v>
      </c>
      <c r="C149" s="264">
        <v>300</v>
      </c>
      <c r="D149" s="176" t="s">
        <v>1815</v>
      </c>
      <c r="E149" s="266">
        <v>1175000</v>
      </c>
    </row>
    <row r="150" spans="1:5" ht="15" customHeight="1">
      <c r="A150" s="922" t="str">
        <f>A149</f>
        <v>니나폴딩보드
(NFB)</v>
      </c>
      <c r="B150" s="846"/>
      <c r="C150" s="88"/>
      <c r="D150" s="257" t="s">
        <v>3351</v>
      </c>
      <c r="E150" s="256">
        <v>670000</v>
      </c>
    </row>
    <row r="151" spans="1:5" ht="15" customHeight="1">
      <c r="A151" s="922" t="str">
        <f>A150</f>
        <v>니나폴딩보드
(NFB)</v>
      </c>
      <c r="B151" s="846"/>
      <c r="C151" s="88"/>
      <c r="D151" s="257" t="s">
        <v>3352</v>
      </c>
      <c r="E151" s="256">
        <v>760000</v>
      </c>
    </row>
    <row r="152" spans="1:5" ht="15" customHeight="1">
      <c r="A152" s="922" t="str">
        <f>A151</f>
        <v>니나폴딩보드
(NFB)</v>
      </c>
      <c r="B152" s="846"/>
      <c r="C152" s="88"/>
      <c r="D152" s="257" t="s">
        <v>3353</v>
      </c>
      <c r="E152" s="256">
        <v>1135000</v>
      </c>
    </row>
    <row r="153" spans="1:5" ht="15" customHeight="1">
      <c r="A153" s="922" t="str">
        <f>A152</f>
        <v>니나폴딩보드
(NFB)</v>
      </c>
      <c r="B153" s="846"/>
      <c r="C153" s="89">
        <v>338</v>
      </c>
      <c r="D153" s="153" t="s">
        <v>1816</v>
      </c>
      <c r="E153" s="241">
        <v>1345000</v>
      </c>
    </row>
    <row r="154" spans="1:5" ht="15" customHeight="1">
      <c r="A154" s="922"/>
      <c r="B154" s="846"/>
      <c r="C154" s="88"/>
      <c r="D154" s="150" t="s">
        <v>3354</v>
      </c>
      <c r="E154" s="234">
        <v>1000000</v>
      </c>
    </row>
    <row r="155" spans="1:5" ht="15" customHeight="1">
      <c r="A155" s="922" t="str">
        <f>A153</f>
        <v>니나폴딩보드
(NFB)</v>
      </c>
      <c r="B155" s="846"/>
      <c r="C155" s="88"/>
      <c r="D155" s="222" t="s">
        <v>1817</v>
      </c>
      <c r="E155" s="267">
        <v>1510000</v>
      </c>
    </row>
    <row r="156" spans="1:5" ht="15" customHeight="1">
      <c r="A156" s="922" t="str">
        <f t="shared" ref="A156:A161" si="6">A155</f>
        <v>니나폴딩보드
(NFB)</v>
      </c>
      <c r="B156" s="846"/>
      <c r="C156" s="229"/>
      <c r="D156" s="230" t="s">
        <v>1818</v>
      </c>
      <c r="E156" s="272">
        <v>2015000</v>
      </c>
    </row>
    <row r="157" spans="1:5" ht="15" customHeight="1">
      <c r="A157" s="922" t="str">
        <f t="shared" si="6"/>
        <v>니나폴딩보드
(NFB)</v>
      </c>
      <c r="B157" s="846"/>
      <c r="C157" s="88">
        <v>352</v>
      </c>
      <c r="D157" s="150" t="s">
        <v>3355</v>
      </c>
      <c r="E157" s="234">
        <v>1300000</v>
      </c>
    </row>
    <row r="158" spans="1:5" ht="15" customHeight="1">
      <c r="A158" s="922" t="str">
        <f t="shared" si="6"/>
        <v>니나폴딩보드
(NFB)</v>
      </c>
      <c r="B158" s="846"/>
      <c r="C158" s="88"/>
      <c r="D158" s="257" t="s">
        <v>3356</v>
      </c>
      <c r="E158" s="256">
        <v>1450000</v>
      </c>
    </row>
    <row r="159" spans="1:5" ht="15" customHeight="1">
      <c r="A159" s="922" t="str">
        <f t="shared" si="6"/>
        <v>니나폴딩보드
(NFB)</v>
      </c>
      <c r="B159" s="846"/>
      <c r="C159" s="88"/>
      <c r="D159" s="257" t="s">
        <v>3357</v>
      </c>
      <c r="E159" s="256">
        <v>875000</v>
      </c>
    </row>
    <row r="160" spans="1:5" ht="15" customHeight="1">
      <c r="A160" s="922" t="str">
        <f t="shared" si="6"/>
        <v>니나폴딩보드
(NFB)</v>
      </c>
      <c r="B160" s="846"/>
      <c r="C160" s="90">
        <v>465</v>
      </c>
      <c r="D160" s="273" t="s">
        <v>3358</v>
      </c>
      <c r="E160" s="274">
        <v>1050000</v>
      </c>
    </row>
    <row r="161" spans="1:5" ht="15" customHeight="1">
      <c r="A161" s="922" t="str">
        <f t="shared" si="6"/>
        <v>니나폴딩보드
(NFB)</v>
      </c>
      <c r="B161" s="851"/>
      <c r="C161" s="229">
        <v>324</v>
      </c>
      <c r="D161" s="230" t="s">
        <v>1819</v>
      </c>
      <c r="E161" s="272">
        <v>1290000</v>
      </c>
    </row>
    <row r="162" spans="1:5" ht="15" customHeight="1">
      <c r="A162" s="922"/>
      <c r="B162" s="275" t="s">
        <v>3359</v>
      </c>
      <c r="C162" s="88">
        <v>338</v>
      </c>
      <c r="D162" s="222" t="s">
        <v>3360</v>
      </c>
      <c r="E162" s="267">
        <v>500000</v>
      </c>
    </row>
    <row r="163" spans="1:5" ht="15" customHeight="1">
      <c r="A163" s="922" t="str">
        <f>A161</f>
        <v>니나폴딩보드
(NFB)</v>
      </c>
      <c r="B163" s="856" t="s">
        <v>1820</v>
      </c>
      <c r="C163" s="270">
        <v>284</v>
      </c>
      <c r="D163" s="270" t="s">
        <v>1821</v>
      </c>
      <c r="E163" s="241">
        <v>1445000</v>
      </c>
    </row>
    <row r="164" spans="1:5" ht="15" customHeight="1">
      <c r="A164" s="922" t="str">
        <f t="shared" ref="A164:A174" si="7">A163</f>
        <v>니나폴딩보드
(NFB)</v>
      </c>
      <c r="B164" s="846"/>
      <c r="C164" s="270">
        <v>338</v>
      </c>
      <c r="D164" s="270" t="s">
        <v>1822</v>
      </c>
      <c r="E164" s="241">
        <v>1220000</v>
      </c>
    </row>
    <row r="165" spans="1:5" ht="15" customHeight="1">
      <c r="A165" s="922" t="str">
        <f t="shared" si="7"/>
        <v>니나폴딩보드
(NFB)</v>
      </c>
      <c r="B165" s="846"/>
      <c r="C165" s="229" t="s">
        <v>1755</v>
      </c>
      <c r="D165" s="235" t="s">
        <v>1823</v>
      </c>
      <c r="E165" s="236">
        <v>1355000</v>
      </c>
    </row>
    <row r="166" spans="1:5" ht="15" customHeight="1">
      <c r="A166" s="922" t="str">
        <f t="shared" si="7"/>
        <v>니나폴딩보드
(NFB)</v>
      </c>
      <c r="B166" s="846"/>
      <c r="C166" s="270">
        <v>392</v>
      </c>
      <c r="D166" s="270" t="s">
        <v>3361</v>
      </c>
      <c r="E166" s="241">
        <v>2050000</v>
      </c>
    </row>
    <row r="167" spans="1:5" ht="15" customHeight="1">
      <c r="A167" s="922" t="str">
        <f t="shared" si="7"/>
        <v>니나폴딩보드
(NFB)</v>
      </c>
      <c r="B167" s="846"/>
      <c r="C167" s="276" t="s">
        <v>1755</v>
      </c>
      <c r="D167" s="276" t="s">
        <v>1824</v>
      </c>
      <c r="E167" s="236">
        <v>3070000</v>
      </c>
    </row>
    <row r="168" spans="1:5" ht="15" customHeight="1">
      <c r="A168" s="922" t="str">
        <f t="shared" si="7"/>
        <v>니나폴딩보드
(NFB)</v>
      </c>
      <c r="B168" s="846"/>
      <c r="C168" s="277">
        <v>406</v>
      </c>
      <c r="D168" s="278" t="s">
        <v>3362</v>
      </c>
      <c r="E168" s="253">
        <v>1400000</v>
      </c>
    </row>
    <row r="169" spans="1:5" ht="15" customHeight="1">
      <c r="A169" s="922" t="str">
        <f t="shared" si="7"/>
        <v>니나폴딩보드
(NFB)</v>
      </c>
      <c r="B169" s="846"/>
      <c r="C169" s="229">
        <v>425</v>
      </c>
      <c r="D169" s="252" t="s">
        <v>3363</v>
      </c>
      <c r="E169" s="253">
        <v>2050000</v>
      </c>
    </row>
    <row r="170" spans="1:5" ht="15" customHeight="1">
      <c r="A170" s="922" t="str">
        <f t="shared" si="7"/>
        <v>니나폴딩보드
(NFB)</v>
      </c>
      <c r="B170" s="846"/>
      <c r="C170" s="88">
        <v>433</v>
      </c>
      <c r="D170" s="257" t="s">
        <v>3364</v>
      </c>
      <c r="E170" s="256">
        <v>1900000</v>
      </c>
    </row>
    <row r="171" spans="1:5" ht="15" customHeight="1">
      <c r="A171" s="922" t="str">
        <f t="shared" si="7"/>
        <v>니나폴딩보드
(NFB)</v>
      </c>
      <c r="B171" s="846"/>
      <c r="C171" s="88"/>
      <c r="D171" s="257" t="s">
        <v>3365</v>
      </c>
      <c r="E171" s="256">
        <v>2550000</v>
      </c>
    </row>
    <row r="172" spans="1:5" ht="15" customHeight="1">
      <c r="A172" s="922" t="str">
        <f t="shared" si="7"/>
        <v>니나폴딩보드
(NFB)</v>
      </c>
      <c r="B172" s="846"/>
      <c r="C172" s="229"/>
      <c r="D172" s="252" t="s">
        <v>3366</v>
      </c>
      <c r="E172" s="253">
        <v>2050000</v>
      </c>
    </row>
    <row r="173" spans="1:5" ht="15" customHeight="1">
      <c r="A173" s="922" t="str">
        <f t="shared" si="7"/>
        <v>니나폴딩보드
(NFB)</v>
      </c>
      <c r="B173" s="846"/>
      <c r="C173" s="90">
        <v>460</v>
      </c>
      <c r="D173" s="273" t="s">
        <v>3367</v>
      </c>
      <c r="E173" s="274">
        <v>2850000</v>
      </c>
    </row>
    <row r="174" spans="1:5" ht="15" customHeight="1">
      <c r="A174" s="923" t="str">
        <f t="shared" si="7"/>
        <v>니나폴딩보드
(NFB)</v>
      </c>
      <c r="B174" s="847"/>
      <c r="C174" s="171">
        <v>487</v>
      </c>
      <c r="D174" s="258" t="s">
        <v>3368</v>
      </c>
      <c r="E174" s="259">
        <v>1385000</v>
      </c>
    </row>
    <row r="175" spans="1:5" ht="15" customHeight="1">
      <c r="A175" s="954" t="s">
        <v>3369</v>
      </c>
      <c r="B175" s="850" t="s">
        <v>1794</v>
      </c>
      <c r="C175" s="264">
        <v>161</v>
      </c>
      <c r="D175" s="176" t="s">
        <v>3370</v>
      </c>
      <c r="E175" s="266">
        <v>185000</v>
      </c>
    </row>
    <row r="176" spans="1:5" ht="15" customHeight="1">
      <c r="A176" s="955"/>
      <c r="B176" s="846"/>
      <c r="C176" s="88">
        <v>186</v>
      </c>
      <c r="D176" s="192" t="s">
        <v>1830</v>
      </c>
      <c r="E176" s="234">
        <v>210000</v>
      </c>
    </row>
    <row r="177" spans="1:5" ht="15" customHeight="1">
      <c r="A177" s="955"/>
      <c r="B177" s="852"/>
      <c r="C177" s="279">
        <v>249</v>
      </c>
      <c r="D177" s="280" t="s">
        <v>1831</v>
      </c>
      <c r="E177" s="281">
        <v>280000</v>
      </c>
    </row>
    <row r="178" spans="1:5" ht="15" customHeight="1">
      <c r="A178" s="955"/>
      <c r="B178" s="856" t="s">
        <v>1839</v>
      </c>
      <c r="C178" s="88">
        <v>161</v>
      </c>
      <c r="D178" s="167" t="s">
        <v>3371</v>
      </c>
      <c r="E178" s="234">
        <v>230000</v>
      </c>
    </row>
    <row r="179" spans="1:5" ht="15" customHeight="1">
      <c r="A179" s="955"/>
      <c r="B179" s="846"/>
      <c r="C179" s="88">
        <v>186</v>
      </c>
      <c r="D179" s="167" t="s">
        <v>3372</v>
      </c>
      <c r="E179" s="234">
        <v>265000</v>
      </c>
    </row>
    <row r="180" spans="1:5" ht="15" customHeight="1">
      <c r="A180" s="956"/>
      <c r="B180" s="849"/>
      <c r="C180" s="279">
        <v>249</v>
      </c>
      <c r="D180" s="282" t="s">
        <v>3373</v>
      </c>
      <c r="E180" s="281">
        <v>355000</v>
      </c>
    </row>
    <row r="181" spans="1:5" ht="15" customHeight="1">
      <c r="A181" s="957" t="s">
        <v>1827</v>
      </c>
      <c r="B181" s="845" t="s">
        <v>1794</v>
      </c>
      <c r="C181" s="264">
        <v>50</v>
      </c>
      <c r="D181" s="176" t="s">
        <v>1828</v>
      </c>
      <c r="E181" s="266">
        <v>135000</v>
      </c>
    </row>
    <row r="182" spans="1:5" ht="15" customHeight="1">
      <c r="A182" s="958"/>
      <c r="B182" s="846"/>
      <c r="C182" s="88">
        <v>60</v>
      </c>
      <c r="D182" s="167" t="s">
        <v>1829</v>
      </c>
      <c r="E182" s="234">
        <v>162000</v>
      </c>
    </row>
    <row r="183" spans="1:5" ht="15" customHeight="1">
      <c r="A183" s="958"/>
      <c r="B183" s="846"/>
      <c r="C183" s="88">
        <v>70</v>
      </c>
      <c r="D183" s="167" t="s">
        <v>1830</v>
      </c>
      <c r="E183" s="234">
        <v>189000</v>
      </c>
    </row>
    <row r="184" spans="1:5" ht="15" customHeight="1">
      <c r="A184" s="958"/>
      <c r="B184" s="846"/>
      <c r="C184" s="88">
        <v>80</v>
      </c>
      <c r="D184" s="167" t="s">
        <v>1831</v>
      </c>
      <c r="E184" s="234">
        <v>216000</v>
      </c>
    </row>
    <row r="185" spans="1:5" ht="15" customHeight="1">
      <c r="A185" s="958"/>
      <c r="B185" s="846"/>
      <c r="C185" s="88">
        <v>90</v>
      </c>
      <c r="D185" s="167" t="s">
        <v>1832</v>
      </c>
      <c r="E185" s="234">
        <v>243000</v>
      </c>
    </row>
    <row r="186" spans="1:5" ht="15" customHeight="1">
      <c r="A186" s="958"/>
      <c r="B186" s="846"/>
      <c r="C186" s="88">
        <v>100</v>
      </c>
      <c r="D186" s="167" t="s">
        <v>1833</v>
      </c>
      <c r="E186" s="234">
        <v>270000</v>
      </c>
    </row>
    <row r="187" spans="1:5" ht="15" customHeight="1">
      <c r="A187" s="958"/>
      <c r="B187" s="846"/>
      <c r="C187" s="88">
        <v>110</v>
      </c>
      <c r="D187" s="167" t="s">
        <v>1834</v>
      </c>
      <c r="E187" s="234">
        <v>297000</v>
      </c>
    </row>
    <row r="188" spans="1:5" ht="15" customHeight="1">
      <c r="A188" s="958"/>
      <c r="B188" s="846"/>
      <c r="C188" s="88">
        <v>130</v>
      </c>
      <c r="D188" s="167" t="s">
        <v>1835</v>
      </c>
      <c r="E188" s="234">
        <v>351000</v>
      </c>
    </row>
    <row r="189" spans="1:5" ht="15" customHeight="1">
      <c r="A189" s="958"/>
      <c r="B189" s="846"/>
      <c r="C189" s="88">
        <v>150</v>
      </c>
      <c r="D189" s="167" t="s">
        <v>1836</v>
      </c>
      <c r="E189" s="234">
        <v>440000</v>
      </c>
    </row>
    <row r="190" spans="1:5" ht="15" customHeight="1">
      <c r="A190" s="958"/>
      <c r="B190" s="846"/>
      <c r="C190" s="88">
        <v>170</v>
      </c>
      <c r="D190" s="167" t="s">
        <v>1837</v>
      </c>
      <c r="E190" s="234">
        <v>495000</v>
      </c>
    </row>
    <row r="191" spans="1:5" ht="15" customHeight="1">
      <c r="A191" s="958"/>
      <c r="B191" s="852"/>
      <c r="C191" s="88">
        <v>180</v>
      </c>
      <c r="D191" s="167" t="s">
        <v>1838</v>
      </c>
      <c r="E191" s="234">
        <v>525000</v>
      </c>
    </row>
    <row r="192" spans="1:5" ht="15" customHeight="1">
      <c r="A192" s="958"/>
      <c r="B192" s="92" t="s">
        <v>2955</v>
      </c>
      <c r="C192" s="91">
        <v>150</v>
      </c>
      <c r="D192" s="160" t="s">
        <v>2956</v>
      </c>
      <c r="E192" s="283">
        <v>236000</v>
      </c>
    </row>
    <row r="193" spans="1:5" ht="15" customHeight="1">
      <c r="A193" s="958"/>
      <c r="B193" s="92" t="s">
        <v>1839</v>
      </c>
      <c r="C193" s="91">
        <v>80</v>
      </c>
      <c r="D193" s="157" t="s">
        <v>1840</v>
      </c>
      <c r="E193" s="283">
        <v>275000</v>
      </c>
    </row>
    <row r="194" spans="1:5" ht="15" customHeight="1">
      <c r="A194" s="958"/>
      <c r="B194" s="149" t="s">
        <v>1755</v>
      </c>
      <c r="C194" s="279">
        <v>90</v>
      </c>
      <c r="D194" s="284" t="s">
        <v>2957</v>
      </c>
      <c r="E194" s="281">
        <v>310000</v>
      </c>
    </row>
    <row r="195" spans="1:5" ht="15" customHeight="1">
      <c r="A195" s="958"/>
      <c r="B195" s="87" t="s">
        <v>1841</v>
      </c>
      <c r="C195" s="88">
        <v>80</v>
      </c>
      <c r="D195" s="150" t="s">
        <v>2958</v>
      </c>
      <c r="E195" s="234">
        <v>11250000</v>
      </c>
    </row>
    <row r="196" spans="1:5" ht="15" customHeight="1">
      <c r="A196" s="958"/>
      <c r="B196" s="87" t="s">
        <v>2959</v>
      </c>
      <c r="C196" s="88">
        <v>80</v>
      </c>
      <c r="D196" s="150" t="s">
        <v>2960</v>
      </c>
      <c r="E196" s="234">
        <v>5900000</v>
      </c>
    </row>
    <row r="197" spans="1:5" ht="15" customHeight="1">
      <c r="A197" s="958"/>
      <c r="B197" s="87" t="s">
        <v>1842</v>
      </c>
      <c r="C197" s="88">
        <v>80</v>
      </c>
      <c r="D197" s="150" t="s">
        <v>1843</v>
      </c>
      <c r="E197" s="234">
        <v>13000000</v>
      </c>
    </row>
    <row r="198" spans="1:5" ht="15" customHeight="1">
      <c r="A198" s="958"/>
      <c r="B198" s="87" t="s">
        <v>1844</v>
      </c>
      <c r="C198" s="88">
        <v>80</v>
      </c>
      <c r="D198" s="150" t="s">
        <v>1845</v>
      </c>
      <c r="E198" s="234">
        <v>6900000</v>
      </c>
    </row>
    <row r="199" spans="1:5" ht="15" customHeight="1">
      <c r="A199" s="958"/>
      <c r="B199" s="87" t="s">
        <v>1846</v>
      </c>
      <c r="C199" s="88">
        <v>80</v>
      </c>
      <c r="D199" s="94" t="s">
        <v>1847</v>
      </c>
      <c r="E199" s="234">
        <v>3400000</v>
      </c>
    </row>
    <row r="200" spans="1:5" ht="15" customHeight="1">
      <c r="A200" s="959"/>
      <c r="B200" s="161" t="s">
        <v>1407</v>
      </c>
      <c r="C200" s="154">
        <v>80</v>
      </c>
      <c r="D200" s="162" t="s">
        <v>2961</v>
      </c>
      <c r="E200" s="243">
        <v>1700000</v>
      </c>
    </row>
    <row r="201" spans="1:5" ht="15" customHeight="1">
      <c r="A201" s="922" t="s">
        <v>3374</v>
      </c>
      <c r="B201" s="187" t="s">
        <v>3375</v>
      </c>
      <c r="C201" s="88">
        <v>200</v>
      </c>
      <c r="D201" s="150" t="s">
        <v>3376</v>
      </c>
      <c r="E201" s="234">
        <v>55000</v>
      </c>
    </row>
    <row r="202" spans="1:5" ht="15" customHeight="1">
      <c r="A202" s="948" t="str">
        <f t="shared" ref="A202:A215" si="8">A201</f>
        <v>디쎈
(DIS)
FSC: 일부제품</v>
      </c>
      <c r="B202" s="285" t="s">
        <v>1755</v>
      </c>
      <c r="C202" s="229">
        <v>250</v>
      </c>
      <c r="D202" s="235" t="s">
        <v>3377</v>
      </c>
      <c r="E202" s="236">
        <v>72500</v>
      </c>
    </row>
    <row r="203" spans="1:5" ht="15" customHeight="1">
      <c r="A203" s="948" t="str">
        <f t="shared" si="8"/>
        <v>디쎈
(DIS)
FSC: 일부제품</v>
      </c>
      <c r="B203" s="190" t="s">
        <v>3375</v>
      </c>
      <c r="C203" s="89">
        <v>200</v>
      </c>
      <c r="D203" s="153" t="s">
        <v>3378</v>
      </c>
      <c r="E203" s="241">
        <v>116000</v>
      </c>
    </row>
    <row r="204" spans="1:5" ht="15" customHeight="1">
      <c r="A204" s="948" t="str">
        <f t="shared" si="8"/>
        <v>디쎈
(DIS)
FSC: 일부제품</v>
      </c>
      <c r="B204" s="286"/>
      <c r="C204" s="287">
        <v>250</v>
      </c>
      <c r="D204" s="288" t="s">
        <v>3379</v>
      </c>
      <c r="E204" s="289">
        <v>147000</v>
      </c>
    </row>
    <row r="205" spans="1:5" ht="15" customHeight="1">
      <c r="A205" s="948" t="str">
        <f t="shared" si="8"/>
        <v>디쎈
(DIS)
FSC: 일부제품</v>
      </c>
      <c r="B205" s="190" t="s">
        <v>1848</v>
      </c>
      <c r="C205" s="89">
        <v>216</v>
      </c>
      <c r="D205" s="290" t="s">
        <v>3380</v>
      </c>
      <c r="E205" s="241">
        <v>110000</v>
      </c>
    </row>
    <row r="206" spans="1:5" ht="15" customHeight="1">
      <c r="A206" s="948" t="str">
        <f t="shared" si="8"/>
        <v>디쎈
(DIS)
FSC: 일부제품</v>
      </c>
      <c r="B206" s="187" t="s">
        <v>1848</v>
      </c>
      <c r="C206" s="88">
        <v>270</v>
      </c>
      <c r="D206" s="184" t="s">
        <v>3381</v>
      </c>
      <c r="E206" s="234">
        <v>315000</v>
      </c>
    </row>
    <row r="207" spans="1:5" ht="15" customHeight="1">
      <c r="A207" s="948" t="str">
        <f t="shared" si="8"/>
        <v>디쎈
(DIS)
FSC: 일부제품</v>
      </c>
      <c r="B207" s="286" t="s">
        <v>1849</v>
      </c>
      <c r="C207" s="287">
        <v>270</v>
      </c>
      <c r="D207" s="291" t="s">
        <v>3382</v>
      </c>
      <c r="E207" s="289">
        <v>785000</v>
      </c>
    </row>
    <row r="208" spans="1:5" ht="15" customHeight="1">
      <c r="A208" s="948" t="str">
        <f t="shared" si="8"/>
        <v>디쎈
(DIS)
FSC: 일부제품</v>
      </c>
      <c r="B208" s="188" t="s">
        <v>1850</v>
      </c>
      <c r="C208" s="90">
        <v>216</v>
      </c>
      <c r="D208" s="156" t="s">
        <v>2962</v>
      </c>
      <c r="E208" s="244">
        <v>325000</v>
      </c>
    </row>
    <row r="209" spans="1:5" ht="15" customHeight="1">
      <c r="A209" s="948" t="str">
        <f t="shared" si="8"/>
        <v>디쎈
(DIS)
FSC: 일부제품</v>
      </c>
      <c r="B209" s="187" t="s">
        <v>1851</v>
      </c>
      <c r="C209" s="88">
        <v>120</v>
      </c>
      <c r="D209" s="150" t="s">
        <v>3383</v>
      </c>
      <c r="E209" s="234">
        <v>88000</v>
      </c>
    </row>
    <row r="210" spans="1:5" ht="15" customHeight="1">
      <c r="A210" s="948" t="str">
        <f t="shared" si="8"/>
        <v>디쎈
(DIS)
FSC: 일부제품</v>
      </c>
      <c r="B210" s="187" t="s">
        <v>1848</v>
      </c>
      <c r="C210" s="88">
        <v>216</v>
      </c>
      <c r="D210" s="150" t="s">
        <v>3384</v>
      </c>
      <c r="E210" s="234">
        <v>132000</v>
      </c>
    </row>
    <row r="211" spans="1:5" ht="15" customHeight="1">
      <c r="A211" s="948" t="str">
        <f t="shared" si="8"/>
        <v>디쎈
(DIS)
FSC: 일부제품</v>
      </c>
      <c r="B211" s="286"/>
      <c r="C211" s="287">
        <v>270</v>
      </c>
      <c r="D211" s="288" t="s">
        <v>3385</v>
      </c>
      <c r="E211" s="289">
        <v>165000</v>
      </c>
    </row>
    <row r="212" spans="1:5" ht="15" customHeight="1">
      <c r="A212" s="948" t="str">
        <f t="shared" si="8"/>
        <v>디쎈
(DIS)
FSC: 일부제품</v>
      </c>
      <c r="B212" s="188" t="s">
        <v>1852</v>
      </c>
      <c r="C212" s="90">
        <v>297</v>
      </c>
      <c r="D212" s="156" t="s">
        <v>3386</v>
      </c>
      <c r="E212" s="244">
        <v>285000</v>
      </c>
    </row>
    <row r="213" spans="1:5" ht="15" customHeight="1">
      <c r="A213" s="948" t="str">
        <f t="shared" si="8"/>
        <v>디쎈
(DIS)
FSC: 일부제품</v>
      </c>
      <c r="B213" s="188" t="s">
        <v>1848</v>
      </c>
      <c r="C213" s="90">
        <v>297</v>
      </c>
      <c r="D213" s="156" t="s">
        <v>3387</v>
      </c>
      <c r="E213" s="244">
        <v>325000</v>
      </c>
    </row>
    <row r="214" spans="1:5" ht="15" customHeight="1">
      <c r="A214" s="948" t="str">
        <f t="shared" si="8"/>
        <v>디쎈
(DIS)
FSC: 일부제품</v>
      </c>
      <c r="B214" s="188" t="s">
        <v>1852</v>
      </c>
      <c r="C214" s="90">
        <v>352</v>
      </c>
      <c r="D214" s="156" t="s">
        <v>2963</v>
      </c>
      <c r="E214" s="244">
        <v>495000</v>
      </c>
    </row>
    <row r="215" spans="1:5" ht="15" customHeight="1">
      <c r="A215" s="948" t="str">
        <f t="shared" si="8"/>
        <v>디쎈
(DIS)
FSC: 일부제품</v>
      </c>
      <c r="B215" s="190" t="s">
        <v>1848</v>
      </c>
      <c r="C215" s="89">
        <v>216</v>
      </c>
      <c r="D215" s="153" t="s">
        <v>3388</v>
      </c>
      <c r="E215" s="241">
        <v>250000</v>
      </c>
    </row>
    <row r="216" spans="1:5" ht="15" customHeight="1">
      <c r="A216" s="948"/>
      <c r="B216" s="187" t="s">
        <v>1853</v>
      </c>
      <c r="C216" s="88">
        <v>216</v>
      </c>
      <c r="D216" s="150" t="s">
        <v>2964</v>
      </c>
      <c r="E216" s="234">
        <v>860000</v>
      </c>
    </row>
    <row r="217" spans="1:5" ht="15" customHeight="1">
      <c r="A217" s="948" t="str">
        <f>A215</f>
        <v>디쎈
(DIS)
FSC: 일부제품</v>
      </c>
      <c r="B217" s="187" t="s">
        <v>1849</v>
      </c>
      <c r="C217" s="88">
        <v>270</v>
      </c>
      <c r="D217" s="150" t="s">
        <v>3389</v>
      </c>
      <c r="E217" s="234">
        <v>940000</v>
      </c>
    </row>
    <row r="218" spans="1:5" ht="15" customHeight="1">
      <c r="A218" s="948" t="str">
        <f t="shared" ref="A218:A224" si="9">A217</f>
        <v>디쎈
(DIS)
FSC: 일부제품</v>
      </c>
      <c r="B218" s="187" t="s">
        <v>1848</v>
      </c>
      <c r="C218" s="88">
        <v>270</v>
      </c>
      <c r="D218" s="150" t="s">
        <v>2965</v>
      </c>
      <c r="E218" s="234">
        <v>430000</v>
      </c>
    </row>
    <row r="219" spans="1:5" ht="15" customHeight="1">
      <c r="A219" s="948" t="str">
        <f t="shared" si="9"/>
        <v>디쎈
(DIS)
FSC: 일부제품</v>
      </c>
      <c r="B219" s="286" t="s">
        <v>3390</v>
      </c>
      <c r="C219" s="287">
        <v>270</v>
      </c>
      <c r="D219" s="288" t="s">
        <v>3391</v>
      </c>
      <c r="E219" s="289">
        <v>935000</v>
      </c>
    </row>
    <row r="220" spans="1:5" ht="15" customHeight="1">
      <c r="A220" s="948" t="str">
        <f t="shared" si="9"/>
        <v>디쎈
(DIS)
FSC: 일부제품</v>
      </c>
      <c r="B220" s="188" t="s">
        <v>3392</v>
      </c>
      <c r="C220" s="90">
        <v>216</v>
      </c>
      <c r="D220" s="156" t="s">
        <v>3393</v>
      </c>
      <c r="E220" s="244">
        <v>125000</v>
      </c>
    </row>
    <row r="221" spans="1:5" ht="15" customHeight="1">
      <c r="A221" s="948" t="str">
        <f t="shared" si="9"/>
        <v>디쎈
(DIS)
FSC: 일부제품</v>
      </c>
      <c r="B221" s="188" t="s">
        <v>1854</v>
      </c>
      <c r="C221" s="90">
        <v>215</v>
      </c>
      <c r="D221" s="292" t="s">
        <v>3394</v>
      </c>
      <c r="E221" s="244">
        <v>150000</v>
      </c>
    </row>
    <row r="222" spans="1:5" ht="15" customHeight="1">
      <c r="A222" s="948" t="str">
        <f t="shared" si="9"/>
        <v>디쎈
(DIS)
FSC: 일부제품</v>
      </c>
      <c r="B222" s="190" t="s">
        <v>1855</v>
      </c>
      <c r="C222" s="89">
        <v>95</v>
      </c>
      <c r="D222" s="290" t="s">
        <v>3395</v>
      </c>
      <c r="E222" s="241">
        <v>215000</v>
      </c>
    </row>
    <row r="223" spans="1:5" ht="15" customHeight="1">
      <c r="A223" s="948" t="str">
        <f t="shared" si="9"/>
        <v>디쎈
(DIS)
FSC: 일부제품</v>
      </c>
      <c r="B223" s="190" t="s">
        <v>1855</v>
      </c>
      <c r="C223" s="89">
        <v>140</v>
      </c>
      <c r="D223" s="290" t="s">
        <v>3396</v>
      </c>
      <c r="E223" s="241">
        <v>65000</v>
      </c>
    </row>
    <row r="224" spans="1:5" ht="15" customHeight="1">
      <c r="A224" s="948" t="str">
        <f t="shared" si="9"/>
        <v>디쎈
(DIS)
FSC: 일부제품</v>
      </c>
      <c r="B224" s="190" t="s">
        <v>1854</v>
      </c>
      <c r="C224" s="89">
        <v>200</v>
      </c>
      <c r="D224" s="290" t="s">
        <v>3397</v>
      </c>
      <c r="E224" s="241">
        <v>135000</v>
      </c>
    </row>
    <row r="225" spans="1:5" ht="15" customHeight="1">
      <c r="A225" s="948"/>
      <c r="B225" s="286" t="s">
        <v>1854</v>
      </c>
      <c r="C225" s="287">
        <v>250</v>
      </c>
      <c r="D225" s="288" t="s">
        <v>3398</v>
      </c>
      <c r="E225" s="289">
        <v>169000</v>
      </c>
    </row>
    <row r="226" spans="1:5" ht="15" customHeight="1">
      <c r="A226" s="948" t="str">
        <f>A224</f>
        <v>디쎈
(DIS)
FSC: 일부제품</v>
      </c>
      <c r="B226" s="286" t="s">
        <v>3399</v>
      </c>
      <c r="C226" s="287">
        <v>250</v>
      </c>
      <c r="D226" s="288" t="s">
        <v>3400</v>
      </c>
      <c r="E226" s="289">
        <v>450000</v>
      </c>
    </row>
    <row r="227" spans="1:5" ht="15" customHeight="1">
      <c r="A227" s="948" t="str">
        <f t="shared" ref="A227:A252" si="10">A226</f>
        <v>디쎈
(DIS)
FSC: 일부제품</v>
      </c>
      <c r="B227" s="286" t="s">
        <v>3401</v>
      </c>
      <c r="C227" s="287">
        <v>300</v>
      </c>
      <c r="D227" s="288" t="s">
        <v>3402</v>
      </c>
      <c r="E227" s="289">
        <v>216000</v>
      </c>
    </row>
    <row r="228" spans="1:5" ht="15" customHeight="1">
      <c r="A228" s="948" t="str">
        <f t="shared" si="10"/>
        <v>디쎈
(DIS)
FSC: 일부제품</v>
      </c>
      <c r="B228" s="187" t="s">
        <v>3403</v>
      </c>
      <c r="C228" s="88">
        <v>100</v>
      </c>
      <c r="D228" s="150" t="s">
        <v>3404</v>
      </c>
      <c r="E228" s="234">
        <v>25000</v>
      </c>
    </row>
    <row r="229" spans="1:5" ht="15" customHeight="1">
      <c r="A229" s="948" t="str">
        <f t="shared" si="10"/>
        <v>디쎈
(DIS)
FSC: 일부제품</v>
      </c>
      <c r="B229" s="187" t="s">
        <v>3403</v>
      </c>
      <c r="C229" s="88">
        <v>120</v>
      </c>
      <c r="D229" s="150" t="s">
        <v>3405</v>
      </c>
      <c r="E229" s="234">
        <v>29000</v>
      </c>
    </row>
    <row r="230" spans="1:5" ht="15" customHeight="1">
      <c r="A230" s="948" t="str">
        <f t="shared" si="10"/>
        <v>디쎈
(DIS)
FSC: 일부제품</v>
      </c>
      <c r="B230" s="187" t="s">
        <v>3403</v>
      </c>
      <c r="C230" s="88">
        <v>160</v>
      </c>
      <c r="D230" s="150" t="s">
        <v>3406</v>
      </c>
      <c r="E230" s="234">
        <v>38500</v>
      </c>
    </row>
    <row r="231" spans="1:5" ht="15" customHeight="1">
      <c r="A231" s="948" t="str">
        <f t="shared" si="10"/>
        <v>디쎈
(DIS)
FSC: 일부제품</v>
      </c>
      <c r="B231" s="187" t="s">
        <v>3407</v>
      </c>
      <c r="C231" s="88">
        <v>200</v>
      </c>
      <c r="D231" s="150" t="s">
        <v>3408</v>
      </c>
      <c r="E231" s="234">
        <v>52000</v>
      </c>
    </row>
    <row r="232" spans="1:5" ht="15" customHeight="1">
      <c r="A232" s="948" t="str">
        <f t="shared" si="10"/>
        <v>디쎈
(DIS)
FSC: 일부제품</v>
      </c>
      <c r="B232" s="187" t="s">
        <v>3407</v>
      </c>
      <c r="C232" s="88">
        <v>250</v>
      </c>
      <c r="D232" s="150" t="s">
        <v>3409</v>
      </c>
      <c r="E232" s="289">
        <v>65000</v>
      </c>
    </row>
    <row r="233" spans="1:5" ht="15" customHeight="1">
      <c r="A233" s="948" t="str">
        <f t="shared" si="10"/>
        <v>디쎈
(DIS)
FSC: 일부제품</v>
      </c>
      <c r="B233" s="190" t="s">
        <v>3410</v>
      </c>
      <c r="C233" s="89">
        <v>90</v>
      </c>
      <c r="D233" s="153" t="s">
        <v>3411</v>
      </c>
      <c r="E233" s="241">
        <v>16000</v>
      </c>
    </row>
    <row r="234" spans="1:5" ht="15" customHeight="1">
      <c r="A234" s="948" t="str">
        <f t="shared" si="10"/>
        <v>디쎈
(DIS)
FSC: 일부제품</v>
      </c>
      <c r="B234" s="187" t="s">
        <v>3410</v>
      </c>
      <c r="C234" s="88">
        <v>120</v>
      </c>
      <c r="D234" s="150" t="s">
        <v>3412</v>
      </c>
      <c r="E234" s="234">
        <v>20000</v>
      </c>
    </row>
    <row r="235" spans="1:5" ht="15" customHeight="1">
      <c r="A235" s="948" t="str">
        <f t="shared" si="10"/>
        <v>디쎈
(DIS)
FSC: 일부제품</v>
      </c>
      <c r="B235" s="187" t="s">
        <v>3410</v>
      </c>
      <c r="C235" s="88">
        <v>160</v>
      </c>
      <c r="D235" s="150" t="s">
        <v>3413</v>
      </c>
      <c r="E235" s="234">
        <v>29000</v>
      </c>
    </row>
    <row r="236" spans="1:5" ht="15" customHeight="1">
      <c r="A236" s="948" t="str">
        <f t="shared" si="10"/>
        <v>디쎈
(DIS)
FSC: 일부제품</v>
      </c>
      <c r="B236" s="187" t="s">
        <v>3410</v>
      </c>
      <c r="C236" s="88">
        <v>200</v>
      </c>
      <c r="D236" s="150" t="s">
        <v>3414</v>
      </c>
      <c r="E236" s="234">
        <v>41000</v>
      </c>
    </row>
    <row r="237" spans="1:5" ht="15" customHeight="1">
      <c r="A237" s="948" t="str">
        <f t="shared" si="10"/>
        <v>디쎈
(DIS)
FSC: 일부제품</v>
      </c>
      <c r="B237" s="286" t="s">
        <v>3410</v>
      </c>
      <c r="C237" s="287">
        <v>250</v>
      </c>
      <c r="D237" s="288" t="s">
        <v>3415</v>
      </c>
      <c r="E237" s="289">
        <v>52000</v>
      </c>
    </row>
    <row r="238" spans="1:5" ht="15" customHeight="1">
      <c r="A238" s="948" t="str">
        <f t="shared" si="10"/>
        <v>디쎈
(DIS)
FSC: 일부제품</v>
      </c>
      <c r="B238" s="188" t="s">
        <v>1852</v>
      </c>
      <c r="C238" s="90">
        <v>298</v>
      </c>
      <c r="D238" s="156" t="s">
        <v>3416</v>
      </c>
      <c r="E238" s="293">
        <v>160000</v>
      </c>
    </row>
    <row r="239" spans="1:5" ht="15" customHeight="1">
      <c r="A239" s="948" t="str">
        <f t="shared" si="10"/>
        <v>디쎈
(DIS)
FSC: 일부제품</v>
      </c>
      <c r="B239" s="188" t="s">
        <v>3407</v>
      </c>
      <c r="C239" s="90">
        <v>250</v>
      </c>
      <c r="D239" s="156" t="s">
        <v>3417</v>
      </c>
      <c r="E239" s="244">
        <v>145000</v>
      </c>
    </row>
    <row r="240" spans="1:5" ht="15" customHeight="1">
      <c r="A240" s="948" t="str">
        <f t="shared" si="10"/>
        <v>디쎈
(DIS)
FSC: 일부제품</v>
      </c>
      <c r="B240" s="187" t="s">
        <v>3418</v>
      </c>
      <c r="C240" s="88">
        <v>200</v>
      </c>
      <c r="D240" s="150" t="s">
        <v>3419</v>
      </c>
      <c r="E240" s="234">
        <v>70000</v>
      </c>
    </row>
    <row r="241" spans="1:5" ht="15" customHeight="1">
      <c r="A241" s="948" t="str">
        <f t="shared" si="10"/>
        <v>디쎈
(DIS)
FSC: 일부제품</v>
      </c>
      <c r="B241" s="187" t="s">
        <v>3420</v>
      </c>
      <c r="C241" s="88">
        <v>200</v>
      </c>
      <c r="D241" s="150" t="s">
        <v>3421</v>
      </c>
      <c r="E241" s="234">
        <v>85000</v>
      </c>
    </row>
    <row r="242" spans="1:5" ht="15" customHeight="1">
      <c r="A242" s="948" t="str">
        <f t="shared" si="10"/>
        <v>디쎈
(DIS)
FSC: 일부제품</v>
      </c>
      <c r="B242" s="187" t="s">
        <v>3420</v>
      </c>
      <c r="C242" s="88">
        <v>200</v>
      </c>
      <c r="D242" s="150" t="s">
        <v>3422</v>
      </c>
      <c r="E242" s="234">
        <v>120000</v>
      </c>
    </row>
    <row r="243" spans="1:5" ht="15" customHeight="1">
      <c r="A243" s="948" t="str">
        <f t="shared" si="10"/>
        <v>디쎈
(DIS)
FSC: 일부제품</v>
      </c>
      <c r="B243" s="187" t="s">
        <v>3420</v>
      </c>
      <c r="C243" s="88">
        <v>240</v>
      </c>
      <c r="D243" s="150" t="s">
        <v>3423</v>
      </c>
      <c r="E243" s="234">
        <v>110000</v>
      </c>
    </row>
    <row r="244" spans="1:5" ht="15" customHeight="1">
      <c r="A244" s="948" t="str">
        <f t="shared" si="10"/>
        <v>디쎈
(DIS)
FSC: 일부제품</v>
      </c>
      <c r="B244" s="187" t="s">
        <v>3420</v>
      </c>
      <c r="C244" s="88">
        <v>240</v>
      </c>
      <c r="D244" s="150" t="s">
        <v>3424</v>
      </c>
      <c r="E244" s="234">
        <v>110000</v>
      </c>
    </row>
    <row r="245" spans="1:5" ht="15" customHeight="1">
      <c r="A245" s="948" t="str">
        <f t="shared" si="10"/>
        <v>디쎈
(DIS)
FSC: 일부제품</v>
      </c>
      <c r="B245" s="286" t="s">
        <v>1849</v>
      </c>
      <c r="C245" s="287">
        <v>200</v>
      </c>
      <c r="D245" s="288" t="s">
        <v>3425</v>
      </c>
      <c r="E245" s="289">
        <v>300000</v>
      </c>
    </row>
    <row r="246" spans="1:5" ht="15" customHeight="1">
      <c r="A246" s="948" t="str">
        <f t="shared" si="10"/>
        <v>디쎈
(DIS)
FSC: 일부제품</v>
      </c>
      <c r="B246" s="190" t="s">
        <v>1848</v>
      </c>
      <c r="C246" s="89">
        <v>120</v>
      </c>
      <c r="D246" s="153" t="s">
        <v>3426</v>
      </c>
      <c r="E246" s="241">
        <v>47000</v>
      </c>
    </row>
    <row r="247" spans="1:5" ht="15" customHeight="1">
      <c r="A247" s="948" t="str">
        <f t="shared" si="10"/>
        <v>디쎈
(DIS)
FSC: 일부제품</v>
      </c>
      <c r="B247" s="187" t="s">
        <v>1848</v>
      </c>
      <c r="C247" s="88">
        <v>216</v>
      </c>
      <c r="D247" s="150" t="s">
        <v>3427</v>
      </c>
      <c r="E247" s="234">
        <v>85000</v>
      </c>
    </row>
    <row r="248" spans="1:5" ht="15" customHeight="1">
      <c r="A248" s="948" t="str">
        <f t="shared" si="10"/>
        <v>디쎈
(DIS)
FSC: 일부제품</v>
      </c>
      <c r="B248" s="187" t="s">
        <v>1848</v>
      </c>
      <c r="C248" s="88">
        <v>270</v>
      </c>
      <c r="D248" s="150" t="s">
        <v>3428</v>
      </c>
      <c r="E248" s="234">
        <v>105000</v>
      </c>
    </row>
    <row r="249" spans="1:5" ht="15" customHeight="1">
      <c r="A249" s="948" t="str">
        <f t="shared" si="10"/>
        <v>디쎈
(DIS)
FSC: 일부제품</v>
      </c>
      <c r="B249" s="286" t="s">
        <v>3429</v>
      </c>
      <c r="C249" s="287">
        <v>216</v>
      </c>
      <c r="D249" s="288" t="s">
        <v>3430</v>
      </c>
      <c r="E249" s="234">
        <v>82000</v>
      </c>
    </row>
    <row r="250" spans="1:5" ht="15" customHeight="1">
      <c r="A250" s="948" t="str">
        <f t="shared" si="10"/>
        <v>디쎈
(DIS)
FSC: 일부제품</v>
      </c>
      <c r="B250" s="190" t="s">
        <v>1848</v>
      </c>
      <c r="C250" s="89">
        <v>216</v>
      </c>
      <c r="D250" s="153" t="s">
        <v>3431</v>
      </c>
      <c r="E250" s="283">
        <v>93000</v>
      </c>
    </row>
    <row r="251" spans="1:5" ht="15" customHeight="1">
      <c r="A251" s="948" t="str">
        <f t="shared" si="10"/>
        <v>디쎈
(DIS)
FSC: 일부제품</v>
      </c>
      <c r="B251" s="187" t="s">
        <v>1848</v>
      </c>
      <c r="C251" s="88">
        <v>270</v>
      </c>
      <c r="D251" s="150" t="s">
        <v>3432</v>
      </c>
      <c r="E251" s="234">
        <v>120000</v>
      </c>
    </row>
    <row r="252" spans="1:5" ht="15" customHeight="1">
      <c r="A252" s="948" t="str">
        <f t="shared" si="10"/>
        <v>디쎈
(DIS)
FSC: 일부제품</v>
      </c>
      <c r="B252" s="286" t="s">
        <v>3375</v>
      </c>
      <c r="C252" s="287">
        <v>270</v>
      </c>
      <c r="D252" s="288" t="s">
        <v>3433</v>
      </c>
      <c r="E252" s="289">
        <v>110000</v>
      </c>
    </row>
    <row r="253" spans="1:5" ht="15" customHeight="1">
      <c r="A253" s="948"/>
      <c r="B253" s="187" t="s">
        <v>1851</v>
      </c>
      <c r="C253" s="88">
        <v>352</v>
      </c>
      <c r="D253" s="150" t="s">
        <v>3434</v>
      </c>
      <c r="E253" s="234">
        <v>215000</v>
      </c>
    </row>
    <row r="254" spans="1:5" ht="15" customHeight="1">
      <c r="A254" s="948" t="str">
        <f>A252</f>
        <v>디쎈
(DIS)
FSC: 일부제품</v>
      </c>
      <c r="B254" s="187" t="s">
        <v>1848</v>
      </c>
      <c r="C254" s="88">
        <v>352</v>
      </c>
      <c r="D254" s="150" t="s">
        <v>3435</v>
      </c>
      <c r="E254" s="234">
        <v>155000</v>
      </c>
    </row>
    <row r="255" spans="1:5" ht="15" customHeight="1">
      <c r="A255" s="948" t="str">
        <f t="shared" ref="A255:A272" si="11">A254</f>
        <v>디쎈
(DIS)
FSC: 일부제품</v>
      </c>
      <c r="B255" s="187" t="s">
        <v>1853</v>
      </c>
      <c r="C255" s="88">
        <v>352</v>
      </c>
      <c r="D255" s="150" t="s">
        <v>3436</v>
      </c>
      <c r="E255" s="294">
        <v>535000</v>
      </c>
    </row>
    <row r="256" spans="1:5" ht="15" customHeight="1">
      <c r="A256" s="948"/>
      <c r="B256" s="190" t="s">
        <v>1855</v>
      </c>
      <c r="C256" s="89">
        <v>100</v>
      </c>
      <c r="D256" s="153" t="s">
        <v>2966</v>
      </c>
      <c r="E256" s="241">
        <v>55000</v>
      </c>
    </row>
    <row r="257" spans="1:5" ht="15" customHeight="1">
      <c r="A257" s="948"/>
      <c r="B257" s="286" t="s">
        <v>1854</v>
      </c>
      <c r="C257" s="287">
        <v>250</v>
      </c>
      <c r="D257" s="288" t="s">
        <v>2967</v>
      </c>
      <c r="E257" s="289">
        <v>137000</v>
      </c>
    </row>
    <row r="258" spans="1:5" ht="15" customHeight="1">
      <c r="A258" s="948"/>
      <c r="B258" s="295" t="s">
        <v>1854</v>
      </c>
      <c r="C258" s="296">
        <v>250</v>
      </c>
      <c r="D258" s="297" t="s">
        <v>2968</v>
      </c>
      <c r="E258" s="298">
        <v>158000</v>
      </c>
    </row>
    <row r="259" spans="1:5" ht="15" customHeight="1">
      <c r="A259" s="948"/>
      <c r="B259" s="299" t="s">
        <v>1854</v>
      </c>
      <c r="C259" s="300">
        <v>240</v>
      </c>
      <c r="D259" s="301" t="s">
        <v>2969</v>
      </c>
      <c r="E259" s="302">
        <v>146000</v>
      </c>
    </row>
    <row r="260" spans="1:5" ht="15" customHeight="1">
      <c r="A260" s="948"/>
      <c r="B260" s="188" t="s">
        <v>1854</v>
      </c>
      <c r="C260" s="90">
        <v>250</v>
      </c>
      <c r="D260" s="156" t="s">
        <v>2970</v>
      </c>
      <c r="E260" s="244">
        <v>135000</v>
      </c>
    </row>
    <row r="261" spans="1:5" ht="15" customHeight="1">
      <c r="A261" s="948" t="str">
        <f>A255</f>
        <v>디쎈
(DIS)
FSC: 일부제품</v>
      </c>
      <c r="B261" s="190" t="s">
        <v>1855</v>
      </c>
      <c r="C261" s="89">
        <v>120</v>
      </c>
      <c r="D261" s="153" t="s">
        <v>2971</v>
      </c>
      <c r="E261" s="241">
        <v>119000</v>
      </c>
    </row>
    <row r="262" spans="1:5" ht="15" customHeight="1">
      <c r="A262" s="948" t="str">
        <f t="shared" si="11"/>
        <v>디쎈
(DIS)
FSC: 일부제품</v>
      </c>
      <c r="B262" s="187" t="s">
        <v>1856</v>
      </c>
      <c r="C262" s="88">
        <v>120</v>
      </c>
      <c r="D262" s="150" t="s">
        <v>2972</v>
      </c>
      <c r="E262" s="234">
        <v>119000</v>
      </c>
    </row>
    <row r="263" spans="1:5" ht="15" customHeight="1">
      <c r="A263" s="948" t="str">
        <f t="shared" si="11"/>
        <v>디쎈
(DIS)
FSC: 일부제품</v>
      </c>
      <c r="B263" s="187" t="s">
        <v>1854</v>
      </c>
      <c r="C263" s="88">
        <v>250</v>
      </c>
      <c r="D263" s="150" t="s">
        <v>2973</v>
      </c>
      <c r="E263" s="234">
        <v>240000</v>
      </c>
    </row>
    <row r="264" spans="1:5" ht="15" customHeight="1">
      <c r="A264" s="948" t="str">
        <f t="shared" si="11"/>
        <v>디쎈
(DIS)
FSC: 일부제품</v>
      </c>
      <c r="B264" s="187" t="s">
        <v>1854</v>
      </c>
      <c r="C264" s="88">
        <v>250</v>
      </c>
      <c r="D264" s="150" t="s">
        <v>2974</v>
      </c>
      <c r="E264" s="234">
        <v>240000</v>
      </c>
    </row>
    <row r="265" spans="1:5" ht="15" customHeight="1">
      <c r="A265" s="948" t="str">
        <f t="shared" si="11"/>
        <v>디쎈
(DIS)
FSC: 일부제품</v>
      </c>
      <c r="B265" s="187" t="s">
        <v>1854</v>
      </c>
      <c r="C265" s="88">
        <v>230</v>
      </c>
      <c r="D265" s="150" t="s">
        <v>3437</v>
      </c>
      <c r="E265" s="234">
        <v>170000</v>
      </c>
    </row>
    <row r="266" spans="1:5" ht="15" customHeight="1">
      <c r="A266" s="948" t="str">
        <f t="shared" si="11"/>
        <v>디쎈
(DIS)
FSC: 일부제품</v>
      </c>
      <c r="B266" s="187" t="s">
        <v>1854</v>
      </c>
      <c r="C266" s="88">
        <v>230</v>
      </c>
      <c r="D266" s="150" t="s">
        <v>3438</v>
      </c>
      <c r="E266" s="234">
        <v>170000</v>
      </c>
    </row>
    <row r="267" spans="1:5" ht="15" customHeight="1">
      <c r="A267" s="948" t="str">
        <f t="shared" si="11"/>
        <v>디쎈
(DIS)
FSC: 일부제품</v>
      </c>
      <c r="B267" s="286" t="s">
        <v>1857</v>
      </c>
      <c r="C267" s="287">
        <v>250</v>
      </c>
      <c r="D267" s="288" t="s">
        <v>2975</v>
      </c>
      <c r="E267" s="289">
        <v>595000</v>
      </c>
    </row>
    <row r="268" spans="1:5" ht="15" customHeight="1">
      <c r="A268" s="948"/>
      <c r="B268" s="303" t="s">
        <v>1854</v>
      </c>
      <c r="C268" s="304">
        <v>300</v>
      </c>
      <c r="D268" s="164" t="s">
        <v>3439</v>
      </c>
      <c r="E268" s="294">
        <v>205000</v>
      </c>
    </row>
    <row r="269" spans="1:5" ht="15" customHeight="1">
      <c r="A269" s="948" t="str">
        <f>A267</f>
        <v>디쎈
(DIS)
FSC: 일부제품</v>
      </c>
      <c r="B269" s="190" t="s">
        <v>1848</v>
      </c>
      <c r="C269" s="89">
        <v>250</v>
      </c>
      <c r="D269" s="153" t="s">
        <v>1858</v>
      </c>
      <c r="E269" s="241">
        <v>175000</v>
      </c>
    </row>
    <row r="270" spans="1:5" ht="15" customHeight="1">
      <c r="A270" s="948" t="str">
        <f t="shared" si="11"/>
        <v>디쎈
(DIS)
FSC: 일부제품</v>
      </c>
      <c r="B270" s="187" t="s">
        <v>1848</v>
      </c>
      <c r="C270" s="88">
        <v>250</v>
      </c>
      <c r="D270" s="150" t="s">
        <v>1859</v>
      </c>
      <c r="E270" s="234">
        <v>175000</v>
      </c>
    </row>
    <row r="271" spans="1:5" ht="15" customHeight="1">
      <c r="A271" s="948" t="str">
        <f t="shared" si="11"/>
        <v>디쎈
(DIS)
FSC: 일부제품</v>
      </c>
      <c r="B271" s="286" t="s">
        <v>1848</v>
      </c>
      <c r="C271" s="287">
        <v>250</v>
      </c>
      <c r="D271" s="288" t="s">
        <v>3440</v>
      </c>
      <c r="E271" s="289">
        <v>187000</v>
      </c>
    </row>
    <row r="272" spans="1:5" ht="15" customHeight="1">
      <c r="A272" s="948" t="str">
        <f t="shared" si="11"/>
        <v>디쎈
(DIS)
FSC: 일부제품</v>
      </c>
      <c r="B272" s="286" t="s">
        <v>1849</v>
      </c>
      <c r="C272" s="287">
        <v>250</v>
      </c>
      <c r="D272" s="288" t="s">
        <v>1860</v>
      </c>
      <c r="E272" s="289">
        <v>485000</v>
      </c>
    </row>
    <row r="273" spans="1:5" ht="15" customHeight="1">
      <c r="A273" s="948" t="e">
        <f>#REF!</f>
        <v>#REF!</v>
      </c>
      <c r="B273" s="190" t="s">
        <v>1849</v>
      </c>
      <c r="C273" s="89">
        <v>200</v>
      </c>
      <c r="D273" s="153" t="s">
        <v>3441</v>
      </c>
      <c r="E273" s="241">
        <v>300000</v>
      </c>
    </row>
    <row r="274" spans="1:5" ht="15" customHeight="1">
      <c r="A274" s="948" t="e">
        <f t="shared" ref="A274:A279" si="12">A273</f>
        <v>#REF!</v>
      </c>
      <c r="B274" s="286" t="s">
        <v>3420</v>
      </c>
      <c r="C274" s="287">
        <v>200</v>
      </c>
      <c r="D274" s="288" t="s">
        <v>3442</v>
      </c>
      <c r="E274" s="289">
        <v>143000</v>
      </c>
    </row>
    <row r="275" spans="1:5" ht="15" customHeight="1">
      <c r="A275" s="948" t="e">
        <f t="shared" si="12"/>
        <v>#REF!</v>
      </c>
      <c r="B275" s="305" t="s">
        <v>1861</v>
      </c>
      <c r="C275" s="306">
        <v>350</v>
      </c>
      <c r="D275" s="297" t="s">
        <v>3443</v>
      </c>
      <c r="E275" s="298">
        <v>170000</v>
      </c>
    </row>
    <row r="276" spans="1:5" ht="15" customHeight="1">
      <c r="A276" s="948"/>
      <c r="B276" s="307" t="s">
        <v>1854</v>
      </c>
      <c r="C276" s="308">
        <v>230</v>
      </c>
      <c r="D276" s="309" t="s">
        <v>3444</v>
      </c>
      <c r="E276" s="310">
        <v>237000</v>
      </c>
    </row>
    <row r="277" spans="1:5" ht="15" customHeight="1">
      <c r="A277" s="948"/>
      <c r="B277" s="187" t="s">
        <v>1854</v>
      </c>
      <c r="C277" s="88">
        <v>300</v>
      </c>
      <c r="D277" s="150" t="s">
        <v>3445</v>
      </c>
      <c r="E277" s="234">
        <v>310000</v>
      </c>
    </row>
    <row r="278" spans="1:5" ht="15" customHeight="1">
      <c r="A278" s="948" t="e">
        <f>A275</f>
        <v>#REF!</v>
      </c>
      <c r="B278" s="187" t="s">
        <v>1854</v>
      </c>
      <c r="C278" s="88">
        <v>300</v>
      </c>
      <c r="D278" s="150" t="s">
        <v>3446</v>
      </c>
      <c r="E278" s="234">
        <v>310000</v>
      </c>
    </row>
    <row r="279" spans="1:5" ht="15" customHeight="1">
      <c r="A279" s="948" t="e">
        <f t="shared" si="12"/>
        <v>#REF!</v>
      </c>
      <c r="B279" s="286" t="s">
        <v>1854</v>
      </c>
      <c r="C279" s="287">
        <v>300</v>
      </c>
      <c r="D279" s="288" t="s">
        <v>3447</v>
      </c>
      <c r="E279" s="289">
        <v>343000</v>
      </c>
    </row>
    <row r="280" spans="1:5" ht="15" customHeight="1">
      <c r="A280" s="948"/>
      <c r="B280" s="188" t="s">
        <v>1857</v>
      </c>
      <c r="C280" s="90">
        <v>300</v>
      </c>
      <c r="D280" s="156" t="s">
        <v>3448</v>
      </c>
      <c r="E280" s="244">
        <v>780000</v>
      </c>
    </row>
    <row r="281" spans="1:5" ht="15" customHeight="1">
      <c r="A281" s="948" t="e">
        <f>#REF!</f>
        <v>#REF!</v>
      </c>
      <c r="B281" s="188" t="s">
        <v>1849</v>
      </c>
      <c r="C281" s="90">
        <v>300</v>
      </c>
      <c r="D281" s="156" t="s">
        <v>3449</v>
      </c>
      <c r="E281" s="244">
        <v>825000</v>
      </c>
    </row>
    <row r="282" spans="1:5" ht="15" customHeight="1">
      <c r="A282" s="948" t="e">
        <f t="shared" ref="A282:A293" si="13">A281</f>
        <v>#REF!</v>
      </c>
      <c r="B282" s="188" t="s">
        <v>1857</v>
      </c>
      <c r="C282" s="90">
        <v>300</v>
      </c>
      <c r="D282" s="156" t="s">
        <v>3450</v>
      </c>
      <c r="E282" s="244">
        <v>780000</v>
      </c>
    </row>
    <row r="283" spans="1:5" ht="15" customHeight="1">
      <c r="A283" s="948" t="e">
        <f t="shared" si="13"/>
        <v>#REF!</v>
      </c>
      <c r="B283" s="188" t="s">
        <v>1854</v>
      </c>
      <c r="C283" s="90">
        <v>250</v>
      </c>
      <c r="D283" s="156" t="s">
        <v>2970</v>
      </c>
      <c r="E283" s="244">
        <v>135000</v>
      </c>
    </row>
    <row r="284" spans="1:5" ht="15" customHeight="1">
      <c r="A284" s="948" t="e">
        <f t="shared" si="13"/>
        <v>#REF!</v>
      </c>
      <c r="B284" s="187" t="s">
        <v>1861</v>
      </c>
      <c r="C284" s="88">
        <v>290</v>
      </c>
      <c r="D284" s="270" t="s">
        <v>3451</v>
      </c>
      <c r="E284" s="241">
        <v>260000</v>
      </c>
    </row>
    <row r="285" spans="1:5" ht="15" customHeight="1">
      <c r="A285" s="948" t="e">
        <f t="shared" si="13"/>
        <v>#REF!</v>
      </c>
      <c r="B285" s="187" t="s">
        <v>1861</v>
      </c>
      <c r="C285" s="88">
        <v>290</v>
      </c>
      <c r="D285" s="94" t="s">
        <v>3452</v>
      </c>
      <c r="E285" s="234">
        <v>260000</v>
      </c>
    </row>
    <row r="286" spans="1:5" ht="15" customHeight="1">
      <c r="A286" s="948" t="e">
        <f t="shared" si="13"/>
        <v>#REF!</v>
      </c>
      <c r="B286" s="187" t="s">
        <v>1861</v>
      </c>
      <c r="C286" s="88">
        <v>290</v>
      </c>
      <c r="D286" s="94" t="s">
        <v>3453</v>
      </c>
      <c r="E286" s="234">
        <v>280000</v>
      </c>
    </row>
    <row r="287" spans="1:5" ht="15" customHeight="1">
      <c r="A287" s="948" t="e">
        <f t="shared" si="13"/>
        <v>#REF!</v>
      </c>
      <c r="B287" s="286" t="s">
        <v>3401</v>
      </c>
      <c r="C287" s="287">
        <v>290</v>
      </c>
      <c r="D287" s="311" t="s">
        <v>3454</v>
      </c>
      <c r="E287" s="289">
        <v>290000</v>
      </c>
    </row>
    <row r="288" spans="1:5" ht="15" customHeight="1">
      <c r="A288" s="948" t="e">
        <f t="shared" si="13"/>
        <v>#REF!</v>
      </c>
      <c r="B288" s="190" t="s">
        <v>1854</v>
      </c>
      <c r="C288" s="89">
        <v>250</v>
      </c>
      <c r="D288" s="153" t="s">
        <v>3455</v>
      </c>
      <c r="E288" s="241">
        <v>125000</v>
      </c>
    </row>
    <row r="289" spans="1:5" ht="15" customHeight="1">
      <c r="A289" s="948" t="e">
        <f t="shared" si="13"/>
        <v>#REF!</v>
      </c>
      <c r="B289" s="286" t="s">
        <v>1861</v>
      </c>
      <c r="C289" s="287">
        <v>250</v>
      </c>
      <c r="D289" s="288" t="s">
        <v>3456</v>
      </c>
      <c r="E289" s="289">
        <v>175000</v>
      </c>
    </row>
    <row r="290" spans="1:5" ht="15" customHeight="1">
      <c r="A290" s="948" t="e">
        <f t="shared" si="13"/>
        <v>#REF!</v>
      </c>
      <c r="B290" s="187" t="s">
        <v>1855</v>
      </c>
      <c r="C290" s="88">
        <v>130</v>
      </c>
      <c r="D290" s="150" t="s">
        <v>3457</v>
      </c>
      <c r="E290" s="234">
        <v>35000</v>
      </c>
    </row>
    <row r="291" spans="1:5" ht="15" customHeight="1">
      <c r="A291" s="948" t="e">
        <f t="shared" si="13"/>
        <v>#REF!</v>
      </c>
      <c r="B291" s="187" t="s">
        <v>1854</v>
      </c>
      <c r="C291" s="88">
        <v>250</v>
      </c>
      <c r="D291" s="150" t="s">
        <v>3458</v>
      </c>
      <c r="E291" s="289">
        <v>67000</v>
      </c>
    </row>
    <row r="292" spans="1:5" ht="15" customHeight="1">
      <c r="A292" s="948" t="e">
        <f t="shared" si="13"/>
        <v>#REF!</v>
      </c>
      <c r="B292" s="190" t="s">
        <v>1855</v>
      </c>
      <c r="C292" s="89">
        <v>115</v>
      </c>
      <c r="D292" s="153" t="s">
        <v>3459</v>
      </c>
      <c r="E292" s="241">
        <v>30000</v>
      </c>
    </row>
    <row r="293" spans="1:5" ht="15" customHeight="1">
      <c r="A293" s="948" t="e">
        <f t="shared" si="13"/>
        <v>#REF!</v>
      </c>
      <c r="B293" s="187" t="s">
        <v>1855</v>
      </c>
      <c r="C293" s="88">
        <v>150</v>
      </c>
      <c r="D293" s="150" t="s">
        <v>3460</v>
      </c>
      <c r="E293" s="234">
        <v>35000</v>
      </c>
    </row>
    <row r="294" spans="1:5" ht="15" customHeight="1">
      <c r="A294" s="948" t="e">
        <f>#REF!</f>
        <v>#REF!</v>
      </c>
      <c r="B294" s="187" t="s">
        <v>1854</v>
      </c>
      <c r="C294" s="88">
        <v>200</v>
      </c>
      <c r="D294" s="150" t="s">
        <v>3461</v>
      </c>
      <c r="E294" s="234">
        <v>71000</v>
      </c>
    </row>
    <row r="295" spans="1:5" ht="15" customHeight="1">
      <c r="A295" s="948"/>
      <c r="B295" s="187" t="s">
        <v>3462</v>
      </c>
      <c r="C295" s="88">
        <v>200</v>
      </c>
      <c r="D295" s="150" t="s">
        <v>3463</v>
      </c>
      <c r="E295" s="234">
        <v>292000</v>
      </c>
    </row>
    <row r="296" spans="1:5" ht="15" customHeight="1">
      <c r="A296" s="948" t="e">
        <f>#REF!</f>
        <v>#REF!</v>
      </c>
      <c r="B296" s="187" t="s">
        <v>1853</v>
      </c>
      <c r="C296" s="88">
        <v>200</v>
      </c>
      <c r="D296" s="150" t="s">
        <v>3464</v>
      </c>
      <c r="E296" s="234">
        <v>190000</v>
      </c>
    </row>
    <row r="297" spans="1:5" ht="15" customHeight="1">
      <c r="A297" s="948" t="e">
        <f t="shared" ref="A297:A320" si="14">A296</f>
        <v>#REF!</v>
      </c>
      <c r="B297" s="286" t="s">
        <v>1862</v>
      </c>
      <c r="C297" s="287">
        <v>200</v>
      </c>
      <c r="D297" s="288" t="s">
        <v>2976</v>
      </c>
      <c r="E297" s="289"/>
    </row>
    <row r="298" spans="1:5" ht="15" customHeight="1">
      <c r="A298" s="948" t="e">
        <f t="shared" si="14"/>
        <v>#REF!</v>
      </c>
      <c r="B298" s="187" t="s">
        <v>1855</v>
      </c>
      <c r="C298" s="88">
        <v>115</v>
      </c>
      <c r="D298" s="150" t="s">
        <v>3465</v>
      </c>
      <c r="E298" s="234">
        <v>30000</v>
      </c>
    </row>
    <row r="299" spans="1:5" ht="15" customHeight="1">
      <c r="A299" s="948" t="e">
        <f t="shared" si="14"/>
        <v>#REF!</v>
      </c>
      <c r="B299" s="187" t="s">
        <v>1855</v>
      </c>
      <c r="C299" s="88">
        <v>150</v>
      </c>
      <c r="D299" s="150" t="s">
        <v>3466</v>
      </c>
      <c r="E299" s="234">
        <v>36000</v>
      </c>
    </row>
    <row r="300" spans="1:5" ht="15" customHeight="1">
      <c r="A300" s="948" t="e">
        <f t="shared" si="14"/>
        <v>#REF!</v>
      </c>
      <c r="B300" s="286" t="s">
        <v>1854</v>
      </c>
      <c r="C300" s="287">
        <v>250</v>
      </c>
      <c r="D300" s="288" t="s">
        <v>3467</v>
      </c>
      <c r="E300" s="289">
        <v>60000</v>
      </c>
    </row>
    <row r="301" spans="1:5" ht="15" customHeight="1">
      <c r="A301" s="948" t="e">
        <f t="shared" si="14"/>
        <v>#REF!</v>
      </c>
      <c r="B301" s="190" t="s">
        <v>3468</v>
      </c>
      <c r="C301" s="312">
        <v>200</v>
      </c>
      <c r="D301" s="313" t="s">
        <v>3469</v>
      </c>
      <c r="E301" s="241">
        <v>210000</v>
      </c>
    </row>
    <row r="302" spans="1:5" ht="15" customHeight="1">
      <c r="A302" s="948" t="e">
        <f t="shared" si="14"/>
        <v>#REF!</v>
      </c>
      <c r="B302" s="187" t="s">
        <v>3468</v>
      </c>
      <c r="C302" s="314">
        <v>300</v>
      </c>
      <c r="D302" s="315" t="s">
        <v>3470</v>
      </c>
      <c r="E302" s="234">
        <v>315000</v>
      </c>
    </row>
    <row r="303" spans="1:5" ht="15" customHeight="1">
      <c r="A303" s="948" t="e">
        <f t="shared" si="14"/>
        <v>#REF!</v>
      </c>
      <c r="B303" s="286" t="s">
        <v>1863</v>
      </c>
      <c r="C303" s="316">
        <v>300</v>
      </c>
      <c r="D303" s="317" t="s">
        <v>3471</v>
      </c>
      <c r="E303" s="289">
        <v>875000</v>
      </c>
    </row>
    <row r="304" spans="1:5" ht="15" customHeight="1">
      <c r="A304" s="948" t="e">
        <f>#REF!</f>
        <v>#REF!</v>
      </c>
      <c r="B304" s="187" t="s">
        <v>3472</v>
      </c>
      <c r="C304" s="88">
        <v>200</v>
      </c>
      <c r="D304" s="150" t="s">
        <v>4643</v>
      </c>
      <c r="E304" s="234">
        <v>110000</v>
      </c>
    </row>
    <row r="305" spans="1:5" ht="15" customHeight="1">
      <c r="A305" s="948" t="e">
        <f t="shared" si="14"/>
        <v>#REF!</v>
      </c>
      <c r="B305" s="187" t="s">
        <v>3473</v>
      </c>
      <c r="C305" s="88">
        <v>250</v>
      </c>
      <c r="D305" s="150" t="s">
        <v>3474</v>
      </c>
      <c r="E305" s="234">
        <v>58000</v>
      </c>
    </row>
    <row r="306" spans="1:5" ht="15" customHeight="1">
      <c r="A306" s="948" t="e">
        <f t="shared" si="14"/>
        <v>#REF!</v>
      </c>
      <c r="B306" s="187" t="s">
        <v>1848</v>
      </c>
      <c r="C306" s="88">
        <v>250</v>
      </c>
      <c r="D306" s="150" t="s">
        <v>3475</v>
      </c>
      <c r="E306" s="234">
        <v>63000</v>
      </c>
    </row>
    <row r="307" spans="1:5" ht="15" customHeight="1">
      <c r="A307" s="948" t="e">
        <f>#REF!</f>
        <v>#REF!</v>
      </c>
      <c r="B307" s="190" t="s">
        <v>1855</v>
      </c>
      <c r="C307" s="89">
        <v>115</v>
      </c>
      <c r="D307" s="153" t="s">
        <v>3476</v>
      </c>
      <c r="E307" s="241">
        <v>41000</v>
      </c>
    </row>
    <row r="308" spans="1:5" ht="15" customHeight="1">
      <c r="A308" s="948" t="e">
        <f t="shared" si="14"/>
        <v>#REF!</v>
      </c>
      <c r="B308" s="187" t="s">
        <v>1855</v>
      </c>
      <c r="C308" s="88">
        <v>160</v>
      </c>
      <c r="D308" s="150" t="s">
        <v>3477</v>
      </c>
      <c r="E308" s="234">
        <v>50000</v>
      </c>
    </row>
    <row r="309" spans="1:5" ht="15" customHeight="1">
      <c r="A309" s="948" t="e">
        <f t="shared" si="14"/>
        <v>#REF!</v>
      </c>
      <c r="B309" s="187" t="s">
        <v>3478</v>
      </c>
      <c r="C309" s="88">
        <v>160</v>
      </c>
      <c r="D309" s="150" t="s">
        <v>3479</v>
      </c>
      <c r="E309" s="234"/>
    </row>
    <row r="310" spans="1:5" ht="15" customHeight="1">
      <c r="A310" s="948" t="e">
        <f t="shared" si="14"/>
        <v>#REF!</v>
      </c>
      <c r="B310" s="187" t="s">
        <v>1849</v>
      </c>
      <c r="C310" s="88">
        <v>160</v>
      </c>
      <c r="D310" s="150" t="s">
        <v>3480</v>
      </c>
      <c r="E310" s="234">
        <v>184000</v>
      </c>
    </row>
    <row r="311" spans="1:5" ht="15" customHeight="1">
      <c r="A311" s="948" t="e">
        <f t="shared" si="14"/>
        <v>#REF!</v>
      </c>
      <c r="B311" s="187" t="s">
        <v>1861</v>
      </c>
      <c r="C311" s="88">
        <v>160</v>
      </c>
      <c r="D311" s="150" t="s">
        <v>3481</v>
      </c>
      <c r="E311" s="234">
        <v>50000</v>
      </c>
    </row>
    <row r="312" spans="1:5" ht="15" customHeight="1">
      <c r="A312" s="948" t="e">
        <f t="shared" si="14"/>
        <v>#REF!</v>
      </c>
      <c r="B312" s="187" t="s">
        <v>1861</v>
      </c>
      <c r="C312" s="88">
        <v>230</v>
      </c>
      <c r="D312" s="150" t="s">
        <v>3482</v>
      </c>
      <c r="E312" s="234">
        <v>99000</v>
      </c>
    </row>
    <row r="313" spans="1:5" ht="15" customHeight="1">
      <c r="A313" s="948" t="e">
        <f t="shared" si="14"/>
        <v>#REF!</v>
      </c>
      <c r="B313" s="187" t="s">
        <v>1854</v>
      </c>
      <c r="C313" s="88">
        <v>300</v>
      </c>
      <c r="D313" s="150" t="s">
        <v>3483</v>
      </c>
      <c r="E313" s="234">
        <v>129000</v>
      </c>
    </row>
    <row r="314" spans="1:5" ht="15" customHeight="1">
      <c r="A314" s="948" t="e">
        <f t="shared" si="14"/>
        <v>#REF!</v>
      </c>
      <c r="B314" s="187" t="s">
        <v>1857</v>
      </c>
      <c r="C314" s="88">
        <v>160</v>
      </c>
      <c r="D314" s="150" t="s">
        <v>3377</v>
      </c>
      <c r="E314" s="234">
        <v>132500</v>
      </c>
    </row>
    <row r="315" spans="1:5" ht="15" customHeight="1">
      <c r="A315" s="948" t="e">
        <f t="shared" si="14"/>
        <v>#REF!</v>
      </c>
      <c r="B315" s="187" t="s">
        <v>1857</v>
      </c>
      <c r="C315" s="88">
        <v>230</v>
      </c>
      <c r="D315" s="150" t="s">
        <v>3484</v>
      </c>
      <c r="E315" s="234">
        <v>248000</v>
      </c>
    </row>
    <row r="316" spans="1:5" ht="15" customHeight="1">
      <c r="A316" s="948" t="e">
        <f t="shared" si="14"/>
        <v>#REF!</v>
      </c>
      <c r="B316" s="187" t="s">
        <v>1849</v>
      </c>
      <c r="C316" s="88">
        <v>230</v>
      </c>
      <c r="D316" s="150" t="s">
        <v>3485</v>
      </c>
      <c r="E316" s="234">
        <v>265000</v>
      </c>
    </row>
    <row r="317" spans="1:5" ht="15" customHeight="1">
      <c r="A317" s="948" t="e">
        <f t="shared" si="14"/>
        <v>#REF!</v>
      </c>
      <c r="B317" s="187" t="s">
        <v>1849</v>
      </c>
      <c r="C317" s="88">
        <v>270</v>
      </c>
      <c r="D317" s="150" t="s">
        <v>3486</v>
      </c>
      <c r="E317" s="234">
        <v>308000</v>
      </c>
    </row>
    <row r="318" spans="1:5" ht="15" customHeight="1">
      <c r="A318" s="948" t="e">
        <f t="shared" si="14"/>
        <v>#REF!</v>
      </c>
      <c r="B318" s="187" t="s">
        <v>1849</v>
      </c>
      <c r="C318" s="88">
        <v>300</v>
      </c>
      <c r="D318" s="150" t="s">
        <v>3487</v>
      </c>
      <c r="E318" s="234">
        <v>345000</v>
      </c>
    </row>
    <row r="319" spans="1:5" ht="15" customHeight="1">
      <c r="A319" s="948" t="e">
        <f t="shared" si="14"/>
        <v>#REF!</v>
      </c>
      <c r="B319" s="187" t="s">
        <v>1857</v>
      </c>
      <c r="C319" s="88">
        <v>300</v>
      </c>
      <c r="D319" s="150" t="s">
        <v>3377</v>
      </c>
      <c r="E319" s="234">
        <v>235000</v>
      </c>
    </row>
    <row r="320" spans="1:5" ht="15" customHeight="1">
      <c r="A320" s="948" t="e">
        <f t="shared" si="14"/>
        <v>#REF!</v>
      </c>
      <c r="B320" s="248" t="s">
        <v>1851</v>
      </c>
      <c r="C320" s="318">
        <v>148</v>
      </c>
      <c r="D320" s="319" t="s">
        <v>3488</v>
      </c>
      <c r="E320" s="283">
        <v>97000</v>
      </c>
    </row>
    <row r="321" spans="1:5" ht="15" customHeight="1">
      <c r="A321" s="948" t="e">
        <f>#REF!</f>
        <v>#REF!</v>
      </c>
      <c r="B321" s="187" t="s">
        <v>1848</v>
      </c>
      <c r="C321" s="314">
        <v>216</v>
      </c>
      <c r="D321" s="315" t="s">
        <v>2977</v>
      </c>
      <c r="E321" s="234">
        <v>208000</v>
      </c>
    </row>
    <row r="322" spans="1:5" ht="15" customHeight="1">
      <c r="A322" s="948" t="e">
        <f t="shared" ref="A322:A385" si="15">A321</f>
        <v>#REF!</v>
      </c>
      <c r="B322" s="187" t="s">
        <v>1853</v>
      </c>
      <c r="C322" s="314">
        <v>216</v>
      </c>
      <c r="D322" s="315" t="s">
        <v>2978</v>
      </c>
      <c r="E322" s="234">
        <v>520000</v>
      </c>
    </row>
    <row r="323" spans="1:5" ht="15" customHeight="1">
      <c r="A323" s="948" t="e">
        <f t="shared" si="15"/>
        <v>#REF!</v>
      </c>
      <c r="B323" s="187" t="s">
        <v>1864</v>
      </c>
      <c r="C323" s="314">
        <v>216</v>
      </c>
      <c r="D323" s="315" t="s">
        <v>2979</v>
      </c>
      <c r="E323" s="234">
        <v>515000</v>
      </c>
    </row>
    <row r="324" spans="1:5" ht="15" customHeight="1">
      <c r="A324" s="948" t="e">
        <f t="shared" si="15"/>
        <v>#REF!</v>
      </c>
      <c r="B324" s="187" t="s">
        <v>1850</v>
      </c>
      <c r="C324" s="314">
        <v>270</v>
      </c>
      <c r="D324" s="315" t="s">
        <v>2980</v>
      </c>
      <c r="E324" s="234">
        <v>260000</v>
      </c>
    </row>
    <row r="325" spans="1:5" ht="15" customHeight="1">
      <c r="A325" s="948" t="e">
        <f t="shared" si="15"/>
        <v>#REF!</v>
      </c>
      <c r="B325" s="187" t="s">
        <v>1864</v>
      </c>
      <c r="C325" s="314">
        <v>270</v>
      </c>
      <c r="D325" s="315" t="s">
        <v>2981</v>
      </c>
      <c r="E325" s="234">
        <v>645000</v>
      </c>
    </row>
    <row r="326" spans="1:5" ht="15" customHeight="1">
      <c r="A326" s="948" t="e">
        <f t="shared" si="15"/>
        <v>#REF!</v>
      </c>
      <c r="B326" s="187" t="s">
        <v>1849</v>
      </c>
      <c r="C326" s="314">
        <v>270</v>
      </c>
      <c r="D326" s="315" t="s">
        <v>2982</v>
      </c>
      <c r="E326" s="234">
        <v>645000</v>
      </c>
    </row>
    <row r="327" spans="1:5" ht="15" customHeight="1">
      <c r="A327" s="948" t="e">
        <f t="shared" si="15"/>
        <v>#REF!</v>
      </c>
      <c r="B327" s="187" t="s">
        <v>3489</v>
      </c>
      <c r="C327" s="314">
        <v>324</v>
      </c>
      <c r="D327" s="315" t="s">
        <v>3490</v>
      </c>
      <c r="E327" s="234">
        <v>270000</v>
      </c>
    </row>
    <row r="328" spans="1:5" ht="15" customHeight="1">
      <c r="A328" s="948" t="e">
        <f t="shared" si="15"/>
        <v>#REF!</v>
      </c>
      <c r="B328" s="187" t="s">
        <v>3375</v>
      </c>
      <c r="C328" s="314">
        <v>324</v>
      </c>
      <c r="D328" s="315" t="s">
        <v>3491</v>
      </c>
      <c r="E328" s="234">
        <v>205000</v>
      </c>
    </row>
    <row r="329" spans="1:5" ht="15" customHeight="1">
      <c r="A329" s="948" t="e">
        <f t="shared" si="15"/>
        <v>#REF!</v>
      </c>
      <c r="B329" s="187" t="s">
        <v>1848</v>
      </c>
      <c r="C329" s="314">
        <v>324</v>
      </c>
      <c r="D329" s="315" t="s">
        <v>2983</v>
      </c>
      <c r="E329" s="234">
        <v>312000</v>
      </c>
    </row>
    <row r="330" spans="1:5" ht="15" customHeight="1">
      <c r="A330" s="948" t="e">
        <f t="shared" si="15"/>
        <v>#REF!</v>
      </c>
      <c r="B330" s="187" t="s">
        <v>1864</v>
      </c>
      <c r="C330" s="314">
        <v>324</v>
      </c>
      <c r="D330" s="315" t="s">
        <v>3492</v>
      </c>
      <c r="E330" s="234">
        <v>725000</v>
      </c>
    </row>
    <row r="331" spans="1:5" ht="15" customHeight="1">
      <c r="A331" s="948" t="e">
        <f t="shared" si="15"/>
        <v>#REF!</v>
      </c>
      <c r="B331" s="190" t="s">
        <v>1864</v>
      </c>
      <c r="C331" s="89">
        <v>216</v>
      </c>
      <c r="D331" s="153" t="s">
        <v>3493</v>
      </c>
      <c r="E331" s="241">
        <v>365000</v>
      </c>
    </row>
    <row r="332" spans="1:5" ht="15" customHeight="1">
      <c r="A332" s="948" t="e">
        <f t="shared" si="15"/>
        <v>#REF!</v>
      </c>
      <c r="B332" s="187" t="s">
        <v>1848</v>
      </c>
      <c r="C332" s="88">
        <v>216</v>
      </c>
      <c r="D332" s="184" t="s">
        <v>3494</v>
      </c>
      <c r="E332" s="234">
        <v>150000</v>
      </c>
    </row>
    <row r="333" spans="1:5" ht="15" customHeight="1">
      <c r="A333" s="948" t="e">
        <f t="shared" si="15"/>
        <v>#REF!</v>
      </c>
      <c r="B333" s="286" t="s">
        <v>3495</v>
      </c>
      <c r="C333" s="316">
        <v>324</v>
      </c>
      <c r="D333" s="317" t="s">
        <v>3320</v>
      </c>
      <c r="E333" s="289">
        <v>180000</v>
      </c>
    </row>
    <row r="334" spans="1:5" ht="15" customHeight="1">
      <c r="A334" s="948" t="e">
        <f t="shared" si="15"/>
        <v>#REF!</v>
      </c>
      <c r="B334" s="187" t="s">
        <v>1851</v>
      </c>
      <c r="C334" s="88">
        <v>148</v>
      </c>
      <c r="D334" s="150" t="s">
        <v>3496</v>
      </c>
      <c r="E334" s="234"/>
    </row>
    <row r="335" spans="1:5" ht="15" customHeight="1">
      <c r="A335" s="948" t="e">
        <f t="shared" si="15"/>
        <v>#REF!</v>
      </c>
      <c r="B335" s="187" t="s">
        <v>1848</v>
      </c>
      <c r="C335" s="88">
        <v>216</v>
      </c>
      <c r="D335" s="184" t="s">
        <v>3497</v>
      </c>
      <c r="E335" s="234">
        <v>150000</v>
      </c>
    </row>
    <row r="336" spans="1:5" ht="15" customHeight="1">
      <c r="A336" s="948" t="e">
        <f t="shared" si="15"/>
        <v>#REF!</v>
      </c>
      <c r="B336" s="187" t="s">
        <v>1848</v>
      </c>
      <c r="C336" s="88">
        <v>270</v>
      </c>
      <c r="D336" s="150" t="s">
        <v>2984</v>
      </c>
      <c r="E336" s="234"/>
    </row>
    <row r="337" spans="1:5" ht="15" customHeight="1">
      <c r="A337" s="948" t="e">
        <f t="shared" si="15"/>
        <v>#REF!</v>
      </c>
      <c r="B337" s="187" t="s">
        <v>1851</v>
      </c>
      <c r="C337" s="88">
        <v>270</v>
      </c>
      <c r="D337" s="150" t="s">
        <v>2985</v>
      </c>
      <c r="E337" s="234"/>
    </row>
    <row r="338" spans="1:5" ht="15" customHeight="1">
      <c r="A338" s="948" t="e">
        <f t="shared" si="15"/>
        <v>#REF!</v>
      </c>
      <c r="B338" s="187" t="s">
        <v>1848</v>
      </c>
      <c r="C338" s="88">
        <v>324</v>
      </c>
      <c r="D338" s="150" t="s">
        <v>3498</v>
      </c>
      <c r="E338" s="234"/>
    </row>
    <row r="339" spans="1:5" ht="15" customHeight="1">
      <c r="A339" s="948" t="e">
        <f t="shared" si="15"/>
        <v>#REF!</v>
      </c>
      <c r="B339" s="187" t="s">
        <v>1851</v>
      </c>
      <c r="C339" s="88">
        <v>324</v>
      </c>
      <c r="D339" s="150" t="s">
        <v>2986</v>
      </c>
      <c r="E339" s="234"/>
    </row>
    <row r="340" spans="1:5" ht="15" customHeight="1">
      <c r="A340" s="948" t="e">
        <f t="shared" si="15"/>
        <v>#REF!</v>
      </c>
      <c r="B340" s="286" t="s">
        <v>1848</v>
      </c>
      <c r="C340" s="287">
        <v>324</v>
      </c>
      <c r="D340" s="288" t="s">
        <v>3499</v>
      </c>
      <c r="E340" s="289"/>
    </row>
    <row r="341" spans="1:5" ht="15" customHeight="1">
      <c r="A341" s="948" t="e">
        <f t="shared" si="15"/>
        <v>#REF!</v>
      </c>
      <c r="B341" s="187" t="s">
        <v>1848</v>
      </c>
      <c r="C341" s="88">
        <v>216</v>
      </c>
      <c r="D341" s="150" t="s">
        <v>3500</v>
      </c>
      <c r="E341" s="234">
        <v>155000</v>
      </c>
    </row>
    <row r="342" spans="1:5" ht="15" customHeight="1">
      <c r="A342" s="948" t="e">
        <f t="shared" si="15"/>
        <v>#REF!</v>
      </c>
      <c r="B342" s="187" t="s">
        <v>1848</v>
      </c>
      <c r="C342" s="88">
        <v>216</v>
      </c>
      <c r="D342" s="150" t="s">
        <v>3501</v>
      </c>
      <c r="E342" s="234">
        <v>190000</v>
      </c>
    </row>
    <row r="343" spans="1:5" ht="15" customHeight="1">
      <c r="A343" s="948" t="e">
        <f t="shared" si="15"/>
        <v>#REF!</v>
      </c>
      <c r="B343" s="187" t="s">
        <v>1848</v>
      </c>
      <c r="C343" s="88">
        <v>216</v>
      </c>
      <c r="D343" s="150" t="s">
        <v>3502</v>
      </c>
      <c r="E343" s="234">
        <v>155000</v>
      </c>
    </row>
    <row r="344" spans="1:5" ht="15" customHeight="1">
      <c r="A344" s="948" t="e">
        <f t="shared" si="15"/>
        <v>#REF!</v>
      </c>
      <c r="B344" s="187" t="s">
        <v>1848</v>
      </c>
      <c r="C344" s="88">
        <v>270</v>
      </c>
      <c r="D344" s="150" t="s">
        <v>3503</v>
      </c>
      <c r="E344" s="234">
        <v>175000</v>
      </c>
    </row>
    <row r="345" spans="1:5" ht="15" customHeight="1">
      <c r="A345" s="948" t="e">
        <f t="shared" si="15"/>
        <v>#REF!</v>
      </c>
      <c r="B345" s="187" t="s">
        <v>1848</v>
      </c>
      <c r="C345" s="88">
        <v>298</v>
      </c>
      <c r="D345" s="150" t="s">
        <v>3504</v>
      </c>
      <c r="E345" s="234">
        <v>225000</v>
      </c>
    </row>
    <row r="346" spans="1:5" ht="15" customHeight="1">
      <c r="A346" s="948" t="e">
        <f t="shared" si="15"/>
        <v>#REF!</v>
      </c>
      <c r="B346" s="187" t="s">
        <v>1848</v>
      </c>
      <c r="C346" s="88">
        <v>298</v>
      </c>
      <c r="D346" s="150" t="s">
        <v>3505</v>
      </c>
      <c r="E346" s="234">
        <v>225000</v>
      </c>
    </row>
    <row r="347" spans="1:5" ht="15" customHeight="1">
      <c r="A347" s="948" t="e">
        <f t="shared" si="15"/>
        <v>#REF!</v>
      </c>
      <c r="B347" s="187" t="s">
        <v>1848</v>
      </c>
      <c r="C347" s="287">
        <v>298</v>
      </c>
      <c r="D347" s="288" t="s">
        <v>3506</v>
      </c>
      <c r="E347" s="289">
        <v>250000</v>
      </c>
    </row>
    <row r="348" spans="1:5" ht="15" customHeight="1">
      <c r="A348" s="948" t="e">
        <f t="shared" si="15"/>
        <v>#REF!</v>
      </c>
      <c r="B348" s="190" t="s">
        <v>1856</v>
      </c>
      <c r="C348" s="312">
        <v>100</v>
      </c>
      <c r="D348" s="313" t="s">
        <v>1865</v>
      </c>
      <c r="E348" s="241">
        <v>40000</v>
      </c>
    </row>
    <row r="349" spans="1:5" ht="15" customHeight="1">
      <c r="A349" s="948" t="e">
        <f t="shared" si="15"/>
        <v>#REF!</v>
      </c>
      <c r="B349" s="187" t="s">
        <v>1856</v>
      </c>
      <c r="C349" s="88">
        <v>120</v>
      </c>
      <c r="D349" s="150" t="s">
        <v>1866</v>
      </c>
      <c r="E349" s="234">
        <v>49000</v>
      </c>
    </row>
    <row r="350" spans="1:5" ht="15" customHeight="1">
      <c r="A350" s="948" t="e">
        <f t="shared" si="15"/>
        <v>#REF!</v>
      </c>
      <c r="B350" s="286" t="s">
        <v>1856</v>
      </c>
      <c r="C350" s="287">
        <v>170</v>
      </c>
      <c r="D350" s="288" t="s">
        <v>1867</v>
      </c>
      <c r="E350" s="289">
        <v>69000</v>
      </c>
    </row>
    <row r="351" spans="1:5" ht="15" customHeight="1">
      <c r="A351" s="948" t="e">
        <f t="shared" si="15"/>
        <v>#REF!</v>
      </c>
      <c r="B351" s="187" t="s">
        <v>1861</v>
      </c>
      <c r="C351" s="88">
        <v>250</v>
      </c>
      <c r="D351" s="313" t="s">
        <v>1868</v>
      </c>
      <c r="E351" s="234">
        <v>101000</v>
      </c>
    </row>
    <row r="352" spans="1:5" ht="15" customHeight="1">
      <c r="A352" s="948" t="e">
        <f t="shared" si="15"/>
        <v>#REF!</v>
      </c>
      <c r="B352" s="87" t="s">
        <v>1861</v>
      </c>
      <c r="C352" s="88">
        <v>300</v>
      </c>
      <c r="D352" s="150" t="s">
        <v>1869</v>
      </c>
      <c r="E352" s="234">
        <v>121000</v>
      </c>
    </row>
    <row r="353" spans="1:5" ht="15" customHeight="1">
      <c r="A353" s="948" t="e">
        <f t="shared" si="15"/>
        <v>#REF!</v>
      </c>
      <c r="B353" s="87" t="s">
        <v>1861</v>
      </c>
      <c r="C353" s="88">
        <v>350</v>
      </c>
      <c r="D353" s="184" t="s">
        <v>1870</v>
      </c>
      <c r="E353" s="234">
        <v>142000</v>
      </c>
    </row>
    <row r="354" spans="1:5" ht="15" customHeight="1">
      <c r="A354" s="948" t="e">
        <f t="shared" si="15"/>
        <v>#REF!</v>
      </c>
      <c r="B354" s="190" t="s">
        <v>1856</v>
      </c>
      <c r="C354" s="89">
        <v>120</v>
      </c>
      <c r="D354" s="313" t="s">
        <v>1871</v>
      </c>
      <c r="E354" s="241">
        <v>49000</v>
      </c>
    </row>
    <row r="355" spans="1:5" ht="15" customHeight="1">
      <c r="A355" s="948" t="e">
        <f t="shared" si="15"/>
        <v>#REF!</v>
      </c>
      <c r="B355" s="87" t="s">
        <v>1856</v>
      </c>
      <c r="C355" s="88">
        <v>300</v>
      </c>
      <c r="D355" s="150" t="s">
        <v>1872</v>
      </c>
      <c r="E355" s="234">
        <v>121000</v>
      </c>
    </row>
    <row r="356" spans="1:5" ht="15" customHeight="1">
      <c r="A356" s="948" t="e">
        <f t="shared" si="15"/>
        <v>#REF!</v>
      </c>
      <c r="B356" s="190" t="s">
        <v>1856</v>
      </c>
      <c r="C356" s="89">
        <v>120</v>
      </c>
      <c r="D356" s="313" t="s">
        <v>1873</v>
      </c>
      <c r="E356" s="241">
        <v>49000</v>
      </c>
    </row>
    <row r="357" spans="1:5" ht="15" customHeight="1">
      <c r="A357" s="948" t="e">
        <f t="shared" si="15"/>
        <v>#REF!</v>
      </c>
      <c r="B357" s="190" t="s">
        <v>1861</v>
      </c>
      <c r="C357" s="89">
        <v>300</v>
      </c>
      <c r="D357" s="313" t="s">
        <v>1874</v>
      </c>
      <c r="E357" s="241">
        <v>121000</v>
      </c>
    </row>
    <row r="358" spans="1:5" ht="15" customHeight="1">
      <c r="A358" s="948" t="e">
        <f t="shared" si="15"/>
        <v>#REF!</v>
      </c>
      <c r="B358" s="286" t="s">
        <v>1861</v>
      </c>
      <c r="C358" s="287">
        <v>300</v>
      </c>
      <c r="D358" s="317" t="s">
        <v>1875</v>
      </c>
      <c r="E358" s="289">
        <v>121000</v>
      </c>
    </row>
    <row r="359" spans="1:5" ht="15" customHeight="1">
      <c r="A359" s="948" t="e">
        <f t="shared" si="15"/>
        <v>#REF!</v>
      </c>
      <c r="B359" s="286" t="s">
        <v>1861</v>
      </c>
      <c r="C359" s="287">
        <v>280</v>
      </c>
      <c r="D359" s="288" t="s">
        <v>3507</v>
      </c>
      <c r="E359" s="289">
        <v>204000</v>
      </c>
    </row>
    <row r="360" spans="1:5" ht="15" customHeight="1">
      <c r="A360" s="948" t="e">
        <f t="shared" si="15"/>
        <v>#REF!</v>
      </c>
      <c r="B360" s="188" t="s">
        <v>1856</v>
      </c>
      <c r="C360" s="320">
        <v>140</v>
      </c>
      <c r="D360" s="321" t="s">
        <v>3508</v>
      </c>
      <c r="E360" s="244">
        <v>43000</v>
      </c>
    </row>
    <row r="361" spans="1:5" ht="15" customHeight="1">
      <c r="A361" s="948" t="e">
        <f t="shared" si="15"/>
        <v>#REF!</v>
      </c>
      <c r="B361" s="188" t="s">
        <v>1861</v>
      </c>
      <c r="C361" s="320">
        <v>300</v>
      </c>
      <c r="D361" s="321" t="s">
        <v>3509</v>
      </c>
      <c r="E361" s="244">
        <v>129000</v>
      </c>
    </row>
    <row r="362" spans="1:5" ht="15" customHeight="1">
      <c r="A362" s="948" t="e">
        <f t="shared" si="15"/>
        <v>#REF!</v>
      </c>
      <c r="B362" s="188" t="s">
        <v>1849</v>
      </c>
      <c r="C362" s="320">
        <v>300</v>
      </c>
      <c r="D362" s="321" t="s">
        <v>3510</v>
      </c>
      <c r="E362" s="244">
        <v>347000</v>
      </c>
    </row>
    <row r="363" spans="1:5" ht="15" customHeight="1">
      <c r="A363" s="948" t="e">
        <f t="shared" si="15"/>
        <v>#REF!</v>
      </c>
      <c r="B363" s="190" t="s">
        <v>1856</v>
      </c>
      <c r="C363" s="89">
        <v>150</v>
      </c>
      <c r="D363" s="153" t="s">
        <v>3511</v>
      </c>
      <c r="E363" s="283">
        <v>80000</v>
      </c>
    </row>
    <row r="364" spans="1:5" ht="15" customHeight="1">
      <c r="A364" s="948" t="e">
        <f t="shared" si="15"/>
        <v>#REF!</v>
      </c>
      <c r="B364" s="248" t="s">
        <v>1861</v>
      </c>
      <c r="C364" s="91">
        <v>300</v>
      </c>
      <c r="D364" s="157" t="s">
        <v>3512</v>
      </c>
      <c r="E364" s="283">
        <v>210000</v>
      </c>
    </row>
    <row r="365" spans="1:5" ht="15" customHeight="1">
      <c r="A365" s="948" t="e">
        <f t="shared" si="15"/>
        <v>#REF!</v>
      </c>
      <c r="B365" s="187" t="s">
        <v>1861</v>
      </c>
      <c r="C365" s="88">
        <v>300</v>
      </c>
      <c r="D365" s="150" t="s">
        <v>1876</v>
      </c>
      <c r="E365" s="234">
        <v>192500</v>
      </c>
    </row>
    <row r="366" spans="1:5" ht="15" customHeight="1">
      <c r="A366" s="948" t="e">
        <f t="shared" si="15"/>
        <v>#REF!</v>
      </c>
      <c r="B366" s="303" t="s">
        <v>1861</v>
      </c>
      <c r="C366" s="304">
        <v>300</v>
      </c>
      <c r="D366" s="164" t="s">
        <v>1877</v>
      </c>
      <c r="E366" s="294">
        <v>195000</v>
      </c>
    </row>
    <row r="367" spans="1:5" ht="15" customHeight="1">
      <c r="A367" s="948" t="e">
        <f t="shared" si="15"/>
        <v>#REF!</v>
      </c>
      <c r="B367" s="187" t="s">
        <v>1861</v>
      </c>
      <c r="C367" s="287">
        <v>285</v>
      </c>
      <c r="D367" s="288" t="s">
        <v>3513</v>
      </c>
      <c r="E367" s="289">
        <v>155000</v>
      </c>
    </row>
    <row r="368" spans="1:5" ht="15" customHeight="1">
      <c r="A368" s="948" t="e">
        <f t="shared" si="15"/>
        <v>#REF!</v>
      </c>
      <c r="B368" s="188" t="s">
        <v>1856</v>
      </c>
      <c r="C368" s="90">
        <v>192</v>
      </c>
      <c r="D368" s="156" t="s">
        <v>1878</v>
      </c>
      <c r="E368" s="244">
        <v>255000</v>
      </c>
    </row>
    <row r="369" spans="1:5" ht="15" customHeight="1">
      <c r="A369" s="948" t="e">
        <f t="shared" si="15"/>
        <v>#REF!</v>
      </c>
      <c r="B369" s="190" t="s">
        <v>1851</v>
      </c>
      <c r="C369" s="89">
        <v>118</v>
      </c>
      <c r="D369" s="153" t="s">
        <v>3514</v>
      </c>
      <c r="E369" s="241">
        <v>46000</v>
      </c>
    </row>
    <row r="370" spans="1:5" ht="15" customHeight="1">
      <c r="A370" s="948" t="e">
        <f t="shared" si="15"/>
        <v>#REF!</v>
      </c>
      <c r="B370" s="187"/>
      <c r="C370" s="88">
        <v>148</v>
      </c>
      <c r="D370" s="150" t="s">
        <v>3515</v>
      </c>
      <c r="E370" s="234">
        <v>57500</v>
      </c>
    </row>
    <row r="371" spans="1:5" ht="15" customHeight="1">
      <c r="A371" s="948" t="e">
        <f t="shared" si="15"/>
        <v>#REF!</v>
      </c>
      <c r="B371" s="187" t="s">
        <v>1848</v>
      </c>
      <c r="C371" s="88">
        <v>216</v>
      </c>
      <c r="D371" s="150" t="s">
        <v>3516</v>
      </c>
      <c r="E371" s="234">
        <v>86000</v>
      </c>
    </row>
    <row r="372" spans="1:5" ht="15" customHeight="1">
      <c r="A372" s="948" t="e">
        <f t="shared" si="15"/>
        <v>#REF!</v>
      </c>
      <c r="B372" s="187"/>
      <c r="C372" s="88">
        <v>270</v>
      </c>
      <c r="D372" s="150" t="s">
        <v>3517</v>
      </c>
      <c r="E372" s="234">
        <v>107500</v>
      </c>
    </row>
    <row r="373" spans="1:5" ht="15" customHeight="1">
      <c r="A373" s="948" t="e">
        <f t="shared" si="15"/>
        <v>#REF!</v>
      </c>
      <c r="B373" s="286"/>
      <c r="C373" s="287">
        <v>324</v>
      </c>
      <c r="D373" s="288" t="s">
        <v>3518</v>
      </c>
      <c r="E373" s="289">
        <v>130000</v>
      </c>
    </row>
    <row r="374" spans="1:5" ht="15" customHeight="1">
      <c r="A374" s="948" t="e">
        <f t="shared" si="15"/>
        <v>#REF!</v>
      </c>
      <c r="B374" s="188" t="s">
        <v>1848</v>
      </c>
      <c r="C374" s="90">
        <v>270</v>
      </c>
      <c r="D374" s="156" t="s">
        <v>3519</v>
      </c>
      <c r="E374" s="244">
        <v>112000</v>
      </c>
    </row>
    <row r="375" spans="1:5" ht="15" customHeight="1">
      <c r="A375" s="948" t="e">
        <f t="shared" si="15"/>
        <v>#REF!</v>
      </c>
      <c r="B375" s="187" t="s">
        <v>3520</v>
      </c>
      <c r="C375" s="314">
        <v>140</v>
      </c>
      <c r="D375" s="315" t="s">
        <v>3521</v>
      </c>
      <c r="E375" s="234">
        <v>46000</v>
      </c>
    </row>
    <row r="376" spans="1:5" ht="15" customHeight="1">
      <c r="A376" s="948" t="e">
        <f t="shared" si="15"/>
        <v>#REF!</v>
      </c>
      <c r="B376" s="187" t="s">
        <v>3468</v>
      </c>
      <c r="C376" s="314">
        <v>200</v>
      </c>
      <c r="D376" s="315" t="s">
        <v>3522</v>
      </c>
      <c r="E376" s="234">
        <v>65000</v>
      </c>
    </row>
    <row r="377" spans="1:5" ht="15" customHeight="1">
      <c r="A377" s="948" t="e">
        <f t="shared" si="15"/>
        <v>#REF!</v>
      </c>
      <c r="B377" s="187" t="s">
        <v>3468</v>
      </c>
      <c r="C377" s="314">
        <v>250</v>
      </c>
      <c r="D377" s="315" t="s">
        <v>3523</v>
      </c>
      <c r="E377" s="234">
        <v>81000</v>
      </c>
    </row>
    <row r="378" spans="1:5" ht="15" customHeight="1">
      <c r="A378" s="948" t="e">
        <f t="shared" si="15"/>
        <v>#REF!</v>
      </c>
      <c r="B378" s="187" t="s">
        <v>3468</v>
      </c>
      <c r="C378" s="314">
        <v>320</v>
      </c>
      <c r="D378" s="315" t="s">
        <v>3524</v>
      </c>
      <c r="E378" s="234">
        <v>105000</v>
      </c>
    </row>
    <row r="379" spans="1:5" ht="15" customHeight="1">
      <c r="A379" s="948" t="e">
        <f t="shared" si="15"/>
        <v>#REF!</v>
      </c>
      <c r="B379" s="190" t="s">
        <v>1879</v>
      </c>
      <c r="C379" s="89">
        <v>115</v>
      </c>
      <c r="D379" s="168" t="s">
        <v>3525</v>
      </c>
      <c r="E379" s="241">
        <v>135000</v>
      </c>
    </row>
    <row r="380" spans="1:5" ht="15" customHeight="1">
      <c r="A380" s="948" t="e">
        <f t="shared" si="15"/>
        <v>#REF!</v>
      </c>
      <c r="B380" s="187" t="s">
        <v>1879</v>
      </c>
      <c r="C380" s="88">
        <v>158</v>
      </c>
      <c r="D380" s="167" t="s">
        <v>3526</v>
      </c>
      <c r="E380" s="234">
        <v>185000</v>
      </c>
    </row>
    <row r="381" spans="1:5" ht="15" customHeight="1">
      <c r="A381" s="948" t="e">
        <f t="shared" si="15"/>
        <v>#REF!</v>
      </c>
      <c r="B381" s="187" t="s">
        <v>1879</v>
      </c>
      <c r="C381" s="88">
        <v>200</v>
      </c>
      <c r="D381" s="167" t="s">
        <v>3527</v>
      </c>
      <c r="E381" s="234">
        <v>225000</v>
      </c>
    </row>
    <row r="382" spans="1:5" ht="15" customHeight="1">
      <c r="A382" s="948" t="e">
        <f t="shared" si="15"/>
        <v>#REF!</v>
      </c>
      <c r="B382" s="190" t="s">
        <v>1880</v>
      </c>
      <c r="C382" s="89">
        <v>115</v>
      </c>
      <c r="D382" s="168" t="s">
        <v>1881</v>
      </c>
      <c r="E382" s="241">
        <v>155000</v>
      </c>
    </row>
    <row r="383" spans="1:5" ht="15" customHeight="1">
      <c r="A383" s="948" t="e">
        <f t="shared" si="15"/>
        <v>#REF!</v>
      </c>
      <c r="B383" s="187" t="s">
        <v>1879</v>
      </c>
      <c r="C383" s="88">
        <v>158</v>
      </c>
      <c r="D383" s="167" t="s">
        <v>1882</v>
      </c>
      <c r="E383" s="234">
        <v>207000</v>
      </c>
    </row>
    <row r="384" spans="1:5" ht="15" customHeight="1">
      <c r="A384" s="948" t="e">
        <f t="shared" si="15"/>
        <v>#REF!</v>
      </c>
      <c r="B384" s="187" t="s">
        <v>1849</v>
      </c>
      <c r="C384" s="88">
        <v>158</v>
      </c>
      <c r="D384" s="167" t="s">
        <v>3528</v>
      </c>
      <c r="E384" s="234">
        <v>500000</v>
      </c>
    </row>
    <row r="385" spans="1:5" ht="15" customHeight="1">
      <c r="A385" s="948" t="e">
        <f t="shared" si="15"/>
        <v>#REF!</v>
      </c>
      <c r="B385" s="187" t="s">
        <v>1849</v>
      </c>
      <c r="C385" s="88">
        <v>200</v>
      </c>
      <c r="D385" s="167" t="s">
        <v>3529</v>
      </c>
      <c r="E385" s="234">
        <v>620000</v>
      </c>
    </row>
    <row r="386" spans="1:5" ht="15" customHeight="1">
      <c r="A386" s="948" t="e">
        <f t="shared" ref="A386:A405" si="16">A385</f>
        <v>#REF!</v>
      </c>
      <c r="B386" s="286" t="s">
        <v>1879</v>
      </c>
      <c r="C386" s="287">
        <v>200</v>
      </c>
      <c r="D386" s="322" t="s">
        <v>1883</v>
      </c>
      <c r="E386" s="289">
        <v>242000</v>
      </c>
    </row>
    <row r="387" spans="1:5" ht="15" customHeight="1">
      <c r="A387" s="948" t="e">
        <f t="shared" si="16"/>
        <v>#REF!</v>
      </c>
      <c r="B387" s="190" t="s">
        <v>3401</v>
      </c>
      <c r="C387" s="89">
        <v>158</v>
      </c>
      <c r="D387" s="168" t="s">
        <v>3530</v>
      </c>
      <c r="E387" s="241">
        <v>215000</v>
      </c>
    </row>
    <row r="388" spans="1:5" ht="15" customHeight="1">
      <c r="A388" s="948" t="e">
        <f t="shared" si="16"/>
        <v>#REF!</v>
      </c>
      <c r="B388" s="286" t="s">
        <v>3401</v>
      </c>
      <c r="C388" s="287">
        <v>200</v>
      </c>
      <c r="D388" s="322" t="s">
        <v>3531</v>
      </c>
      <c r="E388" s="289">
        <v>250000</v>
      </c>
    </row>
    <row r="389" spans="1:5" ht="15" customHeight="1">
      <c r="A389" s="948" t="e">
        <f t="shared" si="16"/>
        <v>#REF!</v>
      </c>
      <c r="B389" s="188" t="s">
        <v>3473</v>
      </c>
      <c r="C389" s="90">
        <v>170</v>
      </c>
      <c r="D389" s="156" t="s">
        <v>3532</v>
      </c>
      <c r="E389" s="244">
        <v>1065000</v>
      </c>
    </row>
    <row r="390" spans="1:5" ht="15" customHeight="1">
      <c r="A390" s="948" t="e">
        <f t="shared" si="16"/>
        <v>#REF!</v>
      </c>
      <c r="B390" s="187" t="s">
        <v>1855</v>
      </c>
      <c r="C390" s="88">
        <v>100</v>
      </c>
      <c r="D390" s="150" t="s">
        <v>3533</v>
      </c>
      <c r="E390" s="241">
        <v>50000</v>
      </c>
    </row>
    <row r="391" spans="1:5" ht="15" customHeight="1">
      <c r="A391" s="948" t="e">
        <f t="shared" si="16"/>
        <v>#REF!</v>
      </c>
      <c r="B391" s="187" t="s">
        <v>1856</v>
      </c>
      <c r="C391" s="88">
        <v>80</v>
      </c>
      <c r="D391" s="94" t="s">
        <v>3534</v>
      </c>
      <c r="E391" s="234">
        <v>235000</v>
      </c>
    </row>
    <row r="392" spans="1:5" ht="15" customHeight="1">
      <c r="A392" s="948" t="e">
        <f t="shared" si="16"/>
        <v>#REF!</v>
      </c>
      <c r="B392" s="286" t="s">
        <v>1854</v>
      </c>
      <c r="C392" s="287">
        <v>240</v>
      </c>
      <c r="D392" s="288" t="s">
        <v>3535</v>
      </c>
      <c r="E392" s="289">
        <v>140000</v>
      </c>
    </row>
    <row r="393" spans="1:5" ht="15" customHeight="1">
      <c r="A393" s="948" t="e">
        <f t="shared" si="16"/>
        <v>#REF!</v>
      </c>
      <c r="B393" s="190" t="s">
        <v>3403</v>
      </c>
      <c r="C393" s="89">
        <v>100</v>
      </c>
      <c r="D393" s="153" t="s">
        <v>3536</v>
      </c>
      <c r="E393" s="241">
        <v>27000</v>
      </c>
    </row>
    <row r="394" spans="1:5" ht="15" customHeight="1">
      <c r="A394" s="948" t="e">
        <f t="shared" si="16"/>
        <v>#REF!</v>
      </c>
      <c r="B394" s="187" t="s">
        <v>3403</v>
      </c>
      <c r="C394" s="88">
        <v>120</v>
      </c>
      <c r="D394" s="150" t="s">
        <v>3537</v>
      </c>
      <c r="E394" s="234">
        <v>32000</v>
      </c>
    </row>
    <row r="395" spans="1:5" ht="15" customHeight="1">
      <c r="A395" s="948" t="e">
        <f t="shared" si="16"/>
        <v>#REF!</v>
      </c>
      <c r="B395" s="187" t="s">
        <v>3403</v>
      </c>
      <c r="C395" s="88">
        <v>160</v>
      </c>
      <c r="D395" s="150" t="s">
        <v>3538</v>
      </c>
      <c r="E395" s="234">
        <v>42000</v>
      </c>
    </row>
    <row r="396" spans="1:5" ht="15" customHeight="1">
      <c r="A396" s="948" t="e">
        <f t="shared" si="16"/>
        <v>#REF!</v>
      </c>
      <c r="B396" s="187" t="s">
        <v>3407</v>
      </c>
      <c r="C396" s="88">
        <v>200</v>
      </c>
      <c r="D396" s="150" t="s">
        <v>3539</v>
      </c>
      <c r="E396" s="234">
        <v>56000</v>
      </c>
    </row>
    <row r="397" spans="1:5" ht="15" customHeight="1">
      <c r="A397" s="948" t="e">
        <f t="shared" si="16"/>
        <v>#REF!</v>
      </c>
      <c r="B397" s="286" t="s">
        <v>3407</v>
      </c>
      <c r="C397" s="287">
        <v>300</v>
      </c>
      <c r="D397" s="288" t="s">
        <v>3540</v>
      </c>
      <c r="E397" s="289">
        <v>84000</v>
      </c>
    </row>
    <row r="398" spans="1:5" ht="15" customHeight="1">
      <c r="A398" s="948" t="e">
        <f t="shared" si="16"/>
        <v>#REF!</v>
      </c>
      <c r="B398" s="190" t="s">
        <v>3541</v>
      </c>
      <c r="C398" s="88">
        <v>100</v>
      </c>
      <c r="D398" s="150" t="s">
        <v>3542</v>
      </c>
      <c r="E398" s="241">
        <v>22500</v>
      </c>
    </row>
    <row r="399" spans="1:5" ht="15" customHeight="1">
      <c r="A399" s="948" t="e">
        <f t="shared" si="16"/>
        <v>#REF!</v>
      </c>
      <c r="B399" s="187" t="s">
        <v>3541</v>
      </c>
      <c r="C399" s="88">
        <v>120</v>
      </c>
      <c r="D399" s="150" t="s">
        <v>3543</v>
      </c>
      <c r="E399" s="234">
        <v>29000</v>
      </c>
    </row>
    <row r="400" spans="1:5" ht="15" customHeight="1">
      <c r="A400" s="948" t="e">
        <f t="shared" si="16"/>
        <v>#REF!</v>
      </c>
      <c r="B400" s="187" t="s">
        <v>3410</v>
      </c>
      <c r="C400" s="88">
        <v>160</v>
      </c>
      <c r="D400" s="150" t="s">
        <v>3544</v>
      </c>
      <c r="E400" s="234">
        <v>40000</v>
      </c>
    </row>
    <row r="401" spans="1:5" ht="15" customHeight="1">
      <c r="A401" s="948" t="e">
        <f t="shared" si="16"/>
        <v>#REF!</v>
      </c>
      <c r="B401" s="187" t="s">
        <v>3410</v>
      </c>
      <c r="C401" s="88">
        <v>200</v>
      </c>
      <c r="D401" s="150" t="s">
        <v>3545</v>
      </c>
      <c r="E401" s="234">
        <v>50000</v>
      </c>
    </row>
    <row r="402" spans="1:5" ht="15" customHeight="1">
      <c r="A402" s="948" t="e">
        <f t="shared" si="16"/>
        <v>#REF!</v>
      </c>
      <c r="B402" s="286" t="s">
        <v>3410</v>
      </c>
      <c r="C402" s="287">
        <v>250</v>
      </c>
      <c r="D402" s="288" t="s">
        <v>3546</v>
      </c>
      <c r="E402" s="289">
        <v>63000</v>
      </c>
    </row>
    <row r="403" spans="1:5" ht="15" customHeight="1">
      <c r="A403" s="948" t="e">
        <f t="shared" si="16"/>
        <v>#REF!</v>
      </c>
      <c r="B403" s="188" t="s">
        <v>3407</v>
      </c>
      <c r="C403" s="90">
        <v>250</v>
      </c>
      <c r="D403" s="156" t="s">
        <v>3547</v>
      </c>
      <c r="E403" s="244">
        <v>175000</v>
      </c>
    </row>
    <row r="404" spans="1:5" ht="15" customHeight="1">
      <c r="A404" s="948" t="e">
        <f t="shared" si="16"/>
        <v>#REF!</v>
      </c>
      <c r="B404" s="188" t="s">
        <v>3407</v>
      </c>
      <c r="C404" s="90">
        <v>270</v>
      </c>
      <c r="D404" s="156" t="s">
        <v>3548</v>
      </c>
      <c r="E404" s="244">
        <v>315000</v>
      </c>
    </row>
    <row r="405" spans="1:5" ht="15" customHeight="1">
      <c r="A405" s="948" t="e">
        <f t="shared" si="16"/>
        <v>#REF!</v>
      </c>
      <c r="B405" s="187" t="s">
        <v>3407</v>
      </c>
      <c r="C405" s="88">
        <v>300</v>
      </c>
      <c r="D405" s="150" t="s">
        <v>3549</v>
      </c>
      <c r="E405" s="234">
        <v>400000</v>
      </c>
    </row>
    <row r="406" spans="1:5" ht="15" customHeight="1">
      <c r="A406" s="948"/>
      <c r="B406" s="187" t="s">
        <v>3407</v>
      </c>
      <c r="C406" s="88">
        <v>300</v>
      </c>
      <c r="D406" s="150" t="s">
        <v>3550</v>
      </c>
      <c r="E406" s="234">
        <v>380000</v>
      </c>
    </row>
    <row r="407" spans="1:5" ht="15" customHeight="1">
      <c r="A407" s="948"/>
      <c r="B407" s="187" t="s">
        <v>3407</v>
      </c>
      <c r="C407" s="88">
        <v>300</v>
      </c>
      <c r="D407" s="150" t="s">
        <v>3551</v>
      </c>
      <c r="E407" s="234">
        <v>300000</v>
      </c>
    </row>
    <row r="408" spans="1:5" ht="15" customHeight="1">
      <c r="A408" s="948"/>
      <c r="B408" s="286" t="s">
        <v>3407</v>
      </c>
      <c r="C408" s="287">
        <v>300</v>
      </c>
      <c r="D408" s="288" t="s">
        <v>3552</v>
      </c>
      <c r="E408" s="289">
        <v>380000</v>
      </c>
    </row>
    <row r="409" spans="1:5" ht="15" customHeight="1">
      <c r="A409" s="948" t="e">
        <f>A405</f>
        <v>#REF!</v>
      </c>
      <c r="B409" s="187" t="s">
        <v>1850</v>
      </c>
      <c r="C409" s="88">
        <v>300</v>
      </c>
      <c r="D409" s="150" t="s">
        <v>3553</v>
      </c>
      <c r="E409" s="234">
        <v>350000</v>
      </c>
    </row>
    <row r="410" spans="1:5" ht="15" customHeight="1">
      <c r="A410" s="948" t="e">
        <f>#REF!</f>
        <v>#REF!</v>
      </c>
      <c r="B410" s="149" t="s">
        <v>1850</v>
      </c>
      <c r="C410" s="287">
        <v>300</v>
      </c>
      <c r="D410" s="288" t="s">
        <v>3554</v>
      </c>
      <c r="E410" s="289">
        <v>350000</v>
      </c>
    </row>
    <row r="411" spans="1:5" ht="15" customHeight="1">
      <c r="A411" s="948" t="e">
        <f t="shared" ref="A411:A437" si="17">A410</f>
        <v>#REF!</v>
      </c>
      <c r="B411" s="187" t="s">
        <v>1850</v>
      </c>
      <c r="C411" s="88">
        <v>219</v>
      </c>
      <c r="D411" s="150" t="s">
        <v>3555</v>
      </c>
      <c r="E411" s="234">
        <v>137000</v>
      </c>
    </row>
    <row r="412" spans="1:5" ht="15" customHeight="1">
      <c r="A412" s="948" t="e">
        <f t="shared" si="17"/>
        <v>#REF!</v>
      </c>
      <c r="B412" s="187" t="s">
        <v>1850</v>
      </c>
      <c r="C412" s="287">
        <v>237</v>
      </c>
      <c r="D412" s="288" t="s">
        <v>3556</v>
      </c>
      <c r="E412" s="289">
        <v>183000</v>
      </c>
    </row>
    <row r="413" spans="1:5" ht="15" customHeight="1">
      <c r="A413" s="948" t="e">
        <f t="shared" si="17"/>
        <v>#REF!</v>
      </c>
      <c r="B413" s="190" t="s">
        <v>3557</v>
      </c>
      <c r="C413" s="88">
        <v>190</v>
      </c>
      <c r="D413" s="153" t="s">
        <v>3558</v>
      </c>
      <c r="E413" s="241">
        <v>145000</v>
      </c>
    </row>
    <row r="414" spans="1:5" ht="15" customHeight="1">
      <c r="A414" s="948" t="e">
        <f t="shared" si="17"/>
        <v>#REF!</v>
      </c>
      <c r="B414" s="187" t="s">
        <v>1884</v>
      </c>
      <c r="C414" s="88">
        <v>190</v>
      </c>
      <c r="D414" s="323" t="s">
        <v>2987</v>
      </c>
      <c r="E414" s="234">
        <v>195000</v>
      </c>
    </row>
    <row r="415" spans="1:5" ht="15" customHeight="1">
      <c r="A415" s="948" t="e">
        <f t="shared" si="17"/>
        <v>#REF!</v>
      </c>
      <c r="B415" s="187" t="s">
        <v>3559</v>
      </c>
      <c r="C415" s="88">
        <v>190</v>
      </c>
      <c r="D415" s="94" t="s">
        <v>3560</v>
      </c>
      <c r="E415" s="234">
        <v>330000</v>
      </c>
    </row>
    <row r="416" spans="1:5" ht="15" customHeight="1">
      <c r="A416" s="948" t="e">
        <f t="shared" si="17"/>
        <v>#REF!</v>
      </c>
      <c r="B416" s="187" t="s">
        <v>3561</v>
      </c>
      <c r="C416" s="88">
        <v>190</v>
      </c>
      <c r="D416" s="94" t="s">
        <v>3562</v>
      </c>
      <c r="E416" s="234">
        <v>420000</v>
      </c>
    </row>
    <row r="417" spans="1:5" ht="15" customHeight="1">
      <c r="A417" s="948" t="e">
        <f t="shared" si="17"/>
        <v>#REF!</v>
      </c>
      <c r="B417" s="187" t="s">
        <v>1885</v>
      </c>
      <c r="C417" s="88">
        <v>190</v>
      </c>
      <c r="D417" s="94" t="s">
        <v>2988</v>
      </c>
      <c r="E417" s="234">
        <v>520000</v>
      </c>
    </row>
    <row r="418" spans="1:5" ht="15" customHeight="1">
      <c r="A418" s="948" t="e">
        <f t="shared" si="17"/>
        <v>#REF!</v>
      </c>
      <c r="B418" s="187" t="s">
        <v>3563</v>
      </c>
      <c r="C418" s="88">
        <v>190</v>
      </c>
      <c r="D418" s="94" t="s">
        <v>3560</v>
      </c>
      <c r="E418" s="234">
        <v>400000</v>
      </c>
    </row>
    <row r="419" spans="1:5" ht="15" customHeight="1">
      <c r="A419" s="948" t="e">
        <f t="shared" si="17"/>
        <v>#REF!</v>
      </c>
      <c r="B419" s="187" t="s">
        <v>1886</v>
      </c>
      <c r="C419" s="88">
        <v>190</v>
      </c>
      <c r="D419" s="94" t="s">
        <v>2989</v>
      </c>
      <c r="E419" s="324" t="s">
        <v>1755</v>
      </c>
    </row>
    <row r="420" spans="1:5" ht="15" customHeight="1">
      <c r="A420" s="948" t="e">
        <f t="shared" si="17"/>
        <v>#REF!</v>
      </c>
      <c r="B420" s="187" t="s">
        <v>3557</v>
      </c>
      <c r="C420" s="88">
        <v>260</v>
      </c>
      <c r="D420" s="150" t="s">
        <v>3564</v>
      </c>
      <c r="E420" s="234">
        <v>210000</v>
      </c>
    </row>
    <row r="421" spans="1:5" ht="15" customHeight="1">
      <c r="A421" s="948" t="e">
        <f t="shared" si="17"/>
        <v>#REF!</v>
      </c>
      <c r="B421" s="325" t="s">
        <v>1887</v>
      </c>
      <c r="C421" s="287">
        <v>260</v>
      </c>
      <c r="D421" s="288" t="s">
        <v>2990</v>
      </c>
      <c r="E421" s="289">
        <v>265000</v>
      </c>
    </row>
    <row r="422" spans="1:5" ht="15" customHeight="1">
      <c r="A422" s="948" t="e">
        <f t="shared" si="17"/>
        <v>#REF!</v>
      </c>
      <c r="B422" s="187" t="s">
        <v>1854</v>
      </c>
      <c r="C422" s="88">
        <v>55</v>
      </c>
      <c r="D422" s="150" t="s">
        <v>3565</v>
      </c>
      <c r="E422" s="234">
        <v>93000</v>
      </c>
    </row>
    <row r="423" spans="1:5" ht="15" customHeight="1">
      <c r="A423" s="948" t="e">
        <f t="shared" si="17"/>
        <v>#REF!</v>
      </c>
      <c r="B423" s="187" t="s">
        <v>1854</v>
      </c>
      <c r="C423" s="88">
        <v>61</v>
      </c>
      <c r="D423" s="150" t="s">
        <v>3566</v>
      </c>
      <c r="E423" s="234">
        <v>104000</v>
      </c>
    </row>
    <row r="424" spans="1:5" ht="15" customHeight="1">
      <c r="A424" s="948" t="e">
        <f t="shared" si="17"/>
        <v>#REF!</v>
      </c>
      <c r="B424" s="187" t="s">
        <v>1854</v>
      </c>
      <c r="C424" s="88">
        <v>68</v>
      </c>
      <c r="D424" s="150" t="s">
        <v>3567</v>
      </c>
      <c r="E424" s="234">
        <v>155000</v>
      </c>
    </row>
    <row r="425" spans="1:5" ht="15" customHeight="1">
      <c r="A425" s="948" t="e">
        <f t="shared" si="17"/>
        <v>#REF!</v>
      </c>
      <c r="B425" s="187" t="s">
        <v>1854</v>
      </c>
      <c r="C425" s="88">
        <v>75</v>
      </c>
      <c r="D425" s="150" t="s">
        <v>3568</v>
      </c>
      <c r="E425" s="234">
        <v>130000</v>
      </c>
    </row>
    <row r="426" spans="1:5" ht="15" customHeight="1">
      <c r="A426" s="948" t="e">
        <f t="shared" si="17"/>
        <v>#REF!</v>
      </c>
      <c r="B426" s="187" t="s">
        <v>1854</v>
      </c>
      <c r="C426" s="88">
        <v>105</v>
      </c>
      <c r="D426" s="150" t="s">
        <v>3569</v>
      </c>
      <c r="E426" s="289">
        <v>205000</v>
      </c>
    </row>
    <row r="427" spans="1:5" ht="15" customHeight="1">
      <c r="A427" s="948" t="e">
        <f t="shared" si="17"/>
        <v>#REF!</v>
      </c>
      <c r="B427" s="326" t="s">
        <v>1854</v>
      </c>
      <c r="C427" s="90">
        <v>55</v>
      </c>
      <c r="D427" s="156" t="s">
        <v>3570</v>
      </c>
      <c r="E427" s="244">
        <v>185000</v>
      </c>
    </row>
    <row r="428" spans="1:5" ht="15" customHeight="1">
      <c r="A428" s="948" t="e">
        <f t="shared" si="17"/>
        <v>#REF!</v>
      </c>
      <c r="B428" s="190" t="s">
        <v>3407</v>
      </c>
      <c r="C428" s="89">
        <v>112</v>
      </c>
      <c r="D428" s="153" t="s">
        <v>3571</v>
      </c>
      <c r="E428" s="241">
        <v>90000</v>
      </c>
    </row>
    <row r="429" spans="1:5" ht="15" customHeight="1">
      <c r="A429" s="948" t="e">
        <f t="shared" si="17"/>
        <v>#REF!</v>
      </c>
      <c r="B429" s="299" t="s">
        <v>1854</v>
      </c>
      <c r="C429" s="300">
        <v>240</v>
      </c>
      <c r="D429" s="301" t="s">
        <v>1888</v>
      </c>
      <c r="E429" s="302">
        <v>146000</v>
      </c>
    </row>
    <row r="430" spans="1:5" ht="15" customHeight="1">
      <c r="A430" s="948" t="e">
        <f t="shared" si="17"/>
        <v>#REF!</v>
      </c>
      <c r="B430" s="848" t="s">
        <v>3572</v>
      </c>
      <c r="C430" s="88">
        <v>124</v>
      </c>
      <c r="D430" s="150" t="s">
        <v>3573</v>
      </c>
      <c r="E430" s="234">
        <v>135000</v>
      </c>
    </row>
    <row r="431" spans="1:5" ht="15" customHeight="1">
      <c r="A431" s="948" t="e">
        <f t="shared" si="17"/>
        <v>#REF!</v>
      </c>
      <c r="B431" s="846"/>
      <c r="C431" s="88">
        <v>154</v>
      </c>
      <c r="D431" s="150" t="s">
        <v>3574</v>
      </c>
      <c r="E431" s="234">
        <v>170000</v>
      </c>
    </row>
    <row r="432" spans="1:5" ht="15" customHeight="1">
      <c r="A432" s="948" t="e">
        <f t="shared" si="17"/>
        <v>#REF!</v>
      </c>
      <c r="B432" s="846"/>
      <c r="C432" s="88">
        <v>224</v>
      </c>
      <c r="D432" s="150" t="s">
        <v>3575</v>
      </c>
      <c r="E432" s="234">
        <v>245000</v>
      </c>
    </row>
    <row r="433" spans="1:5" ht="15" customHeight="1">
      <c r="A433" s="948" t="e">
        <f t="shared" si="17"/>
        <v>#REF!</v>
      </c>
      <c r="B433" s="851"/>
      <c r="C433" s="88">
        <v>274</v>
      </c>
      <c r="D433" s="150" t="s">
        <v>3576</v>
      </c>
      <c r="E433" s="234">
        <v>300000</v>
      </c>
    </row>
    <row r="434" spans="1:5" ht="15" customHeight="1">
      <c r="A434" s="948" t="e">
        <f t="shared" si="17"/>
        <v>#REF!</v>
      </c>
      <c r="B434" s="848" t="s">
        <v>3572</v>
      </c>
      <c r="C434" s="89">
        <v>126</v>
      </c>
      <c r="D434" s="153" t="s">
        <v>3577</v>
      </c>
      <c r="E434" s="241">
        <v>180000</v>
      </c>
    </row>
    <row r="435" spans="1:5" ht="15" customHeight="1">
      <c r="A435" s="948" t="e">
        <f t="shared" si="17"/>
        <v>#REF!</v>
      </c>
      <c r="B435" s="846"/>
      <c r="C435" s="88">
        <v>226</v>
      </c>
      <c r="D435" s="150" t="s">
        <v>3578</v>
      </c>
      <c r="E435" s="234">
        <v>325000</v>
      </c>
    </row>
    <row r="436" spans="1:5" ht="15" customHeight="1">
      <c r="A436" s="948" t="e">
        <f t="shared" si="17"/>
        <v>#REF!</v>
      </c>
      <c r="B436" s="851"/>
      <c r="C436" s="287">
        <v>276</v>
      </c>
      <c r="D436" s="288" t="s">
        <v>3579</v>
      </c>
      <c r="E436" s="289">
        <v>395000</v>
      </c>
    </row>
    <row r="437" spans="1:5" ht="15" customHeight="1">
      <c r="A437" s="948" t="e">
        <f t="shared" si="17"/>
        <v>#REF!</v>
      </c>
      <c r="B437" s="188" t="s">
        <v>3572</v>
      </c>
      <c r="C437" s="90">
        <v>195</v>
      </c>
      <c r="D437" s="156" t="s">
        <v>3580</v>
      </c>
      <c r="E437" s="244">
        <v>235000</v>
      </c>
    </row>
    <row r="438" spans="1:5" ht="15" customHeight="1">
      <c r="A438" s="921" t="s">
        <v>3581</v>
      </c>
      <c r="B438" s="327" t="s">
        <v>3582</v>
      </c>
      <c r="C438" s="328">
        <v>270</v>
      </c>
      <c r="D438" s="329" t="s">
        <v>3583</v>
      </c>
      <c r="E438" s="233">
        <v>390000</v>
      </c>
    </row>
    <row r="439" spans="1:5" ht="15" customHeight="1">
      <c r="A439" s="922" t="str">
        <f t="shared" ref="A439:A468" si="18">A438</f>
        <v>디센미디어
(DISM)</v>
      </c>
      <c r="B439" s="330" t="s">
        <v>3582</v>
      </c>
      <c r="C439" s="314">
        <v>260</v>
      </c>
      <c r="D439" s="331" t="s">
        <v>3584</v>
      </c>
      <c r="E439" s="234">
        <v>410000</v>
      </c>
    </row>
    <row r="440" spans="1:5" ht="15" customHeight="1">
      <c r="A440" s="922" t="str">
        <f t="shared" si="18"/>
        <v>디센미디어
(DISM)</v>
      </c>
      <c r="B440" s="330" t="s">
        <v>3582</v>
      </c>
      <c r="C440" s="314">
        <v>370</v>
      </c>
      <c r="D440" s="331" t="s">
        <v>3585</v>
      </c>
      <c r="E440" s="234">
        <v>685000</v>
      </c>
    </row>
    <row r="441" spans="1:5" ht="15" customHeight="1">
      <c r="A441" s="922" t="str">
        <f t="shared" si="18"/>
        <v>디센미디어
(DISM)</v>
      </c>
      <c r="B441" s="330" t="s">
        <v>3586</v>
      </c>
      <c r="C441" s="314">
        <v>370</v>
      </c>
      <c r="D441" s="331" t="s">
        <v>3587</v>
      </c>
      <c r="E441" s="234">
        <v>685000</v>
      </c>
    </row>
    <row r="442" spans="1:5" ht="15" customHeight="1">
      <c r="A442" s="922" t="str">
        <f t="shared" si="18"/>
        <v>디센미디어
(DISM)</v>
      </c>
      <c r="B442" s="330" t="s">
        <v>3588</v>
      </c>
      <c r="C442" s="314">
        <v>370</v>
      </c>
      <c r="D442" s="331" t="s">
        <v>3589</v>
      </c>
      <c r="E442" s="234" t="s">
        <v>1755</v>
      </c>
    </row>
    <row r="443" spans="1:5" ht="15" customHeight="1">
      <c r="A443" s="922" t="str">
        <f t="shared" si="18"/>
        <v>디센미디어
(DISM)</v>
      </c>
      <c r="B443" s="330" t="s">
        <v>3590</v>
      </c>
      <c r="C443" s="314">
        <v>370</v>
      </c>
      <c r="D443" s="331" t="s">
        <v>3591</v>
      </c>
      <c r="E443" s="234" t="s">
        <v>1755</v>
      </c>
    </row>
    <row r="444" spans="1:5" ht="15" customHeight="1">
      <c r="A444" s="922" t="str">
        <f t="shared" si="18"/>
        <v>디센미디어
(DISM)</v>
      </c>
      <c r="B444" s="330" t="s">
        <v>3582</v>
      </c>
      <c r="C444" s="315">
        <v>170</v>
      </c>
      <c r="D444" s="331" t="s">
        <v>3592</v>
      </c>
      <c r="E444" s="234">
        <v>410000</v>
      </c>
    </row>
    <row r="445" spans="1:5" ht="15" customHeight="1">
      <c r="A445" s="922" t="str">
        <f t="shared" si="18"/>
        <v>디센미디어
(DISM)</v>
      </c>
      <c r="B445" s="330" t="s">
        <v>3593</v>
      </c>
      <c r="C445" s="315">
        <v>170</v>
      </c>
      <c r="D445" s="331" t="s">
        <v>3594</v>
      </c>
      <c r="E445" s="234">
        <v>1075000</v>
      </c>
    </row>
    <row r="446" spans="1:5" ht="15" customHeight="1">
      <c r="A446" s="922" t="str">
        <f t="shared" si="18"/>
        <v>디센미디어
(DISM)</v>
      </c>
      <c r="B446" s="330" t="s">
        <v>3582</v>
      </c>
      <c r="C446" s="315">
        <v>175</v>
      </c>
      <c r="D446" s="331" t="s">
        <v>3595</v>
      </c>
      <c r="E446" s="234">
        <v>325000</v>
      </c>
    </row>
    <row r="447" spans="1:5" ht="15" customHeight="1">
      <c r="A447" s="922" t="str">
        <f t="shared" si="18"/>
        <v>디센미디어
(DISM)</v>
      </c>
      <c r="B447" s="330" t="s">
        <v>3596</v>
      </c>
      <c r="C447" s="315">
        <v>230</v>
      </c>
      <c r="D447" s="331" t="s">
        <v>3597</v>
      </c>
      <c r="E447" s="234">
        <v>375000</v>
      </c>
    </row>
    <row r="448" spans="1:5" ht="15" customHeight="1">
      <c r="A448" s="922" t="str">
        <f t="shared" si="18"/>
        <v>디센미디어
(DISM)</v>
      </c>
      <c r="B448" s="330" t="s">
        <v>3598</v>
      </c>
      <c r="C448" s="315">
        <v>230</v>
      </c>
      <c r="D448" s="331" t="s">
        <v>3599</v>
      </c>
      <c r="E448" s="234">
        <v>435000</v>
      </c>
    </row>
    <row r="449" spans="1:5" ht="15" customHeight="1">
      <c r="A449" s="922" t="str">
        <f t="shared" si="18"/>
        <v>디센미디어
(DISM)</v>
      </c>
      <c r="B449" s="330" t="s">
        <v>3582</v>
      </c>
      <c r="C449" s="315">
        <v>135</v>
      </c>
      <c r="D449" s="331" t="s">
        <v>3600</v>
      </c>
      <c r="E449" s="234">
        <v>340000</v>
      </c>
    </row>
    <row r="450" spans="1:5" ht="15" customHeight="1">
      <c r="A450" s="922" t="str">
        <f t="shared" si="18"/>
        <v>디센미디어
(DISM)</v>
      </c>
      <c r="B450" s="330" t="s">
        <v>3582</v>
      </c>
      <c r="C450" s="315">
        <v>200</v>
      </c>
      <c r="D450" s="331" t="s">
        <v>3601</v>
      </c>
      <c r="E450" s="234">
        <v>350000</v>
      </c>
    </row>
    <row r="451" spans="1:5" ht="15" customHeight="1">
      <c r="A451" s="922" t="str">
        <f t="shared" si="18"/>
        <v>디센미디어
(DISM)</v>
      </c>
      <c r="B451" s="332" t="s">
        <v>3582</v>
      </c>
      <c r="C451" s="317">
        <v>270</v>
      </c>
      <c r="D451" s="333" t="s">
        <v>3602</v>
      </c>
      <c r="E451" s="289">
        <v>460000</v>
      </c>
    </row>
    <row r="452" spans="1:5" ht="15" customHeight="1">
      <c r="A452" s="922" t="str">
        <f t="shared" si="18"/>
        <v>디센미디어
(DISM)</v>
      </c>
      <c r="B452" s="330" t="s">
        <v>3582</v>
      </c>
      <c r="C452" s="315">
        <v>150</v>
      </c>
      <c r="D452" s="331" t="s">
        <v>3603</v>
      </c>
      <c r="E452" s="234">
        <v>290000</v>
      </c>
    </row>
    <row r="453" spans="1:5" ht="15" customHeight="1">
      <c r="A453" s="922" t="str">
        <f t="shared" si="18"/>
        <v>디센미디어
(DISM)</v>
      </c>
      <c r="B453" s="330" t="s">
        <v>3582</v>
      </c>
      <c r="C453" s="315">
        <v>255</v>
      </c>
      <c r="D453" s="331" t="s">
        <v>3604</v>
      </c>
      <c r="E453" s="234">
        <v>405000</v>
      </c>
    </row>
    <row r="454" spans="1:5" ht="15" customHeight="1">
      <c r="A454" s="922" t="str">
        <f t="shared" si="18"/>
        <v>디센미디어
(DISM)</v>
      </c>
      <c r="B454" s="330" t="s">
        <v>3582</v>
      </c>
      <c r="C454" s="315">
        <v>360</v>
      </c>
      <c r="D454" s="331" t="s">
        <v>3605</v>
      </c>
      <c r="E454" s="234">
        <v>585000</v>
      </c>
    </row>
    <row r="455" spans="1:5" ht="15" customHeight="1">
      <c r="A455" s="922" t="str">
        <f t="shared" si="18"/>
        <v>디센미디어
(DISM)</v>
      </c>
      <c r="B455" s="330" t="s">
        <v>3582</v>
      </c>
      <c r="C455" s="315">
        <v>145</v>
      </c>
      <c r="D455" s="331" t="s">
        <v>3606</v>
      </c>
      <c r="E455" s="234">
        <v>265000</v>
      </c>
    </row>
    <row r="456" spans="1:5" ht="15" customHeight="1">
      <c r="A456" s="922" t="str">
        <f t="shared" si="18"/>
        <v>디센미디어
(DISM)</v>
      </c>
      <c r="B456" s="330" t="s">
        <v>3582</v>
      </c>
      <c r="C456" s="315">
        <v>210</v>
      </c>
      <c r="D456" s="331" t="s">
        <v>3607</v>
      </c>
      <c r="E456" s="234">
        <v>350000</v>
      </c>
    </row>
    <row r="457" spans="1:5" ht="15" customHeight="1">
      <c r="A457" s="922" t="str">
        <f t="shared" si="18"/>
        <v>디센미디어
(DISM)</v>
      </c>
      <c r="B457" s="330" t="s">
        <v>3582</v>
      </c>
      <c r="C457" s="315">
        <v>270</v>
      </c>
      <c r="D457" s="331" t="s">
        <v>3608</v>
      </c>
      <c r="E457" s="234">
        <v>465000</v>
      </c>
    </row>
    <row r="458" spans="1:5" ht="15" customHeight="1">
      <c r="A458" s="922" t="str">
        <f t="shared" si="18"/>
        <v>디센미디어
(DISM)</v>
      </c>
      <c r="B458" s="330" t="s">
        <v>3609</v>
      </c>
      <c r="C458" s="315">
        <v>150</v>
      </c>
      <c r="D458" s="331" t="s">
        <v>3610</v>
      </c>
      <c r="E458" s="234">
        <v>315000</v>
      </c>
    </row>
    <row r="459" spans="1:5" ht="15" customHeight="1">
      <c r="A459" s="922" t="str">
        <f t="shared" si="18"/>
        <v>디센미디어
(DISM)</v>
      </c>
      <c r="B459" s="330" t="s">
        <v>3582</v>
      </c>
      <c r="C459" s="315">
        <v>150</v>
      </c>
      <c r="D459" s="331" t="s">
        <v>3611</v>
      </c>
      <c r="E459" s="234">
        <v>290000</v>
      </c>
    </row>
    <row r="460" spans="1:5" ht="15" customHeight="1">
      <c r="A460" s="922" t="str">
        <f t="shared" si="18"/>
        <v>디센미디어
(DISM)</v>
      </c>
      <c r="B460" s="330" t="s">
        <v>3582</v>
      </c>
      <c r="C460" s="315">
        <v>255</v>
      </c>
      <c r="D460" s="331" t="s">
        <v>3612</v>
      </c>
      <c r="E460" s="234">
        <v>395000</v>
      </c>
    </row>
    <row r="461" spans="1:5" ht="15" customHeight="1">
      <c r="A461" s="922" t="str">
        <f t="shared" si="18"/>
        <v>디센미디어
(DISM)</v>
      </c>
      <c r="B461" s="330" t="s">
        <v>3582</v>
      </c>
      <c r="C461" s="315">
        <v>270</v>
      </c>
      <c r="D461" s="331" t="s">
        <v>3613</v>
      </c>
      <c r="E461" s="234">
        <v>640000</v>
      </c>
    </row>
    <row r="462" spans="1:5" ht="15" customHeight="1">
      <c r="A462" s="922" t="str">
        <f t="shared" si="18"/>
        <v>디센미디어
(DISM)</v>
      </c>
      <c r="B462" s="330" t="s">
        <v>3582</v>
      </c>
      <c r="C462" s="315">
        <v>270</v>
      </c>
      <c r="D462" s="331" t="s">
        <v>3614</v>
      </c>
      <c r="E462" s="234">
        <v>510000</v>
      </c>
    </row>
    <row r="463" spans="1:5" ht="15" customHeight="1">
      <c r="A463" s="922" t="str">
        <f t="shared" si="18"/>
        <v>디센미디어
(DISM)</v>
      </c>
      <c r="B463" s="330" t="s">
        <v>3582</v>
      </c>
      <c r="C463" s="315">
        <v>270</v>
      </c>
      <c r="D463" s="331" t="s">
        <v>3615</v>
      </c>
      <c r="E463" s="234">
        <v>535000</v>
      </c>
    </row>
    <row r="464" spans="1:5" ht="15" customHeight="1">
      <c r="A464" s="922" t="str">
        <f t="shared" si="18"/>
        <v>디센미디어
(DISM)</v>
      </c>
      <c r="B464" s="330" t="s">
        <v>3582</v>
      </c>
      <c r="C464" s="315">
        <v>360</v>
      </c>
      <c r="D464" s="331" t="s">
        <v>3616</v>
      </c>
      <c r="E464" s="234">
        <v>550000</v>
      </c>
    </row>
    <row r="465" spans="1:5" ht="15" customHeight="1">
      <c r="A465" s="922" t="str">
        <f t="shared" si="18"/>
        <v>디센미디어
(DISM)</v>
      </c>
      <c r="B465" s="330" t="s">
        <v>3617</v>
      </c>
      <c r="C465" s="315">
        <v>360</v>
      </c>
      <c r="D465" s="331" t="s">
        <v>3618</v>
      </c>
      <c r="E465" s="234">
        <v>735000</v>
      </c>
    </row>
    <row r="466" spans="1:5" ht="15" customHeight="1">
      <c r="A466" s="922" t="str">
        <f t="shared" si="18"/>
        <v>디센미디어
(DISM)</v>
      </c>
      <c r="B466" s="330" t="s">
        <v>3582</v>
      </c>
      <c r="C466" s="315">
        <v>175</v>
      </c>
      <c r="D466" s="331" t="s">
        <v>3619</v>
      </c>
      <c r="E466" s="234">
        <v>265000</v>
      </c>
    </row>
    <row r="467" spans="1:5" ht="15" customHeight="1">
      <c r="A467" s="922" t="str">
        <f t="shared" si="18"/>
        <v>디센미디어
(DISM)</v>
      </c>
      <c r="B467" s="330" t="s">
        <v>3582</v>
      </c>
      <c r="C467" s="315">
        <v>275</v>
      </c>
      <c r="D467" s="331" t="s">
        <v>3620</v>
      </c>
      <c r="E467" s="234">
        <v>350000</v>
      </c>
    </row>
    <row r="468" spans="1:5" ht="15" customHeight="1">
      <c r="A468" s="930" t="str">
        <f t="shared" si="18"/>
        <v>디센미디어
(DISM)</v>
      </c>
      <c r="B468" s="334" t="s">
        <v>3582</v>
      </c>
      <c r="C468" s="335">
        <v>380</v>
      </c>
      <c r="D468" s="336" t="s">
        <v>3621</v>
      </c>
      <c r="E468" s="243">
        <v>465000</v>
      </c>
    </row>
    <row r="469" spans="1:5" ht="15" customHeight="1">
      <c r="A469" s="921" t="s">
        <v>2991</v>
      </c>
      <c r="B469" s="845" t="s">
        <v>1794</v>
      </c>
      <c r="C469" s="165">
        <v>110</v>
      </c>
      <c r="D469" s="337" t="s">
        <v>2992</v>
      </c>
      <c r="E469" s="234">
        <v>310000</v>
      </c>
    </row>
    <row r="470" spans="1:5" ht="15" customHeight="1">
      <c r="A470" s="922"/>
      <c r="B470" s="846"/>
      <c r="C470" s="88">
        <v>180</v>
      </c>
      <c r="D470" s="337" t="s">
        <v>1803</v>
      </c>
      <c r="E470" s="234">
        <v>475000</v>
      </c>
    </row>
    <row r="471" spans="1:5" ht="15" customHeight="1">
      <c r="A471" s="922"/>
      <c r="B471" s="846"/>
      <c r="C471" s="88">
        <v>220</v>
      </c>
      <c r="D471" s="337" t="s">
        <v>2993</v>
      </c>
      <c r="E471" s="234">
        <v>580000</v>
      </c>
    </row>
    <row r="472" spans="1:5" ht="15" customHeight="1">
      <c r="A472" s="922"/>
      <c r="B472" s="846"/>
      <c r="C472" s="88">
        <v>300</v>
      </c>
      <c r="D472" s="337" t="s">
        <v>2994</v>
      </c>
      <c r="E472" s="234">
        <v>790000</v>
      </c>
    </row>
    <row r="473" spans="1:5" ht="15" customHeight="1">
      <c r="A473" s="922"/>
      <c r="B473" s="846"/>
      <c r="C473" s="88">
        <v>350</v>
      </c>
      <c r="D473" s="337" t="s">
        <v>2995</v>
      </c>
      <c r="E473" s="234">
        <v>925000</v>
      </c>
    </row>
    <row r="474" spans="1:5" ht="15" customHeight="1">
      <c r="A474" s="922" t="str">
        <f>A469</f>
        <v>더블랙 
(TBK)</v>
      </c>
      <c r="B474" s="846"/>
      <c r="C474" s="287">
        <v>400</v>
      </c>
      <c r="D474" s="338" t="s">
        <v>2996</v>
      </c>
      <c r="E474" s="289">
        <v>1060000</v>
      </c>
    </row>
    <row r="475" spans="1:5" ht="15" customHeight="1">
      <c r="A475" s="922"/>
      <c r="B475" s="846"/>
      <c r="C475" s="88">
        <v>120</v>
      </c>
      <c r="D475" s="339" t="s">
        <v>3622</v>
      </c>
      <c r="E475" s="256">
        <v>200000</v>
      </c>
    </row>
    <row r="476" spans="1:5" ht="15" customHeight="1">
      <c r="A476" s="922"/>
      <c r="B476" s="846"/>
      <c r="C476" s="88">
        <v>180</v>
      </c>
      <c r="D476" s="339" t="s">
        <v>3623</v>
      </c>
      <c r="E476" s="256">
        <v>285000</v>
      </c>
    </row>
    <row r="477" spans="1:5" ht="15" customHeight="1">
      <c r="A477" s="922"/>
      <c r="B477" s="846"/>
      <c r="C477" s="88">
        <v>250</v>
      </c>
      <c r="D477" s="339" t="s">
        <v>3624</v>
      </c>
      <c r="E477" s="256">
        <v>395000</v>
      </c>
    </row>
    <row r="478" spans="1:5" ht="15" customHeight="1">
      <c r="A478" s="922"/>
      <c r="B478" s="846"/>
      <c r="C478" s="88">
        <v>300</v>
      </c>
      <c r="D478" s="339" t="s">
        <v>3625</v>
      </c>
      <c r="E478" s="256">
        <v>475000</v>
      </c>
    </row>
    <row r="479" spans="1:5" ht="15" customHeight="1">
      <c r="A479" s="922"/>
      <c r="B479" s="846"/>
      <c r="C479" s="88">
        <v>350</v>
      </c>
      <c r="D479" s="339" t="s">
        <v>3626</v>
      </c>
      <c r="E479" s="256">
        <v>550000</v>
      </c>
    </row>
    <row r="480" spans="1:5" ht="15" customHeight="1">
      <c r="A480" s="922"/>
      <c r="B480" s="846"/>
      <c r="C480" s="287">
        <v>400</v>
      </c>
      <c r="D480" s="340" t="s">
        <v>3627</v>
      </c>
      <c r="E480" s="341">
        <v>635000</v>
      </c>
    </row>
    <row r="481" spans="1:5" ht="15" customHeight="1">
      <c r="A481" s="922" t="str">
        <f>A474</f>
        <v>더블랙 
(TBK)</v>
      </c>
      <c r="B481" s="846"/>
      <c r="C481" s="88">
        <v>120</v>
      </c>
      <c r="D481" s="337" t="s">
        <v>2997</v>
      </c>
      <c r="E481" s="234">
        <v>190000</v>
      </c>
    </row>
    <row r="482" spans="1:5" ht="15" customHeight="1">
      <c r="A482" s="922"/>
      <c r="B482" s="846"/>
      <c r="C482" s="88">
        <v>250</v>
      </c>
      <c r="D482" s="337" t="s">
        <v>1804</v>
      </c>
      <c r="E482" s="234">
        <v>380000</v>
      </c>
    </row>
    <row r="483" spans="1:5" ht="15" customHeight="1">
      <c r="A483" s="922"/>
      <c r="B483" s="846"/>
      <c r="C483" s="88">
        <v>300</v>
      </c>
      <c r="D483" s="337" t="s">
        <v>2123</v>
      </c>
      <c r="E483" s="234">
        <v>455000</v>
      </c>
    </row>
    <row r="484" spans="1:5" ht="15" customHeight="1">
      <c r="A484" s="922"/>
      <c r="B484" s="846"/>
      <c r="C484" s="88">
        <v>350</v>
      </c>
      <c r="D484" s="342" t="s">
        <v>2124</v>
      </c>
      <c r="E484" s="234">
        <v>530000</v>
      </c>
    </row>
    <row r="485" spans="1:5" ht="15" customHeight="1">
      <c r="A485" s="922"/>
      <c r="B485" s="847"/>
      <c r="C485" s="287">
        <v>400</v>
      </c>
      <c r="D485" s="343" t="s">
        <v>2125</v>
      </c>
      <c r="E485" s="243">
        <v>605000</v>
      </c>
    </row>
    <row r="486" spans="1:5" ht="15" customHeight="1">
      <c r="A486" s="921" t="s">
        <v>3628</v>
      </c>
      <c r="B486" s="850" t="s">
        <v>1889</v>
      </c>
      <c r="C486" s="855">
        <v>120</v>
      </c>
      <c r="D486" s="337" t="s">
        <v>3629</v>
      </c>
      <c r="E486" s="234">
        <v>320000</v>
      </c>
    </row>
    <row r="487" spans="1:5" ht="15" customHeight="1">
      <c r="A487" s="922" t="str">
        <f>A486</f>
        <v>더튜브
(TTB)</v>
      </c>
      <c r="B487" s="846"/>
      <c r="C487" s="844"/>
      <c r="D487" s="338" t="s">
        <v>3630</v>
      </c>
      <c r="E487" s="289">
        <v>445000</v>
      </c>
    </row>
    <row r="488" spans="1:5" ht="15" customHeight="1">
      <c r="A488" s="922" t="str">
        <f>A487</f>
        <v>더튜브
(TTB)</v>
      </c>
      <c r="B488" s="846"/>
      <c r="C488" s="853">
        <v>120</v>
      </c>
      <c r="D488" s="337" t="s">
        <v>3631</v>
      </c>
      <c r="E488" s="234">
        <v>430000</v>
      </c>
    </row>
    <row r="489" spans="1:5" ht="15" customHeight="1">
      <c r="A489" s="922" t="str">
        <f>A488</f>
        <v>더튜브
(TTB)</v>
      </c>
      <c r="B489" s="846"/>
      <c r="C489" s="844"/>
      <c r="D489" s="338" t="s">
        <v>3632</v>
      </c>
      <c r="E489" s="289">
        <v>550000</v>
      </c>
    </row>
    <row r="490" spans="1:5" ht="15" customHeight="1">
      <c r="A490" s="922" t="str">
        <f>A489</f>
        <v>더튜브
(TTB)</v>
      </c>
      <c r="B490" s="846"/>
      <c r="C490" s="853">
        <v>360</v>
      </c>
      <c r="D490" s="337" t="s">
        <v>3633</v>
      </c>
      <c r="E490" s="234">
        <v>1445000</v>
      </c>
    </row>
    <row r="491" spans="1:5" ht="15" customHeight="1">
      <c r="A491" s="923" t="str">
        <f>A490</f>
        <v>더튜브
(TTB)</v>
      </c>
      <c r="B491" s="847"/>
      <c r="C491" s="854"/>
      <c r="D491" s="345" t="s">
        <v>3634</v>
      </c>
      <c r="E491" s="238">
        <v>1795000</v>
      </c>
    </row>
    <row r="492" spans="1:5" ht="15" customHeight="1">
      <c r="A492" s="924" t="s">
        <v>4644</v>
      </c>
      <c r="B492" s="850" t="s">
        <v>4645</v>
      </c>
      <c r="C492" s="165"/>
      <c r="D492" s="346" t="s">
        <v>4646</v>
      </c>
      <c r="E492" s="233"/>
    </row>
    <row r="493" spans="1:5" ht="15" customHeight="1">
      <c r="A493" s="925"/>
      <c r="B493" s="846"/>
      <c r="C493" s="88">
        <v>120</v>
      </c>
      <c r="D493" s="337" t="s">
        <v>4647</v>
      </c>
      <c r="E493" s="234">
        <v>260000</v>
      </c>
    </row>
    <row r="494" spans="1:5" ht="15" customHeight="1">
      <c r="A494" s="925"/>
      <c r="B494" s="846"/>
      <c r="C494" s="88">
        <v>120</v>
      </c>
      <c r="D494" s="337" t="s">
        <v>4648</v>
      </c>
      <c r="E494" s="234">
        <v>330000</v>
      </c>
    </row>
    <row r="495" spans="1:5" ht="15" customHeight="1">
      <c r="A495" s="925"/>
      <c r="B495" s="846"/>
      <c r="C495" s="88">
        <v>120</v>
      </c>
      <c r="D495" s="337" t="s">
        <v>4649</v>
      </c>
      <c r="E495" s="234">
        <v>355000</v>
      </c>
    </row>
    <row r="496" spans="1:5" ht="15" customHeight="1">
      <c r="A496" s="926"/>
      <c r="B496" s="849"/>
      <c r="C496" s="154">
        <v>120</v>
      </c>
      <c r="D496" s="347" t="s">
        <v>4650</v>
      </c>
      <c r="E496" s="243">
        <v>335000</v>
      </c>
    </row>
    <row r="497" spans="1:5" ht="15" customHeight="1">
      <c r="A497" s="922" t="s">
        <v>3635</v>
      </c>
      <c r="B497" s="845" t="s">
        <v>1856</v>
      </c>
      <c r="C497" s="88">
        <v>80</v>
      </c>
      <c r="D497" s="257" t="s">
        <v>3636</v>
      </c>
      <c r="E497" s="256">
        <v>195000</v>
      </c>
    </row>
    <row r="498" spans="1:5" ht="15" customHeight="1">
      <c r="A498" s="922" t="str">
        <f>A497</f>
        <v xml:space="preserve">디자인 라벨
(LAB)  
 </v>
      </c>
      <c r="B498" s="846"/>
      <c r="C498" s="88">
        <v>95</v>
      </c>
      <c r="D498" s="257" t="s">
        <v>3637</v>
      </c>
      <c r="E498" s="256">
        <v>215000</v>
      </c>
    </row>
    <row r="499" spans="1:5" ht="15" customHeight="1">
      <c r="A499" s="922" t="str">
        <f>A498</f>
        <v xml:space="preserve">디자인 라벨
(LAB)  
 </v>
      </c>
      <c r="B499" s="851"/>
      <c r="C499" s="287">
        <v>90</v>
      </c>
      <c r="D499" s="348" t="s">
        <v>3638</v>
      </c>
      <c r="E499" s="341">
        <v>100000</v>
      </c>
    </row>
    <row r="500" spans="1:5" ht="15" customHeight="1">
      <c r="A500" s="922" t="str">
        <f>A499</f>
        <v xml:space="preserve">디자인 라벨
(LAB)  
 </v>
      </c>
      <c r="B500" s="848" t="s">
        <v>3472</v>
      </c>
      <c r="C500" s="88">
        <v>90</v>
      </c>
      <c r="D500" s="150" t="s">
        <v>3639</v>
      </c>
      <c r="E500" s="234">
        <v>675000</v>
      </c>
    </row>
    <row r="501" spans="1:5" ht="15" customHeight="1">
      <c r="A501" s="922" t="str">
        <f>A500</f>
        <v xml:space="preserve">디자인 라벨
(LAB)  
 </v>
      </c>
      <c r="B501" s="846"/>
      <c r="C501" s="88">
        <v>80</v>
      </c>
      <c r="D501" s="150" t="s">
        <v>3640</v>
      </c>
      <c r="E501" s="234">
        <v>350000</v>
      </c>
    </row>
    <row r="502" spans="1:5" ht="15" customHeight="1">
      <c r="A502" s="922" t="str">
        <f>A501</f>
        <v xml:space="preserve">디자인 라벨
(LAB)  
 </v>
      </c>
      <c r="B502" s="846"/>
      <c r="C502" s="88">
        <v>90</v>
      </c>
      <c r="D502" s="150" t="s">
        <v>3641</v>
      </c>
      <c r="E502" s="234">
        <v>460000</v>
      </c>
    </row>
    <row r="503" spans="1:5" ht="15" customHeight="1">
      <c r="A503" s="922"/>
      <c r="B503" s="846"/>
      <c r="C503" s="287">
        <v>65</v>
      </c>
      <c r="D503" s="288" t="s">
        <v>3642</v>
      </c>
      <c r="E503" s="289">
        <v>1100000</v>
      </c>
    </row>
    <row r="504" spans="1:5" ht="15" customHeight="1">
      <c r="A504" s="922" t="str">
        <f>A502</f>
        <v xml:space="preserve">디자인 라벨
(LAB)  
 </v>
      </c>
      <c r="B504" s="851"/>
      <c r="C504" s="287">
        <v>206</v>
      </c>
      <c r="D504" s="288" t="s">
        <v>3643</v>
      </c>
      <c r="E504" s="289">
        <v>1350000</v>
      </c>
    </row>
    <row r="505" spans="1:5" ht="15" customHeight="1">
      <c r="A505" s="922" t="e">
        <f>#REF!</f>
        <v>#REF!</v>
      </c>
      <c r="B505" s="848" t="s">
        <v>3644</v>
      </c>
      <c r="C505" s="88">
        <v>120</v>
      </c>
      <c r="D505" s="150" t="s">
        <v>3645</v>
      </c>
      <c r="E505" s="234">
        <v>840000</v>
      </c>
    </row>
    <row r="506" spans="1:5" ht="15" customHeight="1">
      <c r="A506" s="922" t="e">
        <f t="shared" ref="A506:A509" si="19">A505</f>
        <v>#REF!</v>
      </c>
      <c r="B506" s="846"/>
      <c r="C506" s="88">
        <v>120</v>
      </c>
      <c r="D506" s="150" t="s">
        <v>3646</v>
      </c>
      <c r="E506" s="234">
        <v>1000000</v>
      </c>
    </row>
    <row r="507" spans="1:5" ht="15" customHeight="1">
      <c r="A507" s="922" t="e">
        <f t="shared" si="19"/>
        <v>#REF!</v>
      </c>
      <c r="B507" s="846"/>
      <c r="C507" s="88">
        <v>120</v>
      </c>
      <c r="D507" s="150" t="s">
        <v>3647</v>
      </c>
      <c r="E507" s="234">
        <v>1000000</v>
      </c>
    </row>
    <row r="508" spans="1:5" ht="15" customHeight="1">
      <c r="A508" s="922" t="e">
        <f t="shared" si="19"/>
        <v>#REF!</v>
      </c>
      <c r="B508" s="846"/>
      <c r="C508" s="88">
        <v>110</v>
      </c>
      <c r="D508" s="150" t="s">
        <v>3648</v>
      </c>
      <c r="E508" s="234">
        <v>930000</v>
      </c>
    </row>
    <row r="509" spans="1:5" ht="15" customHeight="1">
      <c r="A509" s="922" t="e">
        <f t="shared" si="19"/>
        <v>#REF!</v>
      </c>
      <c r="B509" s="851"/>
      <c r="C509" s="287">
        <v>90</v>
      </c>
      <c r="D509" s="288" t="s">
        <v>3649</v>
      </c>
      <c r="E509" s="289">
        <v>595000</v>
      </c>
    </row>
    <row r="510" spans="1:5" ht="15" customHeight="1">
      <c r="A510" s="927" t="s">
        <v>3650</v>
      </c>
      <c r="B510" s="152" t="s">
        <v>1752</v>
      </c>
      <c r="C510" s="842">
        <v>250</v>
      </c>
      <c r="D510" s="350" t="s">
        <v>3651</v>
      </c>
      <c r="E510" s="351">
        <v>845000</v>
      </c>
    </row>
    <row r="511" spans="1:5" ht="15" customHeight="1">
      <c r="A511" s="922"/>
      <c r="B511" s="846" t="s">
        <v>3652</v>
      </c>
      <c r="C511" s="843"/>
      <c r="D511" s="150" t="s">
        <v>3651</v>
      </c>
      <c r="E511" s="234">
        <v>420000</v>
      </c>
    </row>
    <row r="512" spans="1:5" ht="15" customHeight="1">
      <c r="A512" s="948" t="str">
        <f>A510</f>
        <v>띤또레또
(TIN)</v>
      </c>
      <c r="B512" s="851"/>
      <c r="C512" s="844"/>
      <c r="D512" s="288" t="s">
        <v>3653</v>
      </c>
      <c r="E512" s="289">
        <v>315000</v>
      </c>
    </row>
    <row r="513" spans="1:5" ht="15" customHeight="1">
      <c r="A513" s="948" t="str">
        <f t="shared" ref="A513:A522" si="20">A512</f>
        <v>띤또레또
(TIN)</v>
      </c>
      <c r="B513" s="848" t="s">
        <v>1752</v>
      </c>
      <c r="C513" s="88">
        <v>140</v>
      </c>
      <c r="D513" s="150" t="s">
        <v>3654</v>
      </c>
      <c r="E513" s="234">
        <v>357000</v>
      </c>
    </row>
    <row r="514" spans="1:5" ht="15" customHeight="1">
      <c r="A514" s="948" t="str">
        <f t="shared" si="20"/>
        <v>띤또레또
(TIN)</v>
      </c>
      <c r="B514" s="846"/>
      <c r="C514" s="88">
        <v>186</v>
      </c>
      <c r="D514" s="150" t="s">
        <v>3655</v>
      </c>
      <c r="E514" s="234">
        <v>475000</v>
      </c>
    </row>
    <row r="515" spans="1:5" ht="15" customHeight="1">
      <c r="A515" s="948" t="str">
        <f t="shared" si="20"/>
        <v>띤또레또
(TIN)</v>
      </c>
      <c r="B515" s="846"/>
      <c r="C515" s="88">
        <v>200</v>
      </c>
      <c r="D515" s="150" t="s">
        <v>3656</v>
      </c>
      <c r="E515" s="234">
        <v>510000</v>
      </c>
    </row>
    <row r="516" spans="1:5" ht="15" customHeight="1">
      <c r="A516" s="948" t="str">
        <f t="shared" si="20"/>
        <v>띤또레또
(TIN)</v>
      </c>
      <c r="B516" s="846"/>
      <c r="C516" s="88">
        <v>250</v>
      </c>
      <c r="D516" s="150" t="s">
        <v>3657</v>
      </c>
      <c r="E516" s="234">
        <v>640000</v>
      </c>
    </row>
    <row r="517" spans="1:5" ht="15" customHeight="1">
      <c r="A517" s="948" t="str">
        <f t="shared" si="20"/>
        <v>띤또레또
(TIN)</v>
      </c>
      <c r="B517" s="846"/>
      <c r="C517" s="853">
        <v>300</v>
      </c>
      <c r="D517" s="153" t="s">
        <v>3658</v>
      </c>
      <c r="E517" s="241">
        <v>765000</v>
      </c>
    </row>
    <row r="518" spans="1:5" ht="15" customHeight="1">
      <c r="A518" s="948" t="str">
        <f t="shared" si="20"/>
        <v>띤또레또
(TIN)</v>
      </c>
      <c r="B518" s="846"/>
      <c r="C518" s="843"/>
      <c r="D518" s="150" t="s">
        <v>2998</v>
      </c>
      <c r="E518" s="234">
        <v>800000</v>
      </c>
    </row>
    <row r="519" spans="1:5" ht="15" customHeight="1">
      <c r="A519" s="948" t="str">
        <f t="shared" si="20"/>
        <v>띤또레또
(TIN)</v>
      </c>
      <c r="B519" s="846"/>
      <c r="C519" s="843"/>
      <c r="D519" s="150" t="s">
        <v>2999</v>
      </c>
      <c r="E519" s="234">
        <v>1130000</v>
      </c>
    </row>
    <row r="520" spans="1:5" ht="15" customHeight="1">
      <c r="A520" s="948" t="str">
        <f t="shared" si="20"/>
        <v>띤또레또
(TIN)</v>
      </c>
      <c r="B520" s="846"/>
      <c r="C520" s="844"/>
      <c r="D520" s="288" t="s">
        <v>3000</v>
      </c>
      <c r="E520" s="289">
        <v>1130000</v>
      </c>
    </row>
    <row r="521" spans="1:5" ht="15" customHeight="1">
      <c r="A521" s="948" t="str">
        <f t="shared" si="20"/>
        <v>띤또레또
(TIN)</v>
      </c>
      <c r="B521" s="851"/>
      <c r="C521" s="287">
        <v>350</v>
      </c>
      <c r="D521" s="288" t="s">
        <v>3659</v>
      </c>
      <c r="E521" s="289">
        <v>890000</v>
      </c>
    </row>
    <row r="522" spans="1:5" ht="15" customHeight="1">
      <c r="A522" s="949" t="str">
        <f t="shared" si="20"/>
        <v>띤또레또
(TIN)</v>
      </c>
      <c r="B522" s="352" t="s">
        <v>1788</v>
      </c>
      <c r="C522" s="353">
        <v>300</v>
      </c>
      <c r="D522" s="354" t="s">
        <v>3660</v>
      </c>
      <c r="E522" s="355">
        <v>530000</v>
      </c>
    </row>
    <row r="523" spans="1:5" ht="15" customHeight="1">
      <c r="A523" s="923" t="s">
        <v>1890</v>
      </c>
      <c r="B523" s="845" t="s">
        <v>1752</v>
      </c>
      <c r="C523" s="842">
        <v>120</v>
      </c>
      <c r="D523" s="150" t="s">
        <v>1891</v>
      </c>
      <c r="E523" s="234">
        <v>725000</v>
      </c>
    </row>
    <row r="524" spans="1:5" ht="15" customHeight="1">
      <c r="A524" s="923" t="str">
        <f t="shared" ref="A524:A532" si="21">A523</f>
        <v>람세스
(RAM)</v>
      </c>
      <c r="B524" s="846"/>
      <c r="C524" s="843"/>
      <c r="D524" s="257" t="s">
        <v>3661</v>
      </c>
      <c r="E524" s="256">
        <v>500000</v>
      </c>
    </row>
    <row r="525" spans="1:5" ht="15" customHeight="1">
      <c r="A525" s="938" t="str">
        <f t="shared" si="21"/>
        <v>람세스
(RAM)</v>
      </c>
      <c r="B525" s="846"/>
      <c r="C525" s="843"/>
      <c r="D525" s="257" t="s">
        <v>3662</v>
      </c>
      <c r="E525" s="256">
        <v>550000</v>
      </c>
    </row>
    <row r="526" spans="1:5" ht="15" customHeight="1">
      <c r="A526" s="938" t="str">
        <f t="shared" si="21"/>
        <v>람세스
(RAM)</v>
      </c>
      <c r="B526" s="846"/>
      <c r="C526" s="844"/>
      <c r="D526" s="257" t="s">
        <v>3663</v>
      </c>
      <c r="E526" s="341">
        <v>580000</v>
      </c>
    </row>
    <row r="527" spans="1:5" ht="15" customHeight="1">
      <c r="A527" s="938" t="str">
        <f t="shared" si="21"/>
        <v>람세스
(RAM)</v>
      </c>
      <c r="B527" s="846"/>
      <c r="C527" s="853">
        <v>150</v>
      </c>
      <c r="D527" s="153" t="s">
        <v>1892</v>
      </c>
      <c r="E527" s="241">
        <v>835000</v>
      </c>
    </row>
    <row r="528" spans="1:5" ht="15" customHeight="1">
      <c r="A528" s="938" t="str">
        <f t="shared" si="21"/>
        <v>람세스
(RAM)</v>
      </c>
      <c r="B528" s="846"/>
      <c r="C528" s="843"/>
      <c r="D528" s="257" t="s">
        <v>3664</v>
      </c>
      <c r="E528" s="256">
        <v>620000</v>
      </c>
    </row>
    <row r="529" spans="1:5" ht="15" customHeight="1">
      <c r="A529" s="938" t="str">
        <f t="shared" si="21"/>
        <v>람세스
(RAM)</v>
      </c>
      <c r="B529" s="846"/>
      <c r="C529" s="844"/>
      <c r="D529" s="348" t="s">
        <v>3665</v>
      </c>
      <c r="E529" s="341">
        <v>680000</v>
      </c>
    </row>
    <row r="530" spans="1:5" ht="15" customHeight="1">
      <c r="A530" s="938" t="str">
        <f t="shared" si="21"/>
        <v>람세스
(RAM)</v>
      </c>
      <c r="B530" s="846"/>
      <c r="C530" s="853">
        <v>200</v>
      </c>
      <c r="D530" s="150" t="s">
        <v>1893</v>
      </c>
      <c r="E530" s="241">
        <v>1150000</v>
      </c>
    </row>
    <row r="531" spans="1:5" ht="15" customHeight="1">
      <c r="A531" s="938" t="str">
        <f t="shared" si="21"/>
        <v>람세스
(RAM)</v>
      </c>
      <c r="B531" s="846"/>
      <c r="C531" s="843"/>
      <c r="D531" s="257" t="s">
        <v>3666</v>
      </c>
      <c r="E531" s="256">
        <v>815000</v>
      </c>
    </row>
    <row r="532" spans="1:5" ht="15" customHeight="1">
      <c r="A532" s="938" t="str">
        <f t="shared" si="21"/>
        <v>람세스
(RAM)</v>
      </c>
      <c r="B532" s="847"/>
      <c r="C532" s="854"/>
      <c r="D532" s="258" t="s">
        <v>3667</v>
      </c>
      <c r="E532" s="259">
        <v>890000</v>
      </c>
    </row>
    <row r="533" spans="1:5" ht="15" customHeight="1">
      <c r="A533" s="938" t="s">
        <v>3668</v>
      </c>
      <c r="B533" s="850" t="s">
        <v>3669</v>
      </c>
      <c r="C533" s="855">
        <v>130</v>
      </c>
      <c r="D533" s="356" t="s">
        <v>3670</v>
      </c>
      <c r="E533" s="233">
        <v>1200000</v>
      </c>
    </row>
    <row r="534" spans="1:5" ht="15" customHeight="1">
      <c r="A534" s="938" t="str">
        <f t="shared" ref="A534:A555" si="22">A533</f>
        <v>레더텍스
(LTX)</v>
      </c>
      <c r="B534" s="846"/>
      <c r="C534" s="843"/>
      <c r="D534" s="94" t="s">
        <v>3671</v>
      </c>
      <c r="E534" s="234">
        <v>975000</v>
      </c>
    </row>
    <row r="535" spans="1:5" ht="15" customHeight="1">
      <c r="A535" s="938" t="str">
        <f t="shared" si="22"/>
        <v>레더텍스
(LTX)</v>
      </c>
      <c r="B535" s="846"/>
      <c r="C535" s="843"/>
      <c r="D535" s="94" t="s">
        <v>3672</v>
      </c>
      <c r="E535" s="234">
        <v>1335000</v>
      </c>
    </row>
    <row r="536" spans="1:5" ht="15" customHeight="1">
      <c r="A536" s="938" t="str">
        <f t="shared" si="22"/>
        <v>레더텍스
(LTX)</v>
      </c>
      <c r="B536" s="846"/>
      <c r="C536" s="843"/>
      <c r="D536" s="94" t="s">
        <v>3673</v>
      </c>
      <c r="E536" s="234">
        <v>1400000</v>
      </c>
    </row>
    <row r="537" spans="1:5" ht="15" customHeight="1">
      <c r="A537" s="938" t="str">
        <f t="shared" si="22"/>
        <v>레더텍스
(LTX)</v>
      </c>
      <c r="B537" s="846"/>
      <c r="C537" s="843"/>
      <c r="D537" s="94" t="s">
        <v>3674</v>
      </c>
      <c r="E537" s="234">
        <v>875000</v>
      </c>
    </row>
    <row r="538" spans="1:5" ht="15" customHeight="1">
      <c r="A538" s="938" t="str">
        <f t="shared" si="22"/>
        <v>레더텍스
(LTX)</v>
      </c>
      <c r="B538" s="846"/>
      <c r="C538" s="843"/>
      <c r="D538" s="94" t="s">
        <v>3675</v>
      </c>
      <c r="E538" s="234">
        <v>1300000</v>
      </c>
    </row>
    <row r="539" spans="1:5" ht="15" customHeight="1">
      <c r="A539" s="938" t="str">
        <f t="shared" si="22"/>
        <v>레더텍스
(LTX)</v>
      </c>
      <c r="B539" s="846"/>
      <c r="C539" s="843"/>
      <c r="D539" s="94" t="s">
        <v>3676</v>
      </c>
      <c r="E539" s="234">
        <v>1400000</v>
      </c>
    </row>
    <row r="540" spans="1:5" ht="15" customHeight="1">
      <c r="A540" s="938" t="str">
        <f t="shared" si="22"/>
        <v>레더텍스
(LTX)</v>
      </c>
      <c r="B540" s="846"/>
      <c r="C540" s="843"/>
      <c r="D540" s="94" t="s">
        <v>3677</v>
      </c>
      <c r="E540" s="234">
        <v>1450000</v>
      </c>
    </row>
    <row r="541" spans="1:5" ht="15" customHeight="1">
      <c r="A541" s="938" t="str">
        <f t="shared" si="22"/>
        <v>레더텍스
(LTX)</v>
      </c>
      <c r="B541" s="846"/>
      <c r="C541" s="843"/>
      <c r="D541" s="94" t="s">
        <v>3678</v>
      </c>
      <c r="E541" s="234">
        <v>1450000</v>
      </c>
    </row>
    <row r="542" spans="1:5" ht="15" customHeight="1">
      <c r="A542" s="938" t="str">
        <f t="shared" si="22"/>
        <v>레더텍스
(LTX)</v>
      </c>
      <c r="B542" s="846"/>
      <c r="C542" s="843"/>
      <c r="D542" s="94" t="s">
        <v>3679</v>
      </c>
      <c r="E542" s="234">
        <v>1370000</v>
      </c>
    </row>
    <row r="543" spans="1:5" ht="15" customHeight="1">
      <c r="A543" s="938" t="str">
        <f t="shared" si="22"/>
        <v>레더텍스
(LTX)</v>
      </c>
      <c r="B543" s="846"/>
      <c r="C543" s="843"/>
      <c r="D543" s="94" t="s">
        <v>3680</v>
      </c>
      <c r="E543" s="234">
        <v>1500000</v>
      </c>
    </row>
    <row r="544" spans="1:5" ht="15" customHeight="1">
      <c r="A544" s="921" t="str">
        <f t="shared" si="22"/>
        <v>레더텍스
(LTX)</v>
      </c>
      <c r="B544" s="846"/>
      <c r="C544" s="843"/>
      <c r="D544" s="94" t="s">
        <v>3681</v>
      </c>
      <c r="E544" s="234">
        <v>1265000</v>
      </c>
    </row>
    <row r="545" spans="1:5" ht="15" customHeight="1">
      <c r="A545" s="921" t="str">
        <f t="shared" si="22"/>
        <v>레더텍스
(LTX)</v>
      </c>
      <c r="B545" s="846"/>
      <c r="C545" s="843"/>
      <c r="D545" s="94" t="s">
        <v>1894</v>
      </c>
      <c r="E545" s="234">
        <v>1315000</v>
      </c>
    </row>
    <row r="546" spans="1:5" ht="15" customHeight="1">
      <c r="A546" s="921" t="str">
        <f t="shared" si="22"/>
        <v>레더텍스
(LTX)</v>
      </c>
      <c r="B546" s="846"/>
      <c r="C546" s="843"/>
      <c r="D546" s="94" t="s">
        <v>3682</v>
      </c>
      <c r="E546" s="234">
        <v>1400000</v>
      </c>
    </row>
    <row r="547" spans="1:5" ht="14.4" customHeight="1">
      <c r="A547" s="921" t="str">
        <f t="shared" si="22"/>
        <v>레더텍스
(LTX)</v>
      </c>
      <c r="B547" s="846"/>
      <c r="C547" s="843"/>
      <c r="D547" s="94" t="s">
        <v>3683</v>
      </c>
      <c r="E547" s="234">
        <v>750000</v>
      </c>
    </row>
    <row r="548" spans="1:5" ht="14.4" customHeight="1">
      <c r="A548" s="921" t="str">
        <f t="shared" si="22"/>
        <v>레더텍스
(LTX)</v>
      </c>
      <c r="B548" s="846"/>
      <c r="C548" s="843"/>
      <c r="D548" s="94" t="s">
        <v>3684</v>
      </c>
      <c r="E548" s="234">
        <v>1400000</v>
      </c>
    </row>
    <row r="549" spans="1:5" ht="15" customHeight="1">
      <c r="A549" s="921" t="str">
        <f t="shared" si="22"/>
        <v>레더텍스
(LTX)</v>
      </c>
      <c r="B549" s="851"/>
      <c r="C549" s="844"/>
      <c r="D549" s="94" t="s">
        <v>3685</v>
      </c>
      <c r="E549" s="234">
        <v>1500000</v>
      </c>
    </row>
    <row r="550" spans="1:5" ht="15" customHeight="1">
      <c r="A550" s="921" t="str">
        <f t="shared" si="22"/>
        <v>레더텍스
(LTX)</v>
      </c>
      <c r="B550" s="326" t="s">
        <v>3686</v>
      </c>
      <c r="C550" s="90">
        <v>130</v>
      </c>
      <c r="D550" s="277" t="s">
        <v>3687</v>
      </c>
      <c r="E550" s="244">
        <v>500000</v>
      </c>
    </row>
    <row r="551" spans="1:5" ht="15" customHeight="1">
      <c r="A551" s="921" t="str">
        <f t="shared" si="22"/>
        <v>레더텍스
(LTX)</v>
      </c>
      <c r="B551" s="326" t="s">
        <v>3688</v>
      </c>
      <c r="C551" s="90">
        <v>130</v>
      </c>
      <c r="D551" s="277" t="s">
        <v>3689</v>
      </c>
      <c r="E551" s="244">
        <v>1325000</v>
      </c>
    </row>
    <row r="552" spans="1:5" ht="15" customHeight="1">
      <c r="A552" s="921" t="str">
        <f t="shared" si="22"/>
        <v>레더텍스
(LTX)</v>
      </c>
      <c r="B552" s="848" t="s">
        <v>3690</v>
      </c>
      <c r="C552" s="853">
        <v>130</v>
      </c>
      <c r="D552" s="94" t="s">
        <v>3691</v>
      </c>
      <c r="E552" s="234">
        <v>1230000</v>
      </c>
    </row>
    <row r="553" spans="1:5" ht="15" customHeight="1">
      <c r="A553" s="921" t="str">
        <f t="shared" si="22"/>
        <v>레더텍스
(LTX)</v>
      </c>
      <c r="B553" s="846"/>
      <c r="C553" s="843"/>
      <c r="D553" s="94" t="s">
        <v>3692</v>
      </c>
      <c r="E553" s="234">
        <v>1230000</v>
      </c>
    </row>
    <row r="554" spans="1:5" ht="15" customHeight="1">
      <c r="A554" s="921" t="str">
        <f t="shared" si="22"/>
        <v>레더텍스
(LTX)</v>
      </c>
      <c r="B554" s="846"/>
      <c r="C554" s="843"/>
      <c r="D554" s="94" t="s">
        <v>3693</v>
      </c>
      <c r="E554" s="234">
        <v>1230000</v>
      </c>
    </row>
    <row r="555" spans="1:5" ht="15" customHeight="1">
      <c r="A555" s="932" t="str">
        <f t="shared" si="22"/>
        <v>레더텍스
(LTX)</v>
      </c>
      <c r="B555" s="849"/>
      <c r="C555" s="858"/>
      <c r="D555" s="162" t="s">
        <v>3694</v>
      </c>
      <c r="E555" s="243">
        <v>1230000</v>
      </c>
    </row>
    <row r="556" spans="1:5" ht="15" customHeight="1">
      <c r="A556" s="922" t="s">
        <v>3695</v>
      </c>
      <c r="B556" s="845" t="s">
        <v>1752</v>
      </c>
      <c r="C556" s="88">
        <v>80</v>
      </c>
      <c r="D556" s="150">
        <v>1</v>
      </c>
      <c r="E556" s="234">
        <v>105000</v>
      </c>
    </row>
    <row r="557" spans="1:5" ht="15" customHeight="1">
      <c r="A557" s="922" t="str">
        <f t="shared" ref="A557:A569" si="23">A556</f>
        <v>레세보 디자인
(LBD)</v>
      </c>
      <c r="B557" s="846"/>
      <c r="C557" s="88">
        <v>100</v>
      </c>
      <c r="D557" s="150" t="s">
        <v>3696</v>
      </c>
      <c r="E557" s="234">
        <v>131000</v>
      </c>
    </row>
    <row r="558" spans="1:5" ht="15" customHeight="1">
      <c r="A558" s="922" t="str">
        <f t="shared" si="23"/>
        <v>레세보 디자인
(LBD)</v>
      </c>
      <c r="B558" s="846"/>
      <c r="C558" s="88">
        <v>150</v>
      </c>
      <c r="D558" s="150" t="s">
        <v>3697</v>
      </c>
      <c r="E558" s="234">
        <v>196000</v>
      </c>
    </row>
    <row r="559" spans="1:5" ht="15" customHeight="1">
      <c r="A559" s="922" t="str">
        <f t="shared" si="23"/>
        <v>레세보 디자인
(LBD)</v>
      </c>
      <c r="B559" s="846"/>
      <c r="C559" s="88">
        <v>200</v>
      </c>
      <c r="D559" s="150" t="s">
        <v>3698</v>
      </c>
      <c r="E559" s="234">
        <v>262000</v>
      </c>
    </row>
    <row r="560" spans="1:5" ht="15" customHeight="1">
      <c r="A560" s="922" t="str">
        <f t="shared" si="23"/>
        <v>레세보 디자인
(LBD)</v>
      </c>
      <c r="B560" s="846"/>
      <c r="C560" s="88">
        <v>240</v>
      </c>
      <c r="D560" s="150" t="s">
        <v>3699</v>
      </c>
      <c r="E560" s="234">
        <v>315000</v>
      </c>
    </row>
    <row r="561" spans="1:5" ht="15" customHeight="1">
      <c r="A561" s="922" t="str">
        <f t="shared" si="23"/>
        <v>레세보 디자인
(LBD)</v>
      </c>
      <c r="B561" s="846"/>
      <c r="C561" s="88">
        <v>300</v>
      </c>
      <c r="D561" s="150" t="s">
        <v>3700</v>
      </c>
      <c r="E561" s="234">
        <v>395000</v>
      </c>
    </row>
    <row r="562" spans="1:5" ht="15" customHeight="1">
      <c r="A562" s="922" t="str">
        <f t="shared" si="23"/>
        <v>레세보 디자인
(LBD)</v>
      </c>
      <c r="B562" s="851"/>
      <c r="C562" s="88">
        <v>350</v>
      </c>
      <c r="D562" s="150">
        <v>7</v>
      </c>
      <c r="E562" s="234">
        <v>505000</v>
      </c>
    </row>
    <row r="563" spans="1:5" ht="15" customHeight="1">
      <c r="A563" s="922" t="str">
        <f t="shared" si="23"/>
        <v>레세보 디자인
(LBD)</v>
      </c>
      <c r="B563" s="848" t="s">
        <v>1895</v>
      </c>
      <c r="C563" s="89">
        <v>80</v>
      </c>
      <c r="D563" s="168" t="s">
        <v>3701</v>
      </c>
      <c r="E563" s="241">
        <v>73000</v>
      </c>
    </row>
    <row r="564" spans="1:5" ht="15" customHeight="1">
      <c r="A564" s="922" t="str">
        <f t="shared" si="23"/>
        <v>레세보 디자인
(LBD)</v>
      </c>
      <c r="B564" s="846"/>
      <c r="C564" s="88">
        <v>100</v>
      </c>
      <c r="D564" s="167" t="s">
        <v>3702</v>
      </c>
      <c r="E564" s="234">
        <v>91000</v>
      </c>
    </row>
    <row r="565" spans="1:5" ht="15" customHeight="1">
      <c r="A565" s="922" t="str">
        <f t="shared" si="23"/>
        <v>레세보 디자인
(LBD)</v>
      </c>
      <c r="B565" s="846"/>
      <c r="C565" s="88">
        <v>150</v>
      </c>
      <c r="D565" s="167" t="s">
        <v>3703</v>
      </c>
      <c r="E565" s="234">
        <v>137000</v>
      </c>
    </row>
    <row r="566" spans="1:5" ht="15" customHeight="1">
      <c r="A566" s="922" t="str">
        <f t="shared" si="23"/>
        <v>레세보 디자인
(LBD)</v>
      </c>
      <c r="B566" s="846"/>
      <c r="C566" s="88">
        <v>200</v>
      </c>
      <c r="D566" s="167" t="s">
        <v>3704</v>
      </c>
      <c r="E566" s="234">
        <v>182000</v>
      </c>
    </row>
    <row r="567" spans="1:5" ht="15" customHeight="1">
      <c r="A567" s="922" t="str">
        <f t="shared" si="23"/>
        <v>레세보 디자인
(LBD)</v>
      </c>
      <c r="B567" s="846"/>
      <c r="C567" s="88">
        <v>240</v>
      </c>
      <c r="D567" s="167" t="s">
        <v>3705</v>
      </c>
      <c r="E567" s="234">
        <v>220000</v>
      </c>
    </row>
    <row r="568" spans="1:5" ht="15" customHeight="1">
      <c r="A568" s="922" t="str">
        <f t="shared" si="23"/>
        <v>레세보 디자인
(LBD)</v>
      </c>
      <c r="B568" s="851"/>
      <c r="C568" s="287">
        <v>300</v>
      </c>
      <c r="D568" s="322" t="s">
        <v>3706</v>
      </c>
      <c r="E568" s="289">
        <v>275000</v>
      </c>
    </row>
    <row r="569" spans="1:5" ht="15" customHeight="1">
      <c r="A569" s="922" t="str">
        <f t="shared" si="23"/>
        <v>레세보 디자인
(LBD)</v>
      </c>
      <c r="B569" s="187" t="s">
        <v>3707</v>
      </c>
      <c r="C569" s="88">
        <v>90</v>
      </c>
      <c r="D569" s="167" t="s">
        <v>3708</v>
      </c>
      <c r="E569" s="234">
        <v>82000</v>
      </c>
    </row>
    <row r="570" spans="1:5" ht="15" customHeight="1">
      <c r="A570" s="927" t="s">
        <v>1896</v>
      </c>
      <c r="B570" s="845" t="s">
        <v>1757</v>
      </c>
      <c r="C570" s="857">
        <v>176</v>
      </c>
      <c r="D570" s="350" t="s">
        <v>1897</v>
      </c>
      <c r="E570" s="351">
        <v>740000</v>
      </c>
    </row>
    <row r="571" spans="1:5" ht="15" customHeight="1">
      <c r="A571" s="922" t="str">
        <f t="shared" ref="A571:A577" si="24">A570</f>
        <v xml:space="preserve">로얄선던스
(RYS)                       </v>
      </c>
      <c r="B571" s="846"/>
      <c r="C571" s="844"/>
      <c r="D571" s="288" t="s">
        <v>3709</v>
      </c>
      <c r="E571" s="289">
        <v>420000</v>
      </c>
    </row>
    <row r="572" spans="1:5" ht="15" customHeight="1">
      <c r="A572" s="928" t="str">
        <f t="shared" si="24"/>
        <v xml:space="preserve">로얄선던스
(RYS)                       </v>
      </c>
      <c r="B572" s="846"/>
      <c r="C572" s="853">
        <v>216</v>
      </c>
      <c r="D572" s="150" t="s">
        <v>1898</v>
      </c>
      <c r="E572" s="234">
        <v>920000</v>
      </c>
    </row>
    <row r="573" spans="1:5" ht="15" customHeight="1">
      <c r="A573" s="928" t="str">
        <f t="shared" si="24"/>
        <v xml:space="preserve">로얄선던스
(RYS)                       </v>
      </c>
      <c r="B573" s="846"/>
      <c r="C573" s="844"/>
      <c r="D573" s="288" t="s">
        <v>3710</v>
      </c>
      <c r="E573" s="289">
        <v>820000</v>
      </c>
    </row>
    <row r="574" spans="1:5" ht="15" customHeight="1">
      <c r="A574" s="928" t="str">
        <f t="shared" si="24"/>
        <v xml:space="preserve">로얄선던스
(RYS)                       </v>
      </c>
      <c r="B574" s="846"/>
      <c r="C574" s="853">
        <v>270</v>
      </c>
      <c r="D574" s="150" t="s">
        <v>3001</v>
      </c>
      <c r="E574" s="234">
        <v>1150000</v>
      </c>
    </row>
    <row r="575" spans="1:5" ht="15" customHeight="1">
      <c r="A575" s="928" t="str">
        <f t="shared" si="24"/>
        <v xml:space="preserve">로얄선던스
(RYS)                       </v>
      </c>
      <c r="B575" s="846"/>
      <c r="C575" s="844"/>
      <c r="D575" s="288" t="s">
        <v>3711</v>
      </c>
      <c r="E575" s="289">
        <v>1165000</v>
      </c>
    </row>
    <row r="576" spans="1:5" ht="15" customHeight="1">
      <c r="A576" s="928" t="str">
        <f t="shared" si="24"/>
        <v xml:space="preserve">로얄선던스
(RYS)                       </v>
      </c>
      <c r="B576" s="846"/>
      <c r="C576" s="853">
        <v>297</v>
      </c>
      <c r="D576" s="150" t="s">
        <v>3002</v>
      </c>
      <c r="E576" s="234">
        <v>1335000</v>
      </c>
    </row>
    <row r="577" spans="1:5" ht="15" customHeight="1">
      <c r="A577" s="929" t="str">
        <f t="shared" si="24"/>
        <v xml:space="preserve">로얄선던스
(RYS)                       </v>
      </c>
      <c r="B577" s="847"/>
      <c r="C577" s="854"/>
      <c r="D577" s="357" t="s">
        <v>3712</v>
      </c>
      <c r="E577" s="238">
        <v>1200000</v>
      </c>
    </row>
    <row r="578" spans="1:5" ht="15" customHeight="1">
      <c r="A578" s="921" t="s">
        <v>1899</v>
      </c>
      <c r="B578" s="850" t="s">
        <v>1757</v>
      </c>
      <c r="C578" s="88">
        <v>305</v>
      </c>
      <c r="D578" s="150" t="s">
        <v>3003</v>
      </c>
      <c r="E578" s="234">
        <v>390000</v>
      </c>
    </row>
    <row r="579" spans="1:5" ht="15" customHeight="1">
      <c r="A579" s="922" t="str">
        <f t="shared" ref="A579:A594" si="25">A578</f>
        <v>로얄 크라프트
(RK)</v>
      </c>
      <c r="B579" s="846"/>
      <c r="C579" s="88">
        <v>330</v>
      </c>
      <c r="D579" s="150" t="s">
        <v>3004</v>
      </c>
      <c r="E579" s="234">
        <v>425000</v>
      </c>
    </row>
    <row r="580" spans="1:5" ht="15" customHeight="1">
      <c r="A580" s="922" t="str">
        <f t="shared" si="25"/>
        <v>로얄 크라프트
(RK)</v>
      </c>
      <c r="B580" s="846"/>
      <c r="C580" s="88">
        <v>360</v>
      </c>
      <c r="D580" s="150" t="s">
        <v>3005</v>
      </c>
      <c r="E580" s="234">
        <v>465000</v>
      </c>
    </row>
    <row r="581" spans="1:5" ht="15" customHeight="1">
      <c r="A581" s="922" t="str">
        <f t="shared" si="25"/>
        <v>로얄 크라프트
(RK)</v>
      </c>
      <c r="B581" s="846"/>
      <c r="C581" s="88">
        <v>390</v>
      </c>
      <c r="D581" s="257" t="s">
        <v>3713</v>
      </c>
      <c r="E581" s="256">
        <v>420000</v>
      </c>
    </row>
    <row r="582" spans="1:5" ht="15" customHeight="1">
      <c r="A582" s="922" t="str">
        <f t="shared" si="25"/>
        <v>로얄 크라프트
(RK)</v>
      </c>
      <c r="B582" s="846"/>
      <c r="C582" s="88">
        <v>420</v>
      </c>
      <c r="D582" s="150" t="s">
        <v>3006</v>
      </c>
      <c r="E582" s="234">
        <v>565000</v>
      </c>
    </row>
    <row r="583" spans="1:5" ht="15" customHeight="1">
      <c r="A583" s="922" t="str">
        <f t="shared" si="25"/>
        <v>로얄 크라프트
(RK)</v>
      </c>
      <c r="B583" s="846"/>
      <c r="C583" s="88">
        <v>490</v>
      </c>
      <c r="D583" s="257" t="s">
        <v>3714</v>
      </c>
      <c r="E583" s="256">
        <v>475000</v>
      </c>
    </row>
    <row r="584" spans="1:5" ht="15" customHeight="1">
      <c r="A584" s="922" t="str">
        <f t="shared" si="25"/>
        <v>로얄 크라프트
(RK)</v>
      </c>
      <c r="B584" s="851"/>
      <c r="C584" s="287">
        <v>560</v>
      </c>
      <c r="D584" s="348" t="s">
        <v>3715</v>
      </c>
      <c r="E584" s="341">
        <v>540000</v>
      </c>
    </row>
    <row r="585" spans="1:5" ht="15" customHeight="1">
      <c r="A585" s="922" t="str">
        <f t="shared" si="25"/>
        <v>로얄 크라프트
(RK)</v>
      </c>
      <c r="B585" s="848" t="s">
        <v>1754</v>
      </c>
      <c r="C585" s="88">
        <v>305</v>
      </c>
      <c r="D585" s="150" t="s">
        <v>3007</v>
      </c>
      <c r="E585" s="234">
        <v>274000</v>
      </c>
    </row>
    <row r="586" spans="1:5" ht="15" customHeight="1">
      <c r="A586" s="922" t="str">
        <f t="shared" si="25"/>
        <v>로얄 크라프트
(RK)</v>
      </c>
      <c r="B586" s="846"/>
      <c r="C586" s="88">
        <v>330</v>
      </c>
      <c r="D586" s="150" t="s">
        <v>3008</v>
      </c>
      <c r="E586" s="234">
        <v>295000</v>
      </c>
    </row>
    <row r="587" spans="1:5" ht="15" customHeight="1">
      <c r="A587" s="922" t="str">
        <f t="shared" si="25"/>
        <v>로얄 크라프트
(RK)</v>
      </c>
      <c r="B587" s="846"/>
      <c r="C587" s="88">
        <v>360</v>
      </c>
      <c r="D587" s="150" t="s">
        <v>3009</v>
      </c>
      <c r="E587" s="234">
        <v>324000</v>
      </c>
    </row>
    <row r="588" spans="1:5" ht="15" customHeight="1">
      <c r="A588" s="922" t="str">
        <f t="shared" si="25"/>
        <v>로얄 크라프트
(RK)</v>
      </c>
      <c r="B588" s="851"/>
      <c r="C588" s="287">
        <v>390</v>
      </c>
      <c r="D588" s="348" t="s">
        <v>3716</v>
      </c>
      <c r="E588" s="341">
        <v>290000</v>
      </c>
    </row>
    <row r="589" spans="1:5" ht="15" customHeight="1">
      <c r="A589" s="922" t="str">
        <f t="shared" si="25"/>
        <v>로얄 크라프트
(RK)</v>
      </c>
      <c r="B589" s="848" t="s">
        <v>1825</v>
      </c>
      <c r="C589" s="89">
        <v>305</v>
      </c>
      <c r="D589" s="153" t="s">
        <v>3010</v>
      </c>
      <c r="E589" s="241">
        <v>216000</v>
      </c>
    </row>
    <row r="590" spans="1:5" ht="15" customHeight="1">
      <c r="A590" s="922" t="str">
        <f t="shared" si="25"/>
        <v>로얄 크라프트
(RK)</v>
      </c>
      <c r="B590" s="846"/>
      <c r="C590" s="88">
        <v>330</v>
      </c>
      <c r="D590" s="150" t="s">
        <v>3008</v>
      </c>
      <c r="E590" s="234">
        <v>235000</v>
      </c>
    </row>
    <row r="591" spans="1:5" ht="15" customHeight="1">
      <c r="A591" s="922" t="str">
        <f t="shared" si="25"/>
        <v>로얄 크라프트
(RK)</v>
      </c>
      <c r="B591" s="846"/>
      <c r="C591" s="88">
        <v>360</v>
      </c>
      <c r="D591" s="150" t="s">
        <v>3009</v>
      </c>
      <c r="E591" s="234">
        <v>256000</v>
      </c>
    </row>
    <row r="592" spans="1:5" ht="15" customHeight="1">
      <c r="A592" s="922" t="str">
        <f t="shared" si="25"/>
        <v>로얄 크라프트
(RK)</v>
      </c>
      <c r="B592" s="851"/>
      <c r="C592" s="287">
        <v>390</v>
      </c>
      <c r="D592" s="348" t="s">
        <v>3717</v>
      </c>
      <c r="E592" s="341">
        <v>183000</v>
      </c>
    </row>
    <row r="593" spans="1:5" ht="15" customHeight="1">
      <c r="A593" s="922" t="str">
        <f t="shared" si="25"/>
        <v>로얄 크라프트
(RK)</v>
      </c>
      <c r="B593" s="848" t="s">
        <v>1793</v>
      </c>
      <c r="C593" s="88">
        <v>309</v>
      </c>
      <c r="D593" s="222" t="s">
        <v>1900</v>
      </c>
      <c r="E593" s="267"/>
    </row>
    <row r="594" spans="1:5" ht="15" customHeight="1">
      <c r="A594" s="922" t="str">
        <f t="shared" si="25"/>
        <v>로얄 크라프트
(RK)</v>
      </c>
      <c r="B594" s="849"/>
      <c r="C594" s="88">
        <v>420</v>
      </c>
      <c r="D594" s="257" t="s">
        <v>1901</v>
      </c>
      <c r="E594" s="256"/>
    </row>
    <row r="595" spans="1:5" ht="15" customHeight="1">
      <c r="A595" s="927" t="s">
        <v>3718</v>
      </c>
      <c r="B595" s="845" t="s">
        <v>1902</v>
      </c>
      <c r="C595" s="857">
        <v>120</v>
      </c>
      <c r="D595" s="359" t="s">
        <v>3719</v>
      </c>
      <c r="E595" s="360">
        <v>560000</v>
      </c>
    </row>
    <row r="596" spans="1:5" ht="15" customHeight="1">
      <c r="A596" s="922" t="str">
        <f t="shared" ref="A596:A603" si="26">A595</f>
        <v>룩스 패브릭
(LF)</v>
      </c>
      <c r="B596" s="846"/>
      <c r="C596" s="843"/>
      <c r="D596" s="339" t="s">
        <v>3720</v>
      </c>
      <c r="E596" s="256">
        <v>560000</v>
      </c>
    </row>
    <row r="597" spans="1:5" ht="15" customHeight="1">
      <c r="A597" s="922" t="str">
        <f t="shared" si="26"/>
        <v>룩스 패브릭
(LF)</v>
      </c>
      <c r="B597" s="846"/>
      <c r="C597" s="843"/>
      <c r="D597" s="337" t="s">
        <v>1903</v>
      </c>
      <c r="E597" s="234">
        <v>510000</v>
      </c>
    </row>
    <row r="598" spans="1:5" ht="15" customHeight="1">
      <c r="A598" s="922" t="str">
        <f t="shared" si="26"/>
        <v>룩스 패브릭
(LF)</v>
      </c>
      <c r="B598" s="846"/>
      <c r="C598" s="843"/>
      <c r="D598" s="337" t="s">
        <v>3721</v>
      </c>
      <c r="E598" s="234">
        <v>510000</v>
      </c>
    </row>
    <row r="599" spans="1:5" ht="15" customHeight="1">
      <c r="A599" s="922" t="str">
        <f t="shared" si="26"/>
        <v>룩스 패브릭
(LF)</v>
      </c>
      <c r="B599" s="846"/>
      <c r="C599" s="843"/>
      <c r="D599" s="339" t="s">
        <v>3722</v>
      </c>
      <c r="E599" s="256">
        <v>485000</v>
      </c>
    </row>
    <row r="600" spans="1:5" ht="15" customHeight="1">
      <c r="A600" s="922" t="str">
        <f t="shared" si="26"/>
        <v>룩스 패브릭
(LF)</v>
      </c>
      <c r="B600" s="846"/>
      <c r="C600" s="843"/>
      <c r="D600" s="337" t="s">
        <v>3723</v>
      </c>
      <c r="E600" s="234">
        <v>510000</v>
      </c>
    </row>
    <row r="601" spans="1:5" ht="15" customHeight="1">
      <c r="A601" s="922" t="str">
        <f t="shared" si="26"/>
        <v>룩스 패브릭
(LF)</v>
      </c>
      <c r="B601" s="846"/>
      <c r="C601" s="843"/>
      <c r="D601" s="337" t="s">
        <v>1904</v>
      </c>
      <c r="E601" s="234">
        <v>510000</v>
      </c>
    </row>
    <row r="602" spans="1:5" ht="15" customHeight="1">
      <c r="A602" s="922" t="str">
        <f t="shared" si="26"/>
        <v>룩스 패브릭
(LF)</v>
      </c>
      <c r="B602" s="846"/>
      <c r="C602" s="843"/>
      <c r="D602" s="339" t="s">
        <v>3724</v>
      </c>
      <c r="E602" s="256">
        <v>485000</v>
      </c>
    </row>
    <row r="603" spans="1:5" ht="15" customHeight="1">
      <c r="A603" s="923" t="str">
        <f t="shared" si="26"/>
        <v>룩스 패브릭
(LF)</v>
      </c>
      <c r="B603" s="847"/>
      <c r="C603" s="854"/>
      <c r="D603" s="258" t="s">
        <v>3725</v>
      </c>
      <c r="E603" s="259">
        <v>450000</v>
      </c>
    </row>
    <row r="604" spans="1:5" ht="15" customHeight="1">
      <c r="A604" s="921" t="s">
        <v>3726</v>
      </c>
      <c r="B604" s="850" t="s">
        <v>1814</v>
      </c>
      <c r="C604" s="855">
        <v>120</v>
      </c>
      <c r="D604" s="361" t="s">
        <v>3727</v>
      </c>
      <c r="E604" s="362">
        <v>280000</v>
      </c>
    </row>
    <row r="605" spans="1:5" ht="15" customHeight="1">
      <c r="A605" s="950" t="str">
        <f>A604</f>
        <v>리메이크
(RMK)</v>
      </c>
      <c r="B605" s="846"/>
      <c r="C605" s="844"/>
      <c r="D605" s="257" t="s">
        <v>3728</v>
      </c>
      <c r="E605" s="256">
        <v>320000</v>
      </c>
    </row>
    <row r="606" spans="1:5" ht="15" customHeight="1">
      <c r="A606" s="950" t="e">
        <f>#REF!</f>
        <v>#REF!</v>
      </c>
      <c r="B606" s="846"/>
      <c r="C606" s="853">
        <v>380</v>
      </c>
      <c r="D606" s="363" t="s">
        <v>3729</v>
      </c>
      <c r="E606" s="364">
        <v>935000</v>
      </c>
    </row>
    <row r="607" spans="1:5" ht="15" customHeight="1">
      <c r="A607" s="950" t="e">
        <f>A606</f>
        <v>#REF!</v>
      </c>
      <c r="B607" s="846"/>
      <c r="C607" s="843"/>
      <c r="D607" s="257" t="s">
        <v>3730</v>
      </c>
      <c r="E607" s="256">
        <v>1100000</v>
      </c>
    </row>
    <row r="608" spans="1:5" ht="15" customHeight="1">
      <c r="A608" s="950" t="e">
        <f>A607</f>
        <v>#REF!</v>
      </c>
      <c r="B608" s="846"/>
      <c r="C608" s="844"/>
      <c r="D608" s="348" t="s">
        <v>3731</v>
      </c>
      <c r="E608" s="341">
        <v>1300000</v>
      </c>
    </row>
    <row r="609" spans="1:5" ht="15" customHeight="1">
      <c r="A609" s="950" t="e">
        <f>A608</f>
        <v>#REF!</v>
      </c>
      <c r="B609" s="852"/>
      <c r="C609" s="88">
        <v>520</v>
      </c>
      <c r="D609" s="257" t="s">
        <v>3732</v>
      </c>
      <c r="E609" s="256">
        <v>1785000</v>
      </c>
    </row>
    <row r="610" spans="1:5" ht="15" customHeight="1">
      <c r="A610" s="950" t="e">
        <f>A609</f>
        <v>#REF!</v>
      </c>
      <c r="B610" s="856" t="s">
        <v>1905</v>
      </c>
      <c r="C610" s="859">
        <v>120</v>
      </c>
      <c r="D610" s="157" t="s">
        <v>3011</v>
      </c>
      <c r="E610" s="283">
        <v>325000</v>
      </c>
    </row>
    <row r="611" spans="1:5" ht="15" customHeight="1">
      <c r="A611" s="950"/>
      <c r="B611" s="846"/>
      <c r="C611" s="843"/>
      <c r="D611" s="150" t="s">
        <v>1906</v>
      </c>
      <c r="E611" s="234">
        <v>365000</v>
      </c>
    </row>
    <row r="612" spans="1:5" ht="15" customHeight="1">
      <c r="A612" s="950"/>
      <c r="B612" s="846"/>
      <c r="C612" s="843"/>
      <c r="D612" s="150" t="s">
        <v>3733</v>
      </c>
      <c r="E612" s="234">
        <v>330000</v>
      </c>
    </row>
    <row r="613" spans="1:5" ht="15" customHeight="1">
      <c r="A613" s="950" t="e">
        <f>A610</f>
        <v>#REF!</v>
      </c>
      <c r="B613" s="846"/>
      <c r="C613" s="843"/>
      <c r="D613" s="150" t="s">
        <v>3012</v>
      </c>
      <c r="E613" s="234">
        <v>340000</v>
      </c>
    </row>
    <row r="614" spans="1:5" ht="15" customHeight="1">
      <c r="A614" s="950" t="e">
        <f>A613</f>
        <v>#REF!</v>
      </c>
      <c r="B614" s="846"/>
      <c r="C614" s="844"/>
      <c r="D614" s="150" t="s">
        <v>3734</v>
      </c>
      <c r="E614" s="234">
        <v>310000</v>
      </c>
    </row>
    <row r="615" spans="1:5" ht="15" customHeight="1">
      <c r="A615" s="950" t="e">
        <f>A614</f>
        <v>#REF!</v>
      </c>
      <c r="B615" s="846"/>
      <c r="C615" s="853">
        <v>250</v>
      </c>
      <c r="D615" s="153" t="s">
        <v>1907</v>
      </c>
      <c r="E615" s="241">
        <v>675000</v>
      </c>
    </row>
    <row r="616" spans="1:5" ht="15" customHeight="1">
      <c r="A616" s="950"/>
      <c r="B616" s="846"/>
      <c r="C616" s="843"/>
      <c r="D616" s="150" t="s">
        <v>3013</v>
      </c>
      <c r="E616" s="234">
        <v>750000</v>
      </c>
    </row>
    <row r="617" spans="1:5" ht="15" customHeight="1">
      <c r="A617" s="950" t="e">
        <f>A615</f>
        <v>#REF!</v>
      </c>
      <c r="B617" s="846"/>
      <c r="C617" s="843"/>
      <c r="D617" s="150" t="s">
        <v>1908</v>
      </c>
      <c r="E617" s="234">
        <v>750000</v>
      </c>
    </row>
    <row r="618" spans="1:5" ht="15" customHeight="1">
      <c r="A618" s="950" t="e">
        <f>A617</f>
        <v>#REF!</v>
      </c>
      <c r="B618" s="846"/>
      <c r="C618" s="844"/>
      <c r="D618" s="288" t="s">
        <v>3735</v>
      </c>
      <c r="E618" s="289">
        <v>640000</v>
      </c>
    </row>
    <row r="619" spans="1:5" ht="15" customHeight="1">
      <c r="A619" s="950" t="e">
        <f>A618</f>
        <v>#REF!</v>
      </c>
      <c r="B619" s="846"/>
      <c r="C619" s="853">
        <v>380</v>
      </c>
      <c r="D619" s="153" t="s">
        <v>2106</v>
      </c>
      <c r="E619" s="241">
        <v>1085000</v>
      </c>
    </row>
    <row r="620" spans="1:5" ht="15" customHeight="1">
      <c r="A620" s="950"/>
      <c r="B620" s="846"/>
      <c r="C620" s="843"/>
      <c r="D620" s="150" t="s">
        <v>3736</v>
      </c>
      <c r="E620" s="234">
        <v>970000</v>
      </c>
    </row>
    <row r="621" spans="1:5" ht="15" customHeight="1">
      <c r="A621" s="950" t="e">
        <f>A619</f>
        <v>#REF!</v>
      </c>
      <c r="B621" s="846"/>
      <c r="C621" s="843"/>
      <c r="D621" s="150" t="s">
        <v>1909</v>
      </c>
      <c r="E621" s="234">
        <v>1240000</v>
      </c>
    </row>
    <row r="622" spans="1:5" ht="15" customHeight="1">
      <c r="A622" s="950" t="e">
        <f>A621</f>
        <v>#REF!</v>
      </c>
      <c r="B622" s="852"/>
      <c r="C622" s="844"/>
      <c r="D622" s="288" t="s">
        <v>3737</v>
      </c>
      <c r="E622" s="289">
        <v>1290000</v>
      </c>
    </row>
    <row r="623" spans="1:5" ht="15" customHeight="1">
      <c r="A623" s="951" t="e">
        <f>A622</f>
        <v>#REF!</v>
      </c>
      <c r="B623" s="187" t="s">
        <v>1910</v>
      </c>
      <c r="C623" s="88">
        <v>250</v>
      </c>
      <c r="D623" s="150" t="s">
        <v>1911</v>
      </c>
      <c r="E623" s="234">
        <v>755000</v>
      </c>
    </row>
    <row r="624" spans="1:5" ht="15" customHeight="1">
      <c r="A624" s="921" t="s">
        <v>3738</v>
      </c>
      <c r="B624" s="850" t="s">
        <v>1757</v>
      </c>
      <c r="C624" s="165">
        <v>120</v>
      </c>
      <c r="D624" s="166" t="s">
        <v>3739</v>
      </c>
      <c r="E624" s="233">
        <v>580000</v>
      </c>
    </row>
    <row r="625" spans="1:5" ht="15" customHeight="1">
      <c r="A625" s="922" t="str">
        <f t="shared" ref="A625:A630" si="27">A624</f>
        <v>리브스디자인
(RD)</v>
      </c>
      <c r="B625" s="846"/>
      <c r="C625" s="88"/>
      <c r="D625" s="167" t="s">
        <v>3740</v>
      </c>
      <c r="E625" s="234">
        <v>405000</v>
      </c>
    </row>
    <row r="626" spans="1:5" ht="15" customHeight="1">
      <c r="A626" s="922" t="str">
        <f t="shared" si="27"/>
        <v>리브스디자인
(RD)</v>
      </c>
      <c r="B626" s="846"/>
      <c r="C626" s="89">
        <v>170</v>
      </c>
      <c r="D626" s="168" t="s">
        <v>3741</v>
      </c>
      <c r="E626" s="241">
        <v>850000</v>
      </c>
    </row>
    <row r="627" spans="1:5" ht="15" customHeight="1">
      <c r="A627" s="922" t="str">
        <f t="shared" si="27"/>
        <v>리브스디자인
(RD)</v>
      </c>
      <c r="B627" s="846"/>
      <c r="C627" s="287"/>
      <c r="D627" s="322" t="s">
        <v>3742</v>
      </c>
      <c r="E627" s="289">
        <v>575000</v>
      </c>
    </row>
    <row r="628" spans="1:5" ht="15" customHeight="1">
      <c r="A628" s="922" t="str">
        <f t="shared" si="27"/>
        <v>리브스디자인
(RD)</v>
      </c>
      <c r="B628" s="846"/>
      <c r="C628" s="88">
        <v>250</v>
      </c>
      <c r="D628" s="167" t="s">
        <v>3743</v>
      </c>
      <c r="E628" s="234">
        <v>1250000</v>
      </c>
    </row>
    <row r="629" spans="1:5" ht="15" customHeight="1">
      <c r="A629" s="922" t="str">
        <f t="shared" si="27"/>
        <v>리브스디자인
(RD)</v>
      </c>
      <c r="B629" s="846"/>
      <c r="C629" s="88">
        <v>350</v>
      </c>
      <c r="D629" s="169" t="s">
        <v>3744</v>
      </c>
      <c r="E629" s="256">
        <v>1170000</v>
      </c>
    </row>
    <row r="630" spans="1:5" ht="15" customHeight="1">
      <c r="A630" s="923" t="str">
        <f t="shared" si="27"/>
        <v>리브스디자인
(RD)</v>
      </c>
      <c r="B630" s="847"/>
      <c r="C630" s="171">
        <v>350</v>
      </c>
      <c r="D630" s="172" t="s">
        <v>1912</v>
      </c>
      <c r="E630" s="231">
        <v>1750000</v>
      </c>
    </row>
    <row r="631" spans="1:5" ht="15" customHeight="1">
      <c r="A631" s="938" t="s">
        <v>3745</v>
      </c>
      <c r="B631" s="850" t="s">
        <v>1757</v>
      </c>
      <c r="C631" s="855">
        <v>120</v>
      </c>
      <c r="D631" s="173" t="s">
        <v>3746</v>
      </c>
      <c r="E631" s="365">
        <v>505000</v>
      </c>
    </row>
    <row r="632" spans="1:5" ht="15" customHeight="1">
      <c r="A632" s="938" t="str">
        <f t="shared" ref="A632:A638" si="28">A631</f>
        <v>리브스트래디션
(RT2)</v>
      </c>
      <c r="B632" s="846"/>
      <c r="C632" s="844"/>
      <c r="D632" s="169" t="s">
        <v>3747</v>
      </c>
      <c r="E632" s="341">
        <v>250000</v>
      </c>
    </row>
    <row r="633" spans="1:5" ht="15" customHeight="1">
      <c r="A633" s="938" t="str">
        <f t="shared" si="28"/>
        <v>리브스트래디션
(RT2)</v>
      </c>
      <c r="B633" s="846"/>
      <c r="C633" s="853">
        <v>170</v>
      </c>
      <c r="D633" s="174" t="s">
        <v>3748</v>
      </c>
      <c r="E633" s="366">
        <v>710000</v>
      </c>
    </row>
    <row r="634" spans="1:5" ht="15" customHeight="1">
      <c r="A634" s="938" t="str">
        <f t="shared" si="28"/>
        <v>리브스트래디션
(RT2)</v>
      </c>
      <c r="B634" s="846"/>
      <c r="C634" s="844"/>
      <c r="D634" s="367" t="s">
        <v>3749</v>
      </c>
      <c r="E634" s="341">
        <v>365000</v>
      </c>
    </row>
    <row r="635" spans="1:5" ht="15" customHeight="1">
      <c r="A635" s="938" t="str">
        <f t="shared" si="28"/>
        <v>리브스트래디션
(RT2)</v>
      </c>
      <c r="B635" s="846"/>
      <c r="C635" s="853">
        <v>250</v>
      </c>
      <c r="D635" s="175" t="s">
        <v>3750</v>
      </c>
      <c r="E635" s="267">
        <v>1050000</v>
      </c>
    </row>
    <row r="636" spans="1:5" ht="15" customHeight="1">
      <c r="A636" s="938" t="str">
        <f t="shared" si="28"/>
        <v>리브스트래디션
(RT2)</v>
      </c>
      <c r="B636" s="846"/>
      <c r="C636" s="843"/>
      <c r="D636" s="167" t="s">
        <v>3751</v>
      </c>
      <c r="E636" s="234">
        <v>1050000</v>
      </c>
    </row>
    <row r="637" spans="1:5" ht="15" customHeight="1">
      <c r="A637" s="938" t="str">
        <f t="shared" si="28"/>
        <v>리브스트래디션
(RT2)</v>
      </c>
      <c r="B637" s="846"/>
      <c r="C637" s="843"/>
      <c r="D637" s="169" t="s">
        <v>3752</v>
      </c>
      <c r="E637" s="256">
        <v>720000</v>
      </c>
    </row>
    <row r="638" spans="1:5" ht="15" customHeight="1">
      <c r="A638" s="938" t="str">
        <f t="shared" si="28"/>
        <v>리브스트래디션
(RT2)</v>
      </c>
      <c r="B638" s="847"/>
      <c r="C638" s="854"/>
      <c r="D638" s="172" t="s">
        <v>3753</v>
      </c>
      <c r="E638" s="368">
        <v>1260000</v>
      </c>
    </row>
    <row r="639" spans="1:5" ht="15" customHeight="1">
      <c r="A639" s="921" t="s">
        <v>3754</v>
      </c>
      <c r="B639" s="850" t="s">
        <v>1814</v>
      </c>
      <c r="C639" s="165">
        <v>90</v>
      </c>
      <c r="D639" s="369" t="s">
        <v>1829</v>
      </c>
      <c r="E639" s="362">
        <v>140000</v>
      </c>
    </row>
    <row r="640" spans="1:5" ht="15" customHeight="1">
      <c r="A640" s="922" t="str">
        <f>A639</f>
        <v>리사이클러스 100%
(REC)*</v>
      </c>
      <c r="B640" s="846"/>
      <c r="C640" s="88">
        <v>115</v>
      </c>
      <c r="D640" s="199" t="s">
        <v>1830</v>
      </c>
      <c r="E640" s="256">
        <v>174000</v>
      </c>
    </row>
    <row r="641" spans="1:5" ht="15" customHeight="1">
      <c r="A641" s="922" t="e">
        <f>#REF!</f>
        <v>#REF!</v>
      </c>
      <c r="B641" s="846"/>
      <c r="C641" s="88">
        <v>170</v>
      </c>
      <c r="D641" s="199" t="s">
        <v>1832</v>
      </c>
      <c r="E641" s="256">
        <v>255000</v>
      </c>
    </row>
    <row r="642" spans="1:5" ht="15" customHeight="1">
      <c r="A642" s="922" t="e">
        <f t="shared" ref="A642:A650" si="29">A641</f>
        <v>#REF!</v>
      </c>
      <c r="B642" s="846"/>
      <c r="C642" s="88">
        <v>200</v>
      </c>
      <c r="D642" s="199" t="s">
        <v>1833</v>
      </c>
      <c r="E642" s="256">
        <v>300000</v>
      </c>
    </row>
    <row r="643" spans="1:5" ht="15" customHeight="1">
      <c r="A643" s="922" t="e">
        <f t="shared" si="29"/>
        <v>#REF!</v>
      </c>
      <c r="B643" s="851"/>
      <c r="C643" s="287">
        <v>240</v>
      </c>
      <c r="D643" s="367" t="s">
        <v>1834</v>
      </c>
      <c r="E643" s="341">
        <v>370000</v>
      </c>
    </row>
    <row r="644" spans="1:5" ht="15" customHeight="1">
      <c r="A644" s="922" t="e">
        <f t="shared" si="29"/>
        <v>#REF!</v>
      </c>
      <c r="B644" s="848" t="s">
        <v>1788</v>
      </c>
      <c r="C644" s="89">
        <v>90</v>
      </c>
      <c r="D644" s="200" t="s">
        <v>3755</v>
      </c>
      <c r="E644" s="364">
        <v>96000</v>
      </c>
    </row>
    <row r="645" spans="1:5" ht="15" customHeight="1">
      <c r="A645" s="922" t="e">
        <f t="shared" si="29"/>
        <v>#REF!</v>
      </c>
      <c r="B645" s="846"/>
      <c r="C645" s="88">
        <v>115</v>
      </c>
      <c r="D645" s="199" t="s">
        <v>3756</v>
      </c>
      <c r="E645" s="256">
        <v>120000</v>
      </c>
    </row>
    <row r="646" spans="1:5" ht="15" customHeight="1">
      <c r="A646" s="922" t="e">
        <f t="shared" si="29"/>
        <v>#REF!</v>
      </c>
      <c r="B646" s="851"/>
      <c r="C646" s="287">
        <v>150</v>
      </c>
      <c r="D646" s="367" t="s">
        <v>3757</v>
      </c>
      <c r="E646" s="341">
        <v>156000</v>
      </c>
    </row>
    <row r="647" spans="1:5" ht="15" customHeight="1">
      <c r="A647" s="922" t="e">
        <f t="shared" si="29"/>
        <v>#REF!</v>
      </c>
      <c r="B647" s="848" t="s">
        <v>1895</v>
      </c>
      <c r="C647" s="88">
        <v>90</v>
      </c>
      <c r="D647" s="199" t="s">
        <v>3758</v>
      </c>
      <c r="E647" s="256">
        <v>96000</v>
      </c>
    </row>
    <row r="648" spans="1:5" ht="15" customHeight="1">
      <c r="A648" s="922" t="e">
        <f t="shared" si="29"/>
        <v>#REF!</v>
      </c>
      <c r="B648" s="846"/>
      <c r="C648" s="88">
        <v>115</v>
      </c>
      <c r="D648" s="199" t="s">
        <v>3759</v>
      </c>
      <c r="E648" s="256">
        <v>120000</v>
      </c>
    </row>
    <row r="649" spans="1:5" s="93" customFormat="1" ht="16.5" customHeight="1">
      <c r="A649" s="922" t="e">
        <f t="shared" si="29"/>
        <v>#REF!</v>
      </c>
      <c r="B649" s="846"/>
      <c r="C649" s="88">
        <v>150</v>
      </c>
      <c r="D649" s="199" t="s">
        <v>3760</v>
      </c>
      <c r="E649" s="256">
        <v>156000</v>
      </c>
    </row>
    <row r="650" spans="1:5" s="93" customFormat="1" ht="13.2" customHeight="1">
      <c r="A650" s="922" t="e">
        <f t="shared" si="29"/>
        <v>#REF!</v>
      </c>
      <c r="B650" s="846"/>
      <c r="C650" s="88">
        <v>170</v>
      </c>
      <c r="D650" s="199" t="s">
        <v>3761</v>
      </c>
      <c r="E650" s="256">
        <v>177000</v>
      </c>
    </row>
    <row r="651" spans="1:5" s="93" customFormat="1" ht="13.2" customHeight="1">
      <c r="A651" s="923" t="e">
        <f>#REF!</f>
        <v>#REF!</v>
      </c>
      <c r="B651" s="847"/>
      <c r="C651" s="88">
        <v>240</v>
      </c>
      <c r="D651" s="201" t="s">
        <v>3762</v>
      </c>
      <c r="E651" s="370">
        <v>257000</v>
      </c>
    </row>
    <row r="652" spans="1:5" s="93" customFormat="1" ht="13.2" customHeight="1">
      <c r="A652" s="921" t="s">
        <v>1913</v>
      </c>
      <c r="B652" s="850" t="s">
        <v>1757</v>
      </c>
      <c r="C652" s="165">
        <v>81.400000000000006</v>
      </c>
      <c r="D652" s="232" t="s">
        <v>3014</v>
      </c>
      <c r="E652" s="233">
        <v>175000</v>
      </c>
    </row>
    <row r="653" spans="1:5" s="93" customFormat="1" ht="13.2" customHeight="1">
      <c r="A653" s="922"/>
      <c r="B653" s="846"/>
      <c r="C653" s="88"/>
      <c r="D653" s="150" t="s">
        <v>3763</v>
      </c>
      <c r="E653" s="234">
        <v>155000</v>
      </c>
    </row>
    <row r="654" spans="1:5" s="93" customFormat="1" ht="13.2" customHeight="1">
      <c r="A654" s="922" t="str">
        <f>A652</f>
        <v xml:space="preserve">마쉬맬로우
(MRS)
</v>
      </c>
      <c r="B654" s="846"/>
      <c r="C654" s="88">
        <v>105</v>
      </c>
      <c r="D654" s="240" t="s">
        <v>1832</v>
      </c>
      <c r="E654" s="234">
        <v>222000</v>
      </c>
    </row>
    <row r="655" spans="1:5" s="93" customFormat="1" ht="13.2" customHeight="1">
      <c r="A655" s="922" t="str">
        <f t="shared" ref="A655:A667" si="30">A654</f>
        <v xml:space="preserve">마쉬맬로우
(MRS)
</v>
      </c>
      <c r="B655" s="846"/>
      <c r="C655" s="88">
        <v>128</v>
      </c>
      <c r="D655" s="240" t="s">
        <v>2223</v>
      </c>
      <c r="E655" s="234">
        <v>273000</v>
      </c>
    </row>
    <row r="656" spans="1:5" s="93" customFormat="1" ht="16.5" customHeight="1">
      <c r="A656" s="922" t="str">
        <f t="shared" si="30"/>
        <v xml:space="preserve">마쉬맬로우
(MRS)
</v>
      </c>
      <c r="B656" s="846"/>
      <c r="C656" s="88">
        <v>157</v>
      </c>
      <c r="D656" s="240" t="s">
        <v>1829</v>
      </c>
      <c r="E656" s="234">
        <v>335000</v>
      </c>
    </row>
    <row r="657" spans="1:5" s="93" customFormat="1" ht="13.2" customHeight="1">
      <c r="A657" s="922" t="str">
        <f t="shared" si="30"/>
        <v xml:space="preserve">마쉬맬로우
(MRS)
</v>
      </c>
      <c r="B657" s="846"/>
      <c r="C657" s="88">
        <v>186</v>
      </c>
      <c r="D657" s="240" t="s">
        <v>1830</v>
      </c>
      <c r="E657" s="234">
        <v>397000</v>
      </c>
    </row>
    <row r="658" spans="1:5" s="93" customFormat="1" ht="13.2" customHeight="1">
      <c r="A658" s="922" t="str">
        <f t="shared" si="30"/>
        <v xml:space="preserve">마쉬맬로우
(MRS)
</v>
      </c>
      <c r="B658" s="846"/>
      <c r="C658" s="88">
        <v>209</v>
      </c>
      <c r="D658" s="240" t="s">
        <v>1831</v>
      </c>
      <c r="E658" s="234">
        <v>448000</v>
      </c>
    </row>
    <row r="659" spans="1:5" s="93" customFormat="1" ht="13.2" customHeight="1">
      <c r="A659" s="922" t="str">
        <f t="shared" si="30"/>
        <v xml:space="preserve">마쉬맬로우
(MRS)
</v>
      </c>
      <c r="B659" s="846"/>
      <c r="C659" s="88">
        <v>233</v>
      </c>
      <c r="D659" s="240" t="s">
        <v>1838</v>
      </c>
      <c r="E659" s="234">
        <v>495000</v>
      </c>
    </row>
    <row r="660" spans="1:5" s="93" customFormat="1" ht="13.2" customHeight="1">
      <c r="A660" s="922" t="str">
        <f t="shared" si="30"/>
        <v xml:space="preserve">마쉬맬로우
(MRS)
</v>
      </c>
      <c r="B660" s="851"/>
      <c r="C660" s="287">
        <v>262</v>
      </c>
      <c r="D660" s="371" t="s">
        <v>2114</v>
      </c>
      <c r="E660" s="289">
        <v>560000</v>
      </c>
    </row>
    <row r="661" spans="1:5" s="93" customFormat="1" ht="13.2" customHeight="1">
      <c r="A661" s="922" t="str">
        <f t="shared" si="30"/>
        <v xml:space="preserve">마쉬맬로우
(MRS)
</v>
      </c>
      <c r="B661" s="848" t="s">
        <v>1754</v>
      </c>
      <c r="C661" s="88">
        <v>81.400000000000006</v>
      </c>
      <c r="D661" s="150" t="s">
        <v>3015</v>
      </c>
      <c r="E661" s="234">
        <v>119000</v>
      </c>
    </row>
    <row r="662" spans="1:5" s="93" customFormat="1" ht="13.2" customHeight="1">
      <c r="A662" s="922" t="str">
        <f t="shared" si="30"/>
        <v xml:space="preserve">마쉬맬로우
(MRS)
</v>
      </c>
      <c r="B662" s="846"/>
      <c r="C662" s="88">
        <v>105</v>
      </c>
      <c r="D662" s="240" t="s">
        <v>3016</v>
      </c>
      <c r="E662" s="234">
        <v>155000</v>
      </c>
    </row>
    <row r="663" spans="1:5" s="93" customFormat="1" ht="13.2" customHeight="1">
      <c r="A663" s="922" t="str">
        <f t="shared" si="30"/>
        <v xml:space="preserve">마쉬맬로우
(MRS)
</v>
      </c>
      <c r="B663" s="846"/>
      <c r="C663" s="88">
        <v>128</v>
      </c>
      <c r="D663" s="240" t="s">
        <v>3017</v>
      </c>
      <c r="E663" s="234">
        <v>191000</v>
      </c>
    </row>
    <row r="664" spans="1:5" s="93" customFormat="1" ht="16.5" customHeight="1">
      <c r="A664" s="922" t="str">
        <f t="shared" si="30"/>
        <v xml:space="preserve">마쉬맬로우
(MRS)
</v>
      </c>
      <c r="B664" s="846"/>
      <c r="C664" s="88">
        <v>157</v>
      </c>
      <c r="D664" s="240" t="s">
        <v>3018</v>
      </c>
      <c r="E664" s="234">
        <v>232000</v>
      </c>
    </row>
    <row r="665" spans="1:5" s="93" customFormat="1" ht="13.2" customHeight="1">
      <c r="A665" s="922" t="str">
        <f t="shared" si="30"/>
        <v xml:space="preserve">마쉬맬로우
(MRS)
</v>
      </c>
      <c r="B665" s="846"/>
      <c r="C665" s="88">
        <v>186</v>
      </c>
      <c r="D665" s="240" t="s">
        <v>3019</v>
      </c>
      <c r="E665" s="234">
        <v>273000</v>
      </c>
    </row>
    <row r="666" spans="1:5" s="93" customFormat="1" ht="13.2" customHeight="1">
      <c r="A666" s="922" t="str">
        <f t="shared" si="30"/>
        <v xml:space="preserve">마쉬맬로우
(MRS)
</v>
      </c>
      <c r="B666" s="846"/>
      <c r="C666" s="88">
        <v>209</v>
      </c>
      <c r="D666" s="240" t="s">
        <v>3020</v>
      </c>
      <c r="E666" s="234">
        <v>309000</v>
      </c>
    </row>
    <row r="667" spans="1:5" s="93" customFormat="1" ht="13.2" customHeight="1">
      <c r="A667" s="922" t="str">
        <f t="shared" si="30"/>
        <v xml:space="preserve">마쉬맬로우
(MRS)
</v>
      </c>
      <c r="B667" s="846"/>
      <c r="C667" s="88">
        <v>233</v>
      </c>
      <c r="D667" s="240" t="s">
        <v>3021</v>
      </c>
      <c r="E667" s="234">
        <v>345000</v>
      </c>
    </row>
    <row r="668" spans="1:5" s="93" customFormat="1" ht="13.2" customHeight="1">
      <c r="A668" s="922"/>
      <c r="B668" s="846"/>
      <c r="C668" s="88">
        <v>262</v>
      </c>
      <c r="D668" s="240" t="s">
        <v>3022</v>
      </c>
      <c r="E668" s="234">
        <v>387000</v>
      </c>
    </row>
    <row r="669" spans="1:5" s="93" customFormat="1" ht="13.2" customHeight="1">
      <c r="A669" s="922" t="str">
        <f>A667</f>
        <v xml:space="preserve">마쉬맬로우
(MRS)
</v>
      </c>
      <c r="B669" s="852"/>
      <c r="C669" s="88" t="s">
        <v>1755</v>
      </c>
      <c r="D669" s="150" t="s">
        <v>3764</v>
      </c>
      <c r="E669" s="234">
        <v>300000</v>
      </c>
    </row>
    <row r="670" spans="1:5" s="93" customFormat="1" ht="13.2" customHeight="1">
      <c r="A670" s="922" t="str">
        <f t="shared" ref="A670:A686" si="31">A669</f>
        <v xml:space="preserve">마쉬맬로우
(MRS)
</v>
      </c>
      <c r="B670" s="856" t="s">
        <v>1757</v>
      </c>
      <c r="C670" s="91">
        <v>81.400000000000006</v>
      </c>
      <c r="D670" s="372" t="s">
        <v>3765</v>
      </c>
      <c r="E670" s="373">
        <v>170000</v>
      </c>
    </row>
    <row r="671" spans="1:5" s="93" customFormat="1" ht="13.2" customHeight="1">
      <c r="A671" s="922" t="str">
        <f t="shared" si="31"/>
        <v xml:space="preserve">마쉬맬로우
(MRS)
</v>
      </c>
      <c r="B671" s="846"/>
      <c r="C671" s="88">
        <v>105</v>
      </c>
      <c r="D671" s="240" t="s">
        <v>3023</v>
      </c>
      <c r="E671" s="234">
        <v>227000</v>
      </c>
    </row>
    <row r="672" spans="1:5" ht="15" customHeight="1">
      <c r="A672" s="922" t="str">
        <f t="shared" si="31"/>
        <v xml:space="preserve">마쉬맬로우
(MRS)
</v>
      </c>
      <c r="B672" s="846"/>
      <c r="C672" s="88">
        <v>128</v>
      </c>
      <c r="D672" s="240" t="s">
        <v>2115</v>
      </c>
      <c r="E672" s="234">
        <v>278000</v>
      </c>
    </row>
    <row r="673" spans="1:5" ht="15" customHeight="1">
      <c r="A673" s="922" t="str">
        <f t="shared" si="31"/>
        <v xml:space="preserve">마쉬맬로우
(MRS)
</v>
      </c>
      <c r="B673" s="846"/>
      <c r="C673" s="88">
        <v>157</v>
      </c>
      <c r="D673" s="240" t="s">
        <v>3024</v>
      </c>
      <c r="E673" s="234">
        <v>340000</v>
      </c>
    </row>
    <row r="674" spans="1:5" ht="15" customHeight="1">
      <c r="A674" s="922" t="str">
        <f t="shared" si="31"/>
        <v xml:space="preserve">마쉬맬로우
(MRS)
</v>
      </c>
      <c r="B674" s="846"/>
      <c r="C674" s="88">
        <v>186</v>
      </c>
      <c r="D674" s="240" t="s">
        <v>3025</v>
      </c>
      <c r="E674" s="234">
        <v>402000</v>
      </c>
    </row>
    <row r="675" spans="1:5" ht="15" customHeight="1">
      <c r="A675" s="922" t="str">
        <f t="shared" si="31"/>
        <v xml:space="preserve">마쉬맬로우
(MRS)
</v>
      </c>
      <c r="B675" s="846"/>
      <c r="C675" s="88">
        <v>209</v>
      </c>
      <c r="D675" s="240" t="s">
        <v>3026</v>
      </c>
      <c r="E675" s="234">
        <v>453000</v>
      </c>
    </row>
    <row r="676" spans="1:5" ht="15" customHeight="1">
      <c r="A676" s="922" t="str">
        <f t="shared" si="31"/>
        <v xml:space="preserve">마쉬맬로우
(MRS)
</v>
      </c>
      <c r="B676" s="846"/>
      <c r="C676" s="88">
        <v>233</v>
      </c>
      <c r="D676" s="240" t="s">
        <v>2116</v>
      </c>
      <c r="E676" s="234">
        <v>505000</v>
      </c>
    </row>
    <row r="677" spans="1:5" ht="15" customHeight="1">
      <c r="A677" s="922" t="str">
        <f t="shared" si="31"/>
        <v xml:space="preserve">마쉬맬로우
(MRS)
</v>
      </c>
      <c r="B677" s="851"/>
      <c r="C677" s="287">
        <v>262</v>
      </c>
      <c r="D677" s="371" t="s">
        <v>3027</v>
      </c>
      <c r="E677" s="289">
        <v>570000</v>
      </c>
    </row>
    <row r="678" spans="1:5" ht="15" customHeight="1">
      <c r="A678" s="922" t="str">
        <f t="shared" si="31"/>
        <v xml:space="preserve">마쉬맬로우
(MRS)
</v>
      </c>
      <c r="B678" s="848" t="s">
        <v>1754</v>
      </c>
      <c r="C678" s="88">
        <v>81.400000000000006</v>
      </c>
      <c r="D678" s="257" t="s">
        <v>3765</v>
      </c>
      <c r="E678" s="256">
        <v>120000</v>
      </c>
    </row>
    <row r="679" spans="1:5" ht="15" customHeight="1">
      <c r="A679" s="922" t="str">
        <f t="shared" si="31"/>
        <v xml:space="preserve">마쉬맬로우
(MRS)
</v>
      </c>
      <c r="B679" s="846"/>
      <c r="C679" s="88">
        <v>105</v>
      </c>
      <c r="D679" s="240" t="s">
        <v>2117</v>
      </c>
      <c r="E679" s="234">
        <v>160000</v>
      </c>
    </row>
    <row r="680" spans="1:5" ht="15" customHeight="1">
      <c r="A680" s="922" t="str">
        <f t="shared" si="31"/>
        <v xml:space="preserve">마쉬맬로우
(MRS)
</v>
      </c>
      <c r="B680" s="846"/>
      <c r="C680" s="88">
        <v>128</v>
      </c>
      <c r="D680" s="240" t="s">
        <v>3028</v>
      </c>
      <c r="E680" s="234">
        <v>191000</v>
      </c>
    </row>
    <row r="681" spans="1:5" ht="15" customHeight="1">
      <c r="A681" s="922" t="str">
        <f t="shared" si="31"/>
        <v xml:space="preserve">마쉬맬로우
(MRS)
</v>
      </c>
      <c r="B681" s="846"/>
      <c r="C681" s="88">
        <v>157</v>
      </c>
      <c r="D681" s="240" t="s">
        <v>3029</v>
      </c>
      <c r="E681" s="234">
        <v>237000</v>
      </c>
    </row>
    <row r="682" spans="1:5" ht="15" customHeight="1">
      <c r="A682" s="922" t="str">
        <f t="shared" si="31"/>
        <v xml:space="preserve">마쉬맬로우
(MRS)
</v>
      </c>
      <c r="B682" s="846"/>
      <c r="C682" s="88">
        <v>186</v>
      </c>
      <c r="D682" s="240" t="s">
        <v>3025</v>
      </c>
      <c r="E682" s="234">
        <v>278000</v>
      </c>
    </row>
    <row r="683" spans="1:5" ht="15" customHeight="1">
      <c r="A683" s="922" t="str">
        <f t="shared" si="31"/>
        <v xml:space="preserve">마쉬맬로우
(MRS)
</v>
      </c>
      <c r="B683" s="846"/>
      <c r="C683" s="88">
        <v>209</v>
      </c>
      <c r="D683" s="240" t="s">
        <v>2113</v>
      </c>
      <c r="E683" s="234">
        <v>314000</v>
      </c>
    </row>
    <row r="684" spans="1:5" ht="15" customHeight="1">
      <c r="A684" s="922" t="str">
        <f t="shared" si="31"/>
        <v xml:space="preserve">마쉬맬로우
(MRS)
</v>
      </c>
      <c r="B684" s="846"/>
      <c r="C684" s="88">
        <v>233</v>
      </c>
      <c r="D684" s="240" t="s">
        <v>3030</v>
      </c>
      <c r="E684" s="234">
        <v>350000</v>
      </c>
    </row>
    <row r="685" spans="1:5" ht="15" customHeight="1">
      <c r="A685" s="922" t="str">
        <f t="shared" si="31"/>
        <v xml:space="preserve">마쉬맬로우
(MRS)
</v>
      </c>
      <c r="B685" s="852"/>
      <c r="C685" s="88">
        <v>262</v>
      </c>
      <c r="D685" s="240" t="s">
        <v>3031</v>
      </c>
      <c r="E685" s="234">
        <v>397000</v>
      </c>
    </row>
    <row r="686" spans="1:5" ht="15" customHeight="1">
      <c r="A686" s="922" t="str">
        <f t="shared" si="31"/>
        <v xml:space="preserve">마쉬맬로우
(MRS)
</v>
      </c>
      <c r="B686" s="856" t="s">
        <v>1752</v>
      </c>
      <c r="C686" s="91">
        <v>64</v>
      </c>
      <c r="D686" s="374" t="s">
        <v>3766</v>
      </c>
      <c r="E686" s="373">
        <v>120000</v>
      </c>
    </row>
    <row r="687" spans="1:5" ht="15" customHeight="1">
      <c r="A687" s="922" t="e">
        <f>#REF!</f>
        <v>#REF!</v>
      </c>
      <c r="B687" s="846"/>
      <c r="C687" s="88">
        <v>186</v>
      </c>
      <c r="D687" s="375" t="s">
        <v>3767</v>
      </c>
      <c r="E687" s="256">
        <v>335000</v>
      </c>
    </row>
    <row r="688" spans="1:5" ht="15" customHeight="1">
      <c r="A688" s="922" t="e">
        <f>A687</f>
        <v>#REF!</v>
      </c>
      <c r="B688" s="851"/>
      <c r="C688" s="88">
        <v>209</v>
      </c>
      <c r="D688" s="376" t="s">
        <v>3768</v>
      </c>
      <c r="E688" s="256">
        <v>380000</v>
      </c>
    </row>
    <row r="689" spans="1:5" ht="15" customHeight="1">
      <c r="A689" s="922" t="e">
        <f>A688</f>
        <v>#REF!</v>
      </c>
      <c r="B689" s="848" t="s">
        <v>1895</v>
      </c>
      <c r="C689" s="89">
        <v>64</v>
      </c>
      <c r="D689" s="377" t="s">
        <v>3769</v>
      </c>
      <c r="E689" s="364">
        <v>85000</v>
      </c>
    </row>
    <row r="690" spans="1:5" ht="15" customHeight="1">
      <c r="A690" s="922" t="e">
        <f>#REF!</f>
        <v>#REF!</v>
      </c>
      <c r="B690" s="847"/>
      <c r="C690" s="357">
        <v>209</v>
      </c>
      <c r="D690" s="378" t="s">
        <v>3770</v>
      </c>
      <c r="E690" s="259">
        <v>265000</v>
      </c>
    </row>
    <row r="691" spans="1:5" ht="15" customHeight="1">
      <c r="A691" s="246"/>
      <c r="B691" s="87" t="s">
        <v>3771</v>
      </c>
      <c r="C691" s="94"/>
      <c r="D691" s="240" t="s">
        <v>3772</v>
      </c>
      <c r="E691" s="234" t="s">
        <v>1755</v>
      </c>
    </row>
    <row r="692" spans="1:5" ht="15" customHeight="1">
      <c r="A692" s="863" t="s">
        <v>1914</v>
      </c>
      <c r="B692" s="850" t="s">
        <v>1757</v>
      </c>
      <c r="C692" s="855">
        <v>120</v>
      </c>
      <c r="D692" s="379" t="s">
        <v>1915</v>
      </c>
      <c r="E692" s="365">
        <v>530000</v>
      </c>
    </row>
    <row r="693" spans="1:5" ht="15" customHeight="1">
      <c r="A693" s="864"/>
      <c r="B693" s="846"/>
      <c r="C693" s="843"/>
      <c r="D693" s="257" t="s">
        <v>3773</v>
      </c>
      <c r="E693" s="256">
        <v>390000</v>
      </c>
    </row>
    <row r="694" spans="1:5" ht="15" customHeight="1">
      <c r="A694" s="864"/>
      <c r="B694" s="846"/>
      <c r="C694" s="843"/>
      <c r="D694" s="257" t="s">
        <v>3774</v>
      </c>
      <c r="E694" s="256">
        <v>410000</v>
      </c>
    </row>
    <row r="695" spans="1:5" ht="15" customHeight="1">
      <c r="A695" s="864"/>
      <c r="B695" s="846"/>
      <c r="C695" s="843"/>
      <c r="D695" s="257" t="s">
        <v>3775</v>
      </c>
      <c r="E695" s="256">
        <v>510000</v>
      </c>
    </row>
    <row r="696" spans="1:5" ht="15" customHeight="1">
      <c r="A696" s="864"/>
      <c r="B696" s="846"/>
      <c r="C696" s="843"/>
      <c r="D696" s="257" t="s">
        <v>3776</v>
      </c>
      <c r="E696" s="256">
        <v>565000</v>
      </c>
    </row>
    <row r="697" spans="1:5" ht="15" customHeight="1">
      <c r="A697" s="864"/>
      <c r="B697" s="846"/>
      <c r="C697" s="843"/>
      <c r="D697" s="150" t="s">
        <v>1916</v>
      </c>
      <c r="E697" s="234">
        <v>610000</v>
      </c>
    </row>
    <row r="698" spans="1:5" ht="15" customHeight="1">
      <c r="A698" s="864"/>
      <c r="B698" s="852"/>
      <c r="C698" s="860"/>
      <c r="D698" s="288" t="s">
        <v>1917</v>
      </c>
      <c r="E698" s="289">
        <v>675000</v>
      </c>
    </row>
    <row r="699" spans="1:5" ht="15" customHeight="1">
      <c r="A699" s="864"/>
      <c r="B699" s="856" t="s">
        <v>1918</v>
      </c>
      <c r="C699" s="859">
        <v>120</v>
      </c>
      <c r="D699" s="153" t="s">
        <v>3032</v>
      </c>
      <c r="E699" s="234">
        <v>450000</v>
      </c>
    </row>
    <row r="700" spans="1:5" ht="15" customHeight="1">
      <c r="A700" s="864"/>
      <c r="B700" s="846"/>
      <c r="C700" s="843"/>
      <c r="D700" s="150" t="s">
        <v>1919</v>
      </c>
      <c r="E700" s="234">
        <v>475000</v>
      </c>
    </row>
    <row r="701" spans="1:5" ht="15" customHeight="1">
      <c r="A701" s="864"/>
      <c r="B701" s="846"/>
      <c r="C701" s="843"/>
      <c r="D701" s="150" t="s">
        <v>1920</v>
      </c>
      <c r="E701" s="234">
        <v>580000</v>
      </c>
    </row>
    <row r="702" spans="1:5" ht="15" customHeight="1">
      <c r="A702" s="864"/>
      <c r="B702" s="846"/>
      <c r="C702" s="843"/>
      <c r="D702" s="150" t="s">
        <v>3777</v>
      </c>
      <c r="E702" s="234">
        <v>465000</v>
      </c>
    </row>
    <row r="703" spans="1:5" ht="15" customHeight="1">
      <c r="A703" s="864"/>
      <c r="B703" s="846"/>
      <c r="C703" s="843"/>
      <c r="D703" s="150" t="s">
        <v>3778</v>
      </c>
      <c r="E703" s="234">
        <v>410000</v>
      </c>
    </row>
    <row r="704" spans="1:5" ht="15" customHeight="1">
      <c r="A704" s="864"/>
      <c r="B704" s="852"/>
      <c r="C704" s="860"/>
      <c r="D704" s="150" t="s">
        <v>1921</v>
      </c>
      <c r="E704" s="234">
        <v>660000</v>
      </c>
    </row>
    <row r="705" spans="1:5" ht="15" customHeight="1">
      <c r="A705" s="864"/>
      <c r="B705" s="856" t="s">
        <v>1757</v>
      </c>
      <c r="C705" s="859">
        <v>200</v>
      </c>
      <c r="D705" s="157" t="s">
        <v>3033</v>
      </c>
      <c r="E705" s="283">
        <v>850000</v>
      </c>
    </row>
    <row r="706" spans="1:5" ht="15" customHeight="1">
      <c r="A706" s="864"/>
      <c r="B706" s="852"/>
      <c r="C706" s="860"/>
      <c r="D706" s="288" t="s">
        <v>3034</v>
      </c>
      <c r="E706" s="289">
        <v>1000000</v>
      </c>
    </row>
    <row r="707" spans="1:5" ht="15" customHeight="1">
      <c r="A707" s="864"/>
      <c r="B707" s="380" t="s">
        <v>1754</v>
      </c>
      <c r="C707" s="308">
        <v>200</v>
      </c>
      <c r="D707" s="288" t="s">
        <v>3035</v>
      </c>
      <c r="E707" s="244">
        <v>695000</v>
      </c>
    </row>
    <row r="708" spans="1:5" ht="15" customHeight="1">
      <c r="A708" s="864"/>
      <c r="B708" s="380" t="s">
        <v>1922</v>
      </c>
      <c r="C708" s="308">
        <v>200</v>
      </c>
      <c r="D708" s="153" t="s">
        <v>1923</v>
      </c>
      <c r="E708" s="241">
        <v>600000</v>
      </c>
    </row>
    <row r="709" spans="1:5" ht="15" customHeight="1">
      <c r="A709" s="864"/>
      <c r="B709" s="856" t="s">
        <v>1757</v>
      </c>
      <c r="C709" s="859">
        <v>250</v>
      </c>
      <c r="D709" s="157" t="s">
        <v>3036</v>
      </c>
      <c r="E709" s="283">
        <v>1060000</v>
      </c>
    </row>
    <row r="710" spans="1:5" ht="15" customHeight="1">
      <c r="A710" s="864"/>
      <c r="B710" s="846"/>
      <c r="C710" s="843"/>
      <c r="D710" s="257" t="s">
        <v>3779</v>
      </c>
      <c r="E710" s="256">
        <v>775000</v>
      </c>
    </row>
    <row r="711" spans="1:5" ht="15" customHeight="1">
      <c r="A711" s="864"/>
      <c r="B711" s="846"/>
      <c r="C711" s="843"/>
      <c r="D711" s="257" t="s">
        <v>3780</v>
      </c>
      <c r="E711" s="256">
        <v>820000</v>
      </c>
    </row>
    <row r="712" spans="1:5" ht="15" customHeight="1">
      <c r="A712" s="864"/>
      <c r="B712" s="846"/>
      <c r="C712" s="843"/>
      <c r="D712" s="257" t="s">
        <v>3781</v>
      </c>
      <c r="E712" s="256">
        <v>1010000</v>
      </c>
    </row>
    <row r="713" spans="1:5" ht="15" customHeight="1">
      <c r="A713" s="864"/>
      <c r="B713" s="846"/>
      <c r="C713" s="843"/>
      <c r="D713" s="257" t="s">
        <v>3782</v>
      </c>
      <c r="E713" s="256">
        <v>1165000</v>
      </c>
    </row>
    <row r="714" spans="1:5" ht="15" customHeight="1">
      <c r="A714" s="864"/>
      <c r="B714" s="846"/>
      <c r="C714" s="843"/>
      <c r="D714" s="94" t="s">
        <v>3037</v>
      </c>
      <c r="E714" s="234">
        <v>1235000</v>
      </c>
    </row>
    <row r="715" spans="1:5" ht="15" customHeight="1">
      <c r="A715" s="864"/>
      <c r="B715" s="852"/>
      <c r="C715" s="860"/>
      <c r="D715" s="311" t="s">
        <v>1924</v>
      </c>
      <c r="E715" s="289">
        <v>1350000</v>
      </c>
    </row>
    <row r="716" spans="1:5" ht="15" customHeight="1">
      <c r="A716" s="864"/>
      <c r="B716" s="856" t="s">
        <v>1918</v>
      </c>
      <c r="C716" s="859">
        <v>250</v>
      </c>
      <c r="D716" s="150" t="s">
        <v>3038</v>
      </c>
      <c r="E716" s="234">
        <v>900000</v>
      </c>
    </row>
    <row r="717" spans="1:5" ht="15" customHeight="1">
      <c r="A717" s="864"/>
      <c r="B717" s="846"/>
      <c r="C717" s="843"/>
      <c r="D717" s="150" t="s">
        <v>3039</v>
      </c>
      <c r="E717" s="234">
        <v>950000</v>
      </c>
    </row>
    <row r="718" spans="1:5" ht="15" customHeight="1">
      <c r="A718" s="864"/>
      <c r="B718" s="846"/>
      <c r="C718" s="843"/>
      <c r="D718" s="150" t="s">
        <v>3040</v>
      </c>
      <c r="E718" s="234">
        <v>1140000</v>
      </c>
    </row>
    <row r="719" spans="1:5" ht="15" customHeight="1">
      <c r="A719" s="864"/>
      <c r="B719" s="846"/>
      <c r="C719" s="843"/>
      <c r="D719" s="150" t="s">
        <v>3783</v>
      </c>
      <c r="E719" s="234">
        <v>1025000</v>
      </c>
    </row>
    <row r="720" spans="1:5" ht="15" customHeight="1">
      <c r="A720" s="864"/>
      <c r="B720" s="846"/>
      <c r="C720" s="843"/>
      <c r="D720" s="150" t="s">
        <v>3041</v>
      </c>
      <c r="E720" s="234">
        <v>1315000</v>
      </c>
    </row>
    <row r="721" spans="1:5" ht="15" customHeight="1">
      <c r="A721" s="864"/>
      <c r="B721" s="846"/>
      <c r="C721" s="843"/>
      <c r="D721" s="94" t="s">
        <v>3784</v>
      </c>
      <c r="E721" s="234">
        <v>950000</v>
      </c>
    </row>
    <row r="722" spans="1:5" ht="15" customHeight="1">
      <c r="A722" s="864"/>
      <c r="B722" s="846"/>
      <c r="C722" s="843"/>
      <c r="D722" s="150" t="s">
        <v>1925</v>
      </c>
      <c r="E722" s="234">
        <v>950000</v>
      </c>
    </row>
    <row r="723" spans="1:5" ht="15" customHeight="1">
      <c r="A723" s="864"/>
      <c r="B723" s="846"/>
      <c r="C723" s="843"/>
      <c r="D723" s="150" t="s">
        <v>1926</v>
      </c>
      <c r="E723" s="234">
        <v>1420000</v>
      </c>
    </row>
    <row r="724" spans="1:5" ht="15" customHeight="1">
      <c r="A724" s="865"/>
      <c r="B724" s="861"/>
      <c r="C724" s="862"/>
      <c r="D724" s="155" t="s">
        <v>1927</v>
      </c>
      <c r="E724" s="243">
        <v>1090000</v>
      </c>
    </row>
    <row r="725" spans="1:5" ht="15" customHeight="1">
      <c r="A725" s="381"/>
      <c r="B725" s="845" t="s">
        <v>1934</v>
      </c>
      <c r="C725" s="287">
        <v>130</v>
      </c>
      <c r="D725" s="348" t="s">
        <v>3785</v>
      </c>
      <c r="E725" s="256">
        <v>500000</v>
      </c>
    </row>
    <row r="726" spans="1:5" ht="15" customHeight="1">
      <c r="A726" s="941" t="s">
        <v>3786</v>
      </c>
      <c r="B726" s="846"/>
      <c r="C726" s="855">
        <v>250</v>
      </c>
      <c r="D726" s="361" t="s">
        <v>3787</v>
      </c>
      <c r="E726" s="362">
        <v>935000</v>
      </c>
    </row>
    <row r="727" spans="1:5" ht="15" customHeight="1">
      <c r="A727" s="941"/>
      <c r="B727" s="846"/>
      <c r="C727" s="843"/>
      <c r="D727" s="150" t="s">
        <v>1929</v>
      </c>
      <c r="E727" s="234">
        <v>1245000</v>
      </c>
    </row>
    <row r="728" spans="1:5" ht="15" customHeight="1">
      <c r="A728" s="941" t="str">
        <f>A726</f>
        <v>마제스틱
카멜레온 라이트
(MJC)</v>
      </c>
      <c r="B728" s="851"/>
      <c r="C728" s="844"/>
      <c r="D728" s="288" t="s">
        <v>1928</v>
      </c>
      <c r="E728" s="289">
        <v>1260000</v>
      </c>
    </row>
    <row r="729" spans="1:5" ht="15" customHeight="1">
      <c r="A729" s="941" t="str">
        <f>A728</f>
        <v>마제스틱
카멜레온 라이트
(MJC)</v>
      </c>
      <c r="B729" s="848" t="s">
        <v>1930</v>
      </c>
      <c r="C729" s="90">
        <v>120</v>
      </c>
      <c r="D729" s="156" t="s">
        <v>1931</v>
      </c>
      <c r="E729" s="244">
        <v>525000</v>
      </c>
    </row>
    <row r="730" spans="1:5" ht="15" customHeight="1">
      <c r="A730" s="941" t="str">
        <f>A729</f>
        <v>마제스틱
카멜레온 라이트
(MJC)</v>
      </c>
      <c r="B730" s="846"/>
      <c r="C730" s="853">
        <v>250</v>
      </c>
      <c r="D730" s="257" t="s">
        <v>1932</v>
      </c>
      <c r="E730" s="256">
        <v>750000</v>
      </c>
    </row>
    <row r="731" spans="1:5" ht="15" customHeight="1">
      <c r="A731" s="941" t="str">
        <f>A730</f>
        <v>마제스틱
카멜레온 라이트
(MJC)</v>
      </c>
      <c r="B731" s="846"/>
      <c r="C731" s="843"/>
      <c r="D731" s="257" t="s">
        <v>3788</v>
      </c>
      <c r="E731" s="256">
        <v>1150000</v>
      </c>
    </row>
    <row r="732" spans="1:5" ht="15" customHeight="1">
      <c r="A732" s="941" t="str">
        <f>A731</f>
        <v>마제스틱
카멜레온 라이트
(MJC)</v>
      </c>
      <c r="B732" s="852"/>
      <c r="C732" s="860"/>
      <c r="D732" s="382" t="s">
        <v>1933</v>
      </c>
      <c r="E732" s="383">
        <v>870000</v>
      </c>
    </row>
    <row r="733" spans="1:5" ht="15" customHeight="1">
      <c r="A733" s="941"/>
      <c r="B733" s="325" t="s">
        <v>1788</v>
      </c>
      <c r="C733" s="287">
        <v>250</v>
      </c>
      <c r="D733" s="288" t="s">
        <v>3042</v>
      </c>
      <c r="E733" s="234">
        <v>870000</v>
      </c>
    </row>
    <row r="734" spans="1:5" ht="15" customHeight="1">
      <c r="A734" s="941"/>
      <c r="B734" s="325" t="s">
        <v>1972</v>
      </c>
      <c r="C734" s="287">
        <v>240</v>
      </c>
      <c r="D734" s="288" t="s">
        <v>3789</v>
      </c>
      <c r="E734" s="244">
        <v>1050000</v>
      </c>
    </row>
    <row r="735" spans="1:5" ht="15" customHeight="1">
      <c r="A735" s="952" t="e">
        <f>#REF!</f>
        <v>#REF!</v>
      </c>
      <c r="B735" s="325" t="s">
        <v>1788</v>
      </c>
      <c r="C735" s="287">
        <v>240</v>
      </c>
      <c r="D735" s="288" t="s">
        <v>3790</v>
      </c>
      <c r="E735" s="234">
        <v>725000</v>
      </c>
    </row>
    <row r="736" spans="1:5" ht="15" customHeight="1">
      <c r="A736" s="952" t="e">
        <f>A735</f>
        <v>#REF!</v>
      </c>
      <c r="B736" s="195" t="s">
        <v>3791</v>
      </c>
      <c r="C736" s="196">
        <v>120</v>
      </c>
      <c r="D736" s="384" t="s">
        <v>3792</v>
      </c>
      <c r="E736" s="385"/>
    </row>
    <row r="737" spans="1:5" ht="15" customHeight="1" thickBot="1">
      <c r="A737" s="953" t="s">
        <v>4651</v>
      </c>
      <c r="B737" s="850" t="s">
        <v>1935</v>
      </c>
      <c r="C737" s="855">
        <v>120</v>
      </c>
      <c r="D737" s="94" t="s">
        <v>1936</v>
      </c>
      <c r="E737" s="233">
        <v>325000</v>
      </c>
    </row>
    <row r="738" spans="1:5" ht="15" customHeight="1" thickBot="1">
      <c r="A738" s="953" t="str">
        <f>A737</f>
        <v xml:space="preserve">마테리카
(MTRC) </v>
      </c>
      <c r="B738" s="846"/>
      <c r="C738" s="843"/>
      <c r="D738" s="94" t="s">
        <v>3793</v>
      </c>
      <c r="E738" s="234">
        <v>260000</v>
      </c>
    </row>
    <row r="739" spans="1:5" ht="15" customHeight="1" thickBot="1">
      <c r="A739" s="953" t="str">
        <f>A738</f>
        <v xml:space="preserve">마테리카
(MTRC) </v>
      </c>
      <c r="B739" s="846"/>
      <c r="C739" s="843"/>
      <c r="D739" s="94" t="s">
        <v>3794</v>
      </c>
      <c r="E739" s="234">
        <v>315000</v>
      </c>
    </row>
    <row r="740" spans="1:5" ht="15" customHeight="1" thickBot="1">
      <c r="A740" s="953" t="str">
        <f>A739</f>
        <v xml:space="preserve">마테리카
(MTRC) </v>
      </c>
      <c r="B740" s="846"/>
      <c r="C740" s="843"/>
      <c r="D740" s="94" t="s">
        <v>3795</v>
      </c>
      <c r="E740" s="234">
        <v>405000</v>
      </c>
    </row>
    <row r="741" spans="1:5" ht="15" customHeight="1" thickBot="1">
      <c r="A741" s="953" t="str">
        <f>A740</f>
        <v xml:space="preserve">마테리카
(MTRC) </v>
      </c>
      <c r="B741" s="851"/>
      <c r="C741" s="844"/>
      <c r="D741" s="311" t="s">
        <v>3796</v>
      </c>
      <c r="E741" s="289">
        <v>280000</v>
      </c>
    </row>
    <row r="742" spans="1:5" ht="15" customHeight="1" thickBot="1">
      <c r="A742" s="953" t="str">
        <f>A741</f>
        <v xml:space="preserve">마테리카
(MTRC) </v>
      </c>
      <c r="B742" s="848" t="s">
        <v>1918</v>
      </c>
      <c r="C742" s="853">
        <v>120</v>
      </c>
      <c r="D742" s="153" t="s">
        <v>3727</v>
      </c>
      <c r="E742" s="241">
        <v>195000</v>
      </c>
    </row>
    <row r="743" spans="1:5" ht="15" customHeight="1" thickBot="1">
      <c r="A743" s="953"/>
      <c r="B743" s="846"/>
      <c r="C743" s="843"/>
      <c r="D743" s="150" t="s">
        <v>3043</v>
      </c>
      <c r="E743" s="234">
        <v>345000</v>
      </c>
    </row>
    <row r="744" spans="1:5" ht="15" customHeight="1" thickBot="1">
      <c r="A744" s="953" t="str">
        <f>A742</f>
        <v xml:space="preserve">마테리카
(MTRC) </v>
      </c>
      <c r="B744" s="846"/>
      <c r="C744" s="843"/>
      <c r="D744" s="150" t="s">
        <v>3044</v>
      </c>
      <c r="E744" s="234">
        <v>275000</v>
      </c>
    </row>
    <row r="745" spans="1:5" ht="15" customHeight="1" thickBot="1">
      <c r="A745" s="953" t="str">
        <f>A744</f>
        <v xml:space="preserve">마테리카
(MTRC) </v>
      </c>
      <c r="B745" s="846"/>
      <c r="C745" s="843"/>
      <c r="D745" s="150" t="s">
        <v>3045</v>
      </c>
      <c r="E745" s="234">
        <v>285000</v>
      </c>
    </row>
    <row r="746" spans="1:5" ht="15" customHeight="1" thickBot="1">
      <c r="A746" s="953" t="str">
        <f>A745</f>
        <v xml:space="preserve">마테리카
(MTRC) </v>
      </c>
      <c r="B746" s="852"/>
      <c r="C746" s="860"/>
      <c r="D746" s="164" t="s">
        <v>3046</v>
      </c>
      <c r="E746" s="294">
        <v>365000</v>
      </c>
    </row>
    <row r="747" spans="1:5" ht="15" customHeight="1" thickBot="1">
      <c r="A747" s="953" t="e">
        <f>#REF!</f>
        <v>#REF!</v>
      </c>
      <c r="B747" s="856" t="s">
        <v>1935</v>
      </c>
      <c r="C747" s="859">
        <v>180</v>
      </c>
      <c r="D747" s="150" t="s">
        <v>3047</v>
      </c>
      <c r="E747" s="234">
        <v>485000</v>
      </c>
    </row>
    <row r="748" spans="1:5" ht="15" customHeight="1" thickBot="1">
      <c r="A748" s="953" t="e">
        <f>A747</f>
        <v>#REF!</v>
      </c>
      <c r="B748" s="846"/>
      <c r="C748" s="843"/>
      <c r="D748" s="150" t="s">
        <v>3797</v>
      </c>
      <c r="E748" s="234">
        <v>340000</v>
      </c>
    </row>
    <row r="749" spans="1:5" ht="15" customHeight="1" thickBot="1">
      <c r="A749" s="953" t="e">
        <f>A748</f>
        <v>#REF!</v>
      </c>
      <c r="B749" s="846"/>
      <c r="C749" s="843"/>
      <c r="D749" s="150" t="s">
        <v>3798</v>
      </c>
      <c r="E749" s="234">
        <v>420000</v>
      </c>
    </row>
    <row r="750" spans="1:5" ht="15" customHeight="1" thickBot="1">
      <c r="A750" s="953" t="e">
        <f>A749</f>
        <v>#REF!</v>
      </c>
      <c r="B750" s="851"/>
      <c r="C750" s="844"/>
      <c r="D750" s="150" t="s">
        <v>3799</v>
      </c>
      <c r="E750" s="289">
        <v>425000</v>
      </c>
    </row>
    <row r="751" spans="1:5" ht="15" customHeight="1" thickBot="1">
      <c r="A751" s="953" t="e">
        <f>A750</f>
        <v>#REF!</v>
      </c>
      <c r="B751" s="848" t="s">
        <v>1918</v>
      </c>
      <c r="C751" s="866">
        <v>180</v>
      </c>
      <c r="D751" s="153" t="s">
        <v>3800</v>
      </c>
      <c r="E751" s="234">
        <v>290000</v>
      </c>
    </row>
    <row r="752" spans="1:5" ht="15" customHeight="1" thickBot="1">
      <c r="A752" s="953"/>
      <c r="B752" s="846"/>
      <c r="C752" s="867"/>
      <c r="D752" s="150" t="s">
        <v>3048</v>
      </c>
      <c r="E752" s="234">
        <v>420000</v>
      </c>
    </row>
    <row r="753" spans="1:5" ht="15" customHeight="1" thickBot="1">
      <c r="A753" s="953" t="e">
        <f>A751</f>
        <v>#REF!</v>
      </c>
      <c r="B753" s="846"/>
      <c r="C753" s="867"/>
      <c r="D753" s="150" t="s">
        <v>3801</v>
      </c>
      <c r="E753" s="234">
        <v>360000</v>
      </c>
    </row>
    <row r="754" spans="1:5" ht="15" customHeight="1" thickBot="1">
      <c r="A754" s="953" t="e">
        <f>A753</f>
        <v>#REF!</v>
      </c>
      <c r="B754" s="846"/>
      <c r="C754" s="867"/>
      <c r="D754" s="150" t="s">
        <v>2265</v>
      </c>
      <c r="E754" s="234">
        <v>430000</v>
      </c>
    </row>
    <row r="755" spans="1:5" ht="15" customHeight="1" thickBot="1">
      <c r="A755" s="953" t="e">
        <f>A754</f>
        <v>#REF!</v>
      </c>
      <c r="B755" s="846"/>
      <c r="C755" s="867"/>
      <c r="D755" s="150" t="s">
        <v>3049</v>
      </c>
      <c r="E755" s="234">
        <v>550000</v>
      </c>
    </row>
    <row r="756" spans="1:5" ht="15" customHeight="1" thickBot="1">
      <c r="A756" s="953" t="e">
        <f>A755</f>
        <v>#REF!</v>
      </c>
      <c r="B756" s="846"/>
      <c r="C756" s="867"/>
      <c r="D756" s="150" t="s">
        <v>3802</v>
      </c>
      <c r="E756" s="234">
        <v>360000</v>
      </c>
    </row>
    <row r="757" spans="1:5" ht="15" customHeight="1" thickBot="1">
      <c r="A757" s="953"/>
      <c r="B757" s="851"/>
      <c r="C757" s="868"/>
      <c r="D757" s="288" t="s">
        <v>3803</v>
      </c>
      <c r="E757" s="289">
        <v>520000</v>
      </c>
    </row>
    <row r="758" spans="1:5" ht="15" customHeight="1" thickBot="1">
      <c r="A758" s="953">
        <f>A757</f>
        <v>0</v>
      </c>
      <c r="B758" s="848" t="s">
        <v>1935</v>
      </c>
      <c r="C758" s="853">
        <v>250</v>
      </c>
      <c r="D758" s="153" t="s">
        <v>1937</v>
      </c>
      <c r="E758" s="241">
        <v>760000</v>
      </c>
    </row>
    <row r="759" spans="1:5" ht="15" customHeight="1" thickBot="1">
      <c r="A759" s="953"/>
      <c r="B759" s="846"/>
      <c r="C759" s="843"/>
      <c r="D759" s="94" t="s">
        <v>3050</v>
      </c>
      <c r="E759" s="234">
        <v>760000</v>
      </c>
    </row>
    <row r="760" spans="1:5" ht="15" customHeight="1" thickBot="1">
      <c r="A760" s="953">
        <f>A758</f>
        <v>0</v>
      </c>
      <c r="B760" s="846"/>
      <c r="C760" s="843"/>
      <c r="D760" s="150" t="s">
        <v>3804</v>
      </c>
      <c r="E760" s="234">
        <v>525000</v>
      </c>
    </row>
    <row r="761" spans="1:5" ht="15" customHeight="1" thickBot="1">
      <c r="A761" s="953">
        <f t="shared" ref="A761:A768" si="32">A760</f>
        <v>0</v>
      </c>
      <c r="B761" s="851"/>
      <c r="C761" s="844"/>
      <c r="D761" s="150" t="s">
        <v>3805</v>
      </c>
      <c r="E761" s="289">
        <v>625000</v>
      </c>
    </row>
    <row r="762" spans="1:5" ht="15" customHeight="1" thickBot="1">
      <c r="A762" s="953">
        <f t="shared" si="32"/>
        <v>0</v>
      </c>
      <c r="B762" s="848" t="s">
        <v>1918</v>
      </c>
      <c r="C762" s="853">
        <v>250</v>
      </c>
      <c r="D762" s="153" t="s">
        <v>4652</v>
      </c>
      <c r="E762" s="234">
        <v>435000</v>
      </c>
    </row>
    <row r="763" spans="1:5" ht="15" customHeight="1" thickBot="1">
      <c r="A763" s="953">
        <f t="shared" si="32"/>
        <v>0</v>
      </c>
      <c r="B763" s="846"/>
      <c r="C763" s="843"/>
      <c r="D763" s="150" t="s">
        <v>4653</v>
      </c>
      <c r="E763" s="234">
        <v>645000</v>
      </c>
    </row>
    <row r="764" spans="1:5" ht="15" customHeight="1" thickBot="1">
      <c r="A764" s="953"/>
      <c r="B764" s="846"/>
      <c r="C764" s="843"/>
      <c r="D764" s="150" t="s">
        <v>3051</v>
      </c>
      <c r="E764" s="234">
        <v>595000</v>
      </c>
    </row>
    <row r="765" spans="1:5" ht="15" customHeight="1" thickBot="1">
      <c r="A765" s="953">
        <f>A763</f>
        <v>0</v>
      </c>
      <c r="B765" s="846"/>
      <c r="C765" s="843"/>
      <c r="D765" s="150" t="s">
        <v>1938</v>
      </c>
      <c r="E765" s="234">
        <v>760000</v>
      </c>
    </row>
    <row r="766" spans="1:5" ht="15" customHeight="1" thickBot="1">
      <c r="A766" s="953">
        <f t="shared" si="32"/>
        <v>0</v>
      </c>
      <c r="B766" s="846"/>
      <c r="C766" s="843"/>
      <c r="D766" s="150" t="s">
        <v>3806</v>
      </c>
      <c r="E766" s="234">
        <v>525000</v>
      </c>
    </row>
    <row r="767" spans="1:5" ht="15" customHeight="1" thickBot="1">
      <c r="A767" s="953">
        <f t="shared" si="32"/>
        <v>0</v>
      </c>
      <c r="B767" s="851"/>
      <c r="C767" s="844"/>
      <c r="D767" s="288" t="s">
        <v>3807</v>
      </c>
      <c r="E767" s="289">
        <v>755000</v>
      </c>
    </row>
    <row r="768" spans="1:5" ht="15" customHeight="1" thickBot="1">
      <c r="A768" s="953">
        <f t="shared" si="32"/>
        <v>0</v>
      </c>
      <c r="B768" s="848" t="s">
        <v>1935</v>
      </c>
      <c r="C768" s="853">
        <v>360</v>
      </c>
      <c r="D768" s="150" t="s">
        <v>1932</v>
      </c>
      <c r="E768" s="234">
        <v>1095000</v>
      </c>
    </row>
    <row r="769" spans="1:5" ht="15" customHeight="1" thickBot="1">
      <c r="A769" s="953"/>
      <c r="B769" s="846"/>
      <c r="C769" s="843"/>
      <c r="D769" s="150" t="s">
        <v>1768</v>
      </c>
      <c r="E769" s="234">
        <v>1095000</v>
      </c>
    </row>
    <row r="770" spans="1:5" ht="15" customHeight="1" thickBot="1">
      <c r="A770" s="953">
        <f>A768</f>
        <v>0</v>
      </c>
      <c r="B770" s="846"/>
      <c r="C770" s="843"/>
      <c r="D770" s="150" t="s">
        <v>3808</v>
      </c>
      <c r="E770" s="234">
        <v>735000</v>
      </c>
    </row>
    <row r="771" spans="1:5" ht="15" customHeight="1" thickBot="1">
      <c r="A771" s="953">
        <f>A770</f>
        <v>0</v>
      </c>
      <c r="B771" s="851"/>
      <c r="C771" s="844"/>
      <c r="D771" s="150" t="s">
        <v>3809</v>
      </c>
      <c r="E771" s="289">
        <v>900000</v>
      </c>
    </row>
    <row r="772" spans="1:5" ht="15" customHeight="1" thickBot="1">
      <c r="A772" s="953">
        <f>A771</f>
        <v>0</v>
      </c>
      <c r="B772" s="848" t="s">
        <v>1918</v>
      </c>
      <c r="C772" s="853">
        <v>360</v>
      </c>
      <c r="D772" s="153" t="s">
        <v>3052</v>
      </c>
      <c r="E772" s="234">
        <v>935000</v>
      </c>
    </row>
    <row r="773" spans="1:5" ht="15" customHeight="1">
      <c r="A773" s="921">
        <f>A772</f>
        <v>0</v>
      </c>
      <c r="B773" s="846"/>
      <c r="C773" s="843"/>
      <c r="D773" s="150" t="s">
        <v>3053</v>
      </c>
      <c r="E773" s="234">
        <v>1090000</v>
      </c>
    </row>
    <row r="774" spans="1:5" ht="15" customHeight="1">
      <c r="A774" s="921">
        <f>A773</f>
        <v>0</v>
      </c>
      <c r="B774" s="846"/>
      <c r="C774" s="843"/>
      <c r="D774" s="150" t="s">
        <v>1939</v>
      </c>
      <c r="E774" s="234">
        <v>1285000</v>
      </c>
    </row>
    <row r="775" spans="1:5" ht="15" customHeight="1">
      <c r="A775" s="921">
        <f>A774</f>
        <v>0</v>
      </c>
      <c r="B775" s="861"/>
      <c r="C775" s="862"/>
      <c r="D775" s="150" t="s">
        <v>3810</v>
      </c>
      <c r="E775" s="234">
        <v>760000</v>
      </c>
    </row>
    <row r="776" spans="1:5" ht="15" customHeight="1">
      <c r="A776" s="998" t="s">
        <v>4654</v>
      </c>
      <c r="B776" s="873" t="s">
        <v>1941</v>
      </c>
      <c r="C776" s="386">
        <v>293</v>
      </c>
      <c r="D776" s="386" t="s">
        <v>1942</v>
      </c>
      <c r="E776" s="387"/>
    </row>
    <row r="777" spans="1:5" ht="15" customHeight="1">
      <c r="A777" s="999" t="str">
        <f t="shared" ref="A777:A793" si="33">A776</f>
        <v>멀티크라프트
(MK)</v>
      </c>
      <c r="B777" s="846"/>
      <c r="C777" s="94">
        <v>332</v>
      </c>
      <c r="D777" s="94" t="s">
        <v>1943</v>
      </c>
      <c r="E777" s="388"/>
    </row>
    <row r="778" spans="1:5" ht="15" customHeight="1">
      <c r="A778" s="999" t="str">
        <f t="shared" si="33"/>
        <v>멀티크라프트
(MK)</v>
      </c>
      <c r="B778" s="852"/>
      <c r="C778" s="94">
        <v>361</v>
      </c>
      <c r="D778" s="94" t="s">
        <v>1944</v>
      </c>
      <c r="E778" s="388"/>
    </row>
    <row r="779" spans="1:5" ht="15" customHeight="1">
      <c r="A779" s="999" t="e">
        <f>#REF!</f>
        <v>#REF!</v>
      </c>
      <c r="B779" s="856" t="s">
        <v>1945</v>
      </c>
      <c r="C779" s="389">
        <v>293</v>
      </c>
      <c r="D779" s="389" t="s">
        <v>1946</v>
      </c>
      <c r="E779" s="390"/>
    </row>
    <row r="780" spans="1:5" ht="15" customHeight="1">
      <c r="A780" s="999" t="e">
        <f t="shared" si="33"/>
        <v>#REF!</v>
      </c>
      <c r="B780" s="846"/>
      <c r="C780" s="94">
        <v>332</v>
      </c>
      <c r="D780" s="94" t="s">
        <v>1947</v>
      </c>
      <c r="E780" s="388"/>
    </row>
    <row r="781" spans="1:5" ht="15" customHeight="1">
      <c r="A781" s="999" t="e">
        <f t="shared" si="33"/>
        <v>#REF!</v>
      </c>
      <c r="B781" s="852"/>
      <c r="C781" s="94">
        <v>361</v>
      </c>
      <c r="D781" s="94" t="s">
        <v>1948</v>
      </c>
      <c r="E781" s="388"/>
    </row>
    <row r="782" spans="1:5" ht="15" customHeight="1">
      <c r="A782" s="999" t="e">
        <f t="shared" si="33"/>
        <v>#REF!</v>
      </c>
      <c r="B782" s="872" t="s">
        <v>1814</v>
      </c>
      <c r="C782" s="389">
        <v>293</v>
      </c>
      <c r="D782" s="391" t="s">
        <v>1949</v>
      </c>
      <c r="E782" s="392">
        <v>385000</v>
      </c>
    </row>
    <row r="783" spans="1:5" ht="15" customHeight="1">
      <c r="A783" s="999" t="e">
        <f t="shared" si="33"/>
        <v>#REF!</v>
      </c>
      <c r="B783" s="870"/>
      <c r="C783" s="94">
        <v>332</v>
      </c>
      <c r="D783" s="393" t="s">
        <v>1950</v>
      </c>
      <c r="E783" s="324">
        <v>430000</v>
      </c>
    </row>
    <row r="784" spans="1:5" ht="15" customHeight="1">
      <c r="A784" s="999" t="e">
        <f t="shared" si="33"/>
        <v>#REF!</v>
      </c>
      <c r="B784" s="870"/>
      <c r="C784" s="94">
        <v>361</v>
      </c>
      <c r="D784" s="393" t="s">
        <v>1951</v>
      </c>
      <c r="E784" s="324">
        <v>470000</v>
      </c>
    </row>
    <row r="785" spans="1:5" ht="15" customHeight="1">
      <c r="A785" s="999" t="e">
        <f t="shared" si="33"/>
        <v>#REF!</v>
      </c>
      <c r="B785" s="871"/>
      <c r="C785" s="311">
        <v>420</v>
      </c>
      <c r="D785" s="394" t="s">
        <v>3811</v>
      </c>
      <c r="E785" s="395">
        <v>440000</v>
      </c>
    </row>
    <row r="786" spans="1:5" ht="15" customHeight="1">
      <c r="A786" s="999" t="e">
        <f t="shared" si="33"/>
        <v>#REF!</v>
      </c>
      <c r="B786" s="869" t="s">
        <v>1952</v>
      </c>
      <c r="C786" s="94">
        <v>293</v>
      </c>
      <c r="D786" s="393" t="s">
        <v>1953</v>
      </c>
      <c r="E786" s="324">
        <v>210000</v>
      </c>
    </row>
    <row r="787" spans="1:5" ht="15" customHeight="1">
      <c r="A787" s="999" t="e">
        <f t="shared" si="33"/>
        <v>#REF!</v>
      </c>
      <c r="B787" s="870"/>
      <c r="C787" s="94">
        <v>332</v>
      </c>
      <c r="D787" s="393" t="s">
        <v>1954</v>
      </c>
      <c r="E787" s="324">
        <v>235000</v>
      </c>
    </row>
    <row r="788" spans="1:5" ht="15" customHeight="1">
      <c r="A788" s="999" t="e">
        <f t="shared" si="33"/>
        <v>#REF!</v>
      </c>
      <c r="B788" s="870"/>
      <c r="C788" s="94">
        <v>361</v>
      </c>
      <c r="D788" s="393" t="s">
        <v>1955</v>
      </c>
      <c r="E788" s="324">
        <v>256000</v>
      </c>
    </row>
    <row r="789" spans="1:5" ht="15" customHeight="1">
      <c r="A789" s="999" t="e">
        <f t="shared" si="33"/>
        <v>#REF!</v>
      </c>
      <c r="B789" s="871"/>
      <c r="C789" s="94">
        <v>420</v>
      </c>
      <c r="D789" s="376" t="s">
        <v>3812</v>
      </c>
      <c r="E789" s="396">
        <v>210000</v>
      </c>
    </row>
    <row r="790" spans="1:5" ht="15" customHeight="1">
      <c r="A790" s="999" t="e">
        <f t="shared" si="33"/>
        <v>#REF!</v>
      </c>
      <c r="B790" s="848" t="s">
        <v>1956</v>
      </c>
      <c r="C790" s="397">
        <v>293</v>
      </c>
      <c r="D790" s="398" t="s">
        <v>1957</v>
      </c>
      <c r="E790" s="399">
        <v>270000</v>
      </c>
    </row>
    <row r="791" spans="1:5" ht="15" customHeight="1">
      <c r="A791" s="999" t="e">
        <f t="shared" si="33"/>
        <v>#REF!</v>
      </c>
      <c r="B791" s="846"/>
      <c r="C791" s="94">
        <v>332</v>
      </c>
      <c r="D791" s="393" t="s">
        <v>1958</v>
      </c>
      <c r="E791" s="324">
        <v>300000</v>
      </c>
    </row>
    <row r="792" spans="1:5" ht="15" customHeight="1">
      <c r="A792" s="999" t="e">
        <f t="shared" si="33"/>
        <v>#REF!</v>
      </c>
      <c r="B792" s="846"/>
      <c r="C792" s="94">
        <v>361</v>
      </c>
      <c r="D792" s="393" t="s">
        <v>1832</v>
      </c>
      <c r="E792" s="324">
        <v>325000</v>
      </c>
    </row>
    <row r="793" spans="1:5" ht="15" customHeight="1">
      <c r="A793" s="1000" t="e">
        <f t="shared" si="33"/>
        <v>#REF!</v>
      </c>
      <c r="B793" s="849"/>
      <c r="C793" s="162">
        <v>391</v>
      </c>
      <c r="D793" s="400" t="s">
        <v>3813</v>
      </c>
      <c r="E793" s="401">
        <v>245000</v>
      </c>
    </row>
    <row r="794" spans="1:5" ht="15" customHeight="1">
      <c r="A794" s="954" t="s">
        <v>3814</v>
      </c>
      <c r="B794" s="879" t="s">
        <v>1752</v>
      </c>
      <c r="C794" s="349">
        <v>115</v>
      </c>
      <c r="D794" s="402" t="s">
        <v>3815</v>
      </c>
      <c r="E794" s="403">
        <v>235000</v>
      </c>
    </row>
    <row r="795" spans="1:5" ht="15" customHeight="1">
      <c r="A795" s="955"/>
      <c r="B795" s="870"/>
      <c r="C795" s="88">
        <v>200</v>
      </c>
      <c r="D795" s="224" t="s">
        <v>1959</v>
      </c>
      <c r="E795" s="223">
        <v>256000</v>
      </c>
    </row>
    <row r="796" spans="1:5" ht="15" customHeight="1">
      <c r="A796" s="955"/>
      <c r="B796" s="878"/>
      <c r="C796" s="304">
        <v>250</v>
      </c>
      <c r="D796" s="404" t="s">
        <v>3276</v>
      </c>
      <c r="E796" s="405">
        <v>327000</v>
      </c>
    </row>
    <row r="797" spans="1:5" ht="15" customHeight="1">
      <c r="A797" s="955"/>
      <c r="B797" s="872" t="s">
        <v>1754</v>
      </c>
      <c r="C797" s="88">
        <v>115</v>
      </c>
      <c r="D797" s="222" t="s">
        <v>3075</v>
      </c>
      <c r="E797" s="223">
        <v>105000</v>
      </c>
    </row>
    <row r="798" spans="1:5" ht="15" customHeight="1">
      <c r="A798" s="955"/>
      <c r="B798" s="870"/>
      <c r="C798" s="88">
        <v>135</v>
      </c>
      <c r="D798" s="224" t="s">
        <v>1830</v>
      </c>
      <c r="E798" s="223">
        <v>107000</v>
      </c>
    </row>
    <row r="799" spans="1:5" ht="15" customHeight="1">
      <c r="A799" s="955"/>
      <c r="B799" s="870"/>
      <c r="C799" s="88">
        <v>150</v>
      </c>
      <c r="D799" s="224" t="s">
        <v>1831</v>
      </c>
      <c r="E799" s="223">
        <v>132000</v>
      </c>
    </row>
    <row r="800" spans="1:5" ht="15" customHeight="1">
      <c r="A800" s="955"/>
      <c r="B800" s="870"/>
      <c r="C800" s="88">
        <v>200</v>
      </c>
      <c r="D800" s="224" t="s">
        <v>1833</v>
      </c>
      <c r="E800" s="223">
        <v>212000</v>
      </c>
    </row>
    <row r="801" spans="1:5" ht="15" customHeight="1">
      <c r="A801" s="955"/>
      <c r="B801" s="878"/>
      <c r="C801" s="304">
        <v>250</v>
      </c>
      <c r="D801" s="404" t="s">
        <v>1834</v>
      </c>
      <c r="E801" s="405">
        <v>225000</v>
      </c>
    </row>
    <row r="802" spans="1:5" ht="15" customHeight="1">
      <c r="A802" s="955"/>
      <c r="B802" s="872" t="s">
        <v>1922</v>
      </c>
      <c r="C802" s="88">
        <v>170</v>
      </c>
      <c r="D802" s="406" t="s">
        <v>3816</v>
      </c>
      <c r="E802" s="223">
        <v>137000</v>
      </c>
    </row>
    <row r="803" spans="1:5" ht="15" customHeight="1">
      <c r="A803" s="955"/>
      <c r="B803" s="870"/>
      <c r="C803" s="88">
        <v>200</v>
      </c>
      <c r="D803" s="407" t="s">
        <v>3817</v>
      </c>
      <c r="E803" s="223">
        <v>171000</v>
      </c>
    </row>
    <row r="804" spans="1:5" ht="15" customHeight="1">
      <c r="A804" s="955"/>
      <c r="B804" s="871"/>
      <c r="C804" s="287">
        <v>250</v>
      </c>
      <c r="D804" s="408" t="s">
        <v>3017</v>
      </c>
      <c r="E804" s="409">
        <v>208000</v>
      </c>
    </row>
    <row r="805" spans="1:5" ht="15" customHeight="1">
      <c r="A805" s="955"/>
      <c r="B805" s="869" t="s">
        <v>1757</v>
      </c>
      <c r="C805" s="88">
        <v>170</v>
      </c>
      <c r="D805" s="410" t="s">
        <v>3818</v>
      </c>
      <c r="E805" s="223">
        <v>208000</v>
      </c>
    </row>
    <row r="806" spans="1:5" ht="15" customHeight="1">
      <c r="A806" s="982"/>
      <c r="B806" s="874"/>
      <c r="C806" s="171">
        <v>250</v>
      </c>
      <c r="D806" s="245" t="s">
        <v>3819</v>
      </c>
      <c r="E806" s="231">
        <v>298000</v>
      </c>
    </row>
    <row r="807" spans="1:5" ht="15" customHeight="1">
      <c r="A807" s="1001" t="s">
        <v>3820</v>
      </c>
      <c r="B807" s="875" t="s">
        <v>1814</v>
      </c>
      <c r="C807" s="165">
        <v>127</v>
      </c>
      <c r="D807" s="150" t="s">
        <v>3821</v>
      </c>
      <c r="E807" s="324">
        <v>125000</v>
      </c>
    </row>
    <row r="808" spans="1:5" ht="15" customHeight="1">
      <c r="A808" s="995" t="str">
        <f t="shared" ref="A808:A819" si="34">A807</f>
        <v>메타크라프트
(META)</v>
      </c>
      <c r="B808" s="876"/>
      <c r="C808" s="88">
        <v>161</v>
      </c>
      <c r="D808" s="240" t="s">
        <v>1835</v>
      </c>
      <c r="E808" s="324">
        <v>153000</v>
      </c>
    </row>
    <row r="809" spans="1:5" ht="15" customHeight="1">
      <c r="A809" s="995" t="str">
        <f t="shared" si="34"/>
        <v>메타크라프트
(META)</v>
      </c>
      <c r="B809" s="876"/>
      <c r="C809" s="88">
        <v>170</v>
      </c>
      <c r="D809" s="240" t="s">
        <v>1836</v>
      </c>
      <c r="E809" s="324">
        <v>161000</v>
      </c>
    </row>
    <row r="810" spans="1:5" ht="15" customHeight="1">
      <c r="A810" s="995" t="str">
        <f t="shared" si="34"/>
        <v>메타크라프트
(META)</v>
      </c>
      <c r="B810" s="876"/>
      <c r="C810" s="411">
        <v>200</v>
      </c>
      <c r="D810" s="240" t="s">
        <v>1829</v>
      </c>
      <c r="E810" s="412">
        <v>190000</v>
      </c>
    </row>
    <row r="811" spans="1:5" ht="15" customHeight="1">
      <c r="A811" s="995" t="str">
        <f t="shared" si="34"/>
        <v>메타크라프트
(META)</v>
      </c>
      <c r="B811" s="876"/>
      <c r="C811" s="414">
        <v>250</v>
      </c>
      <c r="D811" s="150" t="s">
        <v>3054</v>
      </c>
      <c r="E811" s="412">
        <v>240000</v>
      </c>
    </row>
    <row r="812" spans="1:5" ht="15" customHeight="1">
      <c r="A812" s="995" t="str">
        <f t="shared" si="34"/>
        <v>메타크라프트
(META)</v>
      </c>
      <c r="B812" s="876"/>
      <c r="C812" s="415">
        <v>275</v>
      </c>
      <c r="D812" s="150" t="s">
        <v>3056</v>
      </c>
      <c r="E812" s="412">
        <v>260000</v>
      </c>
    </row>
    <row r="813" spans="1:5" ht="15" customHeight="1">
      <c r="A813" s="995" t="str">
        <f t="shared" si="34"/>
        <v>메타크라프트
(META)</v>
      </c>
      <c r="B813" s="876"/>
      <c r="C813" s="415">
        <v>300</v>
      </c>
      <c r="D813" s="150" t="s">
        <v>3057</v>
      </c>
      <c r="E813" s="412">
        <v>285000</v>
      </c>
    </row>
    <row r="814" spans="1:5" ht="15" customHeight="1">
      <c r="A814" s="995" t="str">
        <f t="shared" si="34"/>
        <v>메타크라프트
(META)</v>
      </c>
      <c r="B814" s="877"/>
      <c r="C814" s="304">
        <v>337</v>
      </c>
      <c r="D814" s="311" t="s">
        <v>3058</v>
      </c>
      <c r="E814" s="416">
        <v>320000</v>
      </c>
    </row>
    <row r="815" spans="1:5" ht="15" customHeight="1">
      <c r="A815" s="995" t="str">
        <f t="shared" si="34"/>
        <v>메타크라프트
(META)</v>
      </c>
      <c r="B815" s="413" t="s">
        <v>1825</v>
      </c>
      <c r="C815" s="415">
        <v>250</v>
      </c>
      <c r="D815" s="150"/>
      <c r="E815" s="412">
        <v>118000</v>
      </c>
    </row>
    <row r="816" spans="1:5" ht="15" customHeight="1">
      <c r="A816" s="995" t="str">
        <f t="shared" si="34"/>
        <v>메타크라프트
(META)</v>
      </c>
      <c r="B816" s="869" t="s">
        <v>1839</v>
      </c>
      <c r="C816" s="89">
        <v>127</v>
      </c>
      <c r="D816" s="417" t="s">
        <v>1837</v>
      </c>
      <c r="E816" s="399">
        <v>157000</v>
      </c>
    </row>
    <row r="817" spans="1:5" ht="15" customHeight="1">
      <c r="A817" s="995" t="str">
        <f t="shared" si="34"/>
        <v>메타크라프트
(META)</v>
      </c>
      <c r="B817" s="870"/>
      <c r="C817" s="415">
        <v>161</v>
      </c>
      <c r="D817" s="240" t="s">
        <v>1838</v>
      </c>
      <c r="E817" s="412">
        <v>191000</v>
      </c>
    </row>
    <row r="818" spans="1:5" ht="15" customHeight="1">
      <c r="A818" s="995" t="str">
        <f t="shared" si="34"/>
        <v>메타크라프트
(META)</v>
      </c>
      <c r="B818" s="871"/>
      <c r="C818" s="287">
        <v>170</v>
      </c>
      <c r="D818" s="371" t="s">
        <v>2114</v>
      </c>
      <c r="E818" s="418">
        <v>203000</v>
      </c>
    </row>
    <row r="819" spans="1:5" ht="15" customHeight="1">
      <c r="A819" s="995" t="str">
        <f t="shared" si="34"/>
        <v>메타크라프트
(META)</v>
      </c>
      <c r="B819" s="869" t="s">
        <v>1826</v>
      </c>
      <c r="C819" s="415">
        <v>127</v>
      </c>
      <c r="D819" s="419" t="s">
        <v>3055</v>
      </c>
      <c r="E819" s="412"/>
    </row>
    <row r="820" spans="1:5" ht="15" customHeight="1">
      <c r="A820" s="1002"/>
      <c r="B820" s="870"/>
      <c r="C820" s="420">
        <v>161170</v>
      </c>
      <c r="D820" s="419"/>
      <c r="E820" s="412"/>
    </row>
    <row r="821" spans="1:5" ht="15" customHeight="1">
      <c r="A821" s="995">
        <f>A820</f>
        <v>0</v>
      </c>
      <c r="B821" s="870"/>
      <c r="C821" s="415">
        <v>200</v>
      </c>
      <c r="D821" s="419"/>
      <c r="E821" s="412"/>
    </row>
    <row r="822" spans="1:5" ht="15" customHeight="1">
      <c r="A822" s="995">
        <f>A821</f>
        <v>0</v>
      </c>
      <c r="B822" s="870"/>
      <c r="C822" s="421">
        <v>250</v>
      </c>
      <c r="D822" s="150" t="s">
        <v>3054</v>
      </c>
      <c r="E822" s="412" t="s">
        <v>1940</v>
      </c>
    </row>
    <row r="823" spans="1:5" ht="15" customHeight="1">
      <c r="A823" s="995">
        <f>A822</f>
        <v>0</v>
      </c>
      <c r="B823" s="870"/>
      <c r="C823" s="415">
        <v>275</v>
      </c>
      <c r="D823" s="150" t="s">
        <v>3056</v>
      </c>
      <c r="E823" s="412" t="s">
        <v>1940</v>
      </c>
    </row>
    <row r="824" spans="1:5" ht="15" customHeight="1">
      <c r="A824" s="995">
        <f>A823</f>
        <v>0</v>
      </c>
      <c r="B824" s="870"/>
      <c r="C824" s="415">
        <v>300</v>
      </c>
      <c r="D824" s="150" t="s">
        <v>3057</v>
      </c>
      <c r="E824" s="412" t="s">
        <v>1940</v>
      </c>
    </row>
    <row r="825" spans="1:5" ht="15" customHeight="1">
      <c r="A825" s="1003">
        <f>A824</f>
        <v>0</v>
      </c>
      <c r="B825" s="874"/>
      <c r="C825" s="171">
        <v>337</v>
      </c>
      <c r="D825" s="150" t="s">
        <v>3058</v>
      </c>
      <c r="E825" s="422" t="s">
        <v>1940</v>
      </c>
    </row>
    <row r="826" spans="1:5" ht="15" customHeight="1">
      <c r="A826" s="921" t="s">
        <v>3822</v>
      </c>
      <c r="B826" s="850" t="s">
        <v>3823</v>
      </c>
      <c r="C826" s="165">
        <v>300</v>
      </c>
      <c r="D826" s="232" t="s">
        <v>1960</v>
      </c>
      <c r="E826" s="233">
        <v>850000</v>
      </c>
    </row>
    <row r="827" spans="1:5" ht="15" customHeight="1">
      <c r="A827" s="922" t="str">
        <f t="shared" ref="A827:A842" si="35">A826</f>
        <v>메탈보드팩 플러스
(MBP3)</v>
      </c>
      <c r="B827" s="846"/>
      <c r="C827" s="415">
        <v>300</v>
      </c>
      <c r="D827" s="150" t="s">
        <v>3824</v>
      </c>
      <c r="E827" s="423">
        <v>900000</v>
      </c>
    </row>
    <row r="828" spans="1:5" ht="15" customHeight="1">
      <c r="A828" s="922" t="str">
        <f t="shared" si="35"/>
        <v>메탈보드팩 플러스
(MBP3)</v>
      </c>
      <c r="B828" s="846"/>
      <c r="C828" s="415">
        <v>300</v>
      </c>
      <c r="D828" s="150" t="s">
        <v>3825</v>
      </c>
      <c r="E828" s="423">
        <v>1125000</v>
      </c>
    </row>
    <row r="829" spans="1:5" ht="15" customHeight="1">
      <c r="A829" s="922" t="str">
        <f t="shared" si="35"/>
        <v>메탈보드팩 플러스
(MBP3)</v>
      </c>
      <c r="B829" s="846"/>
      <c r="C829" s="415">
        <v>300</v>
      </c>
      <c r="D829" s="150" t="s">
        <v>3826</v>
      </c>
      <c r="E829" s="423">
        <v>850000</v>
      </c>
    </row>
    <row r="830" spans="1:5" ht="15" customHeight="1">
      <c r="A830" s="922" t="str">
        <f t="shared" si="35"/>
        <v>메탈보드팩 플러스
(MBP3)</v>
      </c>
      <c r="B830" s="846"/>
      <c r="C830" s="415">
        <v>300</v>
      </c>
      <c r="D830" s="150" t="s">
        <v>3827</v>
      </c>
      <c r="E830" s="423">
        <v>925000</v>
      </c>
    </row>
    <row r="831" spans="1:5" s="93" customFormat="1" ht="15" customHeight="1">
      <c r="A831" s="922" t="str">
        <f t="shared" si="35"/>
        <v>메탈보드팩 플러스
(MBP3)</v>
      </c>
      <c r="B831" s="846"/>
      <c r="C831" s="415">
        <v>300</v>
      </c>
      <c r="D831" s="150" t="s">
        <v>1768</v>
      </c>
      <c r="E831" s="423">
        <v>875000</v>
      </c>
    </row>
    <row r="832" spans="1:5" s="93" customFormat="1" ht="15" customHeight="1">
      <c r="A832" s="922" t="str">
        <f t="shared" si="35"/>
        <v>메탈보드팩 플러스
(MBP3)</v>
      </c>
      <c r="B832" s="846"/>
      <c r="C832" s="415">
        <v>300</v>
      </c>
      <c r="D832" s="150" t="s">
        <v>1961</v>
      </c>
      <c r="E832" s="423">
        <v>950000</v>
      </c>
    </row>
    <row r="833" spans="1:5" s="93" customFormat="1" ht="15" customHeight="1">
      <c r="A833" s="922" t="str">
        <f t="shared" si="35"/>
        <v>메탈보드팩 플러스
(MBP3)</v>
      </c>
      <c r="B833" s="846"/>
      <c r="C833" s="415">
        <v>300</v>
      </c>
      <c r="D833" s="150" t="s">
        <v>3828</v>
      </c>
      <c r="E833" s="423">
        <v>900000</v>
      </c>
    </row>
    <row r="834" spans="1:5" s="93" customFormat="1" ht="15" customHeight="1">
      <c r="A834" s="922" t="str">
        <f t="shared" si="35"/>
        <v>메탈보드팩 플러스
(MBP3)</v>
      </c>
      <c r="B834" s="846"/>
      <c r="C834" s="415">
        <v>310</v>
      </c>
      <c r="D834" s="150" t="s">
        <v>3829</v>
      </c>
      <c r="E834" s="423">
        <v>750000</v>
      </c>
    </row>
    <row r="835" spans="1:5" s="93" customFormat="1" ht="15" customHeight="1">
      <c r="A835" s="922" t="str">
        <f t="shared" si="35"/>
        <v>메탈보드팩 플러스
(MBP3)</v>
      </c>
      <c r="B835" s="851"/>
      <c r="C835" s="287">
        <v>365</v>
      </c>
      <c r="D835" s="288" t="s">
        <v>3830</v>
      </c>
      <c r="E835" s="289">
        <v>800000</v>
      </c>
    </row>
    <row r="836" spans="1:5" s="93" customFormat="1" ht="15" customHeight="1">
      <c r="A836" s="922" t="str">
        <f t="shared" si="35"/>
        <v>메탈보드팩 플러스
(MBP3)</v>
      </c>
      <c r="B836" s="194" t="s">
        <v>3831</v>
      </c>
      <c r="C836" s="89">
        <v>300</v>
      </c>
      <c r="D836" s="270" t="s">
        <v>3832</v>
      </c>
      <c r="E836" s="241">
        <v>395000</v>
      </c>
    </row>
    <row r="837" spans="1:5" s="93" customFormat="1" ht="15" customHeight="1">
      <c r="A837" s="922" t="str">
        <f t="shared" si="35"/>
        <v>메탈보드팩 플러스
(MBP3)</v>
      </c>
      <c r="B837" s="325" t="s">
        <v>3833</v>
      </c>
      <c r="C837" s="287">
        <v>300</v>
      </c>
      <c r="D837" s="288" t="s">
        <v>3834</v>
      </c>
      <c r="E837" s="289">
        <v>470000</v>
      </c>
    </row>
    <row r="838" spans="1:5" s="93" customFormat="1" ht="15" customHeight="1">
      <c r="A838" s="922" t="str">
        <f t="shared" si="35"/>
        <v>메탈보드팩 플러스
(MBP3)</v>
      </c>
      <c r="B838" s="87" t="s">
        <v>3835</v>
      </c>
      <c r="C838" s="415">
        <v>350</v>
      </c>
      <c r="D838" s="257" t="s">
        <v>3836</v>
      </c>
      <c r="E838" s="424">
        <v>690000</v>
      </c>
    </row>
    <row r="839" spans="1:5" s="93" customFormat="1" ht="15" customHeight="1">
      <c r="A839" s="922" t="str">
        <f t="shared" si="35"/>
        <v>메탈보드팩 플러스
(MBP3)</v>
      </c>
      <c r="B839" s="326" t="s">
        <v>3837</v>
      </c>
      <c r="C839" s="90">
        <v>350</v>
      </c>
      <c r="D839" s="156" t="s">
        <v>3838</v>
      </c>
      <c r="E839" s="244">
        <v>345000</v>
      </c>
    </row>
    <row r="840" spans="1:5" s="93" customFormat="1" ht="15" customHeight="1">
      <c r="A840" s="922" t="str">
        <f t="shared" si="35"/>
        <v>메탈보드팩 플러스
(MBP3)</v>
      </c>
      <c r="B840" s="848" t="s">
        <v>3839</v>
      </c>
      <c r="C840" s="415">
        <v>140</v>
      </c>
      <c r="D840" s="150" t="s">
        <v>3840</v>
      </c>
      <c r="E840" s="423">
        <v>500000</v>
      </c>
    </row>
    <row r="841" spans="1:5" s="93" customFormat="1" ht="15" customHeight="1">
      <c r="A841" s="922" t="str">
        <f t="shared" si="35"/>
        <v>메탈보드팩 플러스
(MBP3)</v>
      </c>
      <c r="B841" s="851"/>
      <c r="C841" s="415">
        <v>250</v>
      </c>
      <c r="D841" s="150" t="s">
        <v>3841</v>
      </c>
      <c r="E841" s="423">
        <v>675000</v>
      </c>
    </row>
    <row r="842" spans="1:5" s="93" customFormat="1" ht="15" customHeight="1">
      <c r="A842" s="922" t="str">
        <f t="shared" si="35"/>
        <v>메탈보드팩 플러스
(MBP3)</v>
      </c>
      <c r="B842" s="848" t="s">
        <v>3842</v>
      </c>
      <c r="C842" s="853">
        <v>140</v>
      </c>
      <c r="D842" s="153" t="s">
        <v>3843</v>
      </c>
      <c r="E842" s="241">
        <v>275000</v>
      </c>
    </row>
    <row r="843" spans="1:5" s="93" customFormat="1" ht="15" customHeight="1">
      <c r="A843" s="922"/>
      <c r="B843" s="846"/>
      <c r="C843" s="843"/>
      <c r="D843" s="419" t="s">
        <v>3844</v>
      </c>
      <c r="E843" s="423">
        <v>300000</v>
      </c>
    </row>
    <row r="844" spans="1:5" s="93" customFormat="1" ht="15" customHeight="1">
      <c r="A844" s="949" t="str">
        <f>A842</f>
        <v>메탈보드팩 플러스
(MBP3)</v>
      </c>
      <c r="B844" s="847"/>
      <c r="C844" s="854"/>
      <c r="D844" s="357" t="s">
        <v>3845</v>
      </c>
      <c r="E844" s="238">
        <v>275000</v>
      </c>
    </row>
    <row r="845" spans="1:5" s="93" customFormat="1" ht="15" customHeight="1">
      <c r="A845" s="921" t="s">
        <v>1962</v>
      </c>
      <c r="B845" s="850" t="s">
        <v>1752</v>
      </c>
      <c r="C845" s="855">
        <v>110</v>
      </c>
      <c r="D845" s="232" t="s">
        <v>1963</v>
      </c>
      <c r="E845" s="233">
        <v>985000</v>
      </c>
    </row>
    <row r="846" spans="1:5" s="93" customFormat="1" ht="15" customHeight="1">
      <c r="A846" s="922" t="str">
        <f t="shared" ref="A846:A858" si="36">A845</f>
        <v>메탈크로스
(MTC)</v>
      </c>
      <c r="B846" s="846"/>
      <c r="C846" s="843"/>
      <c r="D846" s="257" t="s">
        <v>3846</v>
      </c>
      <c r="E846" s="424">
        <v>845000</v>
      </c>
    </row>
    <row r="847" spans="1:5" s="93" customFormat="1" ht="15" customHeight="1">
      <c r="A847" s="922" t="str">
        <f t="shared" si="36"/>
        <v>메탈크로스
(MTC)</v>
      </c>
      <c r="B847" s="846"/>
      <c r="C847" s="843"/>
      <c r="D847" s="222" t="s">
        <v>1964</v>
      </c>
      <c r="E847" s="425">
        <v>1075000</v>
      </c>
    </row>
    <row r="848" spans="1:5" s="93" customFormat="1" ht="15" customHeight="1">
      <c r="A848" s="922" t="str">
        <f t="shared" si="36"/>
        <v>메탈크로스
(MTC)</v>
      </c>
      <c r="B848" s="846"/>
      <c r="C848" s="843"/>
      <c r="D848" s="150" t="s">
        <v>1965</v>
      </c>
      <c r="E848" s="423">
        <v>1190000</v>
      </c>
    </row>
    <row r="849" spans="1:5" s="93" customFormat="1" ht="15" customHeight="1">
      <c r="A849" s="922" t="str">
        <f t="shared" si="36"/>
        <v>메탈크로스
(MTC)</v>
      </c>
      <c r="B849" s="847"/>
      <c r="C849" s="854"/>
      <c r="D849" s="258" t="s">
        <v>3847</v>
      </c>
      <c r="E849" s="259">
        <v>515000</v>
      </c>
    </row>
    <row r="850" spans="1:5" s="93" customFormat="1" ht="15" customHeight="1">
      <c r="A850" s="948" t="str">
        <f t="shared" si="36"/>
        <v>메탈크로스
(MTC)</v>
      </c>
      <c r="B850" s="850" t="s">
        <v>1752</v>
      </c>
      <c r="C850" s="855">
        <v>110</v>
      </c>
      <c r="D850" s="257" t="s">
        <v>3848</v>
      </c>
      <c r="E850" s="424">
        <v>775000</v>
      </c>
    </row>
    <row r="851" spans="1:5" ht="15" customHeight="1">
      <c r="A851" s="948" t="str">
        <f t="shared" si="36"/>
        <v>메탈크로스
(MTC)</v>
      </c>
      <c r="B851" s="846"/>
      <c r="C851" s="843"/>
      <c r="D851" s="257" t="s">
        <v>3849</v>
      </c>
      <c r="E851" s="424">
        <v>845000</v>
      </c>
    </row>
    <row r="852" spans="1:5" ht="15" customHeight="1">
      <c r="A852" s="948" t="str">
        <f t="shared" si="36"/>
        <v>메탈크로스
(MTC)</v>
      </c>
      <c r="B852" s="846"/>
      <c r="C852" s="843"/>
      <c r="D852" s="257" t="s">
        <v>3850</v>
      </c>
      <c r="E852" s="424">
        <v>940000</v>
      </c>
    </row>
    <row r="853" spans="1:5" ht="15" customHeight="1">
      <c r="A853" s="948" t="str">
        <f t="shared" si="36"/>
        <v>메탈크로스
(MTC)</v>
      </c>
      <c r="B853" s="846"/>
      <c r="C853" s="843"/>
      <c r="D853" s="257" t="s">
        <v>3851</v>
      </c>
      <c r="E853" s="424">
        <v>515000</v>
      </c>
    </row>
    <row r="854" spans="1:5" ht="15" customHeight="1">
      <c r="A854" s="948" t="str">
        <f t="shared" si="36"/>
        <v>메탈크로스
(MTC)</v>
      </c>
      <c r="B854" s="847"/>
      <c r="C854" s="854"/>
      <c r="D854" s="258" t="s">
        <v>3847</v>
      </c>
      <c r="E854" s="259">
        <v>515000</v>
      </c>
    </row>
    <row r="855" spans="1:5" ht="15" customHeight="1">
      <c r="A855" s="948" t="str">
        <f t="shared" si="36"/>
        <v>메탈크로스
(MTC)</v>
      </c>
      <c r="B855" s="850" t="s">
        <v>1752</v>
      </c>
      <c r="C855" s="855">
        <v>110</v>
      </c>
      <c r="D855" s="257" t="s">
        <v>3852</v>
      </c>
      <c r="E855" s="424">
        <v>515000</v>
      </c>
    </row>
    <row r="856" spans="1:5" ht="15" customHeight="1">
      <c r="A856" s="948" t="str">
        <f t="shared" si="36"/>
        <v>메탈크로스
(MTC)</v>
      </c>
      <c r="B856" s="846"/>
      <c r="C856" s="843"/>
      <c r="D856" s="257" t="s">
        <v>3853</v>
      </c>
      <c r="E856" s="424">
        <v>515000</v>
      </c>
    </row>
    <row r="857" spans="1:5" ht="15" customHeight="1">
      <c r="A857" s="948" t="str">
        <f t="shared" si="36"/>
        <v>메탈크로스
(MTC)</v>
      </c>
      <c r="B857" s="846"/>
      <c r="C857" s="843"/>
      <c r="D857" s="257" t="s">
        <v>3854</v>
      </c>
      <c r="E857" s="424">
        <v>515000</v>
      </c>
    </row>
    <row r="858" spans="1:5" ht="15" customHeight="1">
      <c r="A858" s="963" t="str">
        <f t="shared" si="36"/>
        <v>메탈크로스
(MTC)</v>
      </c>
      <c r="B858" s="849"/>
      <c r="C858" s="858"/>
      <c r="D858" s="426" t="s">
        <v>3855</v>
      </c>
      <c r="E858" s="370">
        <v>515000</v>
      </c>
    </row>
    <row r="859" spans="1:5" ht="15" customHeight="1">
      <c r="A859" s="985" t="s">
        <v>1966</v>
      </c>
      <c r="B859" s="845" t="s">
        <v>1752</v>
      </c>
      <c r="C859" s="857">
        <v>110</v>
      </c>
      <c r="D859" s="427" t="s">
        <v>1967</v>
      </c>
      <c r="E859" s="428">
        <v>910000</v>
      </c>
    </row>
    <row r="860" spans="1:5" ht="15" customHeight="1">
      <c r="A860" s="941" t="str">
        <f>A859</f>
        <v>메탈플러스
(MTP)</v>
      </c>
      <c r="B860" s="846"/>
      <c r="C860" s="843"/>
      <c r="D860" s="257" t="s">
        <v>1968</v>
      </c>
      <c r="E860" s="424">
        <v>695000</v>
      </c>
    </row>
    <row r="861" spans="1:5" ht="15" customHeight="1">
      <c r="A861" s="941" t="str">
        <f>A860</f>
        <v>메탈플러스
(MTP)</v>
      </c>
      <c r="B861" s="846"/>
      <c r="C861" s="843"/>
      <c r="D861" s="257" t="s">
        <v>1969</v>
      </c>
      <c r="E861" s="424">
        <v>730000</v>
      </c>
    </row>
    <row r="862" spans="1:5" ht="15" customHeight="1">
      <c r="A862" s="941" t="str">
        <f>A861</f>
        <v>메탈플러스
(MTP)</v>
      </c>
      <c r="B862" s="846"/>
      <c r="C862" s="843"/>
      <c r="D862" s="222">
        <v>15</v>
      </c>
      <c r="E862" s="425">
        <v>1250000</v>
      </c>
    </row>
    <row r="863" spans="1:5" ht="15" customHeight="1">
      <c r="A863" s="968" t="str">
        <f>A862</f>
        <v>메탈플러스
(MTP)</v>
      </c>
      <c r="B863" s="849"/>
      <c r="C863" s="854"/>
      <c r="D863" s="426" t="s">
        <v>1970</v>
      </c>
      <c r="E863" s="370">
        <v>650000</v>
      </c>
    </row>
    <row r="864" spans="1:5" ht="15" customHeight="1">
      <c r="A864" s="962" t="s">
        <v>1971</v>
      </c>
      <c r="B864" s="845" t="s">
        <v>1972</v>
      </c>
      <c r="C864" s="855">
        <v>120</v>
      </c>
      <c r="D864" s="232" t="s">
        <v>1973</v>
      </c>
      <c r="E864" s="233">
        <v>765000</v>
      </c>
    </row>
    <row r="865" spans="1:5" ht="15" customHeight="1">
      <c r="A865" s="948" t="str">
        <f>A864</f>
        <v>모던시티
(MDC)</v>
      </c>
      <c r="B865" s="846"/>
      <c r="C865" s="843"/>
      <c r="D865" s="150" t="s">
        <v>1974</v>
      </c>
      <c r="E865" s="423">
        <v>865000</v>
      </c>
    </row>
    <row r="866" spans="1:5" ht="15" customHeight="1">
      <c r="A866" s="948" t="str">
        <f>A865</f>
        <v>모던시티
(MDC)</v>
      </c>
      <c r="B866" s="846"/>
      <c r="C866" s="844"/>
      <c r="D866" s="150" t="s">
        <v>1931</v>
      </c>
      <c r="E866" s="423">
        <v>930000</v>
      </c>
    </row>
    <row r="867" spans="1:5" ht="15" customHeight="1">
      <c r="A867" s="948" t="str">
        <f>A866</f>
        <v>모던시티
(MDC)</v>
      </c>
      <c r="B867" s="846"/>
      <c r="C867" s="853">
        <v>350</v>
      </c>
      <c r="D867" s="153" t="s">
        <v>1975</v>
      </c>
      <c r="E867" s="241">
        <v>2975000</v>
      </c>
    </row>
    <row r="868" spans="1:5" ht="15" customHeight="1">
      <c r="A868" s="948" t="str">
        <f>A867</f>
        <v>모던시티
(MDC)</v>
      </c>
      <c r="B868" s="846"/>
      <c r="C868" s="843"/>
      <c r="D868" s="150" t="s">
        <v>1976</v>
      </c>
      <c r="E868" s="423">
        <v>3180000</v>
      </c>
    </row>
    <row r="869" spans="1:5" ht="15" customHeight="1">
      <c r="A869" s="948"/>
      <c r="B869" s="852"/>
      <c r="C869" s="860"/>
      <c r="D869" s="164" t="s">
        <v>1977</v>
      </c>
      <c r="E869" s="294">
        <v>3425000</v>
      </c>
    </row>
    <row r="870" spans="1:5" ht="15" customHeight="1">
      <c r="A870" s="963" t="str">
        <f>A868</f>
        <v>모던시티
(MDC)</v>
      </c>
      <c r="B870" s="161" t="s">
        <v>1978</v>
      </c>
      <c r="C870" s="154">
        <v>350</v>
      </c>
      <c r="D870" s="155" t="s">
        <v>3059</v>
      </c>
      <c r="E870" s="243">
        <v>2550000</v>
      </c>
    </row>
    <row r="871" spans="1:5" ht="15" customHeight="1">
      <c r="A871" s="962" t="s">
        <v>1979</v>
      </c>
      <c r="B871" s="845" t="s">
        <v>1980</v>
      </c>
      <c r="C871" s="165">
        <v>310</v>
      </c>
      <c r="D871" s="247" t="s">
        <v>1829</v>
      </c>
      <c r="E871" s="233">
        <v>485000</v>
      </c>
    </row>
    <row r="872" spans="1:5" ht="15" customHeight="1">
      <c r="A872" s="948"/>
      <c r="B872" s="846"/>
      <c r="C872" s="415">
        <v>350</v>
      </c>
      <c r="D872" s="240" t="s">
        <v>1830</v>
      </c>
      <c r="E872" s="423">
        <v>540000</v>
      </c>
    </row>
    <row r="873" spans="1:5" ht="15" customHeight="1">
      <c r="A873" s="948" t="e">
        <f>#REF!</f>
        <v>#REF!</v>
      </c>
      <c r="B873" s="846"/>
      <c r="C873" s="415">
        <v>450</v>
      </c>
      <c r="D873" s="240" t="s">
        <v>1831</v>
      </c>
      <c r="E873" s="423">
        <v>685000</v>
      </c>
    </row>
    <row r="874" spans="1:5" ht="15" customHeight="1">
      <c r="A874" s="963" t="e">
        <f>A873</f>
        <v>#REF!</v>
      </c>
      <c r="B874" s="849"/>
      <c r="C874" s="154">
        <v>550</v>
      </c>
      <c r="D874" s="242" t="s">
        <v>1832</v>
      </c>
      <c r="E874" s="243">
        <v>840000</v>
      </c>
    </row>
    <row r="875" spans="1:5" ht="15" customHeight="1">
      <c r="A875" s="975" t="s">
        <v>3856</v>
      </c>
      <c r="B875" s="845" t="s">
        <v>1814</v>
      </c>
      <c r="C875" s="165">
        <v>120</v>
      </c>
      <c r="D875" s="247" t="s">
        <v>3857</v>
      </c>
      <c r="E875" s="233">
        <v>370000</v>
      </c>
    </row>
    <row r="876" spans="1:5" ht="15" customHeight="1">
      <c r="A876" s="955"/>
      <c r="B876" s="846"/>
      <c r="C876" s="415">
        <v>170</v>
      </c>
      <c r="D876" s="429" t="s">
        <v>3858</v>
      </c>
      <c r="E876" s="423">
        <v>520000</v>
      </c>
    </row>
    <row r="877" spans="1:5" ht="15" customHeight="1">
      <c r="A877" s="955"/>
      <c r="B877" s="846"/>
      <c r="C877" s="415">
        <v>250</v>
      </c>
      <c r="D877" s="429" t="s">
        <v>3859</v>
      </c>
      <c r="E877" s="423">
        <v>765000</v>
      </c>
    </row>
    <row r="878" spans="1:5" ht="15" customHeight="1">
      <c r="A878" s="956"/>
      <c r="B878" s="849"/>
      <c r="C878" s="154">
        <v>350</v>
      </c>
      <c r="D878" s="242" t="s">
        <v>3860</v>
      </c>
      <c r="E878" s="243">
        <v>1075000</v>
      </c>
    </row>
    <row r="879" spans="1:5" ht="15" customHeight="1">
      <c r="A879" s="975" t="s">
        <v>3861</v>
      </c>
      <c r="B879" s="845" t="s">
        <v>1814</v>
      </c>
      <c r="C879" s="415">
        <v>120</v>
      </c>
      <c r="D879" s="247" t="s">
        <v>3857</v>
      </c>
      <c r="E879" s="423">
        <v>370000</v>
      </c>
    </row>
    <row r="880" spans="1:5" ht="15" customHeight="1">
      <c r="A880" s="955"/>
      <c r="B880" s="846"/>
      <c r="C880" s="415">
        <v>170</v>
      </c>
      <c r="D880" s="429" t="s">
        <v>3858</v>
      </c>
      <c r="E880" s="423">
        <v>520000</v>
      </c>
    </row>
    <row r="881" spans="1:5" ht="15" customHeight="1">
      <c r="A881" s="955"/>
      <c r="B881" s="846"/>
      <c r="C881" s="415">
        <v>250</v>
      </c>
      <c r="D881" s="429" t="s">
        <v>3859</v>
      </c>
      <c r="E881" s="423">
        <v>765000</v>
      </c>
    </row>
    <row r="882" spans="1:5" ht="15" customHeight="1">
      <c r="A882" s="956"/>
      <c r="B882" s="849"/>
      <c r="C882" s="154">
        <v>320</v>
      </c>
      <c r="D882" s="242" t="s">
        <v>3860</v>
      </c>
      <c r="E882" s="243">
        <v>980000</v>
      </c>
    </row>
    <row r="883" spans="1:5" s="93" customFormat="1" ht="14.4" customHeight="1">
      <c r="A883" s="921" t="s">
        <v>1981</v>
      </c>
      <c r="B883" s="845" t="s">
        <v>1982</v>
      </c>
      <c r="C883" s="165">
        <v>90</v>
      </c>
      <c r="D883" s="232" t="s">
        <v>1983</v>
      </c>
      <c r="E883" s="233">
        <v>205000</v>
      </c>
    </row>
    <row r="884" spans="1:5" s="93" customFormat="1" ht="14.4" customHeight="1">
      <c r="A884" s="928" t="str">
        <f t="shared" ref="A884:A889" si="37">A883</f>
        <v>밤부럭스
(BOO)</v>
      </c>
      <c r="B884" s="851"/>
      <c r="C884" s="287">
        <v>120</v>
      </c>
      <c r="D884" s="288" t="s">
        <v>1984</v>
      </c>
      <c r="E884" s="289">
        <v>275000</v>
      </c>
    </row>
    <row r="885" spans="1:5" s="93" customFormat="1" ht="14.4" customHeight="1">
      <c r="A885" s="928" t="str">
        <f t="shared" si="37"/>
        <v>밤부럭스
(BOO)</v>
      </c>
      <c r="B885" s="848" t="s">
        <v>1814</v>
      </c>
      <c r="C885" s="415">
        <v>200</v>
      </c>
      <c r="D885" s="150" t="s">
        <v>1985</v>
      </c>
      <c r="E885" s="423">
        <v>555000</v>
      </c>
    </row>
    <row r="886" spans="1:5" s="93" customFormat="1" ht="14.4" customHeight="1">
      <c r="A886" s="928" t="str">
        <f t="shared" si="37"/>
        <v>밤부럭스
(BOO)</v>
      </c>
      <c r="B886" s="846"/>
      <c r="C886" s="415">
        <v>250</v>
      </c>
      <c r="D886" s="150" t="s">
        <v>1986</v>
      </c>
      <c r="E886" s="423">
        <v>695000</v>
      </c>
    </row>
    <row r="887" spans="1:5" s="93" customFormat="1" ht="14.4" customHeight="1">
      <c r="A887" s="928" t="str">
        <f t="shared" si="37"/>
        <v>밤부럭스
(BOO)</v>
      </c>
      <c r="B887" s="846"/>
      <c r="C887" s="415">
        <v>300</v>
      </c>
      <c r="D887" s="150" t="s">
        <v>1987</v>
      </c>
      <c r="E887" s="423">
        <v>830000</v>
      </c>
    </row>
    <row r="888" spans="1:5" s="93" customFormat="1" ht="14.4" customHeight="1">
      <c r="A888" s="928" t="str">
        <f t="shared" si="37"/>
        <v>밤부럭스
(BOO)</v>
      </c>
      <c r="B888" s="846"/>
      <c r="C888" s="415">
        <v>350</v>
      </c>
      <c r="D888" s="150" t="s">
        <v>1988</v>
      </c>
      <c r="E888" s="423">
        <v>970000</v>
      </c>
    </row>
    <row r="889" spans="1:5" s="93" customFormat="1" ht="13.95" customHeight="1">
      <c r="A889" s="929" t="str">
        <f t="shared" si="37"/>
        <v>밤부럭스
(BOO)</v>
      </c>
      <c r="B889" s="847"/>
      <c r="C889" s="171">
        <v>380</v>
      </c>
      <c r="D889" s="162" t="s">
        <v>1989</v>
      </c>
      <c r="E889" s="238">
        <v>1140000</v>
      </c>
    </row>
    <row r="890" spans="1:5" s="93" customFormat="1" ht="13.95" customHeight="1">
      <c r="A890" s="922" t="s">
        <v>1990</v>
      </c>
      <c r="B890" s="850" t="s">
        <v>2255</v>
      </c>
      <c r="C890" s="415">
        <v>150</v>
      </c>
      <c r="D890" s="431" t="s">
        <v>3060</v>
      </c>
      <c r="E890" s="423">
        <v>173000</v>
      </c>
    </row>
    <row r="891" spans="1:5" ht="15" customHeight="1">
      <c r="A891" s="922" t="str">
        <f t="shared" ref="A891:A906" si="38">A890</f>
        <v xml:space="preserve">밤부팩
(BPK) 
</v>
      </c>
      <c r="B891" s="846"/>
      <c r="C891" s="415">
        <v>170</v>
      </c>
      <c r="D891" s="431" t="s">
        <v>3862</v>
      </c>
      <c r="E891" s="423">
        <v>195000</v>
      </c>
    </row>
    <row r="892" spans="1:5" ht="15" customHeight="1">
      <c r="A892" s="922" t="str">
        <f t="shared" si="38"/>
        <v xml:space="preserve">밤부팩
(BPK) 
</v>
      </c>
      <c r="B892" s="846"/>
      <c r="C892" s="415">
        <v>190</v>
      </c>
      <c r="D892" s="431" t="s">
        <v>2118</v>
      </c>
      <c r="E892" s="423">
        <v>220000</v>
      </c>
    </row>
    <row r="893" spans="1:5" ht="15" customHeight="1">
      <c r="A893" s="922" t="str">
        <f t="shared" si="38"/>
        <v xml:space="preserve">밤부팩
(BPK) 
</v>
      </c>
      <c r="B893" s="846"/>
      <c r="C893" s="415">
        <v>250</v>
      </c>
      <c r="D893" s="431" t="s">
        <v>2119</v>
      </c>
      <c r="E893" s="423">
        <v>290000</v>
      </c>
    </row>
    <row r="894" spans="1:5" ht="15" customHeight="1">
      <c r="A894" s="922" t="str">
        <f t="shared" si="38"/>
        <v xml:space="preserve">밤부팩
(BPK) 
</v>
      </c>
      <c r="B894" s="846"/>
      <c r="C894" s="415">
        <v>300</v>
      </c>
      <c r="D894" s="431" t="s">
        <v>3863</v>
      </c>
      <c r="E894" s="423">
        <v>345000</v>
      </c>
    </row>
    <row r="895" spans="1:5" ht="15" customHeight="1">
      <c r="A895" s="922" t="str">
        <f t="shared" si="38"/>
        <v xml:space="preserve">밤부팩
(BPK) 
</v>
      </c>
      <c r="B895" s="846"/>
      <c r="C895" s="415">
        <v>320</v>
      </c>
      <c r="D895" s="415" t="s">
        <v>1991</v>
      </c>
      <c r="E895" s="423">
        <v>370000</v>
      </c>
    </row>
    <row r="896" spans="1:5" ht="15" customHeight="1">
      <c r="A896" s="922"/>
      <c r="B896" s="846"/>
      <c r="C896" s="89">
        <v>170</v>
      </c>
      <c r="D896" s="432" t="s">
        <v>3061</v>
      </c>
      <c r="E896" s="241">
        <v>215000</v>
      </c>
    </row>
    <row r="897" spans="1:5" ht="15" customHeight="1">
      <c r="A897" s="922"/>
      <c r="B897" s="846"/>
      <c r="C897" s="415">
        <v>190</v>
      </c>
      <c r="D897" s="431" t="s">
        <v>3062</v>
      </c>
      <c r="E897" s="423">
        <v>245000</v>
      </c>
    </row>
    <row r="898" spans="1:5" ht="15" customHeight="1">
      <c r="A898" s="922"/>
      <c r="B898" s="846"/>
      <c r="C898" s="415">
        <v>250</v>
      </c>
      <c r="D898" s="431" t="s">
        <v>3864</v>
      </c>
      <c r="E898" s="423">
        <v>320000</v>
      </c>
    </row>
    <row r="899" spans="1:5" ht="15" customHeight="1">
      <c r="A899" s="922"/>
      <c r="B899" s="846"/>
      <c r="C899" s="415">
        <v>300</v>
      </c>
      <c r="D899" s="431" t="s">
        <v>1992</v>
      </c>
      <c r="E899" s="423">
        <v>380000</v>
      </c>
    </row>
    <row r="900" spans="1:5" ht="15" customHeight="1">
      <c r="A900" s="922"/>
      <c r="B900" s="852"/>
      <c r="C900" s="279">
        <v>350</v>
      </c>
      <c r="D900" s="433" t="s">
        <v>3063</v>
      </c>
      <c r="E900" s="281">
        <v>450000</v>
      </c>
    </row>
    <row r="901" spans="1:5" ht="15" customHeight="1">
      <c r="A901" s="922" t="str">
        <f>A895</f>
        <v xml:space="preserve">밤부팩
(BPK) 
</v>
      </c>
      <c r="B901" s="880" t="s">
        <v>3064</v>
      </c>
      <c r="C901" s="415">
        <v>250</v>
      </c>
      <c r="D901" s="431" t="s">
        <v>3065</v>
      </c>
      <c r="E901" s="423">
        <v>200000</v>
      </c>
    </row>
    <row r="902" spans="1:5" ht="15" customHeight="1">
      <c r="A902" s="922" t="e">
        <f>#REF!</f>
        <v>#REF!</v>
      </c>
      <c r="B902" s="881"/>
      <c r="C902" s="415">
        <v>320</v>
      </c>
      <c r="D902" s="431" t="s">
        <v>3066</v>
      </c>
      <c r="E902" s="423">
        <v>255000</v>
      </c>
    </row>
    <row r="903" spans="1:5" ht="15" customHeight="1">
      <c r="A903" s="922" t="e">
        <f t="shared" si="38"/>
        <v>#REF!</v>
      </c>
      <c r="B903" s="881"/>
      <c r="C903" s="415">
        <v>300</v>
      </c>
      <c r="D903" s="431" t="s">
        <v>3067</v>
      </c>
      <c r="E903" s="423">
        <v>265000</v>
      </c>
    </row>
    <row r="904" spans="1:5" ht="15" customHeight="1">
      <c r="A904" s="922" t="e">
        <f t="shared" si="38"/>
        <v>#REF!</v>
      </c>
      <c r="B904" s="882"/>
      <c r="C904" s="434">
        <v>350</v>
      </c>
      <c r="D904" s="435" t="s">
        <v>3068</v>
      </c>
      <c r="E904" s="236">
        <v>310000</v>
      </c>
    </row>
    <row r="905" spans="1:5" ht="15" customHeight="1">
      <c r="A905" s="922" t="e">
        <f t="shared" si="38"/>
        <v>#REF!</v>
      </c>
      <c r="B905" s="856" t="s">
        <v>3069</v>
      </c>
      <c r="C905" s="415" t="s">
        <v>3070</v>
      </c>
      <c r="D905" s="415" t="s">
        <v>3071</v>
      </c>
      <c r="E905" s="423"/>
    </row>
    <row r="906" spans="1:5" ht="15" customHeight="1">
      <c r="A906" s="930" t="e">
        <f t="shared" si="38"/>
        <v>#REF!</v>
      </c>
      <c r="B906" s="849"/>
      <c r="C906" s="154" t="s">
        <v>3070</v>
      </c>
      <c r="D906" s="154" t="s">
        <v>3072</v>
      </c>
      <c r="E906" s="243" t="s">
        <v>1940</v>
      </c>
    </row>
    <row r="907" spans="1:5" ht="15" customHeight="1">
      <c r="A907" s="921" t="s">
        <v>3865</v>
      </c>
      <c r="B907" s="845" t="s">
        <v>1814</v>
      </c>
      <c r="C907" s="165">
        <v>80</v>
      </c>
      <c r="D907" s="232" t="s">
        <v>3660</v>
      </c>
      <c r="E907" s="233">
        <v>84000</v>
      </c>
    </row>
    <row r="908" spans="1:5" ht="15" customHeight="1">
      <c r="A908" s="928" t="str">
        <f>A907</f>
        <v>백상지-가공용지
(BS)</v>
      </c>
      <c r="B908" s="846"/>
      <c r="C908" s="415">
        <v>100</v>
      </c>
      <c r="D908" s="150" t="s">
        <v>3660</v>
      </c>
      <c r="E908" s="423">
        <v>113000</v>
      </c>
    </row>
    <row r="909" spans="1:5" ht="15" customHeight="1">
      <c r="A909" s="928"/>
      <c r="B909" s="846"/>
      <c r="C909" s="415">
        <v>100</v>
      </c>
      <c r="D909" s="150" t="s">
        <v>3866</v>
      </c>
      <c r="E909" s="423">
        <v>116000</v>
      </c>
    </row>
    <row r="910" spans="1:5" ht="15" customHeight="1">
      <c r="A910" s="928">
        <f>A909</f>
        <v>0</v>
      </c>
      <c r="B910" s="846"/>
      <c r="C910" s="415">
        <v>120</v>
      </c>
      <c r="D910" s="150" t="s">
        <v>3660</v>
      </c>
      <c r="E910" s="423">
        <v>135000</v>
      </c>
    </row>
    <row r="911" spans="1:5" ht="15" customHeight="1">
      <c r="A911" s="928">
        <f>A910</f>
        <v>0</v>
      </c>
      <c r="B911" s="846"/>
      <c r="C911" s="415">
        <v>150</v>
      </c>
      <c r="D911" s="150" t="s">
        <v>3660</v>
      </c>
      <c r="E911" s="423">
        <v>169000</v>
      </c>
    </row>
    <row r="912" spans="1:5" ht="15" customHeight="1">
      <c r="A912" s="928">
        <f>A911</f>
        <v>0</v>
      </c>
      <c r="B912" s="851"/>
      <c r="C912" s="415">
        <v>260</v>
      </c>
      <c r="D912" s="150" t="s">
        <v>3867</v>
      </c>
      <c r="E912" s="423">
        <v>263000</v>
      </c>
    </row>
    <row r="913" spans="1:5" ht="15" customHeight="1">
      <c r="A913" s="928">
        <f>A912</f>
        <v>0</v>
      </c>
      <c r="B913" s="848" t="s">
        <v>1788</v>
      </c>
      <c r="C913" s="89">
        <v>80</v>
      </c>
      <c r="D913" s="153" t="s">
        <v>3660</v>
      </c>
      <c r="E913" s="241">
        <v>60000</v>
      </c>
    </row>
    <row r="914" spans="1:5" ht="15" customHeight="1">
      <c r="A914" s="928"/>
      <c r="B914" s="846"/>
      <c r="C914" s="415">
        <v>100</v>
      </c>
      <c r="D914" s="150" t="s">
        <v>3660</v>
      </c>
      <c r="E914" s="423">
        <v>75000</v>
      </c>
    </row>
    <row r="915" spans="1:5" ht="15" customHeight="1">
      <c r="A915" s="928">
        <f>A913</f>
        <v>0</v>
      </c>
      <c r="B915" s="846"/>
      <c r="C915" s="415">
        <v>100</v>
      </c>
      <c r="D915" s="150" t="s">
        <v>3866</v>
      </c>
      <c r="E915" s="423">
        <v>77000</v>
      </c>
    </row>
    <row r="916" spans="1:5" ht="15" customHeight="1">
      <c r="A916" s="929">
        <f>A915</f>
        <v>0</v>
      </c>
      <c r="B916" s="847"/>
      <c r="C916" s="171">
        <v>120</v>
      </c>
      <c r="D916" s="237" t="s">
        <v>3660</v>
      </c>
      <c r="E916" s="238">
        <v>89000</v>
      </c>
    </row>
    <row r="917" spans="1:5" ht="15" customHeight="1">
      <c r="A917" s="921" t="s">
        <v>3073</v>
      </c>
      <c r="B917" s="850" t="s">
        <v>1993</v>
      </c>
      <c r="C917" s="855">
        <v>303</v>
      </c>
      <c r="D917" s="232" t="s">
        <v>3074</v>
      </c>
      <c r="E917" s="233" t="s">
        <v>1755</v>
      </c>
    </row>
    <row r="918" spans="1:5" ht="15" customHeight="1">
      <c r="A918" s="922"/>
      <c r="B918" s="846"/>
      <c r="C918" s="843"/>
      <c r="D918" s="150" t="s">
        <v>1755</v>
      </c>
      <c r="E918" s="423"/>
    </row>
    <row r="919" spans="1:5" ht="15" customHeight="1">
      <c r="A919" s="946" t="str">
        <f>A917</f>
        <v>벅스킨( BSK ) 
재고 소진후 계약공급/별도 견적 필요</v>
      </c>
      <c r="B919" s="846"/>
      <c r="C919" s="843"/>
      <c r="D919" s="150" t="s">
        <v>3075</v>
      </c>
      <c r="E919" s="423"/>
    </row>
    <row r="920" spans="1:5" ht="15" customHeight="1">
      <c r="A920" s="946"/>
      <c r="B920" s="846"/>
      <c r="C920" s="843"/>
      <c r="D920" s="150" t="s">
        <v>1755</v>
      </c>
      <c r="E920" s="423"/>
    </row>
    <row r="921" spans="1:5" ht="15" customHeight="1">
      <c r="A921" s="946"/>
      <c r="B921" s="846"/>
      <c r="C921" s="843"/>
      <c r="D921" s="257" t="s">
        <v>3868</v>
      </c>
      <c r="E921" s="424"/>
    </row>
    <row r="922" spans="1:5" ht="15" customHeight="1">
      <c r="A922" s="946"/>
      <c r="B922" s="846"/>
      <c r="C922" s="843"/>
      <c r="D922" s="257" t="s">
        <v>3869</v>
      </c>
      <c r="E922" s="424"/>
    </row>
    <row r="923" spans="1:5" ht="15" customHeight="1">
      <c r="A923" s="946" t="e">
        <f>#REF!</f>
        <v>#REF!</v>
      </c>
      <c r="B923" s="851"/>
      <c r="C923" s="844"/>
      <c r="D923" s="252" t="s">
        <v>1755</v>
      </c>
      <c r="E923" s="253"/>
    </row>
    <row r="924" spans="1:5" ht="15" customHeight="1">
      <c r="A924" s="946"/>
      <c r="B924" s="225" t="s">
        <v>3870</v>
      </c>
      <c r="C924" s="229">
        <v>303</v>
      </c>
      <c r="D924" s="252" t="s">
        <v>3871</v>
      </c>
      <c r="E924" s="253"/>
    </row>
    <row r="925" spans="1:5" ht="15" customHeight="1">
      <c r="A925" s="946" t="e">
        <f>A923</f>
        <v>#REF!</v>
      </c>
      <c r="B925" s="848" t="s">
        <v>1995</v>
      </c>
      <c r="C925" s="853">
        <v>303</v>
      </c>
      <c r="D925" s="150" t="s">
        <v>3076</v>
      </c>
      <c r="E925" s="423">
        <v>5400000</v>
      </c>
    </row>
    <row r="926" spans="1:5" ht="15" customHeight="1">
      <c r="A926" s="946" t="e">
        <f t="shared" ref="A926:A930" si="39">A925</f>
        <v>#REF!</v>
      </c>
      <c r="B926" s="846"/>
      <c r="C926" s="843"/>
      <c r="D926" s="150" t="s">
        <v>3077</v>
      </c>
      <c r="E926" s="423">
        <v>5850000</v>
      </c>
    </row>
    <row r="927" spans="1:5" ht="15" customHeight="1">
      <c r="A927" s="946" t="e">
        <f t="shared" si="39"/>
        <v>#REF!</v>
      </c>
      <c r="B927" s="846"/>
      <c r="C927" s="843"/>
      <c r="D927" s="257" t="s">
        <v>3872</v>
      </c>
      <c r="E927" s="424">
        <v>4672500</v>
      </c>
    </row>
    <row r="928" spans="1:5" ht="15" customHeight="1">
      <c r="A928" s="946"/>
      <c r="B928" s="846"/>
      <c r="C928" s="843"/>
      <c r="D928" s="257" t="s">
        <v>3873</v>
      </c>
      <c r="E928" s="424"/>
    </row>
    <row r="929" spans="1:5" ht="15" customHeight="1">
      <c r="A929" s="946" t="e">
        <f>A927</f>
        <v>#REF!</v>
      </c>
      <c r="B929" s="846"/>
      <c r="C929" s="843"/>
      <c r="D929" s="257" t="s">
        <v>3874</v>
      </c>
      <c r="E929" s="424"/>
    </row>
    <row r="930" spans="1:5" ht="15" customHeight="1">
      <c r="A930" s="946" t="e">
        <f t="shared" si="39"/>
        <v>#REF!</v>
      </c>
      <c r="B930" s="851"/>
      <c r="C930" s="844"/>
      <c r="D930" s="252" t="s">
        <v>3875</v>
      </c>
      <c r="E930" s="253"/>
    </row>
    <row r="931" spans="1:5" ht="15" customHeight="1">
      <c r="A931" s="946"/>
      <c r="B931" s="225" t="s">
        <v>3876</v>
      </c>
      <c r="C931" s="229">
        <v>303</v>
      </c>
      <c r="D931" s="252" t="s">
        <v>3877</v>
      </c>
      <c r="E931" s="253"/>
    </row>
    <row r="932" spans="1:5" ht="15" customHeight="1">
      <c r="A932" s="946"/>
      <c r="B932" s="848" t="s">
        <v>3878</v>
      </c>
      <c r="C932" s="89">
        <v>303</v>
      </c>
      <c r="D932" s="363" t="s">
        <v>3879</v>
      </c>
      <c r="E932" s="364"/>
    </row>
    <row r="933" spans="1:5" ht="15" customHeight="1">
      <c r="A933" s="946"/>
      <c r="B933" s="851"/>
      <c r="C933" s="229">
        <v>303</v>
      </c>
      <c r="D933" s="252" t="s">
        <v>3880</v>
      </c>
      <c r="E933" s="253"/>
    </row>
    <row r="934" spans="1:5" ht="15" customHeight="1">
      <c r="A934" s="946" t="e">
        <f>A930</f>
        <v>#REF!</v>
      </c>
      <c r="B934" s="225" t="s">
        <v>3881</v>
      </c>
      <c r="C934" s="229">
        <v>303</v>
      </c>
      <c r="D934" s="252" t="s">
        <v>3882</v>
      </c>
      <c r="E934" s="253"/>
    </row>
    <row r="935" spans="1:5" ht="15" customHeight="1">
      <c r="A935" s="947" t="e">
        <f>#REF!</f>
        <v>#REF!</v>
      </c>
      <c r="B935" s="170" t="s">
        <v>3078</v>
      </c>
      <c r="C935" s="171">
        <v>125</v>
      </c>
      <c r="D935" s="245" t="s">
        <v>3079</v>
      </c>
      <c r="E935" s="437"/>
    </row>
    <row r="936" spans="1:5" ht="15" customHeight="1">
      <c r="A936" s="923" t="s">
        <v>1996</v>
      </c>
      <c r="B936" s="850" t="s">
        <v>1757</v>
      </c>
      <c r="C936" s="415">
        <v>115</v>
      </c>
      <c r="D936" s="150" t="s">
        <v>1753</v>
      </c>
      <c r="E936" s="423">
        <v>133000</v>
      </c>
    </row>
    <row r="937" spans="1:5" ht="15" customHeight="1">
      <c r="A937" s="923" t="str">
        <f>A936</f>
        <v xml:space="preserve">베로나
(VER)                                                </v>
      </c>
      <c r="B937" s="846"/>
      <c r="C937" s="415">
        <v>135</v>
      </c>
      <c r="D937" s="150"/>
      <c r="E937" s="423">
        <v>215000</v>
      </c>
    </row>
    <row r="938" spans="1:5" ht="15" customHeight="1">
      <c r="A938" s="923" t="str">
        <f>A937</f>
        <v xml:space="preserve">베로나
(VER)                                                </v>
      </c>
      <c r="B938" s="846"/>
      <c r="C938" s="415">
        <v>150</v>
      </c>
      <c r="D938" s="150"/>
      <c r="E938" s="423">
        <v>186000</v>
      </c>
    </row>
    <row r="939" spans="1:5" ht="15" customHeight="1">
      <c r="A939" s="923" t="str">
        <f>A938</f>
        <v xml:space="preserve">베로나
(VER)                                                </v>
      </c>
      <c r="B939" s="846"/>
      <c r="C939" s="415">
        <v>170</v>
      </c>
      <c r="D939" s="150"/>
      <c r="E939" s="423">
        <v>192000</v>
      </c>
    </row>
    <row r="940" spans="1:5" ht="15" customHeight="1">
      <c r="A940" s="923"/>
      <c r="B940" s="846"/>
      <c r="C940" s="415">
        <v>200</v>
      </c>
      <c r="D940" s="150"/>
      <c r="E940" s="423">
        <v>233000</v>
      </c>
    </row>
    <row r="941" spans="1:5" ht="15" customHeight="1">
      <c r="A941" s="923">
        <f t="shared" ref="A941:A947" si="40">A940</f>
        <v>0</v>
      </c>
      <c r="B941" s="852"/>
      <c r="C941" s="438">
        <v>250</v>
      </c>
      <c r="D941" s="439"/>
      <c r="E941" s="440">
        <v>290000</v>
      </c>
    </row>
    <row r="942" spans="1:5" ht="15" customHeight="1">
      <c r="A942" s="923">
        <f t="shared" si="40"/>
        <v>0</v>
      </c>
      <c r="B942" s="856" t="s">
        <v>1754</v>
      </c>
      <c r="C942" s="415">
        <v>115</v>
      </c>
      <c r="D942" s="150" t="s">
        <v>1753</v>
      </c>
      <c r="E942" s="423">
        <v>89000</v>
      </c>
    </row>
    <row r="943" spans="1:5" ht="15" customHeight="1">
      <c r="A943" s="923">
        <f t="shared" si="40"/>
        <v>0</v>
      </c>
      <c r="B943" s="846"/>
      <c r="C943" s="415">
        <v>135</v>
      </c>
      <c r="D943" s="150"/>
      <c r="E943" s="423">
        <v>116000</v>
      </c>
    </row>
    <row r="944" spans="1:5" ht="15" customHeight="1">
      <c r="A944" s="923">
        <f t="shared" si="40"/>
        <v>0</v>
      </c>
      <c r="B944" s="846"/>
      <c r="C944" s="415">
        <v>150</v>
      </c>
      <c r="D944" s="150"/>
      <c r="E944" s="423">
        <v>130000</v>
      </c>
    </row>
    <row r="945" spans="1:5" ht="15" customHeight="1">
      <c r="A945" s="923">
        <f t="shared" si="40"/>
        <v>0</v>
      </c>
      <c r="B945" s="846"/>
      <c r="C945" s="415">
        <v>170</v>
      </c>
      <c r="D945" s="150"/>
      <c r="E945" s="423">
        <v>141000</v>
      </c>
    </row>
    <row r="946" spans="1:5" ht="15" customHeight="1">
      <c r="A946" s="923">
        <f t="shared" si="40"/>
        <v>0</v>
      </c>
      <c r="B946" s="846"/>
      <c r="C946" s="415">
        <v>200</v>
      </c>
      <c r="D946" s="150"/>
      <c r="E946" s="423">
        <v>169000</v>
      </c>
    </row>
    <row r="947" spans="1:5" ht="15" customHeight="1">
      <c r="A947" s="923">
        <f t="shared" si="40"/>
        <v>0</v>
      </c>
      <c r="B947" s="847"/>
      <c r="C947" s="171">
        <v>250</v>
      </c>
      <c r="D947" s="237"/>
      <c r="E947" s="243">
        <v>210000</v>
      </c>
    </row>
    <row r="948" spans="1:5" ht="15" customHeight="1">
      <c r="A948" s="921" t="s">
        <v>3883</v>
      </c>
      <c r="B948" s="850" t="s">
        <v>1934</v>
      </c>
      <c r="C948" s="415">
        <v>160</v>
      </c>
      <c r="D948" s="257"/>
      <c r="E948" s="424">
        <v>190000</v>
      </c>
    </row>
    <row r="949" spans="1:5" ht="15" customHeight="1">
      <c r="A949" s="922" t="str">
        <f t="shared" ref="A949:A953" si="41">A948</f>
        <v>베이화이트*
(BAY)</v>
      </c>
      <c r="B949" s="846"/>
      <c r="C949" s="415">
        <v>175</v>
      </c>
      <c r="D949" s="257"/>
      <c r="E949" s="424">
        <v>210000</v>
      </c>
    </row>
    <row r="950" spans="1:5" ht="15" customHeight="1">
      <c r="A950" s="922" t="str">
        <f t="shared" si="41"/>
        <v>베이화이트*
(BAY)</v>
      </c>
      <c r="B950" s="851"/>
      <c r="C950" s="415">
        <v>200</v>
      </c>
      <c r="D950" s="257"/>
      <c r="E950" s="424">
        <v>240000</v>
      </c>
    </row>
    <row r="951" spans="1:5" ht="15" customHeight="1">
      <c r="A951" s="922" t="str">
        <f t="shared" si="41"/>
        <v>베이화이트*
(BAY)</v>
      </c>
      <c r="B951" s="848" t="s">
        <v>1839</v>
      </c>
      <c r="C951" s="89">
        <v>160</v>
      </c>
      <c r="D951" s="363"/>
      <c r="E951" s="364">
        <v>240000</v>
      </c>
    </row>
    <row r="952" spans="1:5" ht="15" customHeight="1">
      <c r="A952" s="922" t="str">
        <f t="shared" si="41"/>
        <v>베이화이트*
(BAY)</v>
      </c>
      <c r="B952" s="846"/>
      <c r="C952" s="415">
        <v>175</v>
      </c>
      <c r="D952" s="257"/>
      <c r="E952" s="424">
        <v>265000</v>
      </c>
    </row>
    <row r="953" spans="1:5" ht="15" customHeight="1">
      <c r="A953" s="922" t="str">
        <f t="shared" si="41"/>
        <v>베이화이트*
(BAY)</v>
      </c>
      <c r="B953" s="846"/>
      <c r="C953" s="229">
        <v>200</v>
      </c>
      <c r="D953" s="252"/>
      <c r="E953" s="253">
        <v>300000</v>
      </c>
    </row>
    <row r="954" spans="1:5" s="93" customFormat="1" ht="14.4" customHeight="1">
      <c r="A954" s="921" t="s">
        <v>1997</v>
      </c>
      <c r="B954" s="850" t="s">
        <v>1756</v>
      </c>
      <c r="C954" s="855">
        <v>310</v>
      </c>
      <c r="D954" s="232" t="s">
        <v>1998</v>
      </c>
      <c r="E954" s="233">
        <v>2210000</v>
      </c>
    </row>
    <row r="955" spans="1:5" s="93" customFormat="1" ht="14.4" customHeight="1">
      <c r="A955" s="921"/>
      <c r="B955" s="846"/>
      <c r="C955" s="843"/>
      <c r="D955" s="150" t="s">
        <v>1999</v>
      </c>
      <c r="E955" s="423">
        <v>2345000</v>
      </c>
    </row>
    <row r="956" spans="1:5" s="93" customFormat="1" ht="14.4" customHeight="1">
      <c r="A956" s="921">
        <f>A955</f>
        <v>0</v>
      </c>
      <c r="B956" s="846"/>
      <c r="C956" s="843"/>
      <c r="D956" s="150" t="s">
        <v>2000</v>
      </c>
      <c r="E956" s="423">
        <v>3825000</v>
      </c>
    </row>
    <row r="957" spans="1:5" s="93" customFormat="1" ht="14.4" customHeight="1">
      <c r="A957" s="921">
        <f>A956</f>
        <v>0</v>
      </c>
      <c r="B957" s="846"/>
      <c r="C957" s="843"/>
      <c r="D957" s="150" t="s">
        <v>2001</v>
      </c>
      <c r="E957" s="423">
        <v>2860000</v>
      </c>
    </row>
    <row r="958" spans="1:5" s="93" customFormat="1" ht="14.4" customHeight="1">
      <c r="A958" s="921">
        <f>A957</f>
        <v>0</v>
      </c>
      <c r="B958" s="846"/>
      <c r="C958" s="844"/>
      <c r="D958" s="235" t="s">
        <v>2002</v>
      </c>
      <c r="E958" s="236">
        <v>2520000</v>
      </c>
    </row>
    <row r="959" spans="1:5" s="93" customFormat="1" ht="14.4" customHeight="1">
      <c r="A959" s="921">
        <f>A958</f>
        <v>0</v>
      </c>
      <c r="B959" s="851"/>
      <c r="C959" s="90">
        <v>250</v>
      </c>
      <c r="D959" s="156" t="s">
        <v>2003</v>
      </c>
      <c r="E959" s="244">
        <v>1950000</v>
      </c>
    </row>
    <row r="960" spans="1:5" s="93" customFormat="1" ht="14.4" customHeight="1">
      <c r="A960" s="932">
        <f>A959</f>
        <v>0</v>
      </c>
      <c r="B960" s="161" t="s">
        <v>1814</v>
      </c>
      <c r="C960" s="154">
        <v>250</v>
      </c>
      <c r="D960" s="155" t="s">
        <v>2004</v>
      </c>
      <c r="E960" s="243">
        <v>3000000</v>
      </c>
    </row>
    <row r="961" spans="1:5" s="93" customFormat="1" ht="14.4" customHeight="1">
      <c r="A961" s="927" t="s">
        <v>3884</v>
      </c>
      <c r="B961" s="845" t="s">
        <v>1934</v>
      </c>
      <c r="C961" s="349">
        <v>250</v>
      </c>
      <c r="D961" s="441" t="s">
        <v>1829</v>
      </c>
      <c r="E961" s="351">
        <v>265000</v>
      </c>
    </row>
    <row r="962" spans="1:5" s="93" customFormat="1" ht="14.4" customHeight="1">
      <c r="A962" s="922" t="str">
        <f>A961</f>
        <v>비타팩
(VTP)</v>
      </c>
      <c r="B962" s="846"/>
      <c r="C962" s="415">
        <v>300</v>
      </c>
      <c r="D962" s="167" t="s">
        <v>1830</v>
      </c>
      <c r="E962" s="423">
        <v>315000</v>
      </c>
    </row>
    <row r="963" spans="1:5" s="93" customFormat="1" ht="14.4" customHeight="1">
      <c r="A963" s="922" t="str">
        <f>A962</f>
        <v>비타팩
(VTP)</v>
      </c>
      <c r="B963" s="846"/>
      <c r="C963" s="415">
        <v>350</v>
      </c>
      <c r="D963" s="167" t="s">
        <v>1831</v>
      </c>
      <c r="E963" s="423">
        <v>360000</v>
      </c>
    </row>
    <row r="964" spans="1:5" s="93" customFormat="1" ht="14.4" customHeight="1">
      <c r="A964" s="922" t="str">
        <f>A963</f>
        <v>비타팩
(VTP)</v>
      </c>
      <c r="B964" s="851"/>
      <c r="C964" s="229">
        <v>375</v>
      </c>
      <c r="D964" s="442" t="s">
        <v>1832</v>
      </c>
      <c r="E964" s="236">
        <v>380000</v>
      </c>
    </row>
    <row r="965" spans="1:5" s="93" customFormat="1" ht="14.4" customHeight="1">
      <c r="A965" s="922" t="str">
        <f>A964</f>
        <v>비타팩
(VTP)</v>
      </c>
      <c r="B965" s="848" t="s">
        <v>3885</v>
      </c>
      <c r="C965" s="420">
        <v>250</v>
      </c>
      <c r="D965" s="150" t="s">
        <v>3886</v>
      </c>
      <c r="E965" s="423"/>
    </row>
    <row r="966" spans="1:5" s="93" customFormat="1" ht="14.4" customHeight="1">
      <c r="A966" s="922"/>
      <c r="B966" s="846"/>
      <c r="C966" s="420">
        <v>300</v>
      </c>
      <c r="D966" s="150" t="s">
        <v>3887</v>
      </c>
      <c r="E966" s="423"/>
    </row>
    <row r="967" spans="1:5" ht="15" customHeight="1">
      <c r="A967" s="923" t="str">
        <f>A965</f>
        <v>비타팩
(VTP)</v>
      </c>
      <c r="B967" s="847"/>
      <c r="C967" s="420" t="s">
        <v>3888</v>
      </c>
      <c r="D967" s="150" t="s">
        <v>3889</v>
      </c>
      <c r="E967" s="423"/>
    </row>
    <row r="968" spans="1:5" ht="15" customHeight="1">
      <c r="A968" s="921" t="s">
        <v>2006</v>
      </c>
      <c r="B968" s="850" t="s">
        <v>1752</v>
      </c>
      <c r="C968" s="165">
        <v>120</v>
      </c>
      <c r="D968" s="232" t="s">
        <v>2007</v>
      </c>
      <c r="E968" s="233">
        <v>455000</v>
      </c>
    </row>
    <row r="969" spans="1:5" ht="15" customHeight="1">
      <c r="A969" s="922" t="str">
        <f>A968</f>
        <v>비앤비
(BNB)</v>
      </c>
      <c r="B969" s="846"/>
      <c r="C969" s="853">
        <v>110</v>
      </c>
      <c r="D969" s="153" t="s">
        <v>3890</v>
      </c>
      <c r="E969" s="241">
        <v>450000</v>
      </c>
    </row>
    <row r="970" spans="1:5" ht="15" customHeight="1">
      <c r="A970" s="922"/>
      <c r="B970" s="846"/>
      <c r="C970" s="843"/>
      <c r="D970" s="150" t="s">
        <v>3891</v>
      </c>
      <c r="E970" s="423">
        <v>425000</v>
      </c>
    </row>
    <row r="971" spans="1:5" ht="15" customHeight="1">
      <c r="A971" s="922"/>
      <c r="B971" s="846"/>
      <c r="C971" s="843"/>
      <c r="D971" s="150" t="s">
        <v>3892</v>
      </c>
      <c r="E971" s="423">
        <v>440000</v>
      </c>
    </row>
    <row r="972" spans="1:5" ht="15" customHeight="1">
      <c r="A972" s="922" t="str">
        <f>A969</f>
        <v>비앤비
(BNB)</v>
      </c>
      <c r="B972" s="846"/>
      <c r="C972" s="844"/>
      <c r="D972" s="235" t="s">
        <v>3080</v>
      </c>
      <c r="E972" s="236">
        <v>450000</v>
      </c>
    </row>
    <row r="973" spans="1:5" ht="15" customHeight="1">
      <c r="A973" s="922" t="str">
        <f t="shared" ref="A973:A995" si="42">A972</f>
        <v>비앤비
(BNB)</v>
      </c>
      <c r="B973" s="849"/>
      <c r="C973" s="415">
        <v>230</v>
      </c>
      <c r="D973" s="150" t="s">
        <v>3893</v>
      </c>
      <c r="E973" s="423">
        <v>725000</v>
      </c>
    </row>
    <row r="974" spans="1:5" ht="15" customHeight="1">
      <c r="A974" s="922" t="str">
        <f t="shared" si="42"/>
        <v>비앤비
(BNB)</v>
      </c>
      <c r="B974" s="845" t="s">
        <v>1814</v>
      </c>
      <c r="C974" s="443">
        <v>122</v>
      </c>
      <c r="D974" s="444" t="s">
        <v>1768</v>
      </c>
      <c r="E974" s="445">
        <v>645000</v>
      </c>
    </row>
    <row r="975" spans="1:5" ht="15" customHeight="1">
      <c r="A975" s="922" t="str">
        <f t="shared" si="42"/>
        <v>비앤비
(BNB)</v>
      </c>
      <c r="B975" s="846"/>
      <c r="C975" s="853">
        <v>110</v>
      </c>
      <c r="D975" s="150" t="s">
        <v>1961</v>
      </c>
      <c r="E975" s="423">
        <v>580000</v>
      </c>
    </row>
    <row r="976" spans="1:5" ht="15" customHeight="1">
      <c r="A976" s="922" t="str">
        <f t="shared" si="42"/>
        <v>비앤비
(BNB)</v>
      </c>
      <c r="B976" s="846"/>
      <c r="C976" s="843"/>
      <c r="D976" s="150" t="s">
        <v>3894</v>
      </c>
      <c r="E976" s="423">
        <v>535000</v>
      </c>
    </row>
    <row r="977" spans="1:5" ht="15" customHeight="1">
      <c r="A977" s="922" t="str">
        <f t="shared" si="42"/>
        <v>비앤비
(BNB)</v>
      </c>
      <c r="B977" s="846"/>
      <c r="C977" s="843"/>
      <c r="D977" s="150" t="s">
        <v>2008</v>
      </c>
      <c r="E977" s="423">
        <v>650000</v>
      </c>
    </row>
    <row r="978" spans="1:5" ht="15" customHeight="1">
      <c r="A978" s="922" t="str">
        <f t="shared" si="42"/>
        <v>비앤비
(BNB)</v>
      </c>
      <c r="B978" s="846"/>
      <c r="C978" s="843"/>
      <c r="D978" s="150" t="s">
        <v>1769</v>
      </c>
      <c r="E978" s="423">
        <v>650000</v>
      </c>
    </row>
    <row r="979" spans="1:5" ht="15" customHeight="1">
      <c r="A979" s="922" t="str">
        <f t="shared" si="42"/>
        <v>비앤비
(BNB)</v>
      </c>
      <c r="B979" s="846"/>
      <c r="C979" s="843"/>
      <c r="D979" s="150" t="s">
        <v>2009</v>
      </c>
      <c r="E979" s="423">
        <v>740000</v>
      </c>
    </row>
    <row r="980" spans="1:5" ht="15" customHeight="1">
      <c r="A980" s="922" t="str">
        <f t="shared" si="42"/>
        <v>비앤비
(BNB)</v>
      </c>
      <c r="B980" s="851"/>
      <c r="C980" s="844"/>
      <c r="D980" s="235" t="s">
        <v>2010</v>
      </c>
      <c r="E980" s="236">
        <v>640000</v>
      </c>
    </row>
    <row r="981" spans="1:5" ht="15" customHeight="1">
      <c r="A981" s="922" t="str">
        <f t="shared" si="42"/>
        <v>비앤비
(BNB)</v>
      </c>
      <c r="B981" s="193" t="s">
        <v>3895</v>
      </c>
      <c r="C981" s="154">
        <v>110</v>
      </c>
      <c r="D981" s="155" t="s">
        <v>3896</v>
      </c>
      <c r="E981" s="243">
        <v>450000</v>
      </c>
    </row>
    <row r="982" spans="1:5" ht="15" customHeight="1">
      <c r="A982" s="922" t="str">
        <f t="shared" si="42"/>
        <v>비앤비
(BNB)</v>
      </c>
      <c r="B982" s="845" t="s">
        <v>1972</v>
      </c>
      <c r="C982" s="415">
        <v>125</v>
      </c>
      <c r="D982" s="150" t="s">
        <v>3081</v>
      </c>
      <c r="E982" s="423">
        <v>465000</v>
      </c>
    </row>
    <row r="983" spans="1:5" ht="15" customHeight="1">
      <c r="A983" s="922" t="str">
        <f t="shared" si="42"/>
        <v>비앤비
(BNB)</v>
      </c>
      <c r="B983" s="846"/>
      <c r="C983" s="853">
        <v>120</v>
      </c>
      <c r="D983" s="270" t="s">
        <v>4655</v>
      </c>
      <c r="E983" s="241">
        <v>475000</v>
      </c>
    </row>
    <row r="984" spans="1:5" ht="15" customHeight="1">
      <c r="A984" s="922" t="str">
        <f t="shared" si="42"/>
        <v>비앤비
(BNB)</v>
      </c>
      <c r="B984" s="846"/>
      <c r="C984" s="843"/>
      <c r="D984" s="419" t="s">
        <v>3897</v>
      </c>
      <c r="E984" s="423">
        <v>410000</v>
      </c>
    </row>
    <row r="985" spans="1:5" ht="15" customHeight="1">
      <c r="A985" s="922" t="str">
        <f t="shared" si="42"/>
        <v>비앤비
(BNB)</v>
      </c>
      <c r="B985" s="846"/>
      <c r="C985" s="843"/>
      <c r="D985" s="419" t="s">
        <v>3898</v>
      </c>
      <c r="E985" s="423">
        <v>425000</v>
      </c>
    </row>
    <row r="986" spans="1:5" ht="15" customHeight="1">
      <c r="A986" s="922" t="str">
        <f t="shared" si="42"/>
        <v>비앤비
(BNB)</v>
      </c>
      <c r="B986" s="846"/>
      <c r="C986" s="844"/>
      <c r="D986" s="276" t="s">
        <v>2012</v>
      </c>
      <c r="E986" s="236">
        <v>485000</v>
      </c>
    </row>
    <row r="987" spans="1:5" ht="15" customHeight="1">
      <c r="A987" s="922" t="str">
        <f t="shared" si="42"/>
        <v>비앤비
(BNB)</v>
      </c>
      <c r="B987" s="846"/>
      <c r="C987" s="853">
        <v>230</v>
      </c>
      <c r="D987" s="150" t="s">
        <v>2013</v>
      </c>
      <c r="E987" s="423">
        <v>920000</v>
      </c>
    </row>
    <row r="988" spans="1:5" ht="15" customHeight="1">
      <c r="A988" s="922" t="str">
        <f t="shared" si="42"/>
        <v>비앤비
(BNB)</v>
      </c>
      <c r="B988" s="847"/>
      <c r="C988" s="854"/>
      <c r="D988" s="237" t="s">
        <v>2014</v>
      </c>
      <c r="E988" s="238">
        <v>990000</v>
      </c>
    </row>
    <row r="989" spans="1:5" ht="15" customHeight="1">
      <c r="A989" s="922" t="str">
        <f t="shared" si="42"/>
        <v>비앤비
(BNB)</v>
      </c>
      <c r="B989" s="850" t="s">
        <v>1972</v>
      </c>
      <c r="C989" s="165">
        <v>120</v>
      </c>
      <c r="D989" s="232" t="s">
        <v>1960</v>
      </c>
      <c r="E989" s="233">
        <v>465000</v>
      </c>
    </row>
    <row r="990" spans="1:5" ht="15" customHeight="1">
      <c r="A990" s="922" t="str">
        <f t="shared" si="42"/>
        <v>비앤비
(BNB)</v>
      </c>
      <c r="B990" s="846"/>
      <c r="C990" s="853">
        <v>110</v>
      </c>
      <c r="D990" s="153" t="s">
        <v>3899</v>
      </c>
      <c r="E990" s="241">
        <v>440000</v>
      </c>
    </row>
    <row r="991" spans="1:5" ht="15" customHeight="1">
      <c r="A991" s="922" t="str">
        <f t="shared" si="42"/>
        <v>비앤비
(BNB)</v>
      </c>
      <c r="B991" s="846"/>
      <c r="C991" s="843"/>
      <c r="D991" s="150" t="s">
        <v>3900</v>
      </c>
      <c r="E991" s="423">
        <v>440000</v>
      </c>
    </row>
    <row r="992" spans="1:5" ht="15" customHeight="1">
      <c r="A992" s="922" t="str">
        <f t="shared" si="42"/>
        <v>비앤비
(BNB)</v>
      </c>
      <c r="B992" s="846"/>
      <c r="C992" s="843"/>
      <c r="D992" s="150" t="s">
        <v>2015</v>
      </c>
      <c r="E992" s="423">
        <v>460000</v>
      </c>
    </row>
    <row r="993" spans="1:5" ht="15" customHeight="1">
      <c r="A993" s="922" t="str">
        <f t="shared" si="42"/>
        <v>비앤비
(BNB)</v>
      </c>
      <c r="B993" s="846"/>
      <c r="C993" s="843"/>
      <c r="D993" s="419" t="s">
        <v>3901</v>
      </c>
      <c r="E993" s="423">
        <v>300000</v>
      </c>
    </row>
    <row r="994" spans="1:5" ht="15" customHeight="1">
      <c r="A994" s="922" t="str">
        <f t="shared" si="42"/>
        <v>비앤비
(BNB)</v>
      </c>
      <c r="B994" s="846"/>
      <c r="C994" s="843"/>
      <c r="D994" s="150" t="s">
        <v>3902</v>
      </c>
      <c r="E994" s="423">
        <v>440000</v>
      </c>
    </row>
    <row r="995" spans="1:5" ht="15" customHeight="1">
      <c r="A995" s="930" t="str">
        <f t="shared" si="42"/>
        <v>비앤비
(BNB)</v>
      </c>
      <c r="B995" s="849"/>
      <c r="C995" s="858"/>
      <c r="D995" s="162" t="s">
        <v>3903</v>
      </c>
      <c r="E995" s="243">
        <v>410000</v>
      </c>
    </row>
    <row r="996" spans="1:5" ht="15" customHeight="1">
      <c r="A996" s="921" t="s">
        <v>4656</v>
      </c>
      <c r="B996" s="845" t="s">
        <v>1757</v>
      </c>
      <c r="C996" s="842">
        <v>150</v>
      </c>
      <c r="D996" s="176" t="s">
        <v>3904</v>
      </c>
      <c r="E996" s="266">
        <v>185000</v>
      </c>
    </row>
    <row r="997" spans="1:5" ht="15" customHeight="1">
      <c r="A997" s="922"/>
      <c r="B997" s="846"/>
      <c r="C997" s="844"/>
      <c r="D997" s="235" t="s">
        <v>3905</v>
      </c>
      <c r="E997" s="236">
        <v>360000</v>
      </c>
    </row>
    <row r="998" spans="1:5" ht="15" customHeight="1">
      <c r="A998" s="922" t="e">
        <f>#REF!</f>
        <v>#REF!</v>
      </c>
      <c r="B998" s="846"/>
      <c r="C998" s="415">
        <v>200</v>
      </c>
      <c r="D998" s="150" t="s">
        <v>3906</v>
      </c>
      <c r="E998" s="423">
        <v>375000</v>
      </c>
    </row>
    <row r="999" spans="1:5" ht="15" customHeight="1">
      <c r="A999" s="922" t="e">
        <f>A998</f>
        <v>#REF!</v>
      </c>
      <c r="B999" s="846"/>
      <c r="C999" s="853">
        <v>240</v>
      </c>
      <c r="D999" s="153" t="s">
        <v>3907</v>
      </c>
      <c r="E999" s="241">
        <v>375000</v>
      </c>
    </row>
    <row r="1000" spans="1:5" ht="15" customHeight="1">
      <c r="A1000" s="922"/>
      <c r="B1000" s="846"/>
      <c r="C1000" s="843"/>
      <c r="D1000" s="150" t="s">
        <v>3908</v>
      </c>
      <c r="E1000" s="423">
        <v>450000</v>
      </c>
    </row>
    <row r="1001" spans="1:5" ht="15" customHeight="1">
      <c r="A1001" s="922"/>
      <c r="B1001" s="846"/>
      <c r="C1001" s="844"/>
      <c r="D1001" s="235" t="s">
        <v>3909</v>
      </c>
      <c r="E1001" s="236">
        <v>290000</v>
      </c>
    </row>
    <row r="1002" spans="1:5" ht="15" customHeight="1">
      <c r="A1002" s="922"/>
      <c r="B1002" s="846"/>
      <c r="C1002" s="853">
        <v>250</v>
      </c>
      <c r="D1002" s="150" t="s">
        <v>3910</v>
      </c>
      <c r="E1002" s="423">
        <v>540000</v>
      </c>
    </row>
    <row r="1003" spans="1:5" ht="15" customHeight="1">
      <c r="A1003" s="922"/>
      <c r="B1003" s="846"/>
      <c r="C1003" s="843"/>
      <c r="D1003" s="150" t="s">
        <v>3911</v>
      </c>
      <c r="E1003" s="423">
        <v>540000</v>
      </c>
    </row>
    <row r="1004" spans="1:5" ht="15" customHeight="1">
      <c r="A1004" s="922"/>
      <c r="B1004" s="846"/>
      <c r="C1004" s="844"/>
      <c r="D1004" s="150" t="s">
        <v>3912</v>
      </c>
      <c r="E1004" s="423">
        <v>540000</v>
      </c>
    </row>
    <row r="1005" spans="1:5" ht="15" customHeight="1">
      <c r="A1005" s="922" t="e">
        <f>A999</f>
        <v>#REF!</v>
      </c>
      <c r="B1005" s="846"/>
      <c r="C1005" s="853">
        <v>350</v>
      </c>
      <c r="D1005" s="153" t="s">
        <v>3913</v>
      </c>
      <c r="E1005" s="241">
        <v>760000</v>
      </c>
    </row>
    <row r="1006" spans="1:5" ht="15" customHeight="1">
      <c r="A1006" s="922"/>
      <c r="B1006" s="846"/>
      <c r="C1006" s="843"/>
      <c r="D1006" s="150" t="s">
        <v>3914</v>
      </c>
      <c r="E1006" s="423">
        <v>760000</v>
      </c>
    </row>
    <row r="1007" spans="1:5" ht="15" customHeight="1">
      <c r="A1007" s="922"/>
      <c r="B1007" s="849"/>
      <c r="C1007" s="858"/>
      <c r="D1007" s="155" t="s">
        <v>3915</v>
      </c>
      <c r="E1007" s="243">
        <v>760000</v>
      </c>
    </row>
    <row r="1008" spans="1:5" ht="15" customHeight="1">
      <c r="A1008" s="922" t="e">
        <f>A1005</f>
        <v>#REF!</v>
      </c>
      <c r="B1008" s="845" t="s">
        <v>3328</v>
      </c>
      <c r="C1008" s="229">
        <v>120</v>
      </c>
      <c r="D1008" s="235" t="s">
        <v>3916</v>
      </c>
      <c r="E1008" s="236">
        <v>155000</v>
      </c>
    </row>
    <row r="1009" spans="1:5" ht="15" customHeight="1">
      <c r="A1009" s="922"/>
      <c r="B1009" s="846"/>
      <c r="C1009" s="90">
        <v>150</v>
      </c>
      <c r="D1009" s="156" t="s">
        <v>3917</v>
      </c>
      <c r="E1009" s="244">
        <v>250000</v>
      </c>
    </row>
    <row r="1010" spans="1:5" ht="15" customHeight="1">
      <c r="A1010" s="922" t="e">
        <f>A1008</f>
        <v>#REF!</v>
      </c>
      <c r="B1010" s="846"/>
      <c r="C1010" s="90">
        <v>250</v>
      </c>
      <c r="D1010" s="156" t="s">
        <v>3918</v>
      </c>
      <c r="E1010" s="244">
        <v>375000</v>
      </c>
    </row>
    <row r="1011" spans="1:5" ht="15" customHeight="1">
      <c r="A1011" s="922" t="e">
        <f>A1010</f>
        <v>#REF!</v>
      </c>
      <c r="B1011" s="847"/>
      <c r="C1011" s="229">
        <v>350</v>
      </c>
      <c r="D1011" s="235" t="s">
        <v>3919</v>
      </c>
      <c r="E1011" s="355">
        <v>525000</v>
      </c>
    </row>
    <row r="1012" spans="1:5" ht="15" customHeight="1">
      <c r="A1012" s="921" t="s">
        <v>2016</v>
      </c>
      <c r="B1012" s="850" t="s">
        <v>1756</v>
      </c>
      <c r="C1012" s="165">
        <v>480</v>
      </c>
      <c r="D1012" s="232" t="s">
        <v>2017</v>
      </c>
      <c r="E1012" s="423">
        <v>1600000</v>
      </c>
    </row>
    <row r="1013" spans="1:5" ht="15" customHeight="1">
      <c r="A1013" s="931"/>
      <c r="B1013" s="851"/>
      <c r="C1013" s="415">
        <v>700</v>
      </c>
      <c r="D1013" s="150"/>
      <c r="E1013" s="236">
        <v>2340000</v>
      </c>
    </row>
    <row r="1014" spans="1:5" ht="15" customHeight="1">
      <c r="A1014" s="921">
        <f>A1013</f>
        <v>0</v>
      </c>
      <c r="B1014" s="848" t="s">
        <v>1752</v>
      </c>
      <c r="C1014" s="89">
        <v>260</v>
      </c>
      <c r="D1014" s="153" t="s">
        <v>2017</v>
      </c>
      <c r="E1014" s="423">
        <v>1060000</v>
      </c>
    </row>
    <row r="1015" spans="1:5" ht="15" customHeight="1">
      <c r="A1015" s="921">
        <f>A1014</f>
        <v>0</v>
      </c>
      <c r="B1015" s="846"/>
      <c r="C1015" s="415">
        <v>290</v>
      </c>
      <c r="D1015" s="150"/>
      <c r="E1015" s="423">
        <v>1185000</v>
      </c>
    </row>
    <row r="1016" spans="1:5" ht="15" customHeight="1">
      <c r="A1016" s="921">
        <f>A1015</f>
        <v>0</v>
      </c>
      <c r="B1016" s="846"/>
      <c r="C1016" s="415">
        <v>330</v>
      </c>
      <c r="D1016" s="150"/>
      <c r="E1016" s="423">
        <v>1345000</v>
      </c>
    </row>
    <row r="1017" spans="1:5" ht="15" customHeight="1">
      <c r="A1017" s="921">
        <f>A1016</f>
        <v>0</v>
      </c>
      <c r="B1017" s="846"/>
      <c r="C1017" s="415">
        <v>380</v>
      </c>
      <c r="D1017" s="150"/>
      <c r="E1017" s="423">
        <v>1550000</v>
      </c>
    </row>
    <row r="1018" spans="1:5" ht="15" customHeight="1">
      <c r="A1018" s="921">
        <f>A1017</f>
        <v>0</v>
      </c>
      <c r="B1018" s="847"/>
      <c r="C1018" s="415">
        <v>480</v>
      </c>
      <c r="D1018" s="150"/>
      <c r="E1018" s="238">
        <v>1960000</v>
      </c>
    </row>
    <row r="1019" spans="1:5" ht="15" customHeight="1">
      <c r="A1019" s="921" t="s">
        <v>3920</v>
      </c>
      <c r="B1019" s="850" t="s">
        <v>3921</v>
      </c>
      <c r="C1019" s="165">
        <v>130</v>
      </c>
      <c r="D1019" s="356" t="s">
        <v>3922</v>
      </c>
      <c r="E1019" s="233">
        <v>440000</v>
      </c>
    </row>
    <row r="1020" spans="1:5" ht="15" customHeight="1">
      <c r="A1020" s="921" t="str">
        <f t="shared" ref="A1020:A1027" si="43">A1019</f>
        <v>블랙벨벳
(VET)</v>
      </c>
      <c r="B1020" s="846"/>
      <c r="C1020" s="415">
        <v>240</v>
      </c>
      <c r="D1020" s="419" t="s">
        <v>3922</v>
      </c>
      <c r="E1020" s="423">
        <v>620000</v>
      </c>
    </row>
    <row r="1021" spans="1:5" ht="15" customHeight="1">
      <c r="A1021" s="921" t="str">
        <f t="shared" si="43"/>
        <v>블랙벨벳
(VET)</v>
      </c>
      <c r="B1021" s="846"/>
      <c r="C1021" s="415">
        <v>300</v>
      </c>
      <c r="D1021" s="419" t="s">
        <v>3922</v>
      </c>
      <c r="E1021" s="423">
        <v>700000</v>
      </c>
    </row>
    <row r="1022" spans="1:5" ht="15" customHeight="1">
      <c r="A1022" s="921" t="str">
        <f t="shared" si="43"/>
        <v>블랙벨벳
(VET)</v>
      </c>
      <c r="B1022" s="846"/>
      <c r="C1022" s="415">
        <v>350</v>
      </c>
      <c r="D1022" s="276" t="s">
        <v>3922</v>
      </c>
      <c r="E1022" s="236">
        <v>775000</v>
      </c>
    </row>
    <row r="1023" spans="1:5" ht="15" customHeight="1">
      <c r="A1023" s="921" t="str">
        <f t="shared" si="43"/>
        <v>블랙벨벳
(VET)</v>
      </c>
      <c r="B1023" s="846"/>
      <c r="C1023" s="89">
        <v>130</v>
      </c>
      <c r="D1023" s="153" t="s">
        <v>3923</v>
      </c>
      <c r="E1023" s="423">
        <v>860000</v>
      </c>
    </row>
    <row r="1024" spans="1:5" ht="15" customHeight="1">
      <c r="A1024" s="921" t="str">
        <f t="shared" si="43"/>
        <v>블랙벨벳
(VET)</v>
      </c>
      <c r="B1024" s="846"/>
      <c r="C1024" s="415">
        <v>190</v>
      </c>
      <c r="D1024" s="150" t="s">
        <v>3924</v>
      </c>
      <c r="E1024" s="423">
        <v>690000</v>
      </c>
    </row>
    <row r="1025" spans="1:5" ht="15" customHeight="1">
      <c r="A1025" s="921" t="str">
        <f t="shared" si="43"/>
        <v>블랙벨벳
(VET)</v>
      </c>
      <c r="B1025" s="846"/>
      <c r="C1025" s="415">
        <v>240</v>
      </c>
      <c r="D1025" s="150" t="s">
        <v>3924</v>
      </c>
      <c r="E1025" s="423">
        <v>810000</v>
      </c>
    </row>
    <row r="1026" spans="1:5" ht="15" customHeight="1">
      <c r="A1026" s="921" t="str">
        <f t="shared" si="43"/>
        <v>블랙벨벳
(VET)</v>
      </c>
      <c r="B1026" s="846"/>
      <c r="C1026" s="415">
        <v>300</v>
      </c>
      <c r="D1026" s="150" t="s">
        <v>3924</v>
      </c>
      <c r="E1026" s="423">
        <v>965000</v>
      </c>
    </row>
    <row r="1027" spans="1:5" ht="15" customHeight="1">
      <c r="A1027" s="932" t="str">
        <f t="shared" si="43"/>
        <v>블랙벨벳
(VET)</v>
      </c>
      <c r="B1027" s="849"/>
      <c r="C1027" s="154">
        <v>350</v>
      </c>
      <c r="D1027" s="150" t="s">
        <v>3924</v>
      </c>
      <c r="E1027" s="243">
        <v>1070000</v>
      </c>
    </row>
    <row r="1028" spans="1:5" ht="15" customHeight="1">
      <c r="A1028" s="921" t="s">
        <v>3925</v>
      </c>
      <c r="B1028" s="845" t="s">
        <v>3926</v>
      </c>
      <c r="C1028" s="165">
        <v>100</v>
      </c>
      <c r="D1028" s="232" t="s">
        <v>3927</v>
      </c>
      <c r="E1028" s="423">
        <v>300000</v>
      </c>
    </row>
    <row r="1029" spans="1:5" ht="15" customHeight="1">
      <c r="A1029" s="921" t="str">
        <f t="shared" ref="A1029:A1034" si="44">A1028</f>
        <v>사빌레로우
트위드
(SRTW)</v>
      </c>
      <c r="B1029" s="846"/>
      <c r="C1029" s="90">
        <v>160</v>
      </c>
      <c r="D1029" s="273" t="s">
        <v>3928</v>
      </c>
      <c r="E1029" s="274">
        <v>360000</v>
      </c>
    </row>
    <row r="1030" spans="1:5" ht="15" customHeight="1">
      <c r="A1030" s="921" t="str">
        <f t="shared" si="44"/>
        <v>사빌레로우
트위드
(SRTW)</v>
      </c>
      <c r="B1030" s="846"/>
      <c r="C1030" s="853">
        <v>200</v>
      </c>
      <c r="D1030" s="153" t="s">
        <v>3929</v>
      </c>
      <c r="E1030" s="423">
        <v>595000</v>
      </c>
    </row>
    <row r="1031" spans="1:5" ht="15" customHeight="1">
      <c r="A1031" s="921" t="str">
        <f t="shared" si="44"/>
        <v>사빌레로우
트위드
(SRTW)</v>
      </c>
      <c r="B1031" s="846"/>
      <c r="C1031" s="844"/>
      <c r="D1031" s="235" t="s">
        <v>3930</v>
      </c>
      <c r="E1031" s="236">
        <v>700000</v>
      </c>
    </row>
    <row r="1032" spans="1:5" ht="15" customHeight="1">
      <c r="A1032" s="921" t="str">
        <f t="shared" si="44"/>
        <v>사빌레로우
트위드
(SRTW)</v>
      </c>
      <c r="B1032" s="846"/>
      <c r="C1032" s="415">
        <v>240</v>
      </c>
      <c r="D1032" s="153" t="s">
        <v>3931</v>
      </c>
      <c r="E1032" s="244">
        <v>680000</v>
      </c>
    </row>
    <row r="1033" spans="1:5" ht="15" customHeight="1">
      <c r="A1033" s="921" t="str">
        <f t="shared" si="44"/>
        <v>사빌레로우
트위드
(SRTW)</v>
      </c>
      <c r="B1033" s="846"/>
      <c r="C1033" s="853">
        <v>300</v>
      </c>
      <c r="D1033" s="153" t="s">
        <v>3932</v>
      </c>
      <c r="E1033" s="423">
        <v>900000</v>
      </c>
    </row>
    <row r="1034" spans="1:5" ht="15" customHeight="1">
      <c r="A1034" s="932" t="str">
        <f t="shared" si="44"/>
        <v>사빌레로우
트위드
(SRTW)</v>
      </c>
      <c r="B1034" s="849"/>
      <c r="C1034" s="858"/>
      <c r="D1034" s="155" t="s">
        <v>3933</v>
      </c>
      <c r="E1034" s="243">
        <v>1065000</v>
      </c>
    </row>
    <row r="1035" spans="1:5" ht="15" customHeight="1">
      <c r="A1035" s="923" t="s">
        <v>3934</v>
      </c>
      <c r="B1035" s="845" t="s">
        <v>3926</v>
      </c>
      <c r="C1035" s="842">
        <v>100</v>
      </c>
      <c r="D1035" s="150" t="s">
        <v>3935</v>
      </c>
      <c r="E1035" s="423">
        <v>275000</v>
      </c>
    </row>
    <row r="1036" spans="1:5" ht="15" customHeight="1">
      <c r="A1036" s="923" t="str">
        <f t="shared" ref="A1036:A1051" si="45">A1035</f>
        <v>사빌레로우
플레인
(SRPL)</v>
      </c>
      <c r="B1036" s="846"/>
      <c r="C1036" s="843"/>
      <c r="D1036" s="446" t="s">
        <v>3936</v>
      </c>
      <c r="E1036" s="447">
        <v>330000</v>
      </c>
    </row>
    <row r="1037" spans="1:5" ht="15" customHeight="1">
      <c r="A1037" s="923" t="str">
        <f t="shared" si="45"/>
        <v>사빌레로우
플레인
(SRPL)</v>
      </c>
      <c r="B1037" s="846"/>
      <c r="C1037" s="843"/>
      <c r="D1037" s="446" t="s">
        <v>3937</v>
      </c>
      <c r="E1037" s="447">
        <v>330000</v>
      </c>
    </row>
    <row r="1038" spans="1:5" ht="15" customHeight="1">
      <c r="A1038" s="933" t="str">
        <f t="shared" si="45"/>
        <v>사빌레로우
플레인
(SRPL)</v>
      </c>
      <c r="B1038" s="846"/>
      <c r="C1038" s="844"/>
      <c r="D1038" s="446" t="s">
        <v>3938</v>
      </c>
      <c r="E1038" s="448">
        <v>330000</v>
      </c>
    </row>
    <row r="1039" spans="1:5" s="93" customFormat="1" ht="15" customHeight="1">
      <c r="A1039" s="933" t="str">
        <f t="shared" si="45"/>
        <v>사빌레로우
플레인
(SRPL)</v>
      </c>
      <c r="B1039" s="846"/>
      <c r="C1039" s="89">
        <v>140</v>
      </c>
      <c r="D1039" s="363" t="s">
        <v>3939</v>
      </c>
      <c r="E1039" s="274">
        <v>355000</v>
      </c>
    </row>
    <row r="1040" spans="1:5" s="93" customFormat="1" ht="15" customHeight="1">
      <c r="A1040" s="933" t="str">
        <f t="shared" si="45"/>
        <v>사빌레로우
플레인
(SRPL)</v>
      </c>
      <c r="B1040" s="846"/>
      <c r="C1040" s="853">
        <v>200</v>
      </c>
      <c r="D1040" s="153" t="s">
        <v>3940</v>
      </c>
      <c r="E1040" s="423">
        <v>550000</v>
      </c>
    </row>
    <row r="1041" spans="1:5" s="93" customFormat="1" ht="15" customHeight="1">
      <c r="A1041" s="933" t="str">
        <f t="shared" si="45"/>
        <v>사빌레로우
플레인
(SRPL)</v>
      </c>
      <c r="B1041" s="846"/>
      <c r="C1041" s="843"/>
      <c r="D1041" s="446" t="s">
        <v>3941</v>
      </c>
      <c r="E1041" s="447">
        <v>660000</v>
      </c>
    </row>
    <row r="1042" spans="1:5" s="93" customFormat="1" ht="15" customHeight="1">
      <c r="A1042" s="933" t="str">
        <f t="shared" si="45"/>
        <v>사빌레로우
플레인
(SRPL)</v>
      </c>
      <c r="B1042" s="846"/>
      <c r="C1042" s="843"/>
      <c r="D1042" s="446" t="s">
        <v>3942</v>
      </c>
      <c r="E1042" s="447">
        <v>660000</v>
      </c>
    </row>
    <row r="1043" spans="1:5" s="93" customFormat="1" ht="15" customHeight="1">
      <c r="A1043" s="933" t="str">
        <f t="shared" si="45"/>
        <v>사빌레로우
플레인
(SRPL)</v>
      </c>
      <c r="B1043" s="846"/>
      <c r="C1043" s="844"/>
      <c r="D1043" s="446" t="s">
        <v>3943</v>
      </c>
      <c r="E1043" s="448">
        <v>660000</v>
      </c>
    </row>
    <row r="1044" spans="1:5" s="93" customFormat="1" ht="15" customHeight="1">
      <c r="A1044" s="933" t="str">
        <f t="shared" si="45"/>
        <v>사빌레로우
플레인
(SRPL)</v>
      </c>
      <c r="B1044" s="846"/>
      <c r="C1044" s="89">
        <v>250</v>
      </c>
      <c r="D1044" s="153" t="s">
        <v>3944</v>
      </c>
      <c r="E1044" s="244">
        <v>685000</v>
      </c>
    </row>
    <row r="1045" spans="1:5" s="93" customFormat="1" ht="15" customHeight="1">
      <c r="A1045" s="933" t="str">
        <f t="shared" si="45"/>
        <v>사빌레로우
플레인
(SRPL)</v>
      </c>
      <c r="B1045" s="846"/>
      <c r="C1045" s="853">
        <v>300</v>
      </c>
      <c r="D1045" s="153" t="s">
        <v>3945</v>
      </c>
      <c r="E1045" s="423">
        <v>825000</v>
      </c>
    </row>
    <row r="1046" spans="1:5" s="93" customFormat="1" ht="15" customHeight="1">
      <c r="A1046" s="933" t="str">
        <f t="shared" si="45"/>
        <v>사빌레로우
플레인
(SRPL)</v>
      </c>
      <c r="B1046" s="846"/>
      <c r="C1046" s="843"/>
      <c r="D1046" s="446" t="s">
        <v>3946</v>
      </c>
      <c r="E1046" s="447">
        <v>990000</v>
      </c>
    </row>
    <row r="1047" spans="1:5" s="93" customFormat="1" ht="15" customHeight="1">
      <c r="A1047" s="933" t="str">
        <f t="shared" si="45"/>
        <v>사빌레로우
플레인
(SRPL)</v>
      </c>
      <c r="B1047" s="846"/>
      <c r="C1047" s="843"/>
      <c r="D1047" s="446" t="s">
        <v>3947</v>
      </c>
      <c r="E1047" s="447">
        <v>990000</v>
      </c>
    </row>
    <row r="1048" spans="1:5" s="93" customFormat="1" ht="15" customHeight="1">
      <c r="A1048" s="933" t="str">
        <f t="shared" si="45"/>
        <v>사빌레로우
플레인
(SRPL)</v>
      </c>
      <c r="B1048" s="851"/>
      <c r="C1048" s="844"/>
      <c r="D1048" s="449" t="s">
        <v>3948</v>
      </c>
      <c r="E1048" s="448">
        <v>915000</v>
      </c>
    </row>
    <row r="1049" spans="1:5" s="93" customFormat="1" ht="15" customHeight="1">
      <c r="A1049" s="933" t="str">
        <f t="shared" si="45"/>
        <v>사빌레로우
플레인
(SRPL)</v>
      </c>
      <c r="B1049" s="848" t="s">
        <v>1752</v>
      </c>
      <c r="C1049" s="90">
        <v>200</v>
      </c>
      <c r="D1049" s="363" t="s">
        <v>3949</v>
      </c>
      <c r="E1049" s="274">
        <v>540000</v>
      </c>
    </row>
    <row r="1050" spans="1:5" s="93" customFormat="1" ht="15" customHeight="1">
      <c r="A1050" s="933" t="str">
        <f t="shared" si="45"/>
        <v>사빌레로우
플레인
(SRPL)</v>
      </c>
      <c r="B1050" s="846"/>
      <c r="C1050" s="853">
        <v>300</v>
      </c>
      <c r="D1050" s="363" t="s">
        <v>3950</v>
      </c>
      <c r="E1050" s="424">
        <v>665000</v>
      </c>
    </row>
    <row r="1051" spans="1:5" s="93" customFormat="1" ht="15" customHeight="1">
      <c r="A1051" s="933" t="str">
        <f t="shared" si="45"/>
        <v>사빌레로우
플레인
(SRPL)</v>
      </c>
      <c r="B1051" s="847"/>
      <c r="C1051" s="854"/>
      <c r="D1051" s="258" t="s">
        <v>3951</v>
      </c>
      <c r="E1051" s="259">
        <v>805000</v>
      </c>
    </row>
    <row r="1052" spans="1:5" s="93" customFormat="1" ht="16.5" customHeight="1">
      <c r="A1052" s="934" t="s">
        <v>3952</v>
      </c>
      <c r="B1052" s="850" t="s">
        <v>1972</v>
      </c>
      <c r="C1052" s="450">
        <v>80</v>
      </c>
      <c r="D1052" s="257" t="s">
        <v>3953</v>
      </c>
      <c r="E1052" s="451">
        <v>163000</v>
      </c>
    </row>
    <row r="1053" spans="1:5" s="93" customFormat="1" ht="13.2" customHeight="1">
      <c r="A1053" s="935" t="str">
        <f t="shared" ref="A1053:A1062" si="46">A1052</f>
        <v>센토( CNT )</v>
      </c>
      <c r="B1053" s="846"/>
      <c r="C1053" s="450">
        <v>100</v>
      </c>
      <c r="D1053" s="255" t="s">
        <v>1830</v>
      </c>
      <c r="E1053" s="451">
        <v>205000</v>
      </c>
    </row>
    <row r="1054" spans="1:5" s="93" customFormat="1" ht="13.2" customHeight="1">
      <c r="A1054" s="935" t="str">
        <f t="shared" si="46"/>
        <v>센토( CNT )</v>
      </c>
      <c r="B1054" s="846"/>
      <c r="C1054" s="450">
        <v>120</v>
      </c>
      <c r="D1054" s="255" t="s">
        <v>1831</v>
      </c>
      <c r="E1054" s="451">
        <v>245000</v>
      </c>
    </row>
    <row r="1055" spans="1:5" s="93" customFormat="1" ht="13.2" customHeight="1">
      <c r="A1055" s="935" t="str">
        <f t="shared" si="46"/>
        <v>센토( CNT )</v>
      </c>
      <c r="B1055" s="846"/>
      <c r="C1055" s="450">
        <v>170</v>
      </c>
      <c r="D1055" s="255" t="s">
        <v>1832</v>
      </c>
      <c r="E1055" s="451">
        <v>350000</v>
      </c>
    </row>
    <row r="1056" spans="1:5" s="93" customFormat="1" ht="13.2" customHeight="1">
      <c r="A1056" s="935" t="str">
        <f t="shared" si="46"/>
        <v>센토( CNT )</v>
      </c>
      <c r="B1056" s="846"/>
      <c r="C1056" s="450">
        <v>260</v>
      </c>
      <c r="D1056" s="255" t="s">
        <v>1833</v>
      </c>
      <c r="E1056" s="451">
        <v>530000</v>
      </c>
    </row>
    <row r="1057" spans="1:5" s="93" customFormat="1" ht="13.2" customHeight="1">
      <c r="A1057" s="935" t="str">
        <f t="shared" si="46"/>
        <v>센토( CNT )</v>
      </c>
      <c r="B1057" s="852"/>
      <c r="C1057" s="450">
        <v>350</v>
      </c>
      <c r="D1057" s="255" t="s">
        <v>1834</v>
      </c>
      <c r="E1057" s="451">
        <v>715000</v>
      </c>
    </row>
    <row r="1058" spans="1:5" s="93" customFormat="1" ht="13.2" customHeight="1">
      <c r="A1058" s="935" t="str">
        <f t="shared" si="46"/>
        <v>센토( CNT )</v>
      </c>
      <c r="B1058" s="856" t="s">
        <v>1895</v>
      </c>
      <c r="C1058" s="452">
        <v>80</v>
      </c>
      <c r="D1058" s="372" t="s">
        <v>3954</v>
      </c>
      <c r="E1058" s="373">
        <v>113000</v>
      </c>
    </row>
    <row r="1059" spans="1:5" s="93" customFormat="1" ht="13.2" customHeight="1">
      <c r="A1059" s="935" t="str">
        <f t="shared" si="46"/>
        <v>센토( CNT )</v>
      </c>
      <c r="B1059" s="846"/>
      <c r="C1059" s="450">
        <v>100</v>
      </c>
      <c r="D1059" s="453" t="s">
        <v>3955</v>
      </c>
      <c r="E1059" s="424">
        <v>142000</v>
      </c>
    </row>
    <row r="1060" spans="1:5" s="93" customFormat="1" ht="13.2" customHeight="1">
      <c r="A1060" s="935" t="str">
        <f t="shared" si="46"/>
        <v>센토( CNT )</v>
      </c>
      <c r="B1060" s="846"/>
      <c r="C1060" s="450">
        <v>120</v>
      </c>
      <c r="D1060" s="255" t="s">
        <v>3956</v>
      </c>
      <c r="E1060" s="424">
        <v>170000</v>
      </c>
    </row>
    <row r="1061" spans="1:5" s="93" customFormat="1" ht="13.2" customHeight="1">
      <c r="A1061" s="935" t="str">
        <f t="shared" si="46"/>
        <v>센토( CNT )</v>
      </c>
      <c r="B1061" s="846"/>
      <c r="C1061" s="450">
        <v>170</v>
      </c>
      <c r="D1061" s="255" t="s">
        <v>3816</v>
      </c>
      <c r="E1061" s="424">
        <v>242000</v>
      </c>
    </row>
    <row r="1062" spans="1:5" s="93" customFormat="1" ht="16.5" customHeight="1">
      <c r="A1062" s="935" t="str">
        <f t="shared" si="46"/>
        <v>센토( CNT )</v>
      </c>
      <c r="B1062" s="849"/>
      <c r="C1062" s="454">
        <v>260</v>
      </c>
      <c r="D1062" s="455" t="s">
        <v>3817</v>
      </c>
      <c r="E1062" s="370">
        <v>367000</v>
      </c>
    </row>
    <row r="1063" spans="1:5" s="93" customFormat="1" ht="13.2" customHeight="1">
      <c r="A1063" s="936"/>
      <c r="B1063" s="845" t="s">
        <v>1972</v>
      </c>
      <c r="C1063" s="450">
        <v>80</v>
      </c>
      <c r="D1063" s="150" t="s">
        <v>3957</v>
      </c>
      <c r="E1063" s="456">
        <v>163000</v>
      </c>
    </row>
    <row r="1064" spans="1:5" s="93" customFormat="1" ht="13.2" customHeight="1">
      <c r="A1064" s="936"/>
      <c r="B1064" s="846"/>
      <c r="C1064" s="450">
        <v>100</v>
      </c>
      <c r="D1064" s="150" t="s">
        <v>3958</v>
      </c>
      <c r="E1064" s="456">
        <v>205000</v>
      </c>
    </row>
    <row r="1065" spans="1:5" s="93" customFormat="1" ht="13.2" customHeight="1">
      <c r="A1065" s="936"/>
      <c r="B1065" s="846"/>
      <c r="C1065" s="450">
        <v>120</v>
      </c>
      <c r="D1065" s="150" t="s">
        <v>3959</v>
      </c>
      <c r="E1065" s="456">
        <v>245000</v>
      </c>
    </row>
    <row r="1066" spans="1:5" s="93" customFormat="1" ht="13.2" customHeight="1">
      <c r="A1066" s="936"/>
      <c r="B1066" s="846"/>
      <c r="C1066" s="450">
        <v>170</v>
      </c>
      <c r="D1066" s="150" t="s">
        <v>3960</v>
      </c>
      <c r="E1066" s="456">
        <v>350000</v>
      </c>
    </row>
    <row r="1067" spans="1:5" s="93" customFormat="1" ht="13.2" customHeight="1">
      <c r="A1067" s="936"/>
      <c r="B1067" s="846"/>
      <c r="C1067" s="450">
        <v>210</v>
      </c>
      <c r="D1067" s="150" t="s">
        <v>3961</v>
      </c>
      <c r="E1067" s="456">
        <v>430000</v>
      </c>
    </row>
    <row r="1068" spans="1:5" s="93" customFormat="1" ht="13.2" customHeight="1">
      <c r="A1068" s="936"/>
      <c r="B1068" s="846"/>
      <c r="C1068" s="450">
        <v>260</v>
      </c>
      <c r="D1068" s="150" t="s">
        <v>3962</v>
      </c>
      <c r="E1068" s="456">
        <v>530000</v>
      </c>
    </row>
    <row r="1069" spans="1:5" s="93" customFormat="1" ht="13.2" customHeight="1">
      <c r="A1069" s="936"/>
      <c r="B1069" s="852"/>
      <c r="C1069" s="450">
        <v>350</v>
      </c>
      <c r="D1069" s="149" t="s">
        <v>3963</v>
      </c>
      <c r="E1069" s="456">
        <v>715000</v>
      </c>
    </row>
    <row r="1070" spans="1:5" s="93" customFormat="1" ht="13.2" customHeight="1">
      <c r="A1070" s="936"/>
      <c r="B1070" s="856" t="s">
        <v>1895</v>
      </c>
      <c r="C1070" s="452">
        <v>80</v>
      </c>
      <c r="D1070" s="150" t="s">
        <v>3964</v>
      </c>
      <c r="E1070" s="283">
        <v>113000</v>
      </c>
    </row>
    <row r="1071" spans="1:5" s="93" customFormat="1" ht="13.2" customHeight="1">
      <c r="A1071" s="936"/>
      <c r="B1071" s="846"/>
      <c r="C1071" s="450">
        <v>100</v>
      </c>
      <c r="D1071" s="150" t="s">
        <v>3965</v>
      </c>
      <c r="E1071" s="423">
        <v>142000</v>
      </c>
    </row>
    <row r="1072" spans="1:5" ht="15" customHeight="1">
      <c r="A1072" s="936"/>
      <c r="B1072" s="846"/>
      <c r="C1072" s="450">
        <v>120</v>
      </c>
      <c r="D1072" s="150" t="s">
        <v>3966</v>
      </c>
      <c r="E1072" s="423">
        <v>170000</v>
      </c>
    </row>
    <row r="1073" spans="1:5" ht="15" customHeight="1">
      <c r="A1073" s="936"/>
      <c r="B1073" s="846"/>
      <c r="C1073" s="450">
        <v>170</v>
      </c>
      <c r="D1073" s="150" t="s">
        <v>3967</v>
      </c>
      <c r="E1073" s="423">
        <v>242000</v>
      </c>
    </row>
    <row r="1074" spans="1:5" ht="15" customHeight="1">
      <c r="A1074" s="936"/>
      <c r="B1074" s="846"/>
      <c r="C1074" s="450">
        <v>210</v>
      </c>
      <c r="D1074" s="150" t="s">
        <v>3968</v>
      </c>
      <c r="E1074" s="423">
        <v>300000</v>
      </c>
    </row>
    <row r="1075" spans="1:5" ht="15" customHeight="1">
      <c r="A1075" s="936"/>
      <c r="B1075" s="846"/>
      <c r="C1075" s="450">
        <v>260</v>
      </c>
      <c r="D1075" s="150" t="s">
        <v>3969</v>
      </c>
      <c r="E1075" s="423">
        <v>367000</v>
      </c>
    </row>
    <row r="1076" spans="1:5" ht="15" customHeight="1">
      <c r="A1076" s="937"/>
      <c r="B1076" s="847"/>
      <c r="C1076" s="457">
        <v>350</v>
      </c>
      <c r="D1076" s="150" t="s">
        <v>3970</v>
      </c>
      <c r="E1076" s="423">
        <v>500000</v>
      </c>
    </row>
    <row r="1077" spans="1:5" ht="15" customHeight="1">
      <c r="A1077" s="921" t="s">
        <v>2018</v>
      </c>
      <c r="B1077" s="850" t="s">
        <v>2019</v>
      </c>
      <c r="C1077" s="855">
        <v>115</v>
      </c>
      <c r="D1077" s="458" t="s">
        <v>2020</v>
      </c>
      <c r="E1077" s="233">
        <v>660000</v>
      </c>
    </row>
    <row r="1078" spans="1:5" ht="15" customHeight="1">
      <c r="A1078" s="922" t="str">
        <f t="shared" ref="A1078:A1095" si="47">A1077</f>
        <v>수페이퍼
(SUPR)</v>
      </c>
      <c r="B1078" s="846"/>
      <c r="C1078" s="843"/>
      <c r="D1078" s="184" t="s">
        <v>3661</v>
      </c>
      <c r="E1078" s="423">
        <v>445000</v>
      </c>
    </row>
    <row r="1079" spans="1:5" s="93" customFormat="1" ht="16.5" customHeight="1">
      <c r="A1079" s="922" t="str">
        <f t="shared" si="47"/>
        <v>수페이퍼
(SUPR)</v>
      </c>
      <c r="B1079" s="846"/>
      <c r="C1079" s="843"/>
      <c r="D1079" s="459" t="s">
        <v>3971</v>
      </c>
      <c r="E1079" s="423">
        <v>465000</v>
      </c>
    </row>
    <row r="1080" spans="1:5" s="93" customFormat="1" ht="13.2" customHeight="1">
      <c r="A1080" s="922" t="str">
        <f t="shared" si="47"/>
        <v>수페이퍼
(SUPR)</v>
      </c>
      <c r="B1080" s="846"/>
      <c r="C1080" s="843"/>
      <c r="D1080" s="459" t="s">
        <v>2021</v>
      </c>
      <c r="E1080" s="423">
        <v>685000</v>
      </c>
    </row>
    <row r="1081" spans="1:5" s="93" customFormat="1" ht="13.2" customHeight="1">
      <c r="A1081" s="922" t="str">
        <f t="shared" si="47"/>
        <v>수페이퍼
(SUPR)</v>
      </c>
      <c r="B1081" s="846"/>
      <c r="C1081" s="843"/>
      <c r="D1081" s="459" t="s">
        <v>3972</v>
      </c>
      <c r="E1081" s="423">
        <v>480000</v>
      </c>
    </row>
    <row r="1082" spans="1:5" s="93" customFormat="1" ht="13.2" customHeight="1">
      <c r="A1082" s="922" t="str">
        <f t="shared" si="47"/>
        <v>수페이퍼
(SUPR)</v>
      </c>
      <c r="B1082" s="846"/>
      <c r="C1082" s="843"/>
      <c r="D1082" s="459" t="s">
        <v>3973</v>
      </c>
      <c r="E1082" s="423">
        <v>565000</v>
      </c>
    </row>
    <row r="1083" spans="1:5" s="93" customFormat="1" ht="13.2" customHeight="1">
      <c r="A1083" s="922" t="str">
        <f t="shared" si="47"/>
        <v>수페이퍼
(SUPR)</v>
      </c>
      <c r="B1083" s="846"/>
      <c r="C1083" s="844"/>
      <c r="D1083" s="460" t="s">
        <v>2022</v>
      </c>
      <c r="E1083" s="236">
        <v>715000</v>
      </c>
    </row>
    <row r="1084" spans="1:5" s="93" customFormat="1" ht="13.2" customHeight="1">
      <c r="A1084" s="922" t="str">
        <f t="shared" si="47"/>
        <v>수페이퍼
(SUPR)</v>
      </c>
      <c r="B1084" s="846"/>
      <c r="C1084" s="853">
        <v>150</v>
      </c>
      <c r="D1084" s="459" t="s">
        <v>2023</v>
      </c>
      <c r="E1084" s="423">
        <v>825000</v>
      </c>
    </row>
    <row r="1085" spans="1:5" s="93" customFormat="1" ht="13.2" customHeight="1">
      <c r="A1085" s="922" t="str">
        <f t="shared" si="47"/>
        <v>수페이퍼
(SUPR)</v>
      </c>
      <c r="B1085" s="846"/>
      <c r="C1085" s="843"/>
      <c r="D1085" s="459" t="s">
        <v>3974</v>
      </c>
      <c r="E1085" s="423">
        <v>560000</v>
      </c>
    </row>
    <row r="1086" spans="1:5" s="93" customFormat="1" ht="13.2" customHeight="1">
      <c r="A1086" s="922" t="str">
        <f t="shared" si="47"/>
        <v>수페이퍼
(SUPR)</v>
      </c>
      <c r="B1086" s="846"/>
      <c r="C1086" s="843"/>
      <c r="D1086" s="459" t="s">
        <v>3664</v>
      </c>
      <c r="E1086" s="423">
        <v>590000</v>
      </c>
    </row>
    <row r="1087" spans="1:5" s="93" customFormat="1" ht="13.2" customHeight="1">
      <c r="A1087" s="922" t="str">
        <f t="shared" si="47"/>
        <v>수페이퍼
(SUPR)</v>
      </c>
      <c r="B1087" s="846"/>
      <c r="C1087" s="844"/>
      <c r="D1087" s="461" t="s">
        <v>2024</v>
      </c>
      <c r="E1087" s="236">
        <v>870000</v>
      </c>
    </row>
    <row r="1088" spans="1:5" ht="15" customHeight="1">
      <c r="A1088" s="922" t="str">
        <f t="shared" si="47"/>
        <v>수페이퍼
(SUPR)</v>
      </c>
      <c r="B1088" s="846"/>
      <c r="C1088" s="853">
        <v>200</v>
      </c>
      <c r="D1088" s="184" t="s">
        <v>1768</v>
      </c>
      <c r="E1088" s="423">
        <v>1080000</v>
      </c>
    </row>
    <row r="1089" spans="1:5" ht="15" customHeight="1">
      <c r="A1089" s="922" t="str">
        <f t="shared" si="47"/>
        <v>수페이퍼
(SUPR)</v>
      </c>
      <c r="B1089" s="846"/>
      <c r="C1089" s="843"/>
      <c r="D1089" s="184" t="s">
        <v>3729</v>
      </c>
      <c r="E1089" s="423">
        <v>735000</v>
      </c>
    </row>
    <row r="1090" spans="1:5" ht="15" customHeight="1">
      <c r="A1090" s="922" t="str">
        <f t="shared" si="47"/>
        <v>수페이퍼
(SUPR)</v>
      </c>
      <c r="B1090" s="846"/>
      <c r="C1090" s="843"/>
      <c r="D1090" s="184" t="s">
        <v>3730</v>
      </c>
      <c r="E1090" s="423">
        <v>775000</v>
      </c>
    </row>
    <row r="1091" spans="1:5" ht="15" customHeight="1">
      <c r="A1091" s="922" t="str">
        <f t="shared" si="47"/>
        <v>수페이퍼
(SUPR)</v>
      </c>
      <c r="B1091" s="846"/>
      <c r="C1091" s="843"/>
      <c r="D1091" s="184" t="s">
        <v>3975</v>
      </c>
      <c r="E1091" s="423">
        <v>775000</v>
      </c>
    </row>
    <row r="1092" spans="1:5" ht="15" customHeight="1">
      <c r="A1092" s="922" t="str">
        <f t="shared" si="47"/>
        <v>수페이퍼
(SUPR)</v>
      </c>
      <c r="B1092" s="846"/>
      <c r="C1092" s="843"/>
      <c r="D1092" s="184" t="s">
        <v>2025</v>
      </c>
      <c r="E1092" s="423">
        <v>1210000</v>
      </c>
    </row>
    <row r="1093" spans="1:5" ht="15" customHeight="1">
      <c r="A1093" s="922" t="str">
        <f t="shared" si="47"/>
        <v>수페이퍼
(SUPR)</v>
      </c>
      <c r="B1093" s="846"/>
      <c r="C1093" s="843"/>
      <c r="D1093" s="184" t="s">
        <v>3976</v>
      </c>
      <c r="E1093" s="423">
        <v>850000</v>
      </c>
    </row>
    <row r="1094" spans="1:5" ht="15" customHeight="1">
      <c r="A1094" s="922" t="str">
        <f t="shared" si="47"/>
        <v>수페이퍼
(SUPR)</v>
      </c>
      <c r="B1094" s="846"/>
      <c r="C1094" s="844"/>
      <c r="D1094" s="184" t="s">
        <v>3977</v>
      </c>
      <c r="E1094" s="423">
        <v>815000</v>
      </c>
    </row>
    <row r="1095" spans="1:5" ht="15" customHeight="1">
      <c r="A1095" s="922" t="str">
        <f t="shared" si="47"/>
        <v>수페이퍼
(SUPR)</v>
      </c>
      <c r="B1095" s="847"/>
      <c r="C1095" s="89">
        <v>300</v>
      </c>
      <c r="D1095" s="462" t="s">
        <v>3978</v>
      </c>
      <c r="E1095" s="366">
        <v>1160000</v>
      </c>
    </row>
    <row r="1096" spans="1:5" ht="15" customHeight="1">
      <c r="A1096" s="938" t="s">
        <v>3979</v>
      </c>
      <c r="B1096" s="850" t="s">
        <v>1757</v>
      </c>
      <c r="C1096" s="165">
        <v>118</v>
      </c>
      <c r="D1096" s="361" t="s">
        <v>3980</v>
      </c>
      <c r="E1096" s="362">
        <v>475000</v>
      </c>
    </row>
    <row r="1097" spans="1:5" ht="15" customHeight="1">
      <c r="A1097" s="938" t="str">
        <f>A1096</f>
        <v xml:space="preserve">슈퍼파인
(SUF)* </v>
      </c>
      <c r="B1097" s="846"/>
      <c r="C1097" s="415">
        <v>148</v>
      </c>
      <c r="D1097" s="255" t="s">
        <v>3276</v>
      </c>
      <c r="E1097" s="424">
        <v>595000</v>
      </c>
    </row>
    <row r="1098" spans="1:5" ht="18" customHeight="1">
      <c r="A1098" s="938" t="str">
        <f>A1097</f>
        <v xml:space="preserve">슈퍼파인
(SUF)* </v>
      </c>
      <c r="B1098" s="846"/>
      <c r="C1098" s="415">
        <v>216</v>
      </c>
      <c r="D1098" s="255" t="s">
        <v>1835</v>
      </c>
      <c r="E1098" s="424">
        <v>910000</v>
      </c>
    </row>
    <row r="1099" spans="1:5" ht="15" customHeight="1">
      <c r="A1099" s="938" t="str">
        <f>A1098</f>
        <v xml:space="preserve">슈퍼파인
(SUF)* </v>
      </c>
      <c r="B1099" s="846"/>
      <c r="C1099" s="415">
        <v>270</v>
      </c>
      <c r="D1099" s="255" t="s">
        <v>2114</v>
      </c>
      <c r="E1099" s="424">
        <v>1140000</v>
      </c>
    </row>
    <row r="1100" spans="1:5" ht="15" customHeight="1">
      <c r="A1100" s="938" t="str">
        <f>A1099</f>
        <v xml:space="preserve">슈퍼파인
(SUF)* </v>
      </c>
      <c r="B1100" s="851"/>
      <c r="C1100" s="229">
        <v>324</v>
      </c>
      <c r="D1100" s="463" t="s">
        <v>3023</v>
      </c>
      <c r="E1100" s="253">
        <v>1325000</v>
      </c>
    </row>
    <row r="1101" spans="1:5" ht="15" customHeight="1">
      <c r="A1101" s="938" t="e">
        <f>#REF!</f>
        <v>#REF!</v>
      </c>
      <c r="B1101" s="848" t="s">
        <v>1754</v>
      </c>
      <c r="C1101" s="415">
        <v>118</v>
      </c>
      <c r="D1101" s="257" t="s">
        <v>3980</v>
      </c>
      <c r="E1101" s="424">
        <v>330000</v>
      </c>
    </row>
    <row r="1102" spans="1:5" ht="15" customHeight="1">
      <c r="A1102" s="938" t="e">
        <f t="shared" ref="A1102:A1109" si="48">A1101</f>
        <v>#REF!</v>
      </c>
      <c r="B1102" s="846"/>
      <c r="C1102" s="415">
        <v>148</v>
      </c>
      <c r="D1102" s="255" t="s">
        <v>3276</v>
      </c>
      <c r="E1102" s="424">
        <v>415000</v>
      </c>
    </row>
    <row r="1103" spans="1:5" ht="15" customHeight="1">
      <c r="A1103" s="938" t="e">
        <f t="shared" si="48"/>
        <v>#REF!</v>
      </c>
      <c r="B1103" s="851"/>
      <c r="C1103" s="415">
        <v>216</v>
      </c>
      <c r="D1103" s="255" t="s">
        <v>1835</v>
      </c>
      <c r="E1103" s="424">
        <v>635000</v>
      </c>
    </row>
    <row r="1104" spans="1:5" ht="15" customHeight="1">
      <c r="A1104" s="938" t="e">
        <f t="shared" si="48"/>
        <v>#REF!</v>
      </c>
      <c r="B1104" s="848" t="s">
        <v>3981</v>
      </c>
      <c r="C1104" s="89">
        <v>216</v>
      </c>
      <c r="D1104" s="363" t="s">
        <v>3982</v>
      </c>
      <c r="E1104" s="364">
        <v>910000</v>
      </c>
    </row>
    <row r="1105" spans="1:5" ht="15" customHeight="1">
      <c r="A1105" s="938" t="e">
        <f t="shared" si="48"/>
        <v>#REF!</v>
      </c>
      <c r="B1105" s="846"/>
      <c r="C1105" s="415">
        <v>270</v>
      </c>
      <c r="D1105" s="257" t="s">
        <v>3160</v>
      </c>
      <c r="E1105" s="424">
        <v>1140000</v>
      </c>
    </row>
    <row r="1106" spans="1:5" ht="15.6" customHeight="1">
      <c r="A1106" s="938" t="e">
        <f t="shared" si="48"/>
        <v>#REF!</v>
      </c>
      <c r="B1106" s="851"/>
      <c r="C1106" s="229">
        <v>324</v>
      </c>
      <c r="D1106" s="252" t="s">
        <v>3983</v>
      </c>
      <c r="E1106" s="253">
        <v>1325000</v>
      </c>
    </row>
    <row r="1107" spans="1:5" ht="15.6" customHeight="1">
      <c r="A1107" s="938" t="e">
        <f t="shared" si="48"/>
        <v>#REF!</v>
      </c>
      <c r="B1107" s="848" t="s">
        <v>3984</v>
      </c>
      <c r="C1107" s="415">
        <v>118</v>
      </c>
      <c r="D1107" s="257" t="s">
        <v>3985</v>
      </c>
      <c r="E1107" s="424">
        <v>330000</v>
      </c>
    </row>
    <row r="1108" spans="1:5" ht="15.6" customHeight="1">
      <c r="A1108" s="938" t="e">
        <f t="shared" si="48"/>
        <v>#REF!</v>
      </c>
      <c r="B1108" s="846"/>
      <c r="C1108" s="415">
        <v>216</v>
      </c>
      <c r="D1108" s="257" t="s">
        <v>3986</v>
      </c>
      <c r="E1108" s="424">
        <v>635000</v>
      </c>
    </row>
    <row r="1109" spans="1:5" ht="15" customHeight="1">
      <c r="A1109" s="938" t="e">
        <f t="shared" si="48"/>
        <v>#REF!</v>
      </c>
      <c r="B1109" s="847"/>
      <c r="C1109" s="171">
        <v>270</v>
      </c>
      <c r="D1109" s="258" t="s">
        <v>3987</v>
      </c>
      <c r="E1109" s="424">
        <v>790000</v>
      </c>
    </row>
    <row r="1110" spans="1:5" ht="15" customHeight="1">
      <c r="A1110" s="939" t="s">
        <v>3082</v>
      </c>
      <c r="B1110" s="850" t="s">
        <v>1814</v>
      </c>
      <c r="C1110" s="356">
        <v>130</v>
      </c>
      <c r="D1110" s="232" t="s">
        <v>3083</v>
      </c>
      <c r="E1110" s="233">
        <v>450000</v>
      </c>
    </row>
    <row r="1111" spans="1:5" ht="15" customHeight="1">
      <c r="A1111" s="940" t="str">
        <f>A1110</f>
        <v xml:space="preserve">슈퍼터치 
(SST) </v>
      </c>
      <c r="B1111" s="846"/>
      <c r="C1111" s="419">
        <v>130</v>
      </c>
      <c r="D1111" s="150" t="s">
        <v>3084</v>
      </c>
      <c r="E1111" s="423">
        <v>450000</v>
      </c>
    </row>
    <row r="1112" spans="1:5" ht="15" customHeight="1">
      <c r="A1112" s="940" t="str">
        <f>A1111</f>
        <v xml:space="preserve">슈퍼터치 
(SST) </v>
      </c>
      <c r="B1112" s="846"/>
      <c r="C1112" s="419">
        <v>245</v>
      </c>
      <c r="D1112" s="150" t="s">
        <v>3085</v>
      </c>
      <c r="E1112" s="423">
        <v>680000</v>
      </c>
    </row>
    <row r="1113" spans="1:5" ht="15" customHeight="1">
      <c r="A1113" s="940" t="str">
        <f>A1112</f>
        <v xml:space="preserve">슈퍼터치 
(SST) </v>
      </c>
      <c r="B1113" s="846"/>
      <c r="C1113" s="419">
        <v>245</v>
      </c>
      <c r="D1113" s="150" t="s">
        <v>3086</v>
      </c>
      <c r="E1113" s="423">
        <v>680000</v>
      </c>
    </row>
    <row r="1114" spans="1:5" ht="15" customHeight="1">
      <c r="A1114" s="940" t="str">
        <f>A1113</f>
        <v xml:space="preserve">슈퍼터치 
(SST) </v>
      </c>
      <c r="B1114" s="846"/>
      <c r="C1114" s="419">
        <v>350</v>
      </c>
      <c r="D1114" s="150" t="s">
        <v>2089</v>
      </c>
      <c r="E1114" s="423">
        <v>940000</v>
      </c>
    </row>
    <row r="1115" spans="1:5" ht="15" customHeight="1">
      <c r="A1115" s="941" t="str">
        <f>A1114</f>
        <v xml:space="preserve">슈퍼터치 
(SST) </v>
      </c>
      <c r="B1115" s="847"/>
      <c r="C1115" s="357">
        <v>350</v>
      </c>
      <c r="D1115" s="237" t="s">
        <v>3087</v>
      </c>
      <c r="E1115" s="238">
        <v>940000</v>
      </c>
    </row>
    <row r="1116" spans="1:5" ht="15" customHeight="1">
      <c r="A1116" s="939" t="s">
        <v>3088</v>
      </c>
      <c r="B1116" s="850" t="s">
        <v>1814</v>
      </c>
      <c r="C1116" s="356">
        <v>132</v>
      </c>
      <c r="D1116" s="232" t="s">
        <v>1764</v>
      </c>
      <c r="E1116" s="233">
        <v>620000</v>
      </c>
    </row>
    <row r="1117" spans="1:5" ht="15" customHeight="1">
      <c r="A1117" s="940" t="str">
        <f>A1116</f>
        <v xml:space="preserve">슈퍼와일드 
(SWD) </v>
      </c>
      <c r="B1117" s="846"/>
      <c r="C1117" s="419">
        <v>132</v>
      </c>
      <c r="D1117" s="150" t="s">
        <v>2132</v>
      </c>
      <c r="E1117" s="423">
        <v>620000</v>
      </c>
    </row>
    <row r="1118" spans="1:5" ht="15" customHeight="1">
      <c r="A1118" s="940"/>
      <c r="B1118" s="846"/>
      <c r="C1118" s="419">
        <v>132</v>
      </c>
      <c r="D1118" s="150" t="s">
        <v>3089</v>
      </c>
      <c r="E1118" s="423">
        <v>620000</v>
      </c>
    </row>
    <row r="1119" spans="1:5" ht="15" customHeight="1">
      <c r="A1119" s="940"/>
      <c r="B1119" s="846"/>
      <c r="C1119" s="419">
        <v>246</v>
      </c>
      <c r="D1119" s="150" t="s">
        <v>2023</v>
      </c>
      <c r="E1119" s="423">
        <v>800000</v>
      </c>
    </row>
    <row r="1120" spans="1:5" ht="15" customHeight="1">
      <c r="A1120" s="940"/>
      <c r="B1120" s="846"/>
      <c r="C1120" s="419">
        <v>246</v>
      </c>
      <c r="D1120" s="150" t="s">
        <v>2145</v>
      </c>
      <c r="E1120" s="423">
        <v>800000</v>
      </c>
    </row>
    <row r="1121" spans="1:5" ht="15" customHeight="1">
      <c r="A1121" s="940" t="str">
        <f>A1117</f>
        <v xml:space="preserve">슈퍼와일드 
(SWD) </v>
      </c>
      <c r="B1121" s="846"/>
      <c r="C1121" s="419">
        <v>246</v>
      </c>
      <c r="D1121" s="150" t="s">
        <v>3090</v>
      </c>
      <c r="E1121" s="423">
        <v>800000</v>
      </c>
    </row>
    <row r="1122" spans="1:5" ht="15" customHeight="1">
      <c r="A1122" s="940" t="str">
        <f>A1121</f>
        <v xml:space="preserve">슈퍼와일드 
(SWD) </v>
      </c>
      <c r="B1122" s="846"/>
      <c r="C1122" s="419">
        <v>368</v>
      </c>
      <c r="D1122" s="150" t="s">
        <v>3091</v>
      </c>
      <c r="E1122" s="423">
        <v>1410000</v>
      </c>
    </row>
    <row r="1123" spans="1:5" ht="15" customHeight="1">
      <c r="A1123" s="940" t="str">
        <f>A1122</f>
        <v xml:space="preserve">슈퍼와일드 
(SWD) </v>
      </c>
      <c r="B1123" s="846"/>
      <c r="C1123" s="419">
        <v>368</v>
      </c>
      <c r="D1123" s="150" t="s">
        <v>3092</v>
      </c>
      <c r="E1123" s="423">
        <v>1410000</v>
      </c>
    </row>
    <row r="1124" spans="1:5" ht="15" customHeight="1">
      <c r="A1124" s="941" t="str">
        <f>A1123</f>
        <v xml:space="preserve">슈퍼와일드 
(SWD) </v>
      </c>
      <c r="B1124" s="847"/>
      <c r="C1124" s="357">
        <v>368</v>
      </c>
      <c r="D1124" s="237" t="s">
        <v>3093</v>
      </c>
      <c r="E1124" s="238">
        <v>1410000</v>
      </c>
    </row>
    <row r="1125" spans="1:5" ht="15" customHeight="1">
      <c r="A1125" s="939" t="s">
        <v>3988</v>
      </c>
      <c r="B1125" s="87" t="s">
        <v>1895</v>
      </c>
      <c r="C1125" s="419">
        <v>300</v>
      </c>
      <c r="D1125" s="150" t="s">
        <v>3660</v>
      </c>
      <c r="E1125" s="233">
        <v>226000</v>
      </c>
    </row>
    <row r="1126" spans="1:5" ht="15" customHeight="1">
      <c r="A1126" s="940" t="str">
        <f>A1125</f>
        <v>스노우 화이트
(SW)</v>
      </c>
      <c r="B1126" s="848" t="s">
        <v>1814</v>
      </c>
      <c r="C1126" s="270">
        <v>120</v>
      </c>
      <c r="D1126" s="153" t="s">
        <v>3660</v>
      </c>
      <c r="E1126" s="241">
        <v>128000</v>
      </c>
    </row>
    <row r="1127" spans="1:5" ht="15" customHeight="1">
      <c r="A1127" s="940" t="str">
        <f>A1126</f>
        <v>스노우 화이트
(SW)</v>
      </c>
      <c r="B1127" s="846"/>
      <c r="C1127" s="419">
        <v>150</v>
      </c>
      <c r="D1127" s="150"/>
      <c r="E1127" s="423">
        <v>163000</v>
      </c>
    </row>
    <row r="1128" spans="1:5" ht="15" customHeight="1">
      <c r="A1128" s="940" t="str">
        <f>A1127</f>
        <v>스노우 화이트
(SW)</v>
      </c>
      <c r="B1128" s="846"/>
      <c r="C1128" s="419">
        <v>200</v>
      </c>
      <c r="D1128" s="150"/>
      <c r="E1128" s="423">
        <v>217000</v>
      </c>
    </row>
    <row r="1129" spans="1:5" ht="15" customHeight="1">
      <c r="A1129" s="940" t="str">
        <f>A1128</f>
        <v>스노우 화이트
(SW)</v>
      </c>
      <c r="B1129" s="846"/>
      <c r="C1129" s="419">
        <v>250</v>
      </c>
      <c r="D1129" s="150"/>
      <c r="E1129" s="423">
        <v>271000</v>
      </c>
    </row>
    <row r="1130" spans="1:5" ht="15" customHeight="1">
      <c r="A1130" s="941" t="str">
        <f>A1129</f>
        <v>스노우 화이트
(SW)</v>
      </c>
      <c r="B1130" s="847"/>
      <c r="C1130" s="357">
        <v>300</v>
      </c>
      <c r="D1130" s="237"/>
      <c r="E1130" s="238">
        <v>325000</v>
      </c>
    </row>
    <row r="1131" spans="1:5" ht="15" customHeight="1">
      <c r="A1131" s="938" t="s">
        <v>3989</v>
      </c>
      <c r="B1131" s="850" t="s">
        <v>1757</v>
      </c>
      <c r="C1131" s="165">
        <v>103</v>
      </c>
      <c r="D1131" s="232" t="s">
        <v>3990</v>
      </c>
      <c r="E1131" s="423">
        <v>345000</v>
      </c>
    </row>
    <row r="1132" spans="1:5" ht="15" customHeight="1">
      <c r="A1132" s="938" t="str">
        <f t="shared" ref="A1132:A1143" si="49">A1131</f>
        <v>스타화이트
(STA)*</v>
      </c>
      <c r="B1132" s="846"/>
      <c r="C1132" s="415">
        <v>118</v>
      </c>
      <c r="D1132" s="150" t="s">
        <v>3990</v>
      </c>
      <c r="E1132" s="423">
        <v>395000</v>
      </c>
    </row>
    <row r="1133" spans="1:5" ht="15" customHeight="1">
      <c r="A1133" s="938" t="str">
        <f t="shared" si="49"/>
        <v>스타화이트
(STA)*</v>
      </c>
      <c r="B1133" s="846"/>
      <c r="C1133" s="415">
        <v>148</v>
      </c>
      <c r="D1133" s="150" t="s">
        <v>3990</v>
      </c>
      <c r="E1133" s="423">
        <v>490000</v>
      </c>
    </row>
    <row r="1134" spans="1:5" ht="15" customHeight="1">
      <c r="A1134" s="938" t="str">
        <f t="shared" si="49"/>
        <v>스타화이트
(STA)*</v>
      </c>
      <c r="B1134" s="846"/>
      <c r="C1134" s="415">
        <v>216</v>
      </c>
      <c r="D1134" s="150" t="s">
        <v>3990</v>
      </c>
      <c r="E1134" s="423">
        <v>730000</v>
      </c>
    </row>
    <row r="1135" spans="1:5" ht="15" customHeight="1">
      <c r="A1135" s="938" t="str">
        <f t="shared" si="49"/>
        <v>스타화이트
(STA)*</v>
      </c>
      <c r="B1135" s="851"/>
      <c r="C1135" s="415">
        <v>297</v>
      </c>
      <c r="D1135" s="150" t="s">
        <v>3990</v>
      </c>
      <c r="E1135" s="236">
        <v>820000</v>
      </c>
    </row>
    <row r="1136" spans="1:5" ht="15" customHeight="1">
      <c r="A1136" s="938" t="str">
        <f t="shared" si="49"/>
        <v>스타화이트
(STA)*</v>
      </c>
      <c r="B1136" s="848" t="s">
        <v>1754</v>
      </c>
      <c r="C1136" s="89">
        <v>103</v>
      </c>
      <c r="D1136" s="153" t="s">
        <v>3990</v>
      </c>
      <c r="E1136" s="423">
        <v>240000</v>
      </c>
    </row>
    <row r="1137" spans="1:5" ht="15" customHeight="1">
      <c r="A1137" s="938" t="str">
        <f t="shared" si="49"/>
        <v>스타화이트
(STA)*</v>
      </c>
      <c r="B1137" s="846"/>
      <c r="C1137" s="415">
        <v>103</v>
      </c>
      <c r="D1137" s="150" t="s">
        <v>3991</v>
      </c>
      <c r="E1137" s="423">
        <v>210000</v>
      </c>
    </row>
    <row r="1138" spans="1:5" ht="15" customHeight="1">
      <c r="A1138" s="938" t="str">
        <f t="shared" si="49"/>
        <v>스타화이트
(STA)*</v>
      </c>
      <c r="B1138" s="846"/>
      <c r="C1138" s="415">
        <v>118</v>
      </c>
      <c r="D1138" s="150" t="s">
        <v>3990</v>
      </c>
      <c r="E1138" s="423">
        <v>275000</v>
      </c>
    </row>
    <row r="1139" spans="1:5" ht="15" customHeight="1">
      <c r="A1139" s="938" t="str">
        <f t="shared" si="49"/>
        <v>스타화이트
(STA)*</v>
      </c>
      <c r="B1139" s="846"/>
      <c r="C1139" s="415">
        <v>148</v>
      </c>
      <c r="D1139" s="150" t="s">
        <v>3990</v>
      </c>
      <c r="E1139" s="423">
        <v>345000</v>
      </c>
    </row>
    <row r="1140" spans="1:5" ht="15" customHeight="1">
      <c r="A1140" s="938" t="str">
        <f t="shared" si="49"/>
        <v>스타화이트
(STA)*</v>
      </c>
      <c r="B1140" s="846"/>
      <c r="C1140" s="415">
        <v>148</v>
      </c>
      <c r="D1140" s="150" t="s">
        <v>3991</v>
      </c>
      <c r="E1140" s="423">
        <v>300000</v>
      </c>
    </row>
    <row r="1141" spans="1:5" ht="15" customHeight="1">
      <c r="A1141" s="938" t="str">
        <f t="shared" si="49"/>
        <v>스타화이트
(STA)*</v>
      </c>
      <c r="B1141" s="846"/>
      <c r="C1141" s="415">
        <v>216</v>
      </c>
      <c r="D1141" s="150" t="s">
        <v>3990</v>
      </c>
      <c r="E1141" s="423">
        <v>510000</v>
      </c>
    </row>
    <row r="1142" spans="1:5" ht="15" customHeight="1">
      <c r="A1142" s="938" t="str">
        <f t="shared" si="49"/>
        <v>스타화이트
(STA)*</v>
      </c>
      <c r="B1142" s="846"/>
      <c r="C1142" s="415">
        <v>216</v>
      </c>
      <c r="D1142" s="150" t="s">
        <v>3991</v>
      </c>
      <c r="E1142" s="423">
        <v>445000</v>
      </c>
    </row>
    <row r="1143" spans="1:5" ht="15" customHeight="1">
      <c r="A1143" s="938" t="str">
        <f t="shared" si="49"/>
        <v>스타화이트
(STA)*</v>
      </c>
      <c r="B1143" s="847"/>
      <c r="C1143" s="171">
        <v>297</v>
      </c>
      <c r="D1143" s="237" t="s">
        <v>3990</v>
      </c>
      <c r="E1143" s="238">
        <v>570000</v>
      </c>
    </row>
    <row r="1144" spans="1:5" ht="15" customHeight="1">
      <c r="A1144" s="921" t="s">
        <v>3992</v>
      </c>
      <c r="B1144" s="850" t="s">
        <v>1757</v>
      </c>
      <c r="C1144" s="165">
        <v>75</v>
      </c>
      <c r="D1144" s="232" t="s">
        <v>3993</v>
      </c>
      <c r="E1144" s="464">
        <v>135000</v>
      </c>
    </row>
    <row r="1145" spans="1:5" ht="15" customHeight="1">
      <c r="A1145" s="922" t="str">
        <f t="shared" ref="A1145:A1164" si="50">A1144</f>
        <v>스펙트라
(SPA)</v>
      </c>
      <c r="B1145" s="846"/>
      <c r="C1145" s="853">
        <v>80</v>
      </c>
      <c r="D1145" s="153" t="s">
        <v>3994</v>
      </c>
      <c r="E1145" s="423">
        <v>110000</v>
      </c>
    </row>
    <row r="1146" spans="1:5" ht="15" customHeight="1">
      <c r="A1146" s="922" t="str">
        <f t="shared" si="50"/>
        <v>스펙트라
(SPA)</v>
      </c>
      <c r="B1146" s="846"/>
      <c r="C1146" s="843"/>
      <c r="D1146" s="150" t="s">
        <v>3995</v>
      </c>
      <c r="E1146" s="423">
        <v>130000</v>
      </c>
    </row>
    <row r="1147" spans="1:5" ht="15" customHeight="1">
      <c r="A1147" s="922" t="str">
        <f t="shared" si="50"/>
        <v>스펙트라
(SPA)</v>
      </c>
      <c r="B1147" s="846"/>
      <c r="C1147" s="843"/>
      <c r="D1147" s="150" t="s">
        <v>3996</v>
      </c>
      <c r="E1147" s="423">
        <v>160000</v>
      </c>
    </row>
    <row r="1148" spans="1:5" ht="15" customHeight="1">
      <c r="A1148" s="922" t="str">
        <f t="shared" si="50"/>
        <v>스펙트라
(SPA)</v>
      </c>
      <c r="B1148" s="846"/>
      <c r="C1148" s="844"/>
      <c r="D1148" s="235" t="s">
        <v>3997</v>
      </c>
      <c r="E1148" s="236">
        <v>140000</v>
      </c>
    </row>
    <row r="1149" spans="1:5" ht="15" customHeight="1">
      <c r="A1149" s="922" t="str">
        <f t="shared" si="50"/>
        <v>스펙트라
(SPA)</v>
      </c>
      <c r="B1149" s="846"/>
      <c r="C1149" s="853">
        <v>120</v>
      </c>
      <c r="D1149" s="153" t="s">
        <v>3998</v>
      </c>
      <c r="E1149" s="423">
        <v>165000</v>
      </c>
    </row>
    <row r="1150" spans="1:5" ht="15" customHeight="1">
      <c r="A1150" s="922" t="str">
        <f t="shared" si="50"/>
        <v>스펙트라
(SPA)</v>
      </c>
      <c r="B1150" s="846"/>
      <c r="C1150" s="843"/>
      <c r="D1150" s="150" t="s">
        <v>3999</v>
      </c>
      <c r="E1150" s="423">
        <v>195000</v>
      </c>
    </row>
    <row r="1151" spans="1:5" ht="15" customHeight="1">
      <c r="A1151" s="922" t="str">
        <f t="shared" si="50"/>
        <v>스펙트라
(SPA)</v>
      </c>
      <c r="B1151" s="846"/>
      <c r="C1151" s="843"/>
      <c r="D1151" s="150" t="s">
        <v>4000</v>
      </c>
      <c r="E1151" s="423">
        <v>200000</v>
      </c>
    </row>
    <row r="1152" spans="1:5" ht="15" customHeight="1">
      <c r="A1152" s="922" t="str">
        <f t="shared" si="50"/>
        <v>스펙트라
(SPA)</v>
      </c>
      <c r="B1152" s="846"/>
      <c r="C1152" s="843"/>
      <c r="D1152" s="150" t="s">
        <v>4001</v>
      </c>
      <c r="E1152" s="423">
        <v>240000</v>
      </c>
    </row>
    <row r="1153" spans="1:5" ht="15" customHeight="1">
      <c r="A1153" s="922" t="str">
        <f t="shared" si="50"/>
        <v>스펙트라
(SPA)</v>
      </c>
      <c r="B1153" s="846"/>
      <c r="C1153" s="843"/>
      <c r="D1153" s="150" t="s">
        <v>4002</v>
      </c>
      <c r="E1153" s="423">
        <v>215000</v>
      </c>
    </row>
    <row r="1154" spans="1:5" ht="15" customHeight="1">
      <c r="A1154" s="922" t="str">
        <f t="shared" si="50"/>
        <v>스펙트라
(SPA)</v>
      </c>
      <c r="B1154" s="851"/>
      <c r="C1154" s="844"/>
      <c r="D1154" s="257" t="s">
        <v>4003</v>
      </c>
      <c r="E1154" s="424">
        <v>180000</v>
      </c>
    </row>
    <row r="1155" spans="1:5" ht="15" customHeight="1">
      <c r="A1155" s="922" t="str">
        <f t="shared" si="50"/>
        <v>스펙트라
(SPA)</v>
      </c>
      <c r="B1155" s="326" t="s">
        <v>4004</v>
      </c>
      <c r="C1155" s="90">
        <v>75</v>
      </c>
      <c r="D1155" s="156" t="s">
        <v>4005</v>
      </c>
      <c r="E1155" s="244">
        <v>90000</v>
      </c>
    </row>
    <row r="1156" spans="1:5" ht="15" customHeight="1">
      <c r="A1156" s="922" t="str">
        <f t="shared" si="50"/>
        <v>스펙트라
(SPA)</v>
      </c>
      <c r="B1156" s="848" t="s">
        <v>4006</v>
      </c>
      <c r="C1156" s="853">
        <v>80</v>
      </c>
      <c r="D1156" s="150" t="s">
        <v>4007</v>
      </c>
      <c r="E1156" s="423">
        <v>75000</v>
      </c>
    </row>
    <row r="1157" spans="1:5" ht="15" customHeight="1">
      <c r="A1157" s="922" t="str">
        <f t="shared" si="50"/>
        <v>스펙트라
(SPA)</v>
      </c>
      <c r="B1157" s="851"/>
      <c r="C1157" s="844"/>
      <c r="D1157" s="235" t="s">
        <v>4008</v>
      </c>
      <c r="E1157" s="236">
        <v>75000</v>
      </c>
    </row>
    <row r="1158" spans="1:5" ht="15" customHeight="1">
      <c r="A1158" s="922" t="str">
        <f t="shared" si="50"/>
        <v>스펙트라
(SPA)</v>
      </c>
      <c r="B1158" s="869" t="s">
        <v>4009</v>
      </c>
      <c r="C1158" s="853">
        <v>80</v>
      </c>
      <c r="D1158" s="153" t="s">
        <v>4010</v>
      </c>
      <c r="E1158" s="423">
        <v>75000</v>
      </c>
    </row>
    <row r="1159" spans="1:5" ht="15" customHeight="1">
      <c r="A1159" s="922" t="str">
        <f t="shared" si="50"/>
        <v>스펙트라
(SPA)</v>
      </c>
      <c r="B1159" s="870"/>
      <c r="C1159" s="843"/>
      <c r="D1159" s="150" t="s">
        <v>4011</v>
      </c>
      <c r="E1159" s="423">
        <v>85000</v>
      </c>
    </row>
    <row r="1160" spans="1:5" ht="15" customHeight="1">
      <c r="A1160" s="922" t="str">
        <f t="shared" si="50"/>
        <v>스펙트라
(SPA)</v>
      </c>
      <c r="B1160" s="870"/>
      <c r="C1160" s="843"/>
      <c r="D1160" s="150" t="s">
        <v>4012</v>
      </c>
      <c r="E1160" s="423">
        <v>75000</v>
      </c>
    </row>
    <row r="1161" spans="1:5" ht="15" customHeight="1">
      <c r="A1161" s="922" t="str">
        <f t="shared" si="50"/>
        <v>스펙트라
(SPA)</v>
      </c>
      <c r="B1161" s="871"/>
      <c r="C1161" s="844"/>
      <c r="D1161" s="150" t="s">
        <v>4013</v>
      </c>
      <c r="E1161" s="236">
        <v>90000</v>
      </c>
    </row>
    <row r="1162" spans="1:5" ht="15" customHeight="1">
      <c r="A1162" s="922" t="str">
        <f t="shared" si="50"/>
        <v>스펙트라
(SPA)</v>
      </c>
      <c r="B1162" s="188" t="s">
        <v>4004</v>
      </c>
      <c r="C1162" s="90">
        <v>80</v>
      </c>
      <c r="D1162" s="156" t="s">
        <v>4014</v>
      </c>
      <c r="E1162" s="244">
        <v>95000</v>
      </c>
    </row>
    <row r="1163" spans="1:5" ht="15" customHeight="1">
      <c r="A1163" s="922" t="str">
        <f t="shared" si="50"/>
        <v>스펙트라
(SPA)</v>
      </c>
      <c r="B1163" s="869" t="s">
        <v>4015</v>
      </c>
      <c r="C1163" s="415">
        <v>120</v>
      </c>
      <c r="D1163" s="465" t="s">
        <v>4016</v>
      </c>
      <c r="E1163" s="423">
        <v>110000</v>
      </c>
    </row>
    <row r="1164" spans="1:5" ht="15" customHeight="1">
      <c r="A1164" s="930" t="str">
        <f t="shared" si="50"/>
        <v>스펙트라
(SPA)</v>
      </c>
      <c r="B1164" s="883"/>
      <c r="C1164" s="154"/>
      <c r="D1164" s="155" t="s">
        <v>4017</v>
      </c>
      <c r="E1164" s="243">
        <v>130000</v>
      </c>
    </row>
    <row r="1165" spans="1:5" ht="15" customHeight="1">
      <c r="A1165" s="921" t="s">
        <v>4018</v>
      </c>
      <c r="B1165" s="845" t="s">
        <v>1756</v>
      </c>
      <c r="C1165" s="165">
        <v>250</v>
      </c>
      <c r="D1165" s="466" t="s">
        <v>4019</v>
      </c>
      <c r="E1165" s="362">
        <v>555000</v>
      </c>
    </row>
    <row r="1166" spans="1:5" ht="15" customHeight="1">
      <c r="A1166" s="921" t="str">
        <f t="shared" ref="A1166:A1171" si="51">A1165</f>
        <v>스펜더룩스
(SPD)</v>
      </c>
      <c r="B1166" s="846"/>
      <c r="C1166" s="415"/>
      <c r="D1166" s="169" t="s">
        <v>4020</v>
      </c>
      <c r="E1166" s="424">
        <v>605000</v>
      </c>
    </row>
    <row r="1167" spans="1:5" ht="15" customHeight="1">
      <c r="A1167" s="921" t="str">
        <f t="shared" si="51"/>
        <v>스펜더룩스
(SPD)</v>
      </c>
      <c r="B1167" s="846"/>
      <c r="C1167" s="415"/>
      <c r="D1167" s="167" t="s">
        <v>2026</v>
      </c>
      <c r="E1167" s="423">
        <v>825000</v>
      </c>
    </row>
    <row r="1168" spans="1:5" ht="15" customHeight="1">
      <c r="A1168" s="921" t="str">
        <f t="shared" si="51"/>
        <v>스펜더룩스
(SPD)</v>
      </c>
      <c r="B1168" s="846"/>
      <c r="C1168" s="415"/>
      <c r="D1168" s="257" t="s">
        <v>4021</v>
      </c>
      <c r="E1168" s="424">
        <v>955000</v>
      </c>
    </row>
    <row r="1169" spans="1:5" ht="15" customHeight="1">
      <c r="A1169" s="921" t="str">
        <f t="shared" si="51"/>
        <v>스펜더룩스
(SPD)</v>
      </c>
      <c r="B1169" s="846"/>
      <c r="C1169" s="415"/>
      <c r="D1169" s="257" t="s">
        <v>4022</v>
      </c>
      <c r="E1169" s="424">
        <v>760000</v>
      </c>
    </row>
    <row r="1170" spans="1:5" ht="15" customHeight="1">
      <c r="A1170" s="921" t="str">
        <f t="shared" si="51"/>
        <v>스펜더룩스
(SPD)</v>
      </c>
      <c r="B1170" s="846"/>
      <c r="C1170" s="415"/>
      <c r="D1170" s="467" t="s">
        <v>4023</v>
      </c>
      <c r="E1170" s="424">
        <v>555000</v>
      </c>
    </row>
    <row r="1171" spans="1:5" ht="15" customHeight="1">
      <c r="A1171" s="921" t="str">
        <f t="shared" si="51"/>
        <v>스펜더룩스
(SPD)</v>
      </c>
      <c r="B1171" s="847"/>
      <c r="C1171" s="415"/>
      <c r="D1171" s="468" t="s">
        <v>4024</v>
      </c>
      <c r="E1171" s="259">
        <v>760000</v>
      </c>
    </row>
    <row r="1172" spans="1:5" ht="15" customHeight="1">
      <c r="A1172" s="921" t="s">
        <v>2028</v>
      </c>
      <c r="B1172" s="850" t="s">
        <v>1978</v>
      </c>
      <c r="C1172" s="165">
        <v>120</v>
      </c>
      <c r="D1172" s="232" t="s">
        <v>3094</v>
      </c>
      <c r="E1172" s="233">
        <v>500000</v>
      </c>
    </row>
    <row r="1173" spans="1:5" ht="15" customHeight="1">
      <c r="A1173" s="922"/>
      <c r="B1173" s="846"/>
      <c r="C1173" s="229"/>
      <c r="D1173" s="235" t="s">
        <v>4025</v>
      </c>
      <c r="E1173" s="236">
        <v>485000</v>
      </c>
    </row>
    <row r="1174" spans="1:5" ht="15" customHeight="1">
      <c r="A1174" s="922" t="str">
        <f>A1172</f>
        <v>스펜더룩스 버서스
(SPXV)</v>
      </c>
      <c r="B1174" s="846"/>
      <c r="C1174" s="89">
        <v>250</v>
      </c>
      <c r="D1174" s="153" t="s">
        <v>4026</v>
      </c>
      <c r="E1174" s="241">
        <v>920000</v>
      </c>
    </row>
    <row r="1175" spans="1:5" ht="15" customHeight="1">
      <c r="A1175" s="922"/>
      <c r="B1175" s="846"/>
      <c r="C1175" s="415"/>
      <c r="D1175" s="150" t="s">
        <v>3095</v>
      </c>
      <c r="E1175" s="423">
        <v>1040000</v>
      </c>
    </row>
    <row r="1176" spans="1:5" ht="15" customHeight="1">
      <c r="A1176" s="922" t="str">
        <f>A1174</f>
        <v>스펜더룩스 버서스
(SPXV)</v>
      </c>
      <c r="B1176" s="846"/>
      <c r="C1176" s="229"/>
      <c r="D1176" s="235" t="s">
        <v>4027</v>
      </c>
      <c r="E1176" s="236">
        <v>1010000</v>
      </c>
    </row>
    <row r="1177" spans="1:5" ht="15" customHeight="1">
      <c r="A1177" s="922" t="str">
        <f>A1176</f>
        <v>스펜더룩스 버서스
(SPXV)</v>
      </c>
      <c r="B1177" s="846"/>
      <c r="C1177" s="89">
        <v>350</v>
      </c>
      <c r="D1177" s="153" t="s">
        <v>4028</v>
      </c>
      <c r="E1177" s="241">
        <v>1280000</v>
      </c>
    </row>
    <row r="1178" spans="1:5" ht="15" customHeight="1">
      <c r="A1178" s="922"/>
      <c r="B1178" s="846"/>
      <c r="C1178" s="415"/>
      <c r="D1178" s="150" t="s">
        <v>3096</v>
      </c>
      <c r="E1178" s="423">
        <v>1460000</v>
      </c>
    </row>
    <row r="1179" spans="1:5" ht="15" customHeight="1">
      <c r="A1179" s="923" t="str">
        <f>A1177</f>
        <v>스펜더룩스 버서스
(SPXV)</v>
      </c>
      <c r="B1179" s="847"/>
      <c r="C1179" s="171"/>
      <c r="D1179" s="245" t="s">
        <v>4029</v>
      </c>
      <c r="E1179" s="368">
        <v>1280000</v>
      </c>
    </row>
    <row r="1180" spans="1:5" ht="15" customHeight="1">
      <c r="A1180" s="921" t="s">
        <v>4030</v>
      </c>
      <c r="B1180" s="850" t="s">
        <v>1814</v>
      </c>
      <c r="C1180" s="165">
        <v>130</v>
      </c>
      <c r="D1180" s="469" t="s">
        <v>1829</v>
      </c>
      <c r="E1180" s="233">
        <v>140000</v>
      </c>
    </row>
    <row r="1181" spans="1:5" ht="15" customHeight="1">
      <c r="A1181" s="922"/>
      <c r="B1181" s="846"/>
      <c r="C1181" s="415">
        <v>150</v>
      </c>
      <c r="D1181" s="470" t="s">
        <v>1830</v>
      </c>
      <c r="E1181" s="423">
        <v>160000</v>
      </c>
    </row>
    <row r="1182" spans="1:5" ht="15" customHeight="1">
      <c r="A1182" s="922"/>
      <c r="B1182" s="846"/>
      <c r="C1182" s="415">
        <v>170</v>
      </c>
      <c r="D1182" s="470" t="s">
        <v>1831</v>
      </c>
      <c r="E1182" s="423">
        <v>180000</v>
      </c>
    </row>
    <row r="1183" spans="1:5" ht="15" customHeight="1">
      <c r="A1183" s="948" t="str">
        <f>A1180</f>
        <v>심볼그로스
(SYMG)</v>
      </c>
      <c r="B1183" s="846"/>
      <c r="C1183" s="415">
        <v>200</v>
      </c>
      <c r="D1183" s="470" t="s">
        <v>1832</v>
      </c>
      <c r="E1183" s="423">
        <v>215000</v>
      </c>
    </row>
    <row r="1184" spans="1:5" ht="15" customHeight="1">
      <c r="A1184" s="948" t="str">
        <f>A1183</f>
        <v>심볼그로스
(SYMG)</v>
      </c>
      <c r="B1184" s="851"/>
      <c r="C1184" s="229">
        <v>250</v>
      </c>
      <c r="D1184" s="471" t="s">
        <v>1833</v>
      </c>
      <c r="E1184" s="236">
        <v>265000</v>
      </c>
    </row>
    <row r="1185" spans="1:5" ht="15" customHeight="1">
      <c r="A1185" s="948"/>
      <c r="B1185" s="848" t="s">
        <v>4031</v>
      </c>
      <c r="C1185" s="89">
        <v>115</v>
      </c>
      <c r="D1185" s="472" t="s">
        <v>1834</v>
      </c>
      <c r="E1185" s="241">
        <v>85000</v>
      </c>
    </row>
    <row r="1186" spans="1:5" ht="15" customHeight="1">
      <c r="A1186" s="948"/>
      <c r="B1186" s="846"/>
      <c r="C1186" s="415">
        <v>130</v>
      </c>
      <c r="D1186" s="473" t="s">
        <v>1835</v>
      </c>
      <c r="E1186" s="423">
        <v>96000</v>
      </c>
    </row>
    <row r="1187" spans="1:5" ht="15" customHeight="1">
      <c r="A1187" s="948"/>
      <c r="B1187" s="846"/>
      <c r="C1187" s="415">
        <v>150</v>
      </c>
      <c r="D1187" s="473" t="s">
        <v>1836</v>
      </c>
      <c r="E1187" s="423">
        <v>110000</v>
      </c>
    </row>
    <row r="1188" spans="1:5" ht="15" customHeight="1">
      <c r="A1188" s="948"/>
      <c r="B1188" s="846"/>
      <c r="C1188" s="415">
        <v>170</v>
      </c>
      <c r="D1188" s="473" t="s">
        <v>1837</v>
      </c>
      <c r="E1188" s="423">
        <v>125000</v>
      </c>
    </row>
    <row r="1189" spans="1:5" ht="15" customHeight="1">
      <c r="A1189" s="948"/>
      <c r="B1189" s="846"/>
      <c r="C1189" s="415">
        <v>200</v>
      </c>
      <c r="D1189" s="473" t="s">
        <v>1838</v>
      </c>
      <c r="E1189" s="423">
        <v>150000</v>
      </c>
    </row>
    <row r="1190" spans="1:5" ht="15" customHeight="1">
      <c r="A1190" s="948" t="str">
        <f>A1184</f>
        <v>심볼그로스
(SYMG)</v>
      </c>
      <c r="B1190" s="846"/>
      <c r="C1190" s="415">
        <v>250</v>
      </c>
      <c r="D1190" s="473" t="s">
        <v>2114</v>
      </c>
      <c r="E1190" s="423">
        <v>165000</v>
      </c>
    </row>
    <row r="1191" spans="1:5" ht="15" customHeight="1">
      <c r="A1191" s="949" t="str">
        <f>A1190</f>
        <v>심볼그로스
(SYMG)</v>
      </c>
      <c r="B1191" s="849"/>
      <c r="C1191" s="154">
        <v>300</v>
      </c>
      <c r="D1191" s="474" t="s">
        <v>1959</v>
      </c>
      <c r="E1191" s="243">
        <v>220000</v>
      </c>
    </row>
    <row r="1192" spans="1:5" ht="15" customHeight="1">
      <c r="A1192" s="921" t="s">
        <v>4032</v>
      </c>
      <c r="B1192" s="845" t="s">
        <v>1814</v>
      </c>
      <c r="C1192" s="165">
        <v>240</v>
      </c>
      <c r="D1192" s="475" t="s">
        <v>4033</v>
      </c>
      <c r="E1192" s="233">
        <v>380000</v>
      </c>
    </row>
    <row r="1193" spans="1:5" ht="15" customHeight="1">
      <c r="A1193" s="948" t="str">
        <f>A1192</f>
        <v>심볼카드에코
(SYMC)</v>
      </c>
      <c r="B1193" s="846"/>
      <c r="C1193" s="415">
        <v>300</v>
      </c>
      <c r="D1193" s="476" t="s">
        <v>4034</v>
      </c>
      <c r="E1193" s="423">
        <v>475000</v>
      </c>
    </row>
    <row r="1194" spans="1:5" ht="15" customHeight="1">
      <c r="A1194" s="948" t="str">
        <f>A1193</f>
        <v>심볼카드에코
(SYMC)</v>
      </c>
      <c r="B1194" s="851"/>
      <c r="C1194" s="229">
        <v>360</v>
      </c>
      <c r="D1194" s="477" t="s">
        <v>4035</v>
      </c>
      <c r="E1194" s="236">
        <v>575000</v>
      </c>
    </row>
    <row r="1195" spans="1:5" ht="15" customHeight="1">
      <c r="A1195" s="948" t="str">
        <f>A1194</f>
        <v>심볼카드에코
(SYMC)</v>
      </c>
      <c r="B1195" s="225" t="s">
        <v>4031</v>
      </c>
      <c r="C1195" s="229">
        <v>360</v>
      </c>
      <c r="D1195" s="477" t="s">
        <v>4036</v>
      </c>
      <c r="E1195" s="236">
        <v>395000</v>
      </c>
    </row>
    <row r="1196" spans="1:5" ht="15" customHeight="1">
      <c r="A1196" s="949" t="str">
        <f>A1195</f>
        <v>심볼카드에코
(SYMC)</v>
      </c>
      <c r="B1196" s="161" t="s">
        <v>4037</v>
      </c>
      <c r="C1196" s="154">
        <v>360</v>
      </c>
      <c r="D1196" s="478" t="s">
        <v>4038</v>
      </c>
      <c r="E1196" s="243">
        <v>490000</v>
      </c>
    </row>
    <row r="1197" spans="1:5" ht="15" customHeight="1">
      <c r="A1197" s="921" t="s">
        <v>2029</v>
      </c>
      <c r="B1197" s="891" t="s">
        <v>4850</v>
      </c>
      <c r="C1197" s="890">
        <v>120</v>
      </c>
      <c r="D1197" s="379" t="s">
        <v>2031</v>
      </c>
      <c r="E1197" s="479">
        <v>390000</v>
      </c>
    </row>
    <row r="1198" spans="1:5" ht="15" customHeight="1">
      <c r="A1198" s="922" t="str">
        <f t="shared" ref="A1198:A1216" si="52">A1197</f>
        <v>뉴심플렉스
(NSIM)</v>
      </c>
      <c r="B1198" s="886"/>
      <c r="C1198" s="889"/>
      <c r="D1198" s="481" t="s">
        <v>2032</v>
      </c>
      <c r="E1198" s="482">
        <v>465000</v>
      </c>
    </row>
    <row r="1199" spans="1:5" ht="15" customHeight="1">
      <c r="A1199" s="922" t="str">
        <f t="shared" si="52"/>
        <v>뉴심플렉스
(NSIM)</v>
      </c>
      <c r="B1199" s="884" t="s">
        <v>4849</v>
      </c>
      <c r="C1199" s="887">
        <v>120</v>
      </c>
      <c r="D1199" s="485" t="s">
        <v>3097</v>
      </c>
      <c r="E1199" s="423">
        <v>355000</v>
      </c>
    </row>
    <row r="1200" spans="1:5" ht="15" customHeight="1">
      <c r="A1200" s="922" t="str">
        <f t="shared" si="52"/>
        <v>뉴심플렉스
(NSIM)</v>
      </c>
      <c r="B1200" s="885"/>
      <c r="C1200" s="888"/>
      <c r="D1200" s="222" t="s">
        <v>2034</v>
      </c>
      <c r="E1200" s="423">
        <v>370000</v>
      </c>
    </row>
    <row r="1201" spans="1:5" ht="15" customHeight="1">
      <c r="A1201" s="922" t="str">
        <f t="shared" si="52"/>
        <v>뉴심플렉스
(NSIM)</v>
      </c>
      <c r="B1201" s="886"/>
      <c r="C1201" s="889"/>
      <c r="D1201" s="481" t="s">
        <v>2035</v>
      </c>
      <c r="E1201" s="281">
        <v>395000</v>
      </c>
    </row>
    <row r="1202" spans="1:5" ht="15" customHeight="1">
      <c r="A1202" s="922" t="str">
        <f t="shared" si="52"/>
        <v>뉴심플렉스
(NSIM)</v>
      </c>
      <c r="B1202" s="884" t="s">
        <v>4847</v>
      </c>
      <c r="C1202" s="887">
        <v>210</v>
      </c>
      <c r="D1202" s="222" t="s">
        <v>2036</v>
      </c>
      <c r="E1202" s="423">
        <v>750000</v>
      </c>
    </row>
    <row r="1203" spans="1:5" ht="15" customHeight="1">
      <c r="A1203" s="922" t="str">
        <f t="shared" si="52"/>
        <v>뉴심플렉스
(NSIM)</v>
      </c>
      <c r="B1203" s="886"/>
      <c r="C1203" s="889"/>
      <c r="D1203" s="481" t="s">
        <v>2037</v>
      </c>
      <c r="E1203" s="281">
        <v>890000</v>
      </c>
    </row>
    <row r="1204" spans="1:5" ht="15" customHeight="1">
      <c r="A1204" s="922" t="str">
        <f t="shared" si="52"/>
        <v>뉴심플렉스
(NSIM)</v>
      </c>
      <c r="B1204" s="884" t="s">
        <v>4848</v>
      </c>
      <c r="C1204" s="887">
        <v>210</v>
      </c>
      <c r="D1204" s="222" t="s">
        <v>2038</v>
      </c>
      <c r="E1204" s="423">
        <v>710000</v>
      </c>
    </row>
    <row r="1205" spans="1:5" ht="15" customHeight="1">
      <c r="A1205" s="922" t="str">
        <f t="shared" si="52"/>
        <v>뉴심플렉스
(NSIM)</v>
      </c>
      <c r="B1205" s="886"/>
      <c r="C1205" s="889"/>
      <c r="D1205" s="481" t="s">
        <v>2039</v>
      </c>
      <c r="E1205" s="281">
        <v>760000</v>
      </c>
    </row>
    <row r="1206" spans="1:5" ht="15" customHeight="1">
      <c r="A1206" s="922" t="str">
        <f t="shared" si="52"/>
        <v>뉴심플렉스
(NSIM)</v>
      </c>
      <c r="B1206" s="884" t="s">
        <v>4847</v>
      </c>
      <c r="C1206" s="887">
        <v>350</v>
      </c>
      <c r="D1206" s="222" t="s">
        <v>2040</v>
      </c>
      <c r="E1206" s="423">
        <v>1250000</v>
      </c>
    </row>
    <row r="1207" spans="1:5" ht="15" customHeight="1">
      <c r="A1207" s="922" t="str">
        <f t="shared" si="52"/>
        <v>뉴심플렉스
(NSIM)</v>
      </c>
      <c r="B1207" s="886"/>
      <c r="C1207" s="889"/>
      <c r="D1207" s="481" t="s">
        <v>2041</v>
      </c>
      <c r="E1207" s="281">
        <v>1480000</v>
      </c>
    </row>
    <row r="1208" spans="1:5" ht="15" customHeight="1">
      <c r="A1208" s="922" t="str">
        <f t="shared" si="52"/>
        <v>뉴심플렉스
(NSIM)</v>
      </c>
      <c r="B1208" s="884" t="s">
        <v>4846</v>
      </c>
      <c r="C1208" s="887">
        <v>350</v>
      </c>
      <c r="D1208" s="486" t="s">
        <v>2042</v>
      </c>
      <c r="E1208" s="283">
        <v>1180000</v>
      </c>
    </row>
    <row r="1209" spans="1:5" ht="15" customHeight="1">
      <c r="A1209" s="922" t="str">
        <f t="shared" si="52"/>
        <v>뉴심플렉스
(NSIM)</v>
      </c>
      <c r="B1209" s="893"/>
      <c r="C1209" s="892"/>
      <c r="D1209" s="487" t="s">
        <v>2043</v>
      </c>
      <c r="E1209" s="243">
        <v>1270000</v>
      </c>
    </row>
    <row r="1210" spans="1:5" ht="15" customHeight="1">
      <c r="A1210" s="922" t="str">
        <f t="shared" si="52"/>
        <v>뉴심플렉스
(NSIM)</v>
      </c>
      <c r="B1210" s="891" t="s">
        <v>4845</v>
      </c>
      <c r="C1210" s="890">
        <v>120</v>
      </c>
      <c r="D1210" s="485" t="s">
        <v>2044</v>
      </c>
      <c r="E1210" s="423">
        <v>390000</v>
      </c>
    </row>
    <row r="1211" spans="1:5" ht="15" customHeight="1">
      <c r="A1211" s="922" t="str">
        <f t="shared" si="52"/>
        <v>뉴심플렉스
(NSIM)</v>
      </c>
      <c r="B1211" s="885"/>
      <c r="C1211" s="888"/>
      <c r="D1211" s="222" t="s">
        <v>3098</v>
      </c>
      <c r="E1211" s="423">
        <v>430000</v>
      </c>
    </row>
    <row r="1212" spans="1:5" ht="15" customHeight="1">
      <c r="A1212" s="922" t="str">
        <f t="shared" si="52"/>
        <v>뉴심플렉스
(NSIM)</v>
      </c>
      <c r="B1212" s="886"/>
      <c r="C1212" s="889"/>
      <c r="D1212" s="481" t="s">
        <v>2045</v>
      </c>
      <c r="E1212" s="281">
        <v>465000</v>
      </c>
    </row>
    <row r="1213" spans="1:5" ht="15" customHeight="1">
      <c r="A1213" s="922" t="str">
        <f t="shared" si="52"/>
        <v>뉴심플렉스
(NSIM)</v>
      </c>
      <c r="B1213" s="884" t="s">
        <v>4844</v>
      </c>
      <c r="C1213" s="887">
        <v>120</v>
      </c>
      <c r="D1213" s="485" t="s">
        <v>3099</v>
      </c>
      <c r="E1213" s="423">
        <v>355000</v>
      </c>
    </row>
    <row r="1214" spans="1:5" ht="15" customHeight="1">
      <c r="A1214" s="922" t="str">
        <f t="shared" si="52"/>
        <v>뉴심플렉스
(NSIM)</v>
      </c>
      <c r="B1214" s="885"/>
      <c r="C1214" s="888"/>
      <c r="D1214" s="222" t="s">
        <v>2046</v>
      </c>
      <c r="E1214" s="423">
        <v>370000</v>
      </c>
    </row>
    <row r="1215" spans="1:5" ht="15" customHeight="1">
      <c r="A1215" s="922" t="str">
        <f t="shared" si="52"/>
        <v>뉴심플렉스
(NSIM)</v>
      </c>
      <c r="B1215" s="886"/>
      <c r="C1215" s="889"/>
      <c r="D1215" s="481" t="s">
        <v>2047</v>
      </c>
      <c r="E1215" s="281">
        <v>395000</v>
      </c>
    </row>
    <row r="1216" spans="1:5" ht="15" customHeight="1">
      <c r="A1216" s="922" t="str">
        <f t="shared" si="52"/>
        <v>뉴심플렉스
(NSIM)</v>
      </c>
      <c r="B1216" s="884" t="s">
        <v>4842</v>
      </c>
      <c r="C1216" s="887">
        <v>210</v>
      </c>
      <c r="D1216" s="485" t="s">
        <v>2048</v>
      </c>
      <c r="E1216" s="423">
        <v>750000</v>
      </c>
    </row>
    <row r="1217" spans="1:5" ht="15" customHeight="1">
      <c r="A1217" s="922"/>
      <c r="B1217" s="885"/>
      <c r="C1217" s="888"/>
      <c r="D1217" s="485" t="s">
        <v>3100</v>
      </c>
      <c r="E1217" s="423">
        <v>830000</v>
      </c>
    </row>
    <row r="1218" spans="1:5" ht="15" customHeight="1">
      <c r="A1218" s="922" t="e">
        <f>#REF!</f>
        <v>#REF!</v>
      </c>
      <c r="B1218" s="886"/>
      <c r="C1218" s="889"/>
      <c r="D1218" s="481" t="s">
        <v>3101</v>
      </c>
      <c r="E1218" s="281">
        <v>890000</v>
      </c>
    </row>
    <row r="1219" spans="1:5" ht="15" customHeight="1">
      <c r="A1219" s="922" t="e">
        <f>A1218</f>
        <v>#REF!</v>
      </c>
      <c r="B1219" s="884" t="s">
        <v>4843</v>
      </c>
      <c r="C1219" s="887">
        <v>260</v>
      </c>
      <c r="D1219" s="485" t="s">
        <v>2049</v>
      </c>
      <c r="E1219" s="423">
        <v>845000</v>
      </c>
    </row>
    <row r="1220" spans="1:5" ht="15" customHeight="1">
      <c r="A1220" s="922" t="e">
        <f>#REF!</f>
        <v>#REF!</v>
      </c>
      <c r="B1220" s="886"/>
      <c r="C1220" s="889"/>
      <c r="D1220" s="481" t="s">
        <v>2050</v>
      </c>
      <c r="E1220" s="281">
        <v>1000000</v>
      </c>
    </row>
    <row r="1221" spans="1:5" ht="15" customHeight="1">
      <c r="A1221" s="922"/>
      <c r="B1221" s="884" t="s">
        <v>4842</v>
      </c>
      <c r="C1221" s="887">
        <v>350</v>
      </c>
      <c r="D1221" s="485" t="s">
        <v>2051</v>
      </c>
      <c r="E1221" s="423">
        <v>1250000</v>
      </c>
    </row>
    <row r="1222" spans="1:5" ht="15" customHeight="1">
      <c r="A1222" s="922"/>
      <c r="B1222" s="885"/>
      <c r="C1222" s="888"/>
      <c r="D1222" s="485" t="s">
        <v>2052</v>
      </c>
      <c r="E1222" s="423">
        <v>1385000</v>
      </c>
    </row>
    <row r="1223" spans="1:5" ht="15" customHeight="1">
      <c r="A1223" s="922"/>
      <c r="B1223" s="893"/>
      <c r="C1223" s="892"/>
      <c r="D1223" s="487" t="s">
        <v>2053</v>
      </c>
      <c r="E1223" s="243">
        <v>1485000</v>
      </c>
    </row>
    <row r="1224" spans="1:5" ht="15" customHeight="1">
      <c r="A1224" s="922"/>
      <c r="B1224" s="891" t="s">
        <v>4841</v>
      </c>
      <c r="C1224" s="890">
        <v>130</v>
      </c>
      <c r="D1224" s="485" t="s">
        <v>2054</v>
      </c>
      <c r="E1224" s="423">
        <v>490000</v>
      </c>
    </row>
    <row r="1225" spans="1:5" ht="15" customHeight="1">
      <c r="A1225" s="922"/>
      <c r="B1225" s="885"/>
      <c r="C1225" s="888"/>
      <c r="D1225" s="485" t="s">
        <v>2055</v>
      </c>
      <c r="E1225" s="423">
        <v>535000</v>
      </c>
    </row>
    <row r="1226" spans="1:5" ht="15" customHeight="1">
      <c r="A1226" s="922"/>
      <c r="B1226" s="893"/>
      <c r="C1226" s="892"/>
      <c r="D1226" s="487" t="s">
        <v>2056</v>
      </c>
      <c r="E1226" s="243">
        <v>575000</v>
      </c>
    </row>
    <row r="1227" spans="1:5" ht="15" customHeight="1">
      <c r="A1227" s="922"/>
      <c r="B1227" s="891" t="s">
        <v>4840</v>
      </c>
      <c r="C1227" s="890">
        <v>120</v>
      </c>
      <c r="D1227" s="485" t="s">
        <v>2057</v>
      </c>
      <c r="E1227" s="423">
        <v>415000</v>
      </c>
    </row>
    <row r="1228" spans="1:5" ht="15" customHeight="1">
      <c r="A1228" s="922"/>
      <c r="B1228" s="886"/>
      <c r="C1228" s="889"/>
      <c r="D1228" s="481" t="s">
        <v>3102</v>
      </c>
      <c r="E1228" s="281">
        <v>465000</v>
      </c>
    </row>
    <row r="1229" spans="1:5" ht="15" customHeight="1">
      <c r="A1229" s="922"/>
      <c r="B1229" s="884" t="s">
        <v>4839</v>
      </c>
      <c r="C1229" s="887">
        <v>120</v>
      </c>
      <c r="D1229" s="485" t="s">
        <v>2058</v>
      </c>
      <c r="E1229" s="423">
        <v>390000</v>
      </c>
    </row>
    <row r="1230" spans="1:5" ht="15" customHeight="1">
      <c r="A1230" s="922"/>
      <c r="B1230" s="885"/>
      <c r="C1230" s="888"/>
      <c r="D1230" s="485" t="s">
        <v>2059</v>
      </c>
      <c r="E1230" s="423">
        <v>430000</v>
      </c>
    </row>
    <row r="1231" spans="1:5" ht="15" customHeight="1">
      <c r="A1231" s="922"/>
      <c r="B1231" s="886"/>
      <c r="C1231" s="889"/>
      <c r="D1231" s="481" t="s">
        <v>3103</v>
      </c>
      <c r="E1231" s="281">
        <v>465000</v>
      </c>
    </row>
    <row r="1232" spans="1:5" ht="15" customHeight="1">
      <c r="A1232" s="922"/>
      <c r="B1232" s="884" t="s">
        <v>4838</v>
      </c>
      <c r="C1232" s="887">
        <v>120</v>
      </c>
      <c r="D1232" s="485" t="s">
        <v>3104</v>
      </c>
      <c r="E1232" s="423">
        <v>355000</v>
      </c>
    </row>
    <row r="1233" spans="1:5" ht="15" customHeight="1">
      <c r="A1233" s="922"/>
      <c r="B1233" s="885"/>
      <c r="C1233" s="888"/>
      <c r="D1233" s="222" t="s">
        <v>2060</v>
      </c>
      <c r="E1233" s="423">
        <v>370000</v>
      </c>
    </row>
    <row r="1234" spans="1:5" ht="15" customHeight="1">
      <c r="A1234" s="922"/>
      <c r="B1234" s="886"/>
      <c r="C1234" s="889"/>
      <c r="D1234" s="481" t="s">
        <v>2061</v>
      </c>
      <c r="E1234" s="281">
        <v>395000</v>
      </c>
    </row>
    <row r="1235" spans="1:5" ht="15" customHeight="1">
      <c r="A1235" s="922" t="e">
        <f>A1220</f>
        <v>#REF!</v>
      </c>
      <c r="B1235" s="488" t="s">
        <v>2030</v>
      </c>
      <c r="C1235" s="887">
        <v>120</v>
      </c>
      <c r="D1235" s="489" t="s">
        <v>2062</v>
      </c>
      <c r="E1235" s="283">
        <v>390000</v>
      </c>
    </row>
    <row r="1236" spans="1:5" ht="15" customHeight="1">
      <c r="A1236" s="922" t="e">
        <f>A1235</f>
        <v>#REF!</v>
      </c>
      <c r="B1236" s="480" t="s">
        <v>2063</v>
      </c>
      <c r="C1236" s="889"/>
      <c r="D1236" s="481" t="s">
        <v>2064</v>
      </c>
      <c r="E1236" s="281">
        <v>465000</v>
      </c>
    </row>
    <row r="1237" spans="1:5" ht="15" customHeight="1">
      <c r="A1237" s="922" t="e">
        <f>A1236</f>
        <v>#REF!</v>
      </c>
      <c r="B1237" s="483" t="s">
        <v>2033</v>
      </c>
      <c r="C1237" s="887">
        <v>120</v>
      </c>
      <c r="D1237" s="485" t="s">
        <v>2065</v>
      </c>
      <c r="E1237" s="423">
        <v>370000</v>
      </c>
    </row>
    <row r="1238" spans="1:5" ht="15" customHeight="1">
      <c r="A1238" s="923" t="e">
        <f>#REF!</f>
        <v>#REF!</v>
      </c>
      <c r="B1238" s="170" t="s">
        <v>2063</v>
      </c>
      <c r="C1238" s="894"/>
      <c r="D1238" s="237" t="s">
        <v>2066</v>
      </c>
      <c r="E1238" s="243">
        <v>395000</v>
      </c>
    </row>
    <row r="1239" spans="1:5" ht="15" customHeight="1">
      <c r="A1239" s="923" t="s">
        <v>4039</v>
      </c>
      <c r="B1239" s="850" t="s">
        <v>2019</v>
      </c>
      <c r="C1239" s="415">
        <v>100</v>
      </c>
      <c r="D1239" s="150" t="s">
        <v>4040</v>
      </c>
      <c r="E1239" s="423">
        <v>189000</v>
      </c>
    </row>
    <row r="1240" spans="1:5" ht="15" customHeight="1">
      <c r="A1240" s="923" t="str">
        <f t="shared" ref="A1240:A1246" si="53">A1239</f>
        <v>썬샤인
(SUN)</v>
      </c>
      <c r="B1240" s="846"/>
      <c r="C1240" s="415">
        <v>115</v>
      </c>
      <c r="D1240" s="150"/>
      <c r="E1240" s="423">
        <v>216000</v>
      </c>
    </row>
    <row r="1241" spans="1:5" ht="15" customHeight="1">
      <c r="A1241" s="923" t="str">
        <f t="shared" si="53"/>
        <v>썬샤인
(SUN)</v>
      </c>
      <c r="B1241" s="846"/>
      <c r="C1241" s="415">
        <v>160</v>
      </c>
      <c r="D1241" s="150"/>
      <c r="E1241" s="423">
        <v>302000</v>
      </c>
    </row>
    <row r="1242" spans="1:5" ht="15" customHeight="1">
      <c r="A1242" s="923" t="str">
        <f t="shared" si="53"/>
        <v>썬샤인
(SUN)</v>
      </c>
      <c r="B1242" s="846"/>
      <c r="C1242" s="415">
        <v>190</v>
      </c>
      <c r="D1242" s="150"/>
      <c r="E1242" s="423">
        <v>359000</v>
      </c>
    </row>
    <row r="1243" spans="1:5" ht="15" customHeight="1">
      <c r="A1243" s="923" t="str">
        <f t="shared" si="53"/>
        <v>썬샤인
(SUN)</v>
      </c>
      <c r="B1243" s="846"/>
      <c r="C1243" s="415">
        <v>230</v>
      </c>
      <c r="D1243" s="150"/>
      <c r="E1243" s="423">
        <v>435000</v>
      </c>
    </row>
    <row r="1244" spans="1:5" ht="15" customHeight="1">
      <c r="A1244" s="923" t="str">
        <f t="shared" si="53"/>
        <v>썬샤인
(SUN)</v>
      </c>
      <c r="B1244" s="846"/>
      <c r="C1244" s="415">
        <v>270</v>
      </c>
      <c r="D1244" s="150"/>
      <c r="E1244" s="423">
        <v>510000</v>
      </c>
    </row>
    <row r="1245" spans="1:5" ht="15" customHeight="1">
      <c r="A1245" s="923" t="str">
        <f t="shared" si="53"/>
        <v>썬샤인
(SUN)</v>
      </c>
      <c r="B1245" s="846"/>
      <c r="C1245" s="415">
        <v>300</v>
      </c>
      <c r="D1245" s="150"/>
      <c r="E1245" s="423">
        <v>565000</v>
      </c>
    </row>
    <row r="1246" spans="1:5" ht="15" customHeight="1">
      <c r="A1246" s="923" t="str">
        <f t="shared" si="53"/>
        <v>썬샤인
(SUN)</v>
      </c>
      <c r="B1246" s="847"/>
      <c r="C1246" s="171">
        <v>340</v>
      </c>
      <c r="D1246" s="237"/>
      <c r="E1246" s="238">
        <v>640000</v>
      </c>
    </row>
    <row r="1247" spans="1:5" ht="15" customHeight="1">
      <c r="A1247" s="922" t="s">
        <v>4041</v>
      </c>
      <c r="B1247" s="177" t="s">
        <v>1972</v>
      </c>
      <c r="C1247" s="419">
        <v>250</v>
      </c>
      <c r="D1247" s="168" t="s">
        <v>4042</v>
      </c>
      <c r="E1247" s="423">
        <v>320000</v>
      </c>
    </row>
    <row r="1248" spans="1:5" ht="15" customHeight="1">
      <c r="A1248" s="930" t="e">
        <f>#REF!</f>
        <v>#REF!</v>
      </c>
      <c r="B1248" s="178" t="s">
        <v>1895</v>
      </c>
      <c r="C1248" s="162">
        <v>170</v>
      </c>
      <c r="D1248" s="179"/>
      <c r="E1248" s="243">
        <v>150000</v>
      </c>
    </row>
    <row r="1249" spans="1:5" ht="15" customHeight="1">
      <c r="A1249" s="938" t="s">
        <v>4043</v>
      </c>
      <c r="B1249" s="845" t="s">
        <v>1756</v>
      </c>
      <c r="C1249" s="165">
        <v>115</v>
      </c>
      <c r="D1249" s="232" t="s">
        <v>4044</v>
      </c>
      <c r="E1249" s="423">
        <v>360000</v>
      </c>
    </row>
    <row r="1250" spans="1:5" ht="15" customHeight="1">
      <c r="A1250" s="938" t="str">
        <f>A1249</f>
        <v>씨리오(SI)</v>
      </c>
      <c r="B1250" s="847"/>
      <c r="C1250" s="171">
        <v>210</v>
      </c>
      <c r="D1250" s="237" t="s">
        <v>4044</v>
      </c>
      <c r="E1250" s="238">
        <v>660000</v>
      </c>
    </row>
    <row r="1251" spans="1:5" ht="15" customHeight="1">
      <c r="A1251" s="927" t="s">
        <v>3105</v>
      </c>
      <c r="B1251" s="850" t="s">
        <v>1972</v>
      </c>
      <c r="C1251" s="490">
        <v>125</v>
      </c>
      <c r="D1251" s="491" t="s">
        <v>2067</v>
      </c>
      <c r="E1251" s="351">
        <v>490000</v>
      </c>
    </row>
    <row r="1252" spans="1:5" ht="15" customHeight="1">
      <c r="A1252" s="922" t="str">
        <f t="shared" ref="A1252:A1261" si="54">A1251</f>
        <v>씨리오펄
(SIP2)</v>
      </c>
      <c r="B1252" s="846"/>
      <c r="C1252" s="492">
        <v>230</v>
      </c>
      <c r="D1252" s="493" t="s">
        <v>2068</v>
      </c>
      <c r="E1252" s="241">
        <v>900000</v>
      </c>
    </row>
    <row r="1253" spans="1:5" ht="15" customHeight="1">
      <c r="A1253" s="922" t="str">
        <f t="shared" si="54"/>
        <v>씨리오펄
(SIP2)</v>
      </c>
      <c r="B1253" s="846"/>
      <c r="C1253" s="494" t="s">
        <v>1755</v>
      </c>
      <c r="D1253" s="495" t="s">
        <v>2069</v>
      </c>
      <c r="E1253" s="289">
        <v>1085000</v>
      </c>
    </row>
    <row r="1254" spans="1:5" ht="15" customHeight="1">
      <c r="A1254" s="922" t="str">
        <f t="shared" si="54"/>
        <v>씨리오펄
(SIP2)</v>
      </c>
      <c r="B1254" s="846"/>
      <c r="C1254" s="496">
        <v>300</v>
      </c>
      <c r="D1254" s="497" t="s">
        <v>1768</v>
      </c>
      <c r="E1254" s="423">
        <v>1180000</v>
      </c>
    </row>
    <row r="1255" spans="1:5" ht="15" customHeight="1">
      <c r="A1255" s="922" t="str">
        <f t="shared" si="54"/>
        <v>씨리오펄
(SIP2)</v>
      </c>
      <c r="B1255" s="897"/>
      <c r="C1255" s="492">
        <v>350</v>
      </c>
      <c r="D1255" s="493" t="s">
        <v>2027</v>
      </c>
      <c r="E1255" s="241">
        <v>1380000</v>
      </c>
    </row>
    <row r="1256" spans="1:5" ht="15" customHeight="1">
      <c r="A1256" s="922" t="str">
        <f t="shared" si="54"/>
        <v>씨리오펄
(SIP2)</v>
      </c>
      <c r="B1256" s="856" t="s">
        <v>1814</v>
      </c>
      <c r="C1256" s="498">
        <v>125</v>
      </c>
      <c r="D1256" s="499" t="s">
        <v>4045</v>
      </c>
      <c r="E1256" s="283">
        <v>525000</v>
      </c>
    </row>
    <row r="1257" spans="1:5" ht="15" customHeight="1">
      <c r="A1257" s="922" t="str">
        <f t="shared" si="54"/>
        <v>씨리오펄
(SIP2)</v>
      </c>
      <c r="B1257" s="846"/>
      <c r="C1257" s="494" t="s">
        <v>1755</v>
      </c>
      <c r="D1257" s="495" t="s">
        <v>4046</v>
      </c>
      <c r="E1257" s="289">
        <v>590000</v>
      </c>
    </row>
    <row r="1258" spans="1:5" ht="15" customHeight="1">
      <c r="A1258" s="922" t="str">
        <f t="shared" si="54"/>
        <v>씨리오펄
(SIP2)</v>
      </c>
      <c r="B1258" s="846"/>
      <c r="C1258" s="500">
        <v>230</v>
      </c>
      <c r="D1258" s="501" t="s">
        <v>4047</v>
      </c>
      <c r="E1258" s="244">
        <v>915000</v>
      </c>
    </row>
    <row r="1259" spans="1:5" ht="15" customHeight="1">
      <c r="A1259" s="922" t="str">
        <f t="shared" si="54"/>
        <v>씨리오펄
(SIP2)</v>
      </c>
      <c r="B1259" s="846"/>
      <c r="C1259" s="500">
        <v>300</v>
      </c>
      <c r="D1259" s="501" t="s">
        <v>3788</v>
      </c>
      <c r="E1259" s="244">
        <v>1415000</v>
      </c>
    </row>
    <row r="1260" spans="1:5" ht="15" customHeight="1">
      <c r="A1260" s="922" t="str">
        <f t="shared" si="54"/>
        <v>씨리오펄
(SIP2)</v>
      </c>
      <c r="B1260" s="897"/>
      <c r="C1260" s="496">
        <v>350</v>
      </c>
      <c r="D1260" s="497" t="s">
        <v>1912</v>
      </c>
      <c r="E1260" s="423">
        <v>1650000</v>
      </c>
    </row>
    <row r="1261" spans="1:5" ht="15" customHeight="1">
      <c r="A1261" s="922" t="str">
        <f t="shared" si="54"/>
        <v>씨리오펄
(SIP2)</v>
      </c>
      <c r="B1261" s="856" t="s">
        <v>1889</v>
      </c>
      <c r="C1261" s="498">
        <v>125</v>
      </c>
      <c r="D1261" s="499" t="s">
        <v>1766</v>
      </c>
      <c r="E1261" s="283">
        <v>420000</v>
      </c>
    </row>
    <row r="1262" spans="1:5" ht="15" customHeight="1">
      <c r="A1262" s="922"/>
      <c r="B1262" s="846"/>
      <c r="C1262" s="496" t="s">
        <v>1755</v>
      </c>
      <c r="D1262" s="497" t="s">
        <v>3106</v>
      </c>
      <c r="E1262" s="423">
        <v>465000</v>
      </c>
    </row>
    <row r="1263" spans="1:5" ht="15" customHeight="1">
      <c r="A1263" s="922"/>
      <c r="B1263" s="846"/>
      <c r="C1263" s="496" t="s">
        <v>1755</v>
      </c>
      <c r="D1263" s="497" t="s">
        <v>3794</v>
      </c>
      <c r="E1263" s="423">
        <v>405000</v>
      </c>
    </row>
    <row r="1264" spans="1:5" ht="15" customHeight="1">
      <c r="A1264" s="922" t="str">
        <f>A1261</f>
        <v>씨리오펄
(SIP2)</v>
      </c>
      <c r="B1264" s="846"/>
      <c r="C1264" s="496" t="s">
        <v>1755</v>
      </c>
      <c r="D1264" s="497" t="s">
        <v>4048</v>
      </c>
      <c r="E1264" s="423">
        <v>460000</v>
      </c>
    </row>
    <row r="1265" spans="1:5" ht="15" customHeight="1">
      <c r="A1265" s="922" t="str">
        <f>A1264</f>
        <v>씨리오펄
(SIP2)</v>
      </c>
      <c r="B1265" s="846"/>
      <c r="C1265" s="496" t="s">
        <v>1755</v>
      </c>
      <c r="D1265" s="497" t="s">
        <v>3107</v>
      </c>
      <c r="E1265" s="423">
        <v>530000</v>
      </c>
    </row>
    <row r="1266" spans="1:5" ht="15" customHeight="1">
      <c r="A1266" s="922" t="str">
        <f>A1265</f>
        <v>씨리오펄
(SIP2)</v>
      </c>
      <c r="B1266" s="846"/>
      <c r="C1266" s="492">
        <v>230</v>
      </c>
      <c r="D1266" s="493" t="s">
        <v>4049</v>
      </c>
      <c r="E1266" s="241">
        <v>780000</v>
      </c>
    </row>
    <row r="1267" spans="1:5" ht="15" customHeight="1">
      <c r="A1267" s="922"/>
      <c r="B1267" s="846"/>
      <c r="C1267" s="496"/>
      <c r="D1267" s="497" t="s">
        <v>3801</v>
      </c>
      <c r="E1267" s="423">
        <v>880000</v>
      </c>
    </row>
    <row r="1268" spans="1:5" ht="15" customHeight="1">
      <c r="A1268" s="922" t="str">
        <f>A1266</f>
        <v>씨리오펄
(SIP2)</v>
      </c>
      <c r="B1268" s="846"/>
      <c r="C1268" s="494" t="s">
        <v>1755</v>
      </c>
      <c r="D1268" s="495" t="s">
        <v>3108</v>
      </c>
      <c r="E1268" s="289">
        <v>970000</v>
      </c>
    </row>
    <row r="1269" spans="1:5" ht="15" customHeight="1">
      <c r="A1269" s="922" t="str">
        <f>A1268</f>
        <v>씨리오펄
(SIP2)</v>
      </c>
      <c r="B1269" s="846"/>
      <c r="C1269" s="496">
        <v>300</v>
      </c>
      <c r="D1269" s="497" t="s">
        <v>2070</v>
      </c>
      <c r="E1269" s="423">
        <v>1000000</v>
      </c>
    </row>
    <row r="1270" spans="1:5" ht="15" customHeight="1">
      <c r="A1270" s="930" t="str">
        <f>A1269</f>
        <v>씨리오펄
(SIP2)</v>
      </c>
      <c r="B1270" s="849"/>
      <c r="C1270" s="502" t="s">
        <v>1755</v>
      </c>
      <c r="D1270" s="503" t="s">
        <v>4050</v>
      </c>
      <c r="E1270" s="243">
        <v>1015000</v>
      </c>
    </row>
    <row r="1271" spans="1:5" ht="15" customHeight="1">
      <c r="A1271" s="939" t="s">
        <v>3109</v>
      </c>
      <c r="B1271" s="845" t="s">
        <v>1930</v>
      </c>
      <c r="C1271" s="415">
        <v>115</v>
      </c>
      <c r="D1271" s="150" t="s">
        <v>2071</v>
      </c>
      <c r="E1271" s="423">
        <v>260000</v>
      </c>
    </row>
    <row r="1272" spans="1:5" ht="15" customHeight="1">
      <c r="A1272" s="940" t="s">
        <v>3109</v>
      </c>
      <c r="B1272" s="846"/>
      <c r="C1272" s="415"/>
      <c r="D1272" s="150" t="s">
        <v>2072</v>
      </c>
      <c r="E1272" s="423">
        <v>297000</v>
      </c>
    </row>
    <row r="1273" spans="1:5" ht="15" customHeight="1">
      <c r="A1273" s="940" t="str">
        <f t="shared" ref="A1273:A1278" si="55">A1272</f>
        <v>씨리오 러프
(SIR)</v>
      </c>
      <c r="B1273" s="846"/>
      <c r="C1273" s="415"/>
      <c r="D1273" s="150" t="s">
        <v>2073</v>
      </c>
      <c r="E1273" s="423">
        <v>310000</v>
      </c>
    </row>
    <row r="1274" spans="1:5" ht="15" customHeight="1">
      <c r="A1274" s="940" t="str">
        <f t="shared" si="55"/>
        <v>씨리오 러프
(SIR)</v>
      </c>
      <c r="B1274" s="846"/>
      <c r="C1274" s="415"/>
      <c r="D1274" s="150" t="s">
        <v>2074</v>
      </c>
      <c r="E1274" s="423">
        <v>375000</v>
      </c>
    </row>
    <row r="1275" spans="1:5" ht="15" customHeight="1">
      <c r="A1275" s="940" t="str">
        <f t="shared" si="55"/>
        <v>씨리오 러프
(SIR)</v>
      </c>
      <c r="B1275" s="846"/>
      <c r="C1275" s="89">
        <v>210</v>
      </c>
      <c r="D1275" s="153" t="s">
        <v>1893</v>
      </c>
      <c r="E1275" s="241">
        <v>475000</v>
      </c>
    </row>
    <row r="1276" spans="1:5" ht="15" customHeight="1">
      <c r="A1276" s="940" t="str">
        <f t="shared" si="55"/>
        <v>씨리오 러프
(SIR)</v>
      </c>
      <c r="B1276" s="846"/>
      <c r="C1276" s="415"/>
      <c r="D1276" s="150" t="s">
        <v>2075</v>
      </c>
      <c r="E1276" s="423">
        <v>540000</v>
      </c>
    </row>
    <row r="1277" spans="1:5" ht="15" customHeight="1">
      <c r="A1277" s="940" t="str">
        <f t="shared" si="55"/>
        <v>씨리오 러프
(SIR)</v>
      </c>
      <c r="B1277" s="846"/>
      <c r="C1277" s="415"/>
      <c r="D1277" s="150" t="s">
        <v>2076</v>
      </c>
      <c r="E1277" s="423">
        <v>570000</v>
      </c>
    </row>
    <row r="1278" spans="1:5" ht="15" customHeight="1">
      <c r="A1278" s="940" t="str">
        <f t="shared" si="55"/>
        <v>씨리오 러프
(SIR)</v>
      </c>
      <c r="B1278" s="846"/>
      <c r="C1278" s="287"/>
      <c r="D1278" s="288" t="s">
        <v>2077</v>
      </c>
      <c r="E1278" s="289">
        <v>685000</v>
      </c>
    </row>
    <row r="1279" spans="1:5" ht="15" customHeight="1">
      <c r="A1279" s="940"/>
      <c r="B1279" s="846"/>
      <c r="C1279" s="415">
        <v>350</v>
      </c>
      <c r="D1279" s="150" t="s">
        <v>2078</v>
      </c>
      <c r="E1279" s="423">
        <v>790000</v>
      </c>
    </row>
    <row r="1280" spans="1:5" ht="15" customHeight="1">
      <c r="A1280" s="940"/>
      <c r="B1280" s="846"/>
      <c r="C1280" s="415"/>
      <c r="D1280" s="150" t="s">
        <v>2079</v>
      </c>
      <c r="E1280" s="423">
        <v>900000</v>
      </c>
    </row>
    <row r="1281" spans="1:5" ht="15" customHeight="1">
      <c r="A1281" s="940"/>
      <c r="B1281" s="846"/>
      <c r="C1281" s="415"/>
      <c r="D1281" s="150" t="s">
        <v>2080</v>
      </c>
      <c r="E1281" s="423">
        <v>950000</v>
      </c>
    </row>
    <row r="1282" spans="1:5" ht="15" customHeight="1">
      <c r="A1282" s="940"/>
      <c r="B1282" s="897"/>
      <c r="C1282" s="304"/>
      <c r="D1282" s="164" t="s">
        <v>2081</v>
      </c>
      <c r="E1282" s="294">
        <v>1140000</v>
      </c>
    </row>
    <row r="1283" spans="1:5" ht="15" customHeight="1">
      <c r="A1283" s="940"/>
      <c r="B1283" s="856" t="s">
        <v>2136</v>
      </c>
      <c r="C1283" s="415">
        <v>115</v>
      </c>
      <c r="D1283" s="150" t="s">
        <v>3110</v>
      </c>
      <c r="E1283" s="423">
        <v>385000</v>
      </c>
    </row>
    <row r="1284" spans="1:5" ht="15" customHeight="1">
      <c r="A1284" s="940"/>
      <c r="B1284" s="846"/>
      <c r="C1284" s="304"/>
      <c r="D1284" s="164" t="s">
        <v>2082</v>
      </c>
      <c r="E1284" s="294">
        <v>400000</v>
      </c>
    </row>
    <row r="1285" spans="1:5" ht="15" customHeight="1">
      <c r="A1285" s="940" t="str">
        <f>A1278</f>
        <v>씨리오 러프
(SIR)</v>
      </c>
      <c r="B1285" s="846"/>
      <c r="C1285" s="415">
        <v>210</v>
      </c>
      <c r="D1285" s="150" t="s">
        <v>3111</v>
      </c>
      <c r="E1285" s="423">
        <v>700000</v>
      </c>
    </row>
    <row r="1286" spans="1:5" ht="15" customHeight="1">
      <c r="A1286" s="940" t="str">
        <f>A1285</f>
        <v>씨리오 러프
(SIR)</v>
      </c>
      <c r="B1286" s="846"/>
      <c r="C1286" s="304" t="s">
        <v>1755</v>
      </c>
      <c r="D1286" s="164" t="s">
        <v>2083</v>
      </c>
      <c r="E1286" s="294">
        <v>725000</v>
      </c>
    </row>
    <row r="1287" spans="1:5" ht="15" customHeight="1">
      <c r="A1287" s="940" t="str">
        <f>A1286</f>
        <v>씨리오 러프
(SIR)</v>
      </c>
      <c r="B1287" s="846"/>
      <c r="C1287" s="415">
        <v>350</v>
      </c>
      <c r="D1287" s="150" t="s">
        <v>3112</v>
      </c>
      <c r="E1287" s="423">
        <v>1175000</v>
      </c>
    </row>
    <row r="1288" spans="1:5" ht="15" customHeight="1">
      <c r="A1288" s="968" t="str">
        <f>A1287</f>
        <v>씨리오 러프
(SIR)</v>
      </c>
      <c r="B1288" s="849"/>
      <c r="C1288" s="415"/>
      <c r="D1288" s="150" t="s">
        <v>2084</v>
      </c>
      <c r="E1288" s="423">
        <v>1210000</v>
      </c>
    </row>
    <row r="1289" spans="1:5" ht="15" customHeight="1">
      <c r="A1289" s="927" t="s">
        <v>4051</v>
      </c>
      <c r="B1289" s="845" t="s">
        <v>1972</v>
      </c>
      <c r="C1289" s="386">
        <v>240</v>
      </c>
      <c r="D1289" s="350" t="s">
        <v>4052</v>
      </c>
      <c r="E1289" s="351">
        <v>495000</v>
      </c>
    </row>
    <row r="1290" spans="1:5" ht="15" customHeight="1">
      <c r="A1290" s="969" t="str">
        <f>A1289</f>
        <v>씨리오 화이트 화이트
(SIW) *</v>
      </c>
      <c r="B1290" s="846"/>
      <c r="C1290" s="419">
        <v>280</v>
      </c>
      <c r="D1290" s="150"/>
      <c r="E1290" s="423">
        <v>580000</v>
      </c>
    </row>
    <row r="1291" spans="1:5" ht="15" customHeight="1">
      <c r="A1291" s="969" t="str">
        <f>A1290</f>
        <v>씨리오 화이트 화이트
(SIW) *</v>
      </c>
      <c r="B1291" s="846"/>
      <c r="C1291" s="419">
        <v>350</v>
      </c>
      <c r="D1291" s="150"/>
      <c r="E1291" s="423">
        <v>725000</v>
      </c>
    </row>
    <row r="1292" spans="1:5" ht="15" customHeight="1">
      <c r="A1292" s="969" t="str">
        <f>A1291</f>
        <v>씨리오 화이트 화이트
(SIW) *</v>
      </c>
      <c r="B1292" s="851"/>
      <c r="C1292" s="311">
        <v>400</v>
      </c>
      <c r="D1292" s="288"/>
      <c r="E1292" s="289">
        <v>825000</v>
      </c>
    </row>
    <row r="1293" spans="1:5" ht="15" customHeight="1">
      <c r="A1293" s="969" t="str">
        <f>A1292</f>
        <v>씨리오 화이트 화이트
(SIW) *</v>
      </c>
      <c r="B1293" s="193" t="s">
        <v>4053</v>
      </c>
      <c r="C1293" s="162">
        <v>700</v>
      </c>
      <c r="D1293" s="155"/>
      <c r="E1293" s="243">
        <v>1210000</v>
      </c>
    </row>
    <row r="1294" spans="1:5" ht="15" customHeight="1">
      <c r="A1294" s="927" t="s">
        <v>4054</v>
      </c>
      <c r="B1294" s="895" t="s">
        <v>4837</v>
      </c>
      <c r="C1294" s="419" t="s">
        <v>4055</v>
      </c>
      <c r="D1294" s="257" t="s">
        <v>4052</v>
      </c>
      <c r="E1294" s="424">
        <v>745000</v>
      </c>
    </row>
    <row r="1295" spans="1:5" ht="15" customHeight="1">
      <c r="A1295" s="922" t="str">
        <f t="shared" ref="A1295:A1302" si="56">A1294</f>
        <v>씨리오 블랙
(SIB)</v>
      </c>
      <c r="B1295" s="870"/>
      <c r="C1295" s="419" t="s">
        <v>4056</v>
      </c>
      <c r="D1295" s="257"/>
      <c r="E1295" s="424">
        <v>890000</v>
      </c>
    </row>
    <row r="1296" spans="1:5" ht="15" customHeight="1">
      <c r="A1296" s="922" t="str">
        <f t="shared" si="56"/>
        <v>씨리오 블랙
(SIB)</v>
      </c>
      <c r="B1296" s="896"/>
      <c r="C1296" s="419" t="s">
        <v>4057</v>
      </c>
      <c r="D1296" s="257"/>
      <c r="E1296" s="424">
        <v>1025000</v>
      </c>
    </row>
    <row r="1297" spans="1:5" ht="15" customHeight="1">
      <c r="A1297" s="922" t="str">
        <f t="shared" si="56"/>
        <v>씨리오 블랙
(SIB)</v>
      </c>
      <c r="B1297" s="872" t="s">
        <v>4836</v>
      </c>
      <c r="C1297" s="389">
        <v>115</v>
      </c>
      <c r="D1297" s="486" t="s">
        <v>4052</v>
      </c>
      <c r="E1297" s="504">
        <v>615000</v>
      </c>
    </row>
    <row r="1298" spans="1:5" ht="15" customHeight="1">
      <c r="A1298" s="922" t="str">
        <f t="shared" si="56"/>
        <v>씨리오 블랙
(SIB)</v>
      </c>
      <c r="B1298" s="870"/>
      <c r="C1298" s="419">
        <v>115</v>
      </c>
      <c r="D1298" s="505" t="s">
        <v>4657</v>
      </c>
      <c r="E1298" s="506">
        <v>685000</v>
      </c>
    </row>
    <row r="1299" spans="1:5" ht="15" customHeight="1">
      <c r="A1299" s="922" t="str">
        <f t="shared" si="56"/>
        <v>씨리오 블랙
(SIB)</v>
      </c>
      <c r="B1299" s="870"/>
      <c r="C1299" s="419">
        <v>185</v>
      </c>
      <c r="D1299" s="505" t="s">
        <v>4052</v>
      </c>
      <c r="E1299" s="506">
        <v>995000</v>
      </c>
    </row>
    <row r="1300" spans="1:5" ht="15" customHeight="1">
      <c r="A1300" s="922" t="str">
        <f t="shared" si="56"/>
        <v>씨리오 블랙
(SIB)</v>
      </c>
      <c r="B1300" s="870"/>
      <c r="C1300" s="419">
        <v>280</v>
      </c>
      <c r="D1300" s="505"/>
      <c r="E1300" s="506">
        <v>1500000</v>
      </c>
    </row>
    <row r="1301" spans="1:5" ht="15" customHeight="1">
      <c r="A1301" s="922" t="str">
        <f t="shared" si="56"/>
        <v>씨리오 블랙
(SIB)</v>
      </c>
      <c r="B1301" s="870"/>
      <c r="C1301" s="419">
        <v>370</v>
      </c>
      <c r="D1301" s="505"/>
      <c r="E1301" s="506">
        <v>1990000</v>
      </c>
    </row>
    <row r="1302" spans="1:5" ht="15" customHeight="1">
      <c r="A1302" s="930" t="str">
        <f t="shared" si="56"/>
        <v>씨리오 블랙
(SIB)</v>
      </c>
      <c r="B1302" s="883"/>
      <c r="C1302" s="162">
        <v>460</v>
      </c>
      <c r="D1302" s="507"/>
      <c r="E1302" s="508">
        <v>2470000</v>
      </c>
    </row>
    <row r="1303" spans="1:5" ht="27.9" customHeight="1">
      <c r="A1303" s="927" t="s">
        <v>4058</v>
      </c>
      <c r="B1303" s="845" t="s">
        <v>4059</v>
      </c>
      <c r="C1303" s="419">
        <v>120</v>
      </c>
      <c r="D1303" s="181" t="s">
        <v>4060</v>
      </c>
      <c r="E1303" s="509">
        <v>260000</v>
      </c>
    </row>
    <row r="1304" spans="1:5" s="95" customFormat="1" ht="15" customHeight="1">
      <c r="A1304" s="922" t="str">
        <f t="shared" ref="A1304:A1311" si="57">A1303</f>
        <v>스파르토
(SPRT)</v>
      </c>
      <c r="B1304" s="846"/>
      <c r="C1304" s="419">
        <v>120</v>
      </c>
      <c r="D1304" s="181" t="s">
        <v>4061</v>
      </c>
      <c r="E1304" s="509">
        <v>335000</v>
      </c>
    </row>
    <row r="1305" spans="1:5" s="95" customFormat="1" ht="15" customHeight="1">
      <c r="A1305" s="922" t="str">
        <f t="shared" si="57"/>
        <v>스파르토
(SPRT)</v>
      </c>
      <c r="B1305" s="846"/>
      <c r="C1305" s="419">
        <v>120</v>
      </c>
      <c r="D1305" s="181" t="s">
        <v>4062</v>
      </c>
      <c r="E1305" s="509">
        <v>430000</v>
      </c>
    </row>
    <row r="1306" spans="1:5" s="95" customFormat="1" ht="15" customHeight="1">
      <c r="A1306" s="922" t="str">
        <f>A1305</f>
        <v>스파르토
(SPRT)</v>
      </c>
      <c r="B1306" s="846"/>
      <c r="C1306" s="270">
        <v>250</v>
      </c>
      <c r="D1306" s="182" t="s">
        <v>4063</v>
      </c>
      <c r="E1306" s="510">
        <v>550000</v>
      </c>
    </row>
    <row r="1307" spans="1:5" s="95" customFormat="1" ht="15" customHeight="1">
      <c r="A1307" s="922" t="str">
        <f t="shared" si="57"/>
        <v>스파르토
(SPRT)</v>
      </c>
      <c r="B1307" s="846"/>
      <c r="C1307" s="419">
        <v>250</v>
      </c>
      <c r="D1307" s="181" t="s">
        <v>4061</v>
      </c>
      <c r="E1307" s="509">
        <v>700000</v>
      </c>
    </row>
    <row r="1308" spans="1:5" s="95" customFormat="1" ht="15" customHeight="1">
      <c r="A1308" s="922" t="str">
        <f t="shared" si="57"/>
        <v>스파르토
(SPRT)</v>
      </c>
      <c r="B1308" s="846"/>
      <c r="C1308" s="311">
        <v>250</v>
      </c>
      <c r="D1308" s="183" t="s">
        <v>4062</v>
      </c>
      <c r="E1308" s="511">
        <v>895000</v>
      </c>
    </row>
    <row r="1309" spans="1:5" s="95" customFormat="1" ht="15" customHeight="1">
      <c r="A1309" s="922" t="str">
        <f t="shared" si="57"/>
        <v>스파르토
(SPRT)</v>
      </c>
      <c r="B1309" s="846"/>
      <c r="C1309" s="419">
        <v>350</v>
      </c>
      <c r="D1309" s="181" t="s">
        <v>4064</v>
      </c>
      <c r="E1309" s="509">
        <v>765000</v>
      </c>
    </row>
    <row r="1310" spans="1:5" s="95" customFormat="1" ht="15" customHeight="1">
      <c r="A1310" s="922" t="str">
        <f t="shared" si="57"/>
        <v>스파르토
(SPRT)</v>
      </c>
      <c r="B1310" s="846"/>
      <c r="C1310" s="419">
        <v>350</v>
      </c>
      <c r="D1310" s="181" t="s">
        <v>4061</v>
      </c>
      <c r="E1310" s="509">
        <v>985000</v>
      </c>
    </row>
    <row r="1311" spans="1:5" s="95" customFormat="1" ht="15" customHeight="1">
      <c r="A1311" s="930" t="str">
        <f t="shared" si="57"/>
        <v>스파르토
(SPRT)</v>
      </c>
      <c r="B1311" s="849"/>
      <c r="C1311" s="162">
        <v>350</v>
      </c>
      <c r="D1311" s="181" t="s">
        <v>4062</v>
      </c>
      <c r="E1311" s="512">
        <v>1250000</v>
      </c>
    </row>
    <row r="1312" spans="1:5" s="95" customFormat="1" ht="15" customHeight="1">
      <c r="A1312" s="927" t="s">
        <v>4065</v>
      </c>
      <c r="B1312" s="845" t="s">
        <v>1814</v>
      </c>
      <c r="C1312" s="514">
        <v>85</v>
      </c>
      <c r="D1312" s="515" t="s">
        <v>1829</v>
      </c>
      <c r="E1312" s="516">
        <v>85000</v>
      </c>
    </row>
    <row r="1313" spans="1:5" s="95" customFormat="1" ht="15" customHeight="1">
      <c r="A1313" s="922" t="s">
        <v>4066</v>
      </c>
      <c r="B1313" s="897"/>
      <c r="C1313" s="419">
        <v>115</v>
      </c>
      <c r="D1313" s="517" t="s">
        <v>1831</v>
      </c>
      <c r="E1313" s="506">
        <v>115000</v>
      </c>
    </row>
    <row r="1314" spans="1:5" s="95" customFormat="1" ht="15" customHeight="1">
      <c r="A1314" s="922" t="str">
        <f>A1313</f>
        <v>(CEK)</v>
      </c>
      <c r="B1314" s="856" t="s">
        <v>1839</v>
      </c>
      <c r="C1314" s="389">
        <v>85</v>
      </c>
      <c r="D1314" s="518" t="s">
        <v>1830</v>
      </c>
      <c r="E1314" s="519">
        <v>107000</v>
      </c>
    </row>
    <row r="1315" spans="1:5" s="95" customFormat="1" ht="15" customHeight="1">
      <c r="A1315" s="922" t="str">
        <f>A1314</f>
        <v>(CEK)</v>
      </c>
      <c r="B1315" s="897"/>
      <c r="C1315" s="520">
        <v>115</v>
      </c>
      <c r="D1315" s="521" t="s">
        <v>1832</v>
      </c>
      <c r="E1315" s="522">
        <v>145000</v>
      </c>
    </row>
    <row r="1316" spans="1:5" s="95" customFormat="1" ht="15" customHeight="1">
      <c r="A1316" s="922"/>
      <c r="B1316" s="307" t="s">
        <v>4658</v>
      </c>
      <c r="C1316" s="523">
        <v>115</v>
      </c>
      <c r="D1316" s="524" t="s">
        <v>4659</v>
      </c>
      <c r="E1316" s="525">
        <v>57000</v>
      </c>
    </row>
    <row r="1317" spans="1:5" s="95" customFormat="1" ht="15" customHeight="1">
      <c r="A1317" s="922" t="str">
        <f>A1315</f>
        <v>(CEK)</v>
      </c>
      <c r="B1317" s="856" t="s">
        <v>4067</v>
      </c>
      <c r="C1317" s="419">
        <v>85</v>
      </c>
      <c r="D1317" s="517" t="s">
        <v>2085</v>
      </c>
      <c r="E1317" s="506"/>
    </row>
    <row r="1318" spans="1:5" s="95" customFormat="1" ht="15" customHeight="1">
      <c r="A1318" s="930" t="str">
        <f>A1317</f>
        <v>(CEK)</v>
      </c>
      <c r="B1318" s="849"/>
      <c r="C1318" s="162">
        <v>115</v>
      </c>
      <c r="D1318" s="526" t="s">
        <v>2005</v>
      </c>
      <c r="E1318" s="508"/>
    </row>
    <row r="1319" spans="1:5" s="95" customFormat="1" ht="15" customHeight="1">
      <c r="A1319" s="922" t="s">
        <v>2086</v>
      </c>
      <c r="B1319" s="845" t="s">
        <v>2087</v>
      </c>
      <c r="C1319" s="415">
        <v>120</v>
      </c>
      <c r="D1319" s="505" t="s">
        <v>3113</v>
      </c>
      <c r="E1319" s="506">
        <v>1285000</v>
      </c>
    </row>
    <row r="1320" spans="1:5" s="95" customFormat="1" ht="15" customHeight="1">
      <c r="A1320" s="969" t="str">
        <f>A1319</f>
        <v>아르쉐 익스프레션
(ARE)</v>
      </c>
      <c r="B1320" s="846"/>
      <c r="C1320" s="415">
        <v>160</v>
      </c>
      <c r="D1320" s="505" t="s">
        <v>3114</v>
      </c>
      <c r="E1320" s="506">
        <v>1600000</v>
      </c>
    </row>
    <row r="1321" spans="1:5" s="95" customFormat="1" ht="15" customHeight="1">
      <c r="A1321" s="969" t="str">
        <f>A1320</f>
        <v>아르쉐 익스프레션
(ARE)</v>
      </c>
      <c r="B1321" s="846"/>
      <c r="C1321" s="415">
        <v>250</v>
      </c>
      <c r="D1321" s="505" t="s">
        <v>3115</v>
      </c>
      <c r="E1321" s="506">
        <v>2460000</v>
      </c>
    </row>
    <row r="1322" spans="1:5" s="95" customFormat="1" ht="15" customHeight="1">
      <c r="A1322" s="938" t="str">
        <f>A1321</f>
        <v>아르쉐 익스프레션
(ARE)</v>
      </c>
      <c r="B1322" s="847"/>
      <c r="C1322" s="171">
        <v>400</v>
      </c>
      <c r="D1322" s="527" t="s">
        <v>3116</v>
      </c>
      <c r="E1322" s="528">
        <v>3950000</v>
      </c>
    </row>
    <row r="1323" spans="1:5" s="95" customFormat="1" ht="15" customHeight="1">
      <c r="A1323" s="969" t="s">
        <v>2088</v>
      </c>
      <c r="B1323" s="850" t="s">
        <v>2087</v>
      </c>
      <c r="C1323" s="415">
        <v>120</v>
      </c>
      <c r="D1323" s="150" t="s">
        <v>3083</v>
      </c>
      <c r="E1323" s="423">
        <v>1285000</v>
      </c>
    </row>
    <row r="1324" spans="1:5" s="95" customFormat="1" ht="15" customHeight="1">
      <c r="A1324" s="922" t="str">
        <f>A1323</f>
        <v>아르쉐벨루어
(AREV)</v>
      </c>
      <c r="B1324" s="846"/>
      <c r="C1324" s="415">
        <v>250</v>
      </c>
      <c r="D1324" s="150" t="s">
        <v>3117</v>
      </c>
      <c r="E1324" s="423">
        <v>2460000</v>
      </c>
    </row>
    <row r="1325" spans="1:5" s="95" customFormat="1" ht="15" customHeight="1">
      <c r="A1325" s="922" t="str">
        <f>A1324</f>
        <v>아르쉐벨루어
(AREV)</v>
      </c>
      <c r="B1325" s="897"/>
      <c r="C1325" s="415">
        <v>400</v>
      </c>
      <c r="D1325" s="150" t="s">
        <v>2090</v>
      </c>
      <c r="E1325" s="423">
        <v>3950000</v>
      </c>
    </row>
    <row r="1326" spans="1:5" s="95" customFormat="1" ht="15" customHeight="1">
      <c r="A1326" s="922" t="str">
        <f>A1325</f>
        <v>아르쉐벨루어
(AREV)</v>
      </c>
      <c r="B1326" s="307" t="s">
        <v>2091</v>
      </c>
      <c r="C1326" s="308">
        <v>300</v>
      </c>
      <c r="D1326" s="530" t="s">
        <v>3118</v>
      </c>
      <c r="E1326" s="531">
        <v>2200000</v>
      </c>
    </row>
    <row r="1327" spans="1:5" s="95" customFormat="1" ht="15" customHeight="1">
      <c r="A1327" s="930" t="str">
        <f>A1326</f>
        <v>아르쉐벨루어
(AREV)</v>
      </c>
      <c r="B1327" s="193" t="s">
        <v>2092</v>
      </c>
      <c r="C1327" s="154">
        <v>300</v>
      </c>
      <c r="D1327" s="487" t="s">
        <v>3119</v>
      </c>
      <c r="E1327" s="532">
        <v>5600000</v>
      </c>
    </row>
    <row r="1328" spans="1:5" s="95" customFormat="1" ht="15" customHeight="1">
      <c r="A1328" s="969" t="s">
        <v>4068</v>
      </c>
      <c r="B1328" s="529" t="s">
        <v>4069</v>
      </c>
      <c r="C1328" s="415">
        <v>300</v>
      </c>
      <c r="D1328" s="257" t="s">
        <v>4070</v>
      </c>
      <c r="E1328" s="424">
        <v>975000</v>
      </c>
    </row>
    <row r="1329" spans="1:5" s="95" customFormat="1" ht="15" customHeight="1">
      <c r="A1329" s="922" t="str">
        <f>A1328</f>
        <v>아르쉐카렌다
(AREC)</v>
      </c>
      <c r="B1329" s="856" t="s">
        <v>2091</v>
      </c>
      <c r="C1329" s="91">
        <v>250</v>
      </c>
      <c r="D1329" s="372" t="s">
        <v>4071</v>
      </c>
      <c r="E1329" s="373">
        <v>1150000</v>
      </c>
    </row>
    <row r="1330" spans="1:5" s="95" customFormat="1" ht="15" customHeight="1">
      <c r="A1330" s="922" t="str">
        <f>A1329</f>
        <v>아르쉐카렌다
(AREC)</v>
      </c>
      <c r="B1330" s="846"/>
      <c r="C1330" s="415">
        <v>300</v>
      </c>
      <c r="D1330" s="257" t="s">
        <v>4072</v>
      </c>
      <c r="E1330" s="424">
        <v>1375000</v>
      </c>
    </row>
    <row r="1331" spans="1:5" s="95" customFormat="1" ht="15" customHeight="1">
      <c r="A1331" s="922" t="str">
        <f>A1330</f>
        <v>아르쉐카렌다
(AREC)</v>
      </c>
      <c r="B1331" s="897"/>
      <c r="C1331" s="304">
        <v>300</v>
      </c>
      <c r="D1331" s="533" t="s">
        <v>3120</v>
      </c>
      <c r="E1331" s="405">
        <v>2725000</v>
      </c>
    </row>
    <row r="1332" spans="1:5" s="95" customFormat="1" ht="15" customHeight="1">
      <c r="A1332" s="930" t="str">
        <f>A1331</f>
        <v>아르쉐카렌다
(AREC)</v>
      </c>
      <c r="B1332" s="193" t="s">
        <v>3121</v>
      </c>
      <c r="C1332" s="154">
        <v>300</v>
      </c>
      <c r="D1332" s="487" t="s">
        <v>3122</v>
      </c>
      <c r="E1332" s="532">
        <v>5100000</v>
      </c>
    </row>
    <row r="1333" spans="1:5" s="95" customFormat="1" ht="15" customHeight="1">
      <c r="A1333" s="954" t="s">
        <v>4073</v>
      </c>
      <c r="B1333" s="895" t="s">
        <v>4074</v>
      </c>
      <c r="C1333" s="349">
        <v>240</v>
      </c>
      <c r="D1333" s="427" t="s">
        <v>4075</v>
      </c>
      <c r="E1333" s="403"/>
    </row>
    <row r="1334" spans="1:5" s="95" customFormat="1" ht="15" customHeight="1">
      <c r="A1334" s="925"/>
      <c r="B1334" s="870"/>
      <c r="C1334" s="415"/>
      <c r="D1334" s="222" t="s">
        <v>4076</v>
      </c>
      <c r="E1334" s="534"/>
    </row>
    <row r="1335" spans="1:5" s="95" customFormat="1" ht="15" customHeight="1">
      <c r="A1335" s="925"/>
      <c r="B1335" s="870"/>
      <c r="C1335" s="415"/>
      <c r="D1335" s="222" t="s">
        <v>4077</v>
      </c>
      <c r="E1335" s="534"/>
    </row>
    <row r="1336" spans="1:5" s="95" customFormat="1" ht="15" customHeight="1">
      <c r="A1336" s="925"/>
      <c r="B1336" s="896"/>
      <c r="C1336" s="304"/>
      <c r="D1336" s="533" t="s">
        <v>4078</v>
      </c>
      <c r="E1336" s="405"/>
    </row>
    <row r="1337" spans="1:5" s="95" customFormat="1" ht="15" customHeight="1">
      <c r="A1337" s="925"/>
      <c r="B1337" s="872" t="s">
        <v>4079</v>
      </c>
      <c r="C1337" s="415"/>
      <c r="D1337" s="222" t="s">
        <v>4080</v>
      </c>
      <c r="E1337" s="534"/>
    </row>
    <row r="1338" spans="1:5" s="95" customFormat="1" ht="15" customHeight="1">
      <c r="A1338" s="925"/>
      <c r="B1338" s="870"/>
      <c r="C1338" s="415"/>
      <c r="D1338" s="222" t="s">
        <v>4081</v>
      </c>
      <c r="E1338" s="534"/>
    </row>
    <row r="1339" spans="1:5" s="95" customFormat="1" ht="15" customHeight="1">
      <c r="A1339" s="925"/>
      <c r="B1339" s="870"/>
      <c r="C1339" s="415"/>
      <c r="D1339" s="222" t="s">
        <v>4082</v>
      </c>
      <c r="E1339" s="534"/>
    </row>
    <row r="1340" spans="1:5" s="95" customFormat="1" ht="15" customHeight="1">
      <c r="A1340" s="925"/>
      <c r="B1340" s="870"/>
      <c r="C1340" s="415"/>
      <c r="D1340" s="222" t="s">
        <v>4083</v>
      </c>
      <c r="E1340" s="534"/>
    </row>
    <row r="1341" spans="1:5" s="95" customFormat="1" ht="15" customHeight="1">
      <c r="A1341" s="925"/>
      <c r="B1341" s="870"/>
      <c r="C1341" s="415"/>
      <c r="D1341" s="222" t="s">
        <v>4084</v>
      </c>
      <c r="E1341" s="534"/>
    </row>
    <row r="1342" spans="1:5" s="95" customFormat="1" ht="15" customHeight="1">
      <c r="A1342" s="925"/>
      <c r="B1342" s="870"/>
      <c r="C1342" s="415"/>
      <c r="D1342" s="222" t="s">
        <v>4085</v>
      </c>
      <c r="E1342" s="534"/>
    </row>
    <row r="1343" spans="1:5" s="95" customFormat="1" ht="15" customHeight="1">
      <c r="A1343" s="925"/>
      <c r="B1343" s="870"/>
      <c r="C1343" s="415"/>
      <c r="D1343" s="222" t="s">
        <v>4086</v>
      </c>
      <c r="E1343" s="534"/>
    </row>
    <row r="1344" spans="1:5" s="95" customFormat="1" ht="15" customHeight="1">
      <c r="A1344" s="925"/>
      <c r="B1344" s="870"/>
      <c r="C1344" s="415"/>
      <c r="D1344" s="222" t="s">
        <v>4087</v>
      </c>
      <c r="E1344" s="534"/>
    </row>
    <row r="1345" spans="1:5" s="95" customFormat="1" ht="15" customHeight="1">
      <c r="A1345" s="925"/>
      <c r="B1345" s="870"/>
      <c r="C1345" s="415"/>
      <c r="D1345" s="222" t="s">
        <v>4088</v>
      </c>
      <c r="E1345" s="534"/>
    </row>
    <row r="1346" spans="1:5" ht="15" customHeight="1">
      <c r="A1346" s="925"/>
      <c r="B1346" s="870"/>
      <c r="C1346" s="415"/>
      <c r="D1346" s="222" t="s">
        <v>4089</v>
      </c>
      <c r="E1346" s="534"/>
    </row>
    <row r="1347" spans="1:5" ht="15" customHeight="1">
      <c r="A1347" s="925"/>
      <c r="B1347" s="870"/>
      <c r="C1347" s="415"/>
      <c r="D1347" s="222" t="s">
        <v>4090</v>
      </c>
      <c r="E1347" s="534"/>
    </row>
    <row r="1348" spans="1:5" ht="15" customHeight="1">
      <c r="A1348" s="925"/>
      <c r="B1348" s="870"/>
      <c r="C1348" s="415"/>
      <c r="D1348" s="222" t="s">
        <v>4091</v>
      </c>
      <c r="E1348" s="534"/>
    </row>
    <row r="1349" spans="1:5" ht="15" customHeight="1">
      <c r="A1349" s="925"/>
      <c r="B1349" s="870"/>
      <c r="C1349" s="415"/>
      <c r="D1349" s="222" t="s">
        <v>4092</v>
      </c>
      <c r="E1349" s="534"/>
    </row>
    <row r="1350" spans="1:5" ht="15" customHeight="1">
      <c r="A1350" s="925"/>
      <c r="B1350" s="870"/>
      <c r="C1350" s="415"/>
      <c r="D1350" s="222" t="s">
        <v>4093</v>
      </c>
      <c r="E1350" s="534"/>
    </row>
    <row r="1351" spans="1:5" ht="15" customHeight="1">
      <c r="A1351" s="925"/>
      <c r="B1351" s="870"/>
      <c r="C1351" s="415"/>
      <c r="D1351" s="222" t="s">
        <v>4094</v>
      </c>
      <c r="E1351" s="534" t="s">
        <v>1755</v>
      </c>
    </row>
    <row r="1352" spans="1:5" ht="15" customHeight="1">
      <c r="A1352" s="925"/>
      <c r="B1352" s="870"/>
      <c r="C1352" s="415"/>
      <c r="D1352" s="222" t="s">
        <v>4095</v>
      </c>
      <c r="E1352" s="534"/>
    </row>
    <row r="1353" spans="1:5" ht="15" customHeight="1">
      <c r="A1353" s="925"/>
      <c r="B1353" s="870"/>
      <c r="C1353" s="415"/>
      <c r="D1353" s="222" t="s">
        <v>4096</v>
      </c>
      <c r="E1353" s="534"/>
    </row>
    <row r="1354" spans="1:5" ht="15" customHeight="1">
      <c r="A1354" s="925"/>
      <c r="B1354" s="870"/>
      <c r="C1354" s="415"/>
      <c r="D1354" s="222" t="s">
        <v>4097</v>
      </c>
      <c r="E1354" s="534"/>
    </row>
    <row r="1355" spans="1:5" ht="15" customHeight="1">
      <c r="A1355" s="925"/>
      <c r="B1355" s="870"/>
      <c r="C1355" s="415"/>
      <c r="D1355" s="222" t="s">
        <v>4098</v>
      </c>
      <c r="E1355" s="534"/>
    </row>
    <row r="1356" spans="1:5" ht="15" customHeight="1">
      <c r="A1356" s="925"/>
      <c r="B1356" s="870"/>
      <c r="C1356" s="415"/>
      <c r="D1356" s="222" t="s">
        <v>4099</v>
      </c>
      <c r="E1356" s="534"/>
    </row>
    <row r="1357" spans="1:5" ht="15" customHeight="1">
      <c r="A1357" s="925"/>
      <c r="B1357" s="870"/>
      <c r="C1357" s="415"/>
      <c r="D1357" s="222" t="s">
        <v>4100</v>
      </c>
      <c r="E1357" s="534"/>
    </row>
    <row r="1358" spans="1:5" ht="15" customHeight="1">
      <c r="A1358" s="925"/>
      <c r="B1358" s="870"/>
      <c r="C1358" s="415"/>
      <c r="D1358" s="222" t="s">
        <v>4101</v>
      </c>
      <c r="E1358" s="534"/>
    </row>
    <row r="1359" spans="1:5" ht="15" customHeight="1">
      <c r="A1359" s="925"/>
      <c r="B1359" s="870"/>
      <c r="C1359" s="415"/>
      <c r="D1359" s="222" t="s">
        <v>4102</v>
      </c>
      <c r="E1359" s="534"/>
    </row>
    <row r="1360" spans="1:5" ht="15" customHeight="1">
      <c r="A1360" s="925"/>
      <c r="B1360" s="870"/>
      <c r="C1360" s="415"/>
      <c r="D1360" s="222" t="s">
        <v>4103</v>
      </c>
      <c r="E1360" s="534"/>
    </row>
    <row r="1361" spans="1:5" ht="15" customHeight="1">
      <c r="A1361" s="925"/>
      <c r="B1361" s="870"/>
      <c r="C1361" s="415"/>
      <c r="D1361" s="222" t="s">
        <v>4104</v>
      </c>
      <c r="E1361" s="534"/>
    </row>
    <row r="1362" spans="1:5" ht="15" customHeight="1">
      <c r="A1362" s="925"/>
      <c r="B1362" s="870"/>
      <c r="C1362" s="415"/>
      <c r="D1362" s="222" t="s">
        <v>4105</v>
      </c>
      <c r="E1362" s="534"/>
    </row>
    <row r="1363" spans="1:5" ht="15" customHeight="1">
      <c r="A1363" s="925"/>
      <c r="B1363" s="870"/>
      <c r="C1363" s="415"/>
      <c r="D1363" s="222" t="s">
        <v>4106</v>
      </c>
      <c r="E1363" s="534"/>
    </row>
    <row r="1364" spans="1:5" ht="15" customHeight="1">
      <c r="A1364" s="925"/>
      <c r="B1364" s="870"/>
      <c r="C1364" s="415"/>
      <c r="D1364" s="222" t="s">
        <v>4107</v>
      </c>
      <c r="E1364" s="534"/>
    </row>
    <row r="1365" spans="1:5" ht="15" customHeight="1">
      <c r="A1365" s="925"/>
      <c r="B1365" s="870"/>
      <c r="C1365" s="415"/>
      <c r="D1365" s="222" t="s">
        <v>4108</v>
      </c>
      <c r="E1365" s="534"/>
    </row>
    <row r="1366" spans="1:5" ht="15" customHeight="1">
      <c r="A1366" s="925"/>
      <c r="B1366" s="870"/>
      <c r="C1366" s="415"/>
      <c r="D1366" s="222" t="s">
        <v>4109</v>
      </c>
      <c r="E1366" s="534"/>
    </row>
    <row r="1367" spans="1:5" ht="15" customHeight="1">
      <c r="A1367" s="925"/>
      <c r="B1367" s="870"/>
      <c r="C1367" s="415"/>
      <c r="D1367" s="222" t="s">
        <v>4110</v>
      </c>
      <c r="E1367" s="534"/>
    </row>
    <row r="1368" spans="1:5" ht="15" customHeight="1">
      <c r="A1368" s="925"/>
      <c r="B1368" s="870"/>
      <c r="C1368" s="415"/>
      <c r="D1368" s="222" t="s">
        <v>4111</v>
      </c>
      <c r="E1368" s="534"/>
    </row>
    <row r="1369" spans="1:5" ht="15" customHeight="1">
      <c r="A1369" s="925"/>
      <c r="B1369" s="870"/>
      <c r="C1369" s="415"/>
      <c r="D1369" s="222" t="s">
        <v>4112</v>
      </c>
      <c r="E1369" s="534"/>
    </row>
    <row r="1370" spans="1:5" ht="15" customHeight="1">
      <c r="A1370" s="925"/>
      <c r="B1370" s="870"/>
      <c r="C1370" s="415"/>
      <c r="D1370" s="222" t="s">
        <v>4113</v>
      </c>
      <c r="E1370" s="534"/>
    </row>
    <row r="1371" spans="1:5" ht="15" customHeight="1">
      <c r="A1371" s="925"/>
      <c r="B1371" s="870"/>
      <c r="C1371" s="415"/>
      <c r="D1371" s="222" t="s">
        <v>4114</v>
      </c>
      <c r="E1371" s="534"/>
    </row>
    <row r="1372" spans="1:5" ht="15" customHeight="1">
      <c r="A1372" s="925"/>
      <c r="B1372" s="870"/>
      <c r="C1372" s="415"/>
      <c r="D1372" s="222" t="s">
        <v>4115</v>
      </c>
      <c r="E1372" s="534"/>
    </row>
    <row r="1373" spans="1:5" ht="15" customHeight="1">
      <c r="A1373" s="925"/>
      <c r="B1373" s="870"/>
      <c r="C1373" s="415"/>
      <c r="D1373" s="222" t="s">
        <v>4116</v>
      </c>
      <c r="E1373" s="534"/>
    </row>
    <row r="1374" spans="1:5" ht="15" customHeight="1">
      <c r="A1374" s="925"/>
      <c r="B1374" s="870"/>
      <c r="C1374" s="415"/>
      <c r="D1374" s="222" t="s">
        <v>4117</v>
      </c>
      <c r="E1374" s="534"/>
    </row>
    <row r="1375" spans="1:5" ht="15" customHeight="1">
      <c r="A1375" s="925"/>
      <c r="B1375" s="870"/>
      <c r="C1375" s="415"/>
      <c r="D1375" s="222" t="s">
        <v>4118</v>
      </c>
      <c r="E1375" s="534"/>
    </row>
    <row r="1376" spans="1:5" ht="15" customHeight="1">
      <c r="A1376" s="925"/>
      <c r="B1376" s="870"/>
      <c r="C1376" s="415"/>
      <c r="D1376" s="222" t="s">
        <v>4119</v>
      </c>
      <c r="E1376" s="534"/>
    </row>
    <row r="1377" spans="1:5" ht="15" customHeight="1">
      <c r="A1377" s="925"/>
      <c r="B1377" s="870"/>
      <c r="C1377" s="415"/>
      <c r="D1377" s="222" t="s">
        <v>4120</v>
      </c>
      <c r="E1377" s="534"/>
    </row>
    <row r="1378" spans="1:5" ht="15" customHeight="1">
      <c r="A1378" s="925"/>
      <c r="B1378" s="870"/>
      <c r="C1378" s="415"/>
      <c r="D1378" s="222" t="s">
        <v>4121</v>
      </c>
      <c r="E1378" s="534"/>
    </row>
    <row r="1379" spans="1:5" ht="15" customHeight="1">
      <c r="A1379" s="925"/>
      <c r="B1379" s="870"/>
      <c r="C1379" s="415"/>
      <c r="D1379" s="222" t="s">
        <v>4122</v>
      </c>
      <c r="E1379" s="534"/>
    </row>
    <row r="1380" spans="1:5" ht="15" customHeight="1">
      <c r="A1380" s="925"/>
      <c r="B1380" s="870"/>
      <c r="C1380" s="415"/>
      <c r="D1380" s="222" t="s">
        <v>4123</v>
      </c>
      <c r="E1380" s="534"/>
    </row>
    <row r="1381" spans="1:5" ht="15" customHeight="1">
      <c r="A1381" s="925"/>
      <c r="B1381" s="870"/>
      <c r="C1381" s="415"/>
      <c r="D1381" s="222" t="s">
        <v>4124</v>
      </c>
      <c r="E1381" s="534"/>
    </row>
    <row r="1382" spans="1:5" ht="15" customHeight="1">
      <c r="A1382" s="217"/>
      <c r="B1382" s="883"/>
      <c r="C1382" s="154"/>
      <c r="D1382" s="535" t="s">
        <v>4125</v>
      </c>
      <c r="E1382" s="532"/>
    </row>
    <row r="1383" spans="1:5" ht="15" customHeight="1">
      <c r="A1383" s="970" t="s">
        <v>3123</v>
      </c>
      <c r="B1383" s="845" t="s">
        <v>1814</v>
      </c>
      <c r="C1383" s="415">
        <v>90</v>
      </c>
      <c r="D1383" s="184" t="s">
        <v>3124</v>
      </c>
      <c r="E1383" s="423">
        <v>141000</v>
      </c>
    </row>
    <row r="1384" spans="1:5" ht="15" customHeight="1">
      <c r="A1384" s="936"/>
      <c r="B1384" s="851"/>
      <c r="C1384" s="415">
        <v>120</v>
      </c>
      <c r="D1384" s="520" t="s">
        <v>3125</v>
      </c>
      <c r="E1384" s="423">
        <v>189000</v>
      </c>
    </row>
    <row r="1385" spans="1:5" ht="15" customHeight="1">
      <c r="A1385" s="936"/>
      <c r="B1385" s="848" t="s">
        <v>1972</v>
      </c>
      <c r="C1385" s="89">
        <v>170</v>
      </c>
      <c r="D1385" s="153" t="s">
        <v>3126</v>
      </c>
      <c r="E1385" s="241">
        <v>266000</v>
      </c>
    </row>
    <row r="1386" spans="1:5" ht="15" customHeight="1">
      <c r="A1386" s="936"/>
      <c r="B1386" s="846"/>
      <c r="C1386" s="415">
        <v>200</v>
      </c>
      <c r="D1386" s="150" t="s">
        <v>3127</v>
      </c>
      <c r="E1386" s="423">
        <v>313000</v>
      </c>
    </row>
    <row r="1387" spans="1:5" ht="15" customHeight="1">
      <c r="A1387" s="936"/>
      <c r="B1387" s="846"/>
      <c r="C1387" s="419">
        <v>230</v>
      </c>
      <c r="D1387" s="150" t="s">
        <v>3128</v>
      </c>
      <c r="E1387" s="423">
        <v>358000</v>
      </c>
    </row>
    <row r="1388" spans="1:5" ht="15" customHeight="1">
      <c r="A1388" s="936"/>
      <c r="B1388" s="846"/>
      <c r="C1388" s="419">
        <v>260</v>
      </c>
      <c r="D1388" s="240" t="s">
        <v>3129</v>
      </c>
      <c r="E1388" s="423">
        <v>405000</v>
      </c>
    </row>
    <row r="1389" spans="1:5" ht="15" customHeight="1">
      <c r="A1389" s="936"/>
      <c r="B1389" s="846"/>
      <c r="C1389" s="419">
        <v>300</v>
      </c>
      <c r="D1389" s="150" t="s">
        <v>3130</v>
      </c>
      <c r="E1389" s="423">
        <v>470000</v>
      </c>
    </row>
    <row r="1390" spans="1:5" ht="15" customHeight="1">
      <c r="A1390" s="936"/>
      <c r="B1390" s="851"/>
      <c r="C1390" s="311">
        <v>350</v>
      </c>
      <c r="D1390" s="288" t="s">
        <v>3131</v>
      </c>
      <c r="E1390" s="289">
        <v>550000</v>
      </c>
    </row>
    <row r="1391" spans="1:5" ht="15" customHeight="1">
      <c r="A1391" s="936"/>
      <c r="B1391" s="275" t="s">
        <v>2096</v>
      </c>
      <c r="C1391" s="536">
        <v>350</v>
      </c>
      <c r="D1391" s="297" t="s">
        <v>3132</v>
      </c>
      <c r="E1391" s="298">
        <v>278000</v>
      </c>
    </row>
    <row r="1392" spans="1:5" ht="15" customHeight="1">
      <c r="A1392" s="936"/>
      <c r="B1392" s="898" t="s">
        <v>1895</v>
      </c>
      <c r="C1392" s="419">
        <v>90</v>
      </c>
      <c r="D1392" s="150" t="s">
        <v>3133</v>
      </c>
      <c r="E1392" s="423">
        <v>98000</v>
      </c>
    </row>
    <row r="1393" spans="1:5" ht="15" customHeight="1">
      <c r="A1393" s="936"/>
      <c r="B1393" s="846"/>
      <c r="C1393" s="419">
        <v>120</v>
      </c>
      <c r="D1393" s="150" t="s">
        <v>3134</v>
      </c>
      <c r="E1393" s="423">
        <v>130000</v>
      </c>
    </row>
    <row r="1394" spans="1:5" ht="15" customHeight="1">
      <c r="A1394" s="936"/>
      <c r="B1394" s="846"/>
      <c r="C1394" s="419">
        <v>140</v>
      </c>
      <c r="D1394" s="150" t="s">
        <v>3135</v>
      </c>
      <c r="E1394" s="423">
        <v>152000</v>
      </c>
    </row>
    <row r="1395" spans="1:5" ht="15" customHeight="1">
      <c r="A1395" s="936"/>
      <c r="B1395" s="846"/>
      <c r="C1395" s="419">
        <v>170</v>
      </c>
      <c r="D1395" s="150" t="s">
        <v>3136</v>
      </c>
      <c r="E1395" s="423">
        <v>185000</v>
      </c>
    </row>
    <row r="1396" spans="1:5" ht="15" customHeight="1">
      <c r="A1396" s="936"/>
      <c r="B1396" s="846"/>
      <c r="C1396" s="419">
        <v>200</v>
      </c>
      <c r="D1396" s="150" t="s">
        <v>3137</v>
      </c>
      <c r="E1396" s="423">
        <v>218000</v>
      </c>
    </row>
    <row r="1397" spans="1:5" ht="15" customHeight="1">
      <c r="A1397" s="936"/>
      <c r="B1397" s="846"/>
      <c r="C1397" s="419">
        <v>300</v>
      </c>
      <c r="D1397" s="150" t="s">
        <v>3138</v>
      </c>
      <c r="E1397" s="423">
        <v>325000</v>
      </c>
    </row>
    <row r="1398" spans="1:5" ht="15" customHeight="1">
      <c r="A1398" s="936"/>
      <c r="B1398" s="846"/>
      <c r="C1398" s="419">
        <v>350</v>
      </c>
      <c r="D1398" s="150" t="s">
        <v>3139</v>
      </c>
      <c r="E1398" s="423">
        <v>380000</v>
      </c>
    </row>
    <row r="1399" spans="1:5" ht="15" customHeight="1">
      <c r="A1399" s="936"/>
      <c r="B1399" s="897"/>
      <c r="C1399" s="537">
        <v>400</v>
      </c>
      <c r="D1399" s="537" t="s">
        <v>3140</v>
      </c>
      <c r="E1399" s="281">
        <v>450000</v>
      </c>
    </row>
    <row r="1400" spans="1:5" ht="15" customHeight="1">
      <c r="A1400" s="936"/>
      <c r="B1400" s="898" t="s">
        <v>1788</v>
      </c>
      <c r="C1400" s="419">
        <v>90</v>
      </c>
      <c r="D1400" s="419" t="s">
        <v>3141</v>
      </c>
      <c r="E1400" s="423">
        <v>98000</v>
      </c>
    </row>
    <row r="1401" spans="1:5" ht="15" customHeight="1">
      <c r="A1401" s="937"/>
      <c r="B1401" s="849"/>
      <c r="C1401" s="162">
        <v>120</v>
      </c>
      <c r="D1401" s="537" t="s">
        <v>3142</v>
      </c>
      <c r="E1401" s="243">
        <v>130000</v>
      </c>
    </row>
    <row r="1402" spans="1:5" ht="15" customHeight="1">
      <c r="A1402" s="971" t="s">
        <v>3149</v>
      </c>
      <c r="B1402" s="845" t="s">
        <v>1814</v>
      </c>
      <c r="C1402" s="419">
        <v>90</v>
      </c>
      <c r="D1402" s="419" t="s">
        <v>3150</v>
      </c>
      <c r="E1402" s="428">
        <v>141000</v>
      </c>
    </row>
    <row r="1403" spans="1:5" ht="15" customHeight="1">
      <c r="A1403" s="972"/>
      <c r="B1403" s="897"/>
      <c r="C1403" s="537">
        <v>120</v>
      </c>
      <c r="D1403" s="537" t="s">
        <v>3151</v>
      </c>
      <c r="E1403" s="289">
        <v>189000</v>
      </c>
    </row>
    <row r="1404" spans="1:5" ht="15" customHeight="1">
      <c r="A1404" s="972"/>
      <c r="B1404" s="898" t="s">
        <v>1788</v>
      </c>
      <c r="C1404" s="419">
        <v>90</v>
      </c>
      <c r="D1404" s="419" t="s">
        <v>3152</v>
      </c>
      <c r="E1404" s="423">
        <v>98000</v>
      </c>
    </row>
    <row r="1405" spans="1:5" ht="15" customHeight="1">
      <c r="A1405" s="973"/>
      <c r="B1405" s="849"/>
      <c r="C1405" s="162">
        <v>120</v>
      </c>
      <c r="D1405" s="537" t="s">
        <v>3153</v>
      </c>
      <c r="E1405" s="289">
        <v>130000</v>
      </c>
    </row>
    <row r="1406" spans="1:5" ht="15" customHeight="1">
      <c r="A1406" s="538" t="s">
        <v>2093</v>
      </c>
      <c r="B1406" s="87" t="s">
        <v>2094</v>
      </c>
      <c r="C1406" s="419">
        <v>160</v>
      </c>
      <c r="D1406" s="419" t="s">
        <v>3143</v>
      </c>
      <c r="E1406" s="423">
        <v>150000</v>
      </c>
    </row>
    <row r="1407" spans="1:5" ht="15" customHeight="1">
      <c r="A1407" s="436"/>
      <c r="B1407" s="898" t="s">
        <v>2136</v>
      </c>
      <c r="C1407" s="389">
        <v>80</v>
      </c>
      <c r="D1407" s="389" t="s">
        <v>3144</v>
      </c>
      <c r="E1407" s="283">
        <v>115000</v>
      </c>
    </row>
    <row r="1408" spans="1:5" ht="15" customHeight="1">
      <c r="A1408" s="436"/>
      <c r="B1408" s="897"/>
      <c r="C1408" s="537">
        <v>90</v>
      </c>
      <c r="D1408" s="537" t="s">
        <v>3145</v>
      </c>
      <c r="E1408" s="281">
        <v>130000</v>
      </c>
    </row>
    <row r="1409" spans="1:5" ht="15" customHeight="1">
      <c r="A1409" s="436"/>
      <c r="B1409" s="898" t="s">
        <v>3146</v>
      </c>
      <c r="C1409" s="419">
        <v>80</v>
      </c>
      <c r="D1409" s="419" t="s">
        <v>3147</v>
      </c>
      <c r="E1409" s="423">
        <v>80000</v>
      </c>
    </row>
    <row r="1410" spans="1:5" ht="15" customHeight="1">
      <c r="A1410" s="436"/>
      <c r="B1410" s="849"/>
      <c r="C1410" s="419">
        <v>90</v>
      </c>
      <c r="D1410" s="150" t="s">
        <v>3148</v>
      </c>
      <c r="E1410" s="423">
        <v>90000</v>
      </c>
    </row>
    <row r="1411" spans="1:5" ht="15" customHeight="1">
      <c r="A1411" s="927" t="s">
        <v>4126</v>
      </c>
      <c r="B1411" s="845" t="s">
        <v>1972</v>
      </c>
      <c r="C1411" s="349">
        <v>120</v>
      </c>
      <c r="D1411" s="427" t="s">
        <v>4127</v>
      </c>
      <c r="E1411" s="428">
        <v>189000</v>
      </c>
    </row>
    <row r="1412" spans="1:5" ht="15" customHeight="1">
      <c r="A1412" s="922" t="str">
        <f t="shared" ref="A1412:A1436" si="58">A1411</f>
        <v xml:space="preserve">아코팩
 (APK)                </v>
      </c>
      <c r="B1412" s="846"/>
      <c r="C1412" s="415">
        <v>140</v>
      </c>
      <c r="D1412" s="150" t="s">
        <v>4128</v>
      </c>
      <c r="E1412" s="423">
        <v>219000</v>
      </c>
    </row>
    <row r="1413" spans="1:5" ht="15" customHeight="1">
      <c r="A1413" s="922" t="str">
        <f t="shared" si="58"/>
        <v xml:space="preserve">아코팩
 (APK)                </v>
      </c>
      <c r="B1413" s="846"/>
      <c r="C1413" s="415">
        <v>170</v>
      </c>
      <c r="D1413" s="150" t="s">
        <v>4127</v>
      </c>
      <c r="E1413" s="423">
        <v>266000</v>
      </c>
    </row>
    <row r="1414" spans="1:5" ht="15" customHeight="1">
      <c r="A1414" s="922" t="str">
        <f t="shared" si="58"/>
        <v xml:space="preserve">아코팩
 (APK)                </v>
      </c>
      <c r="B1414" s="846"/>
      <c r="C1414" s="415">
        <v>200</v>
      </c>
      <c r="D1414" s="150" t="s">
        <v>3154</v>
      </c>
      <c r="E1414" s="423">
        <v>313000</v>
      </c>
    </row>
    <row r="1415" spans="1:5" ht="15" customHeight="1">
      <c r="A1415" s="922" t="str">
        <f t="shared" si="58"/>
        <v xml:space="preserve">아코팩
 (APK)                </v>
      </c>
      <c r="B1415" s="846"/>
      <c r="C1415" s="419">
        <v>250</v>
      </c>
      <c r="D1415" s="150" t="s">
        <v>3154</v>
      </c>
      <c r="E1415" s="423">
        <v>395000</v>
      </c>
    </row>
    <row r="1416" spans="1:5" ht="15" customHeight="1">
      <c r="A1416" s="922" t="str">
        <f t="shared" si="58"/>
        <v xml:space="preserve">아코팩
 (APK)                </v>
      </c>
      <c r="B1416" s="846"/>
      <c r="C1416" s="419">
        <v>300</v>
      </c>
      <c r="D1416" s="150" t="s">
        <v>3154</v>
      </c>
      <c r="E1416" s="423">
        <v>470000</v>
      </c>
    </row>
    <row r="1417" spans="1:5" ht="15" customHeight="1">
      <c r="A1417" s="922" t="str">
        <f t="shared" si="58"/>
        <v xml:space="preserve">아코팩
 (APK)                </v>
      </c>
      <c r="B1417" s="846"/>
      <c r="C1417" s="419">
        <v>350</v>
      </c>
      <c r="D1417" s="150" t="s">
        <v>3154</v>
      </c>
      <c r="E1417" s="423">
        <v>550000</v>
      </c>
    </row>
    <row r="1418" spans="1:5" ht="15" customHeight="1">
      <c r="A1418" s="922" t="str">
        <f t="shared" si="58"/>
        <v xml:space="preserve">아코팩
 (APK)                </v>
      </c>
      <c r="B1418" s="851"/>
      <c r="C1418" s="311">
        <v>400</v>
      </c>
      <c r="D1418" s="288" t="s">
        <v>2097</v>
      </c>
      <c r="E1418" s="289">
        <v>625000</v>
      </c>
    </row>
    <row r="1419" spans="1:5" ht="15" customHeight="1">
      <c r="A1419" s="922" t="str">
        <f t="shared" si="58"/>
        <v xml:space="preserve">아코팩
 (APK)                </v>
      </c>
      <c r="B1419" s="848" t="s">
        <v>2096</v>
      </c>
      <c r="C1419" s="270">
        <v>300</v>
      </c>
      <c r="D1419" s="153" t="s">
        <v>2095</v>
      </c>
      <c r="E1419" s="241">
        <v>235000</v>
      </c>
    </row>
    <row r="1420" spans="1:5" ht="15" customHeight="1">
      <c r="A1420" s="922" t="str">
        <f t="shared" si="58"/>
        <v xml:space="preserve">아코팩
 (APK)                </v>
      </c>
      <c r="B1420" s="846"/>
      <c r="C1420" s="419">
        <v>350</v>
      </c>
      <c r="D1420" s="150"/>
      <c r="E1420" s="423">
        <v>275000</v>
      </c>
    </row>
    <row r="1421" spans="1:5" ht="15" customHeight="1">
      <c r="A1421" s="922" t="str">
        <f t="shared" si="58"/>
        <v xml:space="preserve">아코팩
 (APK)                </v>
      </c>
      <c r="B1421" s="851"/>
      <c r="C1421" s="311">
        <v>400</v>
      </c>
      <c r="D1421" s="288"/>
      <c r="E1421" s="289">
        <v>315000</v>
      </c>
    </row>
    <row r="1422" spans="1:5" ht="15" customHeight="1">
      <c r="A1422" s="922" t="str">
        <f t="shared" si="58"/>
        <v xml:space="preserve">아코팩
 (APK)                </v>
      </c>
      <c r="B1422" s="848" t="s">
        <v>1895</v>
      </c>
      <c r="C1422" s="419">
        <v>80</v>
      </c>
      <c r="D1422" s="150" t="s">
        <v>4129</v>
      </c>
      <c r="E1422" s="423">
        <v>88000</v>
      </c>
    </row>
    <row r="1423" spans="1:5" ht="15" customHeight="1">
      <c r="A1423" s="922" t="str">
        <f t="shared" si="58"/>
        <v xml:space="preserve">아코팩
 (APK)                </v>
      </c>
      <c r="B1423" s="846"/>
      <c r="C1423" s="419">
        <v>100</v>
      </c>
      <c r="D1423" s="150" t="s">
        <v>4130</v>
      </c>
      <c r="E1423" s="423">
        <v>109000</v>
      </c>
    </row>
    <row r="1424" spans="1:5" ht="15" customHeight="1">
      <c r="A1424" s="922" t="str">
        <f t="shared" si="58"/>
        <v xml:space="preserve">아코팩
 (APK)                </v>
      </c>
      <c r="B1424" s="846"/>
      <c r="C1424" s="419">
        <v>120</v>
      </c>
      <c r="D1424" s="150" t="s">
        <v>4130</v>
      </c>
      <c r="E1424" s="423">
        <v>130000</v>
      </c>
    </row>
    <row r="1425" spans="1:5" ht="15" customHeight="1">
      <c r="A1425" s="922" t="str">
        <f t="shared" si="58"/>
        <v xml:space="preserve">아코팩
 (APK)                </v>
      </c>
      <c r="B1425" s="846"/>
      <c r="C1425" s="419">
        <v>140</v>
      </c>
      <c r="D1425" s="150" t="s">
        <v>4130</v>
      </c>
      <c r="E1425" s="423">
        <v>152000</v>
      </c>
    </row>
    <row r="1426" spans="1:5" ht="15" customHeight="1">
      <c r="A1426" s="922" t="str">
        <f t="shared" si="58"/>
        <v xml:space="preserve">아코팩
 (APK)                </v>
      </c>
      <c r="B1426" s="846"/>
      <c r="C1426" s="419">
        <v>170</v>
      </c>
      <c r="D1426" s="150" t="s">
        <v>4130</v>
      </c>
      <c r="E1426" s="423">
        <v>185000</v>
      </c>
    </row>
    <row r="1427" spans="1:5" ht="15" customHeight="1">
      <c r="A1427" s="922" t="str">
        <f t="shared" si="58"/>
        <v xml:space="preserve">아코팩
 (APK)                </v>
      </c>
      <c r="B1427" s="846"/>
      <c r="C1427" s="419">
        <v>200</v>
      </c>
      <c r="D1427" s="150" t="s">
        <v>3155</v>
      </c>
      <c r="E1427" s="423">
        <v>218000</v>
      </c>
    </row>
    <row r="1428" spans="1:5" ht="15" customHeight="1">
      <c r="A1428" s="922" t="str">
        <f t="shared" si="58"/>
        <v xml:space="preserve">아코팩
 (APK)                </v>
      </c>
      <c r="B1428" s="846"/>
      <c r="C1428" s="419">
        <v>250</v>
      </c>
      <c r="D1428" s="150" t="s">
        <v>3155</v>
      </c>
      <c r="E1428" s="423">
        <v>272000</v>
      </c>
    </row>
    <row r="1429" spans="1:5" ht="15" customHeight="1">
      <c r="A1429" s="922" t="str">
        <f t="shared" si="58"/>
        <v xml:space="preserve">아코팩
 (APK)                </v>
      </c>
      <c r="B1429" s="846"/>
      <c r="C1429" s="419">
        <v>300</v>
      </c>
      <c r="D1429" s="150" t="s">
        <v>3156</v>
      </c>
      <c r="E1429" s="423">
        <v>325000</v>
      </c>
    </row>
    <row r="1430" spans="1:5" ht="15" customHeight="1">
      <c r="A1430" s="922" t="str">
        <f t="shared" si="58"/>
        <v xml:space="preserve">아코팩
 (APK)                </v>
      </c>
      <c r="B1430" s="851"/>
      <c r="C1430" s="311">
        <v>350</v>
      </c>
      <c r="D1430" s="288" t="s">
        <v>3156</v>
      </c>
      <c r="E1430" s="289">
        <v>380000</v>
      </c>
    </row>
    <row r="1431" spans="1:5" ht="15" customHeight="1">
      <c r="A1431" s="922" t="str">
        <f t="shared" si="58"/>
        <v xml:space="preserve">아코팩
 (APK)                </v>
      </c>
      <c r="B1431" s="848" t="s">
        <v>1972</v>
      </c>
      <c r="C1431" s="415">
        <v>120</v>
      </c>
      <c r="D1431" s="150" t="s">
        <v>4131</v>
      </c>
      <c r="E1431" s="423">
        <v>188000</v>
      </c>
    </row>
    <row r="1432" spans="1:5" ht="15" customHeight="1">
      <c r="A1432" s="922" t="e">
        <f>#REF!</f>
        <v>#REF!</v>
      </c>
      <c r="B1432" s="846"/>
      <c r="C1432" s="415">
        <v>200</v>
      </c>
      <c r="D1432" s="150" t="s">
        <v>3157</v>
      </c>
      <c r="E1432" s="423">
        <v>313000</v>
      </c>
    </row>
    <row r="1433" spans="1:5" ht="15" customHeight="1">
      <c r="A1433" s="922" t="e">
        <f t="shared" si="58"/>
        <v>#REF!</v>
      </c>
      <c r="B1433" s="846"/>
      <c r="C1433" s="419">
        <v>250</v>
      </c>
      <c r="D1433" s="150" t="s">
        <v>3158</v>
      </c>
      <c r="E1433" s="423">
        <v>395000</v>
      </c>
    </row>
    <row r="1434" spans="1:5" ht="15" customHeight="1">
      <c r="A1434" s="922" t="e">
        <f t="shared" si="58"/>
        <v>#REF!</v>
      </c>
      <c r="B1434" s="846"/>
      <c r="C1434" s="419">
        <v>300</v>
      </c>
      <c r="D1434" s="150" t="s">
        <v>3159</v>
      </c>
      <c r="E1434" s="423">
        <v>470000</v>
      </c>
    </row>
    <row r="1435" spans="1:5" ht="15" customHeight="1">
      <c r="A1435" s="922" t="e">
        <f t="shared" si="58"/>
        <v>#REF!</v>
      </c>
      <c r="B1435" s="846"/>
      <c r="C1435" s="419">
        <v>350</v>
      </c>
      <c r="D1435" s="150" t="s">
        <v>3160</v>
      </c>
      <c r="E1435" s="423">
        <v>550000</v>
      </c>
    </row>
    <row r="1436" spans="1:5" ht="15" customHeight="1">
      <c r="A1436" s="930" t="e">
        <f t="shared" si="58"/>
        <v>#REF!</v>
      </c>
      <c r="B1436" s="849"/>
      <c r="C1436" s="162">
        <v>400</v>
      </c>
      <c r="D1436" s="155" t="s">
        <v>3161</v>
      </c>
      <c r="E1436" s="243">
        <v>625000</v>
      </c>
    </row>
    <row r="1437" spans="1:5" ht="15" customHeight="1">
      <c r="A1437" s="922" t="s">
        <v>2098</v>
      </c>
      <c r="B1437" s="845" t="s">
        <v>1972</v>
      </c>
      <c r="C1437" s="415">
        <v>250</v>
      </c>
      <c r="D1437" s="150" t="s">
        <v>3162</v>
      </c>
      <c r="E1437" s="423">
        <v>410000</v>
      </c>
    </row>
    <row r="1438" spans="1:5" ht="15" customHeight="1">
      <c r="A1438" s="922" t="str">
        <f>A1437</f>
        <v>아코팩 리사이클
100% (APKR)</v>
      </c>
      <c r="B1438" s="846"/>
      <c r="C1438" s="419">
        <v>300</v>
      </c>
      <c r="D1438" s="150" t="s">
        <v>2099</v>
      </c>
      <c r="E1438" s="423">
        <v>490000</v>
      </c>
    </row>
    <row r="1439" spans="1:5" ht="15" customHeight="1">
      <c r="A1439" s="922" t="str">
        <f>A1438</f>
        <v>아코팩 리사이클
100% (APKR)</v>
      </c>
      <c r="B1439" s="846"/>
      <c r="C1439" s="419">
        <v>350</v>
      </c>
      <c r="D1439" s="150" t="s">
        <v>2100</v>
      </c>
      <c r="E1439" s="423">
        <v>570000</v>
      </c>
    </row>
    <row r="1440" spans="1:5" ht="15" customHeight="1">
      <c r="A1440" s="922" t="str">
        <f>A1439</f>
        <v>아코팩 리사이클
100% (APKR)</v>
      </c>
      <c r="B1440" s="851"/>
      <c r="C1440" s="311">
        <v>400</v>
      </c>
      <c r="D1440" s="288" t="s">
        <v>3163</v>
      </c>
      <c r="E1440" s="289">
        <v>655000</v>
      </c>
    </row>
    <row r="1441" spans="1:5" ht="15" customHeight="1">
      <c r="A1441" s="922"/>
      <c r="B1441" s="275" t="s">
        <v>2096</v>
      </c>
      <c r="C1441" s="536">
        <v>350</v>
      </c>
      <c r="D1441" s="297" t="s">
        <v>3164</v>
      </c>
      <c r="E1441" s="298">
        <v>290000</v>
      </c>
    </row>
    <row r="1442" spans="1:5" ht="15" customHeight="1">
      <c r="A1442" s="922" t="str">
        <f>A1440</f>
        <v>아코팩 리사이클
100% (APKR)</v>
      </c>
      <c r="B1442" s="856" t="s">
        <v>1895</v>
      </c>
      <c r="C1442" s="419">
        <v>250</v>
      </c>
      <c r="D1442" s="85" t="s">
        <v>3165</v>
      </c>
      <c r="E1442" s="423">
        <v>285000</v>
      </c>
    </row>
    <row r="1443" spans="1:5" ht="15" customHeight="1">
      <c r="A1443" s="922" t="str">
        <f>A1442</f>
        <v>아코팩 리사이클
100% (APKR)</v>
      </c>
      <c r="B1443" s="846"/>
      <c r="C1443" s="419">
        <v>300</v>
      </c>
      <c r="D1443" s="85" t="s">
        <v>3166</v>
      </c>
      <c r="E1443" s="423">
        <v>340000</v>
      </c>
    </row>
    <row r="1444" spans="1:5" ht="15" customHeight="1">
      <c r="A1444" s="922" t="str">
        <f>A1443</f>
        <v>아코팩 리사이클
100% (APKR)</v>
      </c>
      <c r="B1444" s="847"/>
      <c r="C1444" s="419">
        <v>350</v>
      </c>
      <c r="D1444" s="85" t="s">
        <v>3167</v>
      </c>
      <c r="E1444" s="423">
        <v>398000</v>
      </c>
    </row>
    <row r="1445" spans="1:5" ht="15" customHeight="1">
      <c r="A1445" s="967" t="s">
        <v>4132</v>
      </c>
      <c r="B1445" s="902" t="s">
        <v>1972</v>
      </c>
      <c r="C1445" s="539">
        <v>70</v>
      </c>
      <c r="D1445" s="540" t="s">
        <v>4133</v>
      </c>
      <c r="E1445" s="541">
        <v>127000</v>
      </c>
    </row>
    <row r="1446" spans="1:5" ht="15" customHeight="1">
      <c r="A1446" s="940" t="str">
        <f t="shared" ref="A1446:A1457" si="59">A1445</f>
        <v>아코프린트 1.5
(APT2)</v>
      </c>
      <c r="B1446" s="900"/>
      <c r="C1446" s="415">
        <v>85</v>
      </c>
      <c r="D1446" s="542"/>
      <c r="E1446" s="423">
        <v>154000</v>
      </c>
    </row>
    <row r="1447" spans="1:5" ht="15" customHeight="1">
      <c r="A1447" s="940" t="str">
        <f t="shared" si="59"/>
        <v>아코프린트 1.5
(APT2)</v>
      </c>
      <c r="B1447" s="900"/>
      <c r="C1447" s="415">
        <v>100</v>
      </c>
      <c r="D1447" s="542"/>
      <c r="E1447" s="423">
        <v>181000</v>
      </c>
    </row>
    <row r="1448" spans="1:5" ht="15" customHeight="1">
      <c r="A1448" s="940" t="str">
        <f t="shared" si="59"/>
        <v>아코프린트 1.5
(APT2)</v>
      </c>
      <c r="B1448" s="900"/>
      <c r="C1448" s="415">
        <v>120</v>
      </c>
      <c r="D1448" s="542"/>
      <c r="E1448" s="423">
        <v>219000</v>
      </c>
    </row>
    <row r="1449" spans="1:5" s="93" customFormat="1" ht="16.5" customHeight="1">
      <c r="A1449" s="940" t="str">
        <f t="shared" si="59"/>
        <v>아코프린트 1.5
(APT2)</v>
      </c>
      <c r="B1449" s="900"/>
      <c r="C1449" s="415">
        <v>150</v>
      </c>
      <c r="D1449" s="542"/>
      <c r="E1449" s="423">
        <v>272000</v>
      </c>
    </row>
    <row r="1450" spans="1:5" s="93" customFormat="1" ht="13.2" customHeight="1">
      <c r="A1450" s="940" t="str">
        <f t="shared" si="59"/>
        <v>아코프린트 1.5
(APT2)</v>
      </c>
      <c r="B1450" s="900"/>
      <c r="C1450" s="415">
        <v>200</v>
      </c>
      <c r="D1450" s="542"/>
      <c r="E1450" s="423">
        <v>362000</v>
      </c>
    </row>
    <row r="1451" spans="1:5" s="93" customFormat="1" ht="13.2" customHeight="1">
      <c r="A1451" s="940" t="str">
        <f t="shared" si="59"/>
        <v>아코프린트 1.5
(APT2)</v>
      </c>
      <c r="B1451" s="903"/>
      <c r="C1451" s="287">
        <v>300</v>
      </c>
      <c r="D1451" s="543"/>
      <c r="E1451" s="289">
        <v>545000</v>
      </c>
    </row>
    <row r="1452" spans="1:5" s="93" customFormat="1" ht="13.2" customHeight="1">
      <c r="A1452" s="940" t="str">
        <f t="shared" si="59"/>
        <v>아코프린트 1.5
(APT2)</v>
      </c>
      <c r="B1452" s="899" t="s">
        <v>1895</v>
      </c>
      <c r="C1452" s="415">
        <v>70</v>
      </c>
      <c r="D1452" s="542" t="s">
        <v>4133</v>
      </c>
      <c r="E1452" s="423">
        <v>88000</v>
      </c>
    </row>
    <row r="1453" spans="1:5" s="93" customFormat="1" ht="16.5" customHeight="1">
      <c r="A1453" s="940" t="str">
        <f t="shared" si="59"/>
        <v>아코프린트 1.5
(APT2)</v>
      </c>
      <c r="B1453" s="900"/>
      <c r="C1453" s="415">
        <v>85</v>
      </c>
      <c r="D1453" s="542"/>
      <c r="E1453" s="423">
        <v>107000</v>
      </c>
    </row>
    <row r="1454" spans="1:5" s="93" customFormat="1" ht="13.2" customHeight="1">
      <c r="A1454" s="940" t="str">
        <f t="shared" si="59"/>
        <v>아코프린트 1.5
(APT2)</v>
      </c>
      <c r="B1454" s="900"/>
      <c r="C1454" s="415">
        <v>100</v>
      </c>
      <c r="D1454" s="542"/>
      <c r="E1454" s="423">
        <v>126000</v>
      </c>
    </row>
    <row r="1455" spans="1:5" s="93" customFormat="1" ht="13.2" customHeight="1">
      <c r="A1455" s="940" t="str">
        <f t="shared" si="59"/>
        <v>아코프린트 1.5
(APT2)</v>
      </c>
      <c r="B1455" s="900"/>
      <c r="C1455" s="415">
        <v>120</v>
      </c>
      <c r="D1455" s="542"/>
      <c r="E1455" s="423">
        <v>151000</v>
      </c>
    </row>
    <row r="1456" spans="1:5" s="93" customFormat="1" ht="13.2" customHeight="1">
      <c r="A1456" s="940" t="str">
        <f t="shared" si="59"/>
        <v>아코프린트 1.5
(APT2)</v>
      </c>
      <c r="B1456" s="900"/>
      <c r="C1456" s="415">
        <v>150</v>
      </c>
      <c r="D1456" s="542"/>
      <c r="E1456" s="423">
        <v>189000</v>
      </c>
    </row>
    <row r="1457" spans="1:5" s="93" customFormat="1" ht="13.2" customHeight="1">
      <c r="A1457" s="941" t="str">
        <f t="shared" si="59"/>
        <v>아코프린트 1.5
(APT2)</v>
      </c>
      <c r="B1457" s="901"/>
      <c r="C1457" s="154">
        <v>200</v>
      </c>
      <c r="D1457" s="544"/>
      <c r="E1457" s="243">
        <v>253000</v>
      </c>
    </row>
    <row r="1458" spans="1:5" s="93" customFormat="1" ht="12" customHeight="1">
      <c r="A1458" s="938" t="s">
        <v>2101</v>
      </c>
      <c r="B1458" s="845" t="s">
        <v>1752</v>
      </c>
      <c r="C1458" s="415">
        <v>120</v>
      </c>
      <c r="D1458" s="150" t="s">
        <v>3168</v>
      </c>
      <c r="E1458" s="423">
        <v>340000</v>
      </c>
    </row>
    <row r="1459" spans="1:5" s="93" customFormat="1" ht="13.2" customHeight="1">
      <c r="A1459" s="938" t="str">
        <f>A1458</f>
        <v xml:space="preserve">아큐렐로
(AQ) </v>
      </c>
      <c r="B1459" s="846"/>
      <c r="C1459" s="415">
        <v>200</v>
      </c>
      <c r="D1459" s="150" t="s">
        <v>3169</v>
      </c>
      <c r="E1459" s="423">
        <v>565000</v>
      </c>
    </row>
    <row r="1460" spans="1:5" ht="13.2" customHeight="1">
      <c r="A1460" s="938" t="str">
        <f>A1459</f>
        <v xml:space="preserve">아큐렐로
(AQ) </v>
      </c>
      <c r="B1460" s="846"/>
      <c r="C1460" s="415">
        <v>240</v>
      </c>
      <c r="D1460" s="150" t="s">
        <v>3170</v>
      </c>
      <c r="E1460" s="423">
        <v>680000</v>
      </c>
    </row>
    <row r="1461" spans="1:5" ht="13.2" customHeight="1">
      <c r="A1461" s="938" t="str">
        <f>A1460</f>
        <v xml:space="preserve">아큐렐로
(AQ) </v>
      </c>
      <c r="B1461" s="846"/>
      <c r="C1461" s="415">
        <v>300</v>
      </c>
      <c r="D1461" s="150" t="s">
        <v>3171</v>
      </c>
      <c r="E1461" s="423">
        <v>850000</v>
      </c>
    </row>
    <row r="1462" spans="1:5" ht="13.2" customHeight="1">
      <c r="A1462" s="938" t="str">
        <f>A1461</f>
        <v xml:space="preserve">아큐렐로
(AQ) </v>
      </c>
      <c r="B1462" s="851"/>
      <c r="C1462" s="415">
        <v>390</v>
      </c>
      <c r="D1462" s="150" t="s">
        <v>3172</v>
      </c>
      <c r="E1462" s="423">
        <v>1100000</v>
      </c>
    </row>
    <row r="1463" spans="1:5" ht="15.6" customHeight="1">
      <c r="A1463" s="938" t="str">
        <f>A1462</f>
        <v xml:space="preserve">아큐렐로
(AQ) </v>
      </c>
      <c r="B1463" s="195" t="s">
        <v>4134</v>
      </c>
      <c r="C1463" s="196">
        <v>200</v>
      </c>
      <c r="D1463" s="545" t="s">
        <v>4135</v>
      </c>
      <c r="E1463" s="546">
        <v>280000</v>
      </c>
    </row>
    <row r="1464" spans="1:5" ht="15" customHeight="1">
      <c r="A1464" s="927" t="s">
        <v>2102</v>
      </c>
      <c r="B1464" s="850" t="s">
        <v>1982</v>
      </c>
      <c r="C1464" s="415">
        <v>125</v>
      </c>
      <c r="D1464" s="150" t="s">
        <v>2103</v>
      </c>
      <c r="E1464" s="547">
        <v>1150000</v>
      </c>
    </row>
    <row r="1465" spans="1:5" ht="15" customHeight="1">
      <c r="A1465" s="948" t="str">
        <f t="shared" ref="A1465:A1474" si="60">A1464</f>
        <v>어반(UBA)</v>
      </c>
      <c r="B1465" s="846"/>
      <c r="C1465" s="415"/>
      <c r="D1465" s="150" t="s">
        <v>2104</v>
      </c>
      <c r="E1465" s="423">
        <v>1000000</v>
      </c>
    </row>
    <row r="1466" spans="1:5" ht="15" customHeight="1">
      <c r="A1466" s="948" t="str">
        <f t="shared" si="60"/>
        <v>어반(UBA)</v>
      </c>
      <c r="B1466" s="846"/>
      <c r="C1466" s="415"/>
      <c r="D1466" s="150" t="s">
        <v>2105</v>
      </c>
      <c r="E1466" s="423">
        <v>1350000</v>
      </c>
    </row>
    <row r="1467" spans="1:5" ht="15" customHeight="1">
      <c r="A1467" s="948" t="str">
        <f t="shared" si="60"/>
        <v>어반(UBA)</v>
      </c>
      <c r="B1467" s="846"/>
      <c r="C1467" s="415"/>
      <c r="D1467" s="150" t="s">
        <v>2106</v>
      </c>
      <c r="E1467" s="423">
        <v>1050000</v>
      </c>
    </row>
    <row r="1468" spans="1:5" ht="15" customHeight="1">
      <c r="A1468" s="948" t="str">
        <f t="shared" si="60"/>
        <v>어반(UBA)</v>
      </c>
      <c r="B1468" s="846"/>
      <c r="C1468" s="287"/>
      <c r="D1468" s="288" t="s">
        <v>2107</v>
      </c>
      <c r="E1468" s="289">
        <v>1050000</v>
      </c>
    </row>
    <row r="1469" spans="1:5" ht="15" customHeight="1">
      <c r="A1469" s="948" t="str">
        <f t="shared" si="60"/>
        <v>어반(UBA)</v>
      </c>
      <c r="B1469" s="846"/>
      <c r="C1469" s="415">
        <v>250</v>
      </c>
      <c r="D1469" s="150" t="s">
        <v>2108</v>
      </c>
      <c r="E1469" s="423">
        <v>2300000</v>
      </c>
    </row>
    <row r="1470" spans="1:5" ht="15" customHeight="1">
      <c r="A1470" s="948" t="str">
        <f t="shared" si="60"/>
        <v>어반(UBA)</v>
      </c>
      <c r="B1470" s="846"/>
      <c r="C1470" s="287"/>
      <c r="D1470" s="288" t="s">
        <v>2109</v>
      </c>
      <c r="E1470" s="289">
        <v>2400000</v>
      </c>
    </row>
    <row r="1471" spans="1:5" ht="15" customHeight="1">
      <c r="A1471" s="948" t="str">
        <f t="shared" si="60"/>
        <v>어반(UBA)</v>
      </c>
      <c r="B1471" s="846"/>
      <c r="C1471" s="415">
        <v>310</v>
      </c>
      <c r="D1471" s="150" t="s">
        <v>2110</v>
      </c>
      <c r="E1471" s="423">
        <v>2800000</v>
      </c>
    </row>
    <row r="1472" spans="1:5" ht="15" customHeight="1">
      <c r="A1472" s="948" t="str">
        <f t="shared" si="60"/>
        <v>어반(UBA)</v>
      </c>
      <c r="B1472" s="846"/>
      <c r="C1472" s="415"/>
      <c r="D1472" s="150" t="s">
        <v>2111</v>
      </c>
      <c r="E1472" s="423">
        <v>3800000</v>
      </c>
    </row>
    <row r="1473" spans="1:5" ht="15" customHeight="1">
      <c r="A1473" s="948" t="str">
        <f t="shared" si="60"/>
        <v>어반(UBA)</v>
      </c>
      <c r="B1473" s="846"/>
      <c r="C1473" s="415"/>
      <c r="D1473" s="150" t="s">
        <v>2112</v>
      </c>
      <c r="E1473" s="423">
        <v>3000000</v>
      </c>
    </row>
    <row r="1474" spans="1:5" ht="15" customHeight="1">
      <c r="A1474" s="963" t="str">
        <f t="shared" si="60"/>
        <v>어반(UBA)</v>
      </c>
      <c r="B1474" s="847"/>
      <c r="C1474" s="171"/>
      <c r="D1474" s="237" t="s">
        <v>2008</v>
      </c>
      <c r="E1474" s="238">
        <v>4000000</v>
      </c>
    </row>
    <row r="1475" spans="1:5" ht="15" customHeight="1">
      <c r="A1475" s="954" t="s">
        <v>4136</v>
      </c>
      <c r="B1475" s="513" t="s">
        <v>4137</v>
      </c>
      <c r="C1475" s="539" t="s">
        <v>3305</v>
      </c>
      <c r="D1475" s="548" t="s">
        <v>4138</v>
      </c>
      <c r="E1475" s="549" t="s">
        <v>4660</v>
      </c>
    </row>
    <row r="1476" spans="1:5" ht="15" customHeight="1">
      <c r="A1476" s="955"/>
      <c r="B1476" s="430" t="s">
        <v>4139</v>
      </c>
      <c r="C1476" s="415" t="s">
        <v>3305</v>
      </c>
      <c r="D1476" s="150" t="s">
        <v>1755</v>
      </c>
      <c r="E1476" s="412" t="s">
        <v>4660</v>
      </c>
    </row>
    <row r="1477" spans="1:5" ht="15" customHeight="1">
      <c r="A1477" s="955"/>
      <c r="B1477" s="430" t="s">
        <v>4140</v>
      </c>
      <c r="C1477" s="415">
        <v>295</v>
      </c>
      <c r="D1477" s="257" t="s">
        <v>3320</v>
      </c>
      <c r="E1477" s="424">
        <v>327000</v>
      </c>
    </row>
    <row r="1478" spans="1:5" ht="15" customHeight="1">
      <c r="A1478" s="955"/>
      <c r="B1478" s="193" t="s">
        <v>4141</v>
      </c>
      <c r="C1478" s="154" t="s">
        <v>3305</v>
      </c>
      <c r="D1478" s="426" t="s">
        <v>3320</v>
      </c>
      <c r="E1478" s="401" t="s">
        <v>1755</v>
      </c>
    </row>
    <row r="1479" spans="1:5" ht="15" customHeight="1">
      <c r="A1479" s="955"/>
      <c r="B1479" s="845" t="s">
        <v>4142</v>
      </c>
      <c r="C1479" s="415">
        <v>72</v>
      </c>
      <c r="D1479" s="150" t="s">
        <v>4143</v>
      </c>
      <c r="E1479" s="412" t="s">
        <v>4661</v>
      </c>
    </row>
    <row r="1480" spans="1:5" ht="15" customHeight="1">
      <c r="A1480" s="955"/>
      <c r="B1480" s="849"/>
      <c r="C1480" s="415">
        <v>75</v>
      </c>
      <c r="D1480" s="222" t="s">
        <v>4144</v>
      </c>
      <c r="E1480" s="550" t="s">
        <v>4661</v>
      </c>
    </row>
    <row r="1481" spans="1:5" ht="15" customHeight="1">
      <c r="A1481" s="955"/>
      <c r="B1481" s="358" t="s">
        <v>4145</v>
      </c>
      <c r="C1481" s="264">
        <v>72</v>
      </c>
      <c r="D1481" s="176" t="s">
        <v>4146</v>
      </c>
      <c r="E1481" s="266">
        <v>87000</v>
      </c>
    </row>
    <row r="1482" spans="1:5" ht="15" customHeight="1">
      <c r="A1482" s="955"/>
      <c r="B1482" s="352" t="s">
        <v>4147</v>
      </c>
      <c r="C1482" s="353">
        <v>72</v>
      </c>
      <c r="D1482" s="551" t="s">
        <v>3377</v>
      </c>
      <c r="E1482" s="355">
        <v>60000</v>
      </c>
    </row>
    <row r="1483" spans="1:5" ht="15" customHeight="1">
      <c r="A1483" s="955"/>
      <c r="B1483" s="845" t="s">
        <v>4148</v>
      </c>
      <c r="C1483" s="415">
        <v>70</v>
      </c>
      <c r="D1483" s="150" t="s">
        <v>4149</v>
      </c>
      <c r="E1483" s="423">
        <v>84000</v>
      </c>
    </row>
    <row r="1484" spans="1:5" ht="15" customHeight="1">
      <c r="A1484" s="955"/>
      <c r="B1484" s="852"/>
      <c r="C1484" s="415">
        <v>90</v>
      </c>
      <c r="D1484" s="240" t="s">
        <v>4150</v>
      </c>
      <c r="E1484" s="423">
        <v>108000</v>
      </c>
    </row>
    <row r="1485" spans="1:5" ht="15" customHeight="1">
      <c r="A1485" s="955"/>
      <c r="B1485" s="856" t="s">
        <v>4145</v>
      </c>
      <c r="C1485" s="91">
        <v>70</v>
      </c>
      <c r="D1485" s="160" t="s">
        <v>1829</v>
      </c>
      <c r="E1485" s="283">
        <v>84000</v>
      </c>
    </row>
    <row r="1486" spans="1:5" ht="15" customHeight="1">
      <c r="A1486" s="955"/>
      <c r="B1486" s="846"/>
      <c r="C1486" s="415">
        <v>90</v>
      </c>
      <c r="D1486" s="240" t="s">
        <v>1830</v>
      </c>
      <c r="E1486" s="423">
        <v>108000</v>
      </c>
    </row>
    <row r="1487" spans="1:5" ht="15" customHeight="1">
      <c r="A1487" s="955"/>
      <c r="B1487" s="846"/>
      <c r="C1487" s="415">
        <v>127</v>
      </c>
      <c r="D1487" s="257" t="s">
        <v>3320</v>
      </c>
      <c r="E1487" s="424">
        <v>117000</v>
      </c>
    </row>
    <row r="1488" spans="1:5" ht="15" customHeight="1">
      <c r="A1488" s="955"/>
      <c r="B1488" s="846"/>
      <c r="C1488" s="415">
        <v>150</v>
      </c>
      <c r="D1488" s="240" t="s">
        <v>1831</v>
      </c>
      <c r="E1488" s="423">
        <v>166000</v>
      </c>
    </row>
    <row r="1489" spans="1:5" ht="15" customHeight="1">
      <c r="A1489" s="955"/>
      <c r="B1489" s="846"/>
      <c r="C1489" s="415">
        <v>200</v>
      </c>
      <c r="D1489" s="240" t="s">
        <v>1832</v>
      </c>
      <c r="E1489" s="423">
        <v>222000</v>
      </c>
    </row>
    <row r="1490" spans="1:5" ht="15" customHeight="1">
      <c r="A1490" s="955"/>
      <c r="B1490" s="846"/>
      <c r="C1490" s="415">
        <v>226</v>
      </c>
      <c r="D1490" s="240" t="s">
        <v>1833</v>
      </c>
      <c r="E1490" s="423">
        <v>250000</v>
      </c>
    </row>
    <row r="1491" spans="1:5" ht="15" customHeight="1">
      <c r="A1491" s="955"/>
      <c r="B1491" s="846"/>
      <c r="C1491" s="415">
        <v>263</v>
      </c>
      <c r="D1491" s="429" t="s">
        <v>1834</v>
      </c>
      <c r="E1491" s="423">
        <v>290000</v>
      </c>
    </row>
    <row r="1492" spans="1:5" ht="15" customHeight="1">
      <c r="A1492" s="955"/>
      <c r="B1492" s="851"/>
      <c r="C1492" s="287">
        <v>295</v>
      </c>
      <c r="D1492" s="429" t="s">
        <v>1835</v>
      </c>
      <c r="E1492" s="289">
        <v>327000</v>
      </c>
    </row>
    <row r="1493" spans="1:5" ht="15" customHeight="1">
      <c r="A1493" s="955"/>
      <c r="B1493" s="305" t="s">
        <v>4151</v>
      </c>
      <c r="C1493" s="306">
        <v>295</v>
      </c>
      <c r="D1493" s="536">
        <v>35</v>
      </c>
      <c r="E1493" s="298">
        <v>168000</v>
      </c>
    </row>
    <row r="1494" spans="1:5" ht="15" customHeight="1">
      <c r="A1494" s="955"/>
      <c r="B1494" s="248" t="s">
        <v>4152</v>
      </c>
      <c r="C1494" s="91">
        <v>90</v>
      </c>
      <c r="D1494" s="389">
        <v>224</v>
      </c>
      <c r="E1494" s="283">
        <v>76000</v>
      </c>
    </row>
    <row r="1495" spans="1:5" ht="15" customHeight="1">
      <c r="A1495" s="955"/>
      <c r="B1495" s="303" t="s">
        <v>4153</v>
      </c>
      <c r="C1495" s="304">
        <v>295</v>
      </c>
      <c r="D1495" s="520">
        <v>163</v>
      </c>
      <c r="E1495" s="294">
        <v>226000</v>
      </c>
    </row>
    <row r="1496" spans="1:5" ht="15" customHeight="1">
      <c r="A1496" s="955"/>
      <c r="B1496" s="856" t="s">
        <v>4147</v>
      </c>
      <c r="C1496" s="415">
        <v>70</v>
      </c>
      <c r="D1496" s="419">
        <v>22</v>
      </c>
      <c r="E1496" s="423">
        <v>58000</v>
      </c>
    </row>
    <row r="1497" spans="1:5" ht="15" customHeight="1">
      <c r="A1497" s="955"/>
      <c r="B1497" s="846"/>
      <c r="C1497" s="415">
        <v>150</v>
      </c>
      <c r="D1497" s="429" t="s">
        <v>4154</v>
      </c>
      <c r="E1497" s="423">
        <v>115000</v>
      </c>
    </row>
    <row r="1498" spans="1:5" ht="15" customHeight="1">
      <c r="A1498" s="955"/>
      <c r="B1498" s="846"/>
      <c r="C1498" s="415">
        <v>200</v>
      </c>
      <c r="D1498" s="429" t="s">
        <v>2113</v>
      </c>
      <c r="E1498" s="423">
        <v>153000</v>
      </c>
    </row>
    <row r="1499" spans="1:5" ht="15" customHeight="1">
      <c r="A1499" s="955"/>
      <c r="B1499" s="846"/>
      <c r="C1499" s="415">
        <v>226</v>
      </c>
      <c r="D1499" s="429" t="s">
        <v>1836</v>
      </c>
      <c r="E1499" s="423">
        <v>173000</v>
      </c>
    </row>
    <row r="1500" spans="1:5" ht="15" customHeight="1">
      <c r="A1500" s="955"/>
      <c r="B1500" s="846"/>
      <c r="C1500" s="415">
        <v>263</v>
      </c>
      <c r="D1500" s="429" t="s">
        <v>4155</v>
      </c>
      <c r="E1500" s="423">
        <v>202000</v>
      </c>
    </row>
    <row r="1501" spans="1:5" ht="15" customHeight="1">
      <c r="A1501" s="955"/>
      <c r="B1501" s="851"/>
      <c r="C1501" s="287">
        <v>295</v>
      </c>
      <c r="D1501" s="552" t="s">
        <v>1837</v>
      </c>
      <c r="E1501" s="289">
        <v>226000</v>
      </c>
    </row>
    <row r="1502" spans="1:5" ht="15" customHeight="1">
      <c r="A1502" s="955"/>
      <c r="B1502" s="553" t="s">
        <v>4156</v>
      </c>
      <c r="C1502" s="554">
        <v>200</v>
      </c>
      <c r="D1502" s="555" t="s">
        <v>4157</v>
      </c>
      <c r="E1502" s="556">
        <v>280000</v>
      </c>
    </row>
    <row r="1503" spans="1:5" ht="15" customHeight="1">
      <c r="A1503" s="955"/>
      <c r="B1503" s="848" t="s">
        <v>4158</v>
      </c>
      <c r="C1503" s="557" t="s">
        <v>4159</v>
      </c>
      <c r="D1503" s="419" t="s">
        <v>4160</v>
      </c>
      <c r="E1503" s="423" t="s">
        <v>1755</v>
      </c>
    </row>
    <row r="1504" spans="1:5" ht="15" customHeight="1">
      <c r="A1504" s="955"/>
      <c r="B1504" s="849"/>
      <c r="C1504" s="558" t="s">
        <v>4161</v>
      </c>
      <c r="D1504" s="162" t="s">
        <v>4162</v>
      </c>
      <c r="E1504" s="243" t="s">
        <v>1755</v>
      </c>
    </row>
    <row r="1505" spans="1:5" ht="15" customHeight="1">
      <c r="A1505" s="955"/>
      <c r="B1505" s="845" t="s">
        <v>4163</v>
      </c>
      <c r="C1505" s="557" t="s">
        <v>4159</v>
      </c>
      <c r="D1505" s="419" t="s">
        <v>1755</v>
      </c>
      <c r="E1505" s="423" t="s">
        <v>1755</v>
      </c>
    </row>
    <row r="1506" spans="1:5" ht="15" customHeight="1">
      <c r="A1506" s="955"/>
      <c r="B1506" s="849"/>
      <c r="C1506" s="558" t="s">
        <v>4161</v>
      </c>
      <c r="D1506" s="162" t="s">
        <v>4162</v>
      </c>
      <c r="E1506" s="243" t="s">
        <v>1755</v>
      </c>
    </row>
    <row r="1507" spans="1:5" ht="15" customHeight="1">
      <c r="A1507" s="955"/>
      <c r="B1507" s="845" t="s">
        <v>4145</v>
      </c>
      <c r="C1507" s="415">
        <v>245</v>
      </c>
      <c r="D1507" s="257" t="s">
        <v>4164</v>
      </c>
      <c r="E1507" s="424">
        <v>260000</v>
      </c>
    </row>
    <row r="1508" spans="1:5" ht="15" customHeight="1">
      <c r="A1508" s="955"/>
      <c r="B1508" s="846"/>
      <c r="C1508" s="415">
        <v>272</v>
      </c>
      <c r="D1508" s="429" t="s">
        <v>2114</v>
      </c>
      <c r="E1508" s="423">
        <v>325000</v>
      </c>
    </row>
    <row r="1509" spans="1:5" ht="15" customHeight="1">
      <c r="A1509" s="955"/>
      <c r="B1509" s="846"/>
      <c r="C1509" s="415">
        <v>310</v>
      </c>
      <c r="D1509" s="429" t="s">
        <v>1959</v>
      </c>
      <c r="E1509" s="423">
        <v>370000</v>
      </c>
    </row>
    <row r="1510" spans="1:5" ht="15" customHeight="1">
      <c r="A1510" s="955"/>
      <c r="B1510" s="852"/>
      <c r="C1510" s="304">
        <v>342</v>
      </c>
      <c r="D1510" s="559" t="s">
        <v>3276</v>
      </c>
      <c r="E1510" s="294">
        <v>395000</v>
      </c>
    </row>
    <row r="1511" spans="1:5" ht="15" customHeight="1">
      <c r="A1511" s="955"/>
      <c r="B1511" s="430" t="s">
        <v>4165</v>
      </c>
      <c r="C1511" s="415">
        <v>310</v>
      </c>
      <c r="D1511" s="552" t="s">
        <v>4166</v>
      </c>
      <c r="E1511" s="423">
        <v>370000</v>
      </c>
    </row>
    <row r="1512" spans="1:5" ht="15" customHeight="1">
      <c r="A1512" s="955"/>
      <c r="B1512" s="848" t="s">
        <v>4147</v>
      </c>
      <c r="C1512" s="89">
        <v>272</v>
      </c>
      <c r="D1512" s="560" t="s">
        <v>3023</v>
      </c>
      <c r="E1512" s="241">
        <v>225000</v>
      </c>
    </row>
    <row r="1513" spans="1:5" ht="15" customHeight="1">
      <c r="A1513" s="955"/>
      <c r="B1513" s="846"/>
      <c r="C1513" s="415">
        <v>310</v>
      </c>
      <c r="D1513" s="429" t="s">
        <v>4167</v>
      </c>
      <c r="E1513" s="423">
        <v>255000</v>
      </c>
    </row>
    <row r="1514" spans="1:5" ht="15" customHeight="1">
      <c r="A1514" s="955"/>
      <c r="B1514" s="851"/>
      <c r="C1514" s="287">
        <v>342</v>
      </c>
      <c r="D1514" s="552" t="s">
        <v>2115</v>
      </c>
      <c r="E1514" s="289">
        <v>275000</v>
      </c>
    </row>
    <row r="1515" spans="1:5" ht="15" customHeight="1">
      <c r="A1515" s="955"/>
      <c r="B1515" s="352" t="s">
        <v>4168</v>
      </c>
      <c r="C1515" s="353" t="s">
        <v>3305</v>
      </c>
      <c r="D1515" s="551" t="s">
        <v>1755</v>
      </c>
      <c r="E1515" s="355" t="s">
        <v>1755</v>
      </c>
    </row>
    <row r="1516" spans="1:5" ht="15" customHeight="1">
      <c r="A1516" s="955"/>
      <c r="B1516" s="286" t="s">
        <v>4145</v>
      </c>
      <c r="C1516" s="287">
        <v>308</v>
      </c>
      <c r="D1516" s="561" t="s">
        <v>4169</v>
      </c>
      <c r="E1516" s="341">
        <v>320000</v>
      </c>
    </row>
    <row r="1517" spans="1:5" ht="15" customHeight="1">
      <c r="A1517" s="955"/>
      <c r="B1517" s="562" t="s">
        <v>4168</v>
      </c>
      <c r="C1517" s="353">
        <v>308</v>
      </c>
      <c r="D1517" s="563" t="s">
        <v>4169</v>
      </c>
      <c r="E1517" s="564" t="s">
        <v>1755</v>
      </c>
    </row>
    <row r="1518" spans="1:5" ht="15" customHeight="1">
      <c r="A1518" s="955"/>
      <c r="B1518" s="845" t="s">
        <v>4145</v>
      </c>
      <c r="C1518" s="415">
        <v>207</v>
      </c>
      <c r="D1518" s="467" t="s">
        <v>4170</v>
      </c>
      <c r="E1518" s="424">
        <v>235000</v>
      </c>
    </row>
    <row r="1519" spans="1:5" ht="15" customHeight="1">
      <c r="A1519" s="955"/>
      <c r="B1519" s="846"/>
      <c r="C1519" s="415">
        <v>233</v>
      </c>
      <c r="D1519" s="467" t="s">
        <v>3320</v>
      </c>
      <c r="E1519" s="424">
        <v>290000</v>
      </c>
    </row>
    <row r="1520" spans="1:5" ht="15" customHeight="1">
      <c r="A1520" s="955"/>
      <c r="B1520" s="846"/>
      <c r="C1520" s="415">
        <v>270</v>
      </c>
      <c r="D1520" s="467" t="s">
        <v>3320</v>
      </c>
      <c r="E1520" s="424">
        <v>305000</v>
      </c>
    </row>
    <row r="1521" spans="1:5" ht="15" customHeight="1">
      <c r="A1521" s="955"/>
      <c r="B1521" s="851"/>
      <c r="C1521" s="415">
        <v>302</v>
      </c>
      <c r="D1521" s="552">
        <v>19</v>
      </c>
      <c r="E1521" s="423">
        <v>365000</v>
      </c>
    </row>
    <row r="1522" spans="1:5" ht="15" customHeight="1">
      <c r="A1522" s="955"/>
      <c r="B1522" s="190" t="s">
        <v>4171</v>
      </c>
      <c r="C1522" s="89">
        <v>233</v>
      </c>
      <c r="D1522" s="565" t="s">
        <v>4172</v>
      </c>
      <c r="E1522" s="244">
        <v>180000</v>
      </c>
    </row>
    <row r="1523" spans="1:5" ht="15" customHeight="1">
      <c r="A1523" s="955"/>
      <c r="B1523" s="848" t="s">
        <v>4147</v>
      </c>
      <c r="C1523" s="89">
        <v>233</v>
      </c>
      <c r="D1523" s="467" t="s">
        <v>4173</v>
      </c>
      <c r="E1523" s="424">
        <v>245000</v>
      </c>
    </row>
    <row r="1524" spans="1:5" ht="15" customHeight="1">
      <c r="A1524" s="955"/>
      <c r="B1524" s="851"/>
      <c r="C1524" s="287">
        <v>302</v>
      </c>
      <c r="D1524" s="552" t="s">
        <v>2117</v>
      </c>
      <c r="E1524" s="289">
        <v>255000</v>
      </c>
    </row>
    <row r="1525" spans="1:5" ht="15" customHeight="1">
      <c r="A1525" s="955"/>
      <c r="B1525" s="352" t="s">
        <v>4174</v>
      </c>
      <c r="C1525" s="353">
        <v>233</v>
      </c>
      <c r="D1525" s="563" t="s">
        <v>3320</v>
      </c>
      <c r="E1525" s="564" t="s">
        <v>1755</v>
      </c>
    </row>
    <row r="1526" spans="1:5" ht="15" customHeight="1">
      <c r="A1526" s="955"/>
      <c r="B1526" s="303" t="s">
        <v>4145</v>
      </c>
      <c r="C1526" s="304">
        <v>315</v>
      </c>
      <c r="D1526" s="520" t="s">
        <v>4175</v>
      </c>
      <c r="E1526" s="294">
        <v>430000</v>
      </c>
    </row>
    <row r="1527" spans="1:5" ht="15" customHeight="1">
      <c r="A1527" s="955"/>
      <c r="B1527" s="430" t="s">
        <v>4176</v>
      </c>
      <c r="C1527" s="415">
        <v>315</v>
      </c>
      <c r="D1527" s="520" t="s">
        <v>1755</v>
      </c>
      <c r="E1527" s="294">
        <v>300000</v>
      </c>
    </row>
    <row r="1528" spans="1:5" ht="15" customHeight="1">
      <c r="A1528" s="955"/>
      <c r="B1528" s="566" t="s">
        <v>1793</v>
      </c>
      <c r="C1528" s="567">
        <v>315</v>
      </c>
      <c r="D1528" s="568" t="s">
        <v>1755</v>
      </c>
      <c r="E1528" s="569" t="s">
        <v>1755</v>
      </c>
    </row>
    <row r="1529" spans="1:5" ht="15" customHeight="1">
      <c r="A1529" s="955"/>
      <c r="B1529" s="845" t="s">
        <v>1793</v>
      </c>
      <c r="C1529" s="415">
        <v>30</v>
      </c>
      <c r="D1529" s="570" t="s">
        <v>4177</v>
      </c>
      <c r="E1529" s="423"/>
    </row>
    <row r="1530" spans="1:5" ht="15" customHeight="1">
      <c r="A1530" s="955"/>
      <c r="B1530" s="846"/>
      <c r="C1530" s="415">
        <v>35</v>
      </c>
      <c r="D1530" s="150" t="s">
        <v>4178</v>
      </c>
      <c r="E1530" s="423"/>
    </row>
    <row r="1531" spans="1:5" ht="15" customHeight="1">
      <c r="A1531" s="955"/>
      <c r="B1531" s="846"/>
      <c r="C1531" s="415">
        <v>40</v>
      </c>
      <c r="D1531" s="150"/>
      <c r="E1531" s="423"/>
    </row>
    <row r="1532" spans="1:5" ht="15" customHeight="1">
      <c r="A1532" s="955"/>
      <c r="B1532" s="846"/>
      <c r="C1532" s="415">
        <v>45</v>
      </c>
      <c r="D1532" s="150"/>
      <c r="E1532" s="423"/>
    </row>
    <row r="1533" spans="1:5" ht="15" customHeight="1">
      <c r="A1533" s="955"/>
      <c r="B1533" s="846"/>
      <c r="C1533" s="415">
        <v>50</v>
      </c>
      <c r="D1533" s="150"/>
      <c r="E1533" s="423"/>
    </row>
    <row r="1534" spans="1:5" ht="15" customHeight="1">
      <c r="A1534" s="955"/>
      <c r="B1534" s="846"/>
      <c r="C1534" s="415">
        <v>55</v>
      </c>
      <c r="D1534" s="150"/>
      <c r="E1534" s="423"/>
    </row>
    <row r="1535" spans="1:5" ht="15" customHeight="1">
      <c r="A1535" s="955"/>
      <c r="B1535" s="852"/>
      <c r="C1535" s="415">
        <v>60</v>
      </c>
      <c r="D1535" s="150"/>
      <c r="E1535" s="423"/>
    </row>
    <row r="1536" spans="1:5" ht="15" customHeight="1">
      <c r="A1536" s="955"/>
      <c r="B1536" s="856" t="s">
        <v>1793</v>
      </c>
      <c r="C1536" s="91">
        <v>30</v>
      </c>
      <c r="D1536" s="157" t="s">
        <v>4179</v>
      </c>
      <c r="E1536" s="283"/>
    </row>
    <row r="1537" spans="1:5" ht="15" customHeight="1">
      <c r="A1537" s="955"/>
      <c r="B1537" s="846"/>
      <c r="C1537" s="415">
        <v>35</v>
      </c>
      <c r="D1537" s="150" t="s">
        <v>4180</v>
      </c>
      <c r="E1537" s="423"/>
    </row>
    <row r="1538" spans="1:5" ht="15" customHeight="1">
      <c r="A1538" s="955"/>
      <c r="B1538" s="846"/>
      <c r="C1538" s="415">
        <v>40</v>
      </c>
      <c r="D1538" s="257"/>
      <c r="E1538" s="424"/>
    </row>
    <row r="1539" spans="1:5" ht="15" customHeight="1">
      <c r="A1539" s="955"/>
      <c r="B1539" s="846"/>
      <c r="C1539" s="415">
        <v>45</v>
      </c>
      <c r="D1539" s="257"/>
      <c r="E1539" s="424"/>
    </row>
    <row r="1540" spans="1:5" ht="15" customHeight="1">
      <c r="A1540" s="955"/>
      <c r="B1540" s="846"/>
      <c r="C1540" s="415">
        <v>50</v>
      </c>
      <c r="D1540" s="257"/>
      <c r="E1540" s="424"/>
    </row>
    <row r="1541" spans="1:5" ht="15" customHeight="1">
      <c r="A1541" s="955"/>
      <c r="B1541" s="846"/>
      <c r="C1541" s="415">
        <v>55</v>
      </c>
      <c r="D1541" s="257"/>
      <c r="E1541" s="424"/>
    </row>
    <row r="1542" spans="1:5" ht="15" customHeight="1">
      <c r="A1542" s="956"/>
      <c r="B1542" s="847"/>
      <c r="C1542" s="171">
        <v>60</v>
      </c>
      <c r="D1542" s="258"/>
      <c r="E1542" s="259"/>
    </row>
    <row r="1543" spans="1:5" ht="15" customHeight="1">
      <c r="A1543" s="975" t="s">
        <v>3173</v>
      </c>
      <c r="B1543" s="850" t="s">
        <v>3174</v>
      </c>
      <c r="C1543" s="415">
        <v>320</v>
      </c>
      <c r="D1543" s="150" t="s">
        <v>3175</v>
      </c>
      <c r="E1543" s="425">
        <v>356000</v>
      </c>
    </row>
    <row r="1544" spans="1:5" ht="15" customHeight="1">
      <c r="A1544" s="970"/>
      <c r="B1544" s="852"/>
      <c r="C1544" s="415">
        <v>350</v>
      </c>
      <c r="D1544" s="150" t="s">
        <v>3176</v>
      </c>
      <c r="E1544" s="425">
        <v>389000</v>
      </c>
    </row>
    <row r="1545" spans="1:5" ht="15" customHeight="1">
      <c r="A1545" s="970"/>
      <c r="B1545" s="856" t="s">
        <v>3177</v>
      </c>
      <c r="C1545" s="91">
        <v>320</v>
      </c>
      <c r="D1545" s="157" t="s">
        <v>3178</v>
      </c>
      <c r="E1545" s="366">
        <v>247000</v>
      </c>
    </row>
    <row r="1546" spans="1:5" ht="15" customHeight="1">
      <c r="A1546" s="970"/>
      <c r="B1546" s="852"/>
      <c r="C1546" s="304">
        <v>350</v>
      </c>
      <c r="D1546" s="164" t="s">
        <v>3179</v>
      </c>
      <c r="E1546" s="571">
        <v>270000</v>
      </c>
    </row>
    <row r="1547" spans="1:5" ht="15" customHeight="1">
      <c r="A1547" s="970"/>
      <c r="B1547" s="430" t="s">
        <v>3180</v>
      </c>
      <c r="C1547" s="415">
        <v>320</v>
      </c>
      <c r="D1547" s="150" t="s">
        <v>3181</v>
      </c>
      <c r="E1547" s="423"/>
    </row>
    <row r="1548" spans="1:5" ht="15" customHeight="1">
      <c r="A1548" s="976"/>
      <c r="B1548" s="344" t="s">
        <v>2315</v>
      </c>
      <c r="C1548" s="171">
        <v>350</v>
      </c>
      <c r="D1548" s="237" t="s">
        <v>3182</v>
      </c>
      <c r="E1548" s="238"/>
    </row>
    <row r="1549" spans="1:5" ht="15" customHeight="1">
      <c r="A1549" s="975" t="s">
        <v>4662</v>
      </c>
      <c r="B1549" s="850" t="s">
        <v>1814</v>
      </c>
      <c r="C1549" s="415">
        <v>90</v>
      </c>
      <c r="D1549" s="150" t="s">
        <v>4663</v>
      </c>
      <c r="E1549" s="423">
        <v>135000</v>
      </c>
    </row>
    <row r="1550" spans="1:5" ht="15" customHeight="1">
      <c r="A1550" s="970"/>
      <c r="B1550" s="846"/>
      <c r="C1550" s="415">
        <v>120</v>
      </c>
      <c r="D1550" s="150" t="s">
        <v>4664</v>
      </c>
      <c r="E1550" s="423">
        <v>180000</v>
      </c>
    </row>
    <row r="1551" spans="1:5" ht="15" customHeight="1">
      <c r="A1551" s="970"/>
      <c r="B1551" s="846"/>
      <c r="C1551" s="415">
        <v>210</v>
      </c>
      <c r="D1551" s="150" t="s">
        <v>4665</v>
      </c>
      <c r="E1551" s="423">
        <v>315000</v>
      </c>
    </row>
    <row r="1552" spans="1:5" ht="15" customHeight="1">
      <c r="A1552" s="970"/>
      <c r="B1552" s="846"/>
      <c r="C1552" s="415">
        <v>210</v>
      </c>
      <c r="D1552" s="150" t="s">
        <v>4666</v>
      </c>
      <c r="E1552" s="423">
        <v>340000</v>
      </c>
    </row>
    <row r="1553" spans="1:5" ht="15" customHeight="1">
      <c r="A1553" s="970"/>
      <c r="B1553" s="846"/>
      <c r="C1553" s="415">
        <v>300</v>
      </c>
      <c r="D1553" s="150" t="s">
        <v>4667</v>
      </c>
      <c r="E1553" s="423">
        <v>450000</v>
      </c>
    </row>
    <row r="1554" spans="1:5" ht="15" customHeight="1">
      <c r="A1554" s="970"/>
      <c r="B1554" s="846"/>
      <c r="C1554" s="415">
        <v>300</v>
      </c>
      <c r="D1554" s="150" t="s">
        <v>4668</v>
      </c>
      <c r="E1554" s="423">
        <v>490000</v>
      </c>
    </row>
    <row r="1555" spans="1:5" ht="15" customHeight="1">
      <c r="A1555" s="970"/>
      <c r="B1555" s="846"/>
      <c r="C1555" s="415">
        <v>350</v>
      </c>
      <c r="D1555" s="150" t="s">
        <v>4669</v>
      </c>
      <c r="E1555" s="423">
        <v>525000</v>
      </c>
    </row>
    <row r="1556" spans="1:5" ht="15" customHeight="1">
      <c r="A1556" s="976"/>
      <c r="B1556" s="847"/>
      <c r="C1556" s="415">
        <v>350</v>
      </c>
      <c r="D1556" s="150" t="s">
        <v>4670</v>
      </c>
      <c r="E1556" s="423">
        <v>575000</v>
      </c>
    </row>
    <row r="1557" spans="1:5" ht="15" customHeight="1">
      <c r="A1557" s="977" t="s">
        <v>4181</v>
      </c>
      <c r="B1557" s="850" t="s">
        <v>1814</v>
      </c>
      <c r="C1557" s="539">
        <v>100</v>
      </c>
      <c r="D1557" s="548" t="s">
        <v>4182</v>
      </c>
      <c r="E1557" s="547">
        <v>153000</v>
      </c>
    </row>
    <row r="1558" spans="1:5" ht="15" customHeight="1">
      <c r="A1558" s="978" t="str">
        <f>A1557</f>
        <v xml:space="preserve">  엑스퍼 (XPER)        </v>
      </c>
      <c r="B1558" s="846"/>
      <c r="C1558" s="415">
        <v>120</v>
      </c>
      <c r="D1558" s="150" t="s">
        <v>4183</v>
      </c>
      <c r="E1558" s="423">
        <v>184000</v>
      </c>
    </row>
    <row r="1559" spans="1:5" ht="15" customHeight="1">
      <c r="A1559" s="978" t="str">
        <f>A1558</f>
        <v xml:space="preserve">  엑스퍼 (XPER)        </v>
      </c>
      <c r="B1559" s="846"/>
      <c r="C1559" s="415">
        <v>140</v>
      </c>
      <c r="D1559" s="150" t="s">
        <v>2118</v>
      </c>
      <c r="E1559" s="423">
        <v>215000</v>
      </c>
    </row>
    <row r="1560" spans="1:5" ht="15" customHeight="1">
      <c r="A1560" s="978" t="str">
        <f>A1559</f>
        <v xml:space="preserve">  엑스퍼 (XPER)        </v>
      </c>
      <c r="B1560" s="846"/>
      <c r="C1560" s="415">
        <v>200</v>
      </c>
      <c r="D1560" s="150" t="s">
        <v>2119</v>
      </c>
      <c r="E1560" s="423">
        <v>306000</v>
      </c>
    </row>
    <row r="1561" spans="1:5" ht="15" customHeight="1">
      <c r="A1561" s="978" t="str">
        <f>A1560</f>
        <v xml:space="preserve">  엑스퍼 (XPER)        </v>
      </c>
      <c r="B1561" s="846"/>
      <c r="C1561" s="415">
        <v>250</v>
      </c>
      <c r="D1561" s="150" t="s">
        <v>4184</v>
      </c>
      <c r="E1561" s="423">
        <v>385000</v>
      </c>
    </row>
    <row r="1562" spans="1:5" ht="15" customHeight="1">
      <c r="A1562" s="978"/>
      <c r="B1562" s="846"/>
      <c r="C1562" s="287">
        <v>320</v>
      </c>
      <c r="D1562" s="288" t="s">
        <v>1991</v>
      </c>
      <c r="E1562" s="289">
        <v>490000</v>
      </c>
    </row>
    <row r="1563" spans="1:5" ht="15" customHeight="1">
      <c r="A1563" s="978" t="str">
        <f>A1561</f>
        <v xml:space="preserve">  엑스퍼 (XPER)        </v>
      </c>
      <c r="B1563" s="851"/>
      <c r="C1563" s="287">
        <v>100</v>
      </c>
      <c r="D1563" s="288" t="s">
        <v>4185</v>
      </c>
      <c r="E1563" s="289">
        <v>112000</v>
      </c>
    </row>
    <row r="1564" spans="1:5" ht="15" customHeight="1">
      <c r="A1564" s="978" t="str">
        <f>A1563</f>
        <v xml:space="preserve">  엑스퍼 (XPER)        </v>
      </c>
      <c r="B1564" s="848" t="s">
        <v>1895</v>
      </c>
      <c r="C1564" s="415">
        <v>100</v>
      </c>
      <c r="D1564" s="150" t="s">
        <v>4186</v>
      </c>
      <c r="E1564" s="423">
        <v>107000</v>
      </c>
    </row>
    <row r="1565" spans="1:5" ht="15" customHeight="1">
      <c r="A1565" s="978" t="str">
        <f>A1564</f>
        <v xml:space="preserve">  엑스퍼 (XPER)        </v>
      </c>
      <c r="B1565" s="846"/>
      <c r="C1565" s="415">
        <v>120</v>
      </c>
      <c r="D1565" s="150" t="s">
        <v>4187</v>
      </c>
      <c r="E1565" s="423">
        <v>128000</v>
      </c>
    </row>
    <row r="1566" spans="1:5" ht="15" customHeight="1">
      <c r="A1566" s="978" t="str">
        <f>A1565</f>
        <v xml:space="preserve">  엑스퍼 (XPER)        </v>
      </c>
      <c r="B1566" s="846"/>
      <c r="C1566" s="415">
        <v>140</v>
      </c>
      <c r="D1566" s="150" t="s">
        <v>4188</v>
      </c>
      <c r="E1566" s="423">
        <v>149000</v>
      </c>
    </row>
    <row r="1567" spans="1:5" ht="15" customHeight="1">
      <c r="A1567" s="978" t="str">
        <f>A1566</f>
        <v xml:space="preserve">  엑스퍼 (XPER)        </v>
      </c>
      <c r="B1567" s="846"/>
      <c r="C1567" s="415">
        <v>200</v>
      </c>
      <c r="D1567" s="150" t="s">
        <v>4189</v>
      </c>
      <c r="E1567" s="423">
        <v>214000</v>
      </c>
    </row>
    <row r="1568" spans="1:5" ht="15" customHeight="1">
      <c r="A1568" s="978"/>
      <c r="B1568" s="846"/>
      <c r="C1568" s="287">
        <v>250</v>
      </c>
      <c r="D1568" s="288" t="s">
        <v>4190</v>
      </c>
      <c r="E1568" s="289">
        <v>267000</v>
      </c>
    </row>
    <row r="1569" spans="1:5" ht="15" customHeight="1">
      <c r="A1569" s="978"/>
      <c r="B1569" s="846"/>
      <c r="C1569" s="415">
        <v>100</v>
      </c>
      <c r="D1569" s="150" t="s">
        <v>4191</v>
      </c>
      <c r="E1569" s="423">
        <v>78000</v>
      </c>
    </row>
    <row r="1570" spans="1:5" ht="15" customHeight="1">
      <c r="A1570" s="979" t="str">
        <f>A1567</f>
        <v xml:space="preserve">  엑스퍼 (XPER)        </v>
      </c>
      <c r="B1570" s="847"/>
      <c r="C1570" s="171">
        <v>120</v>
      </c>
      <c r="D1570" s="237" t="s">
        <v>4192</v>
      </c>
      <c r="E1570" s="238">
        <v>95000</v>
      </c>
    </row>
    <row r="1571" spans="1:5" ht="15" customHeight="1">
      <c r="A1571" s="938" t="s">
        <v>4193</v>
      </c>
      <c r="B1571" s="850" t="s">
        <v>4194</v>
      </c>
      <c r="C1571" s="539">
        <v>65</v>
      </c>
      <c r="D1571" s="572" t="s">
        <v>4195</v>
      </c>
      <c r="E1571" s="573">
        <v>630000</v>
      </c>
    </row>
    <row r="1572" spans="1:5" ht="15" customHeight="1">
      <c r="A1572" s="938" t="str">
        <f t="shared" ref="A1572:A1577" si="61">A1571</f>
        <v>엔듀로아이스
(ENI)</v>
      </c>
      <c r="B1572" s="846"/>
      <c r="C1572" s="415">
        <v>80</v>
      </c>
      <c r="D1572" s="222" t="s">
        <v>4196</v>
      </c>
      <c r="E1572" s="425">
        <v>900000</v>
      </c>
    </row>
    <row r="1573" spans="1:5" ht="15" customHeight="1">
      <c r="A1573" s="938" t="str">
        <f t="shared" si="61"/>
        <v>엔듀로아이스
(ENI)</v>
      </c>
      <c r="B1573" s="846"/>
      <c r="C1573" s="415">
        <v>125</v>
      </c>
      <c r="D1573" s="257" t="s">
        <v>4197</v>
      </c>
      <c r="E1573" s="424">
        <v>925000</v>
      </c>
    </row>
    <row r="1574" spans="1:5" ht="15" customHeight="1">
      <c r="A1574" s="938" t="str">
        <f t="shared" si="61"/>
        <v>엔듀로아이스
(ENI)</v>
      </c>
      <c r="B1574" s="846"/>
      <c r="C1574" s="415">
        <v>170</v>
      </c>
      <c r="D1574" s="257" t="s">
        <v>4198</v>
      </c>
      <c r="E1574" s="424">
        <v>1100000</v>
      </c>
    </row>
    <row r="1575" spans="1:5" ht="15" customHeight="1">
      <c r="A1575" s="938" t="str">
        <f t="shared" si="61"/>
        <v>엔듀로아이스
(ENI)</v>
      </c>
      <c r="B1575" s="846"/>
      <c r="C1575" s="415">
        <v>175</v>
      </c>
      <c r="D1575" s="257" t="s">
        <v>4199</v>
      </c>
      <c r="E1575" s="424">
        <v>1170000</v>
      </c>
    </row>
    <row r="1576" spans="1:5" ht="15" customHeight="1">
      <c r="A1576" s="938" t="str">
        <f t="shared" si="61"/>
        <v>엔듀로아이스
(ENI)</v>
      </c>
      <c r="B1576" s="846"/>
      <c r="C1576" s="415">
        <v>215</v>
      </c>
      <c r="D1576" s="257" t="s">
        <v>4200</v>
      </c>
      <c r="E1576" s="424">
        <v>1360000</v>
      </c>
    </row>
    <row r="1577" spans="1:5" ht="15" customHeight="1">
      <c r="A1577" s="938" t="str">
        <f t="shared" si="61"/>
        <v>엔듀로아이스
(ENI)</v>
      </c>
      <c r="B1577" s="847"/>
      <c r="C1577" s="171">
        <v>260</v>
      </c>
      <c r="D1577" s="258" t="s">
        <v>4201</v>
      </c>
      <c r="E1577" s="424">
        <v>1575000</v>
      </c>
    </row>
    <row r="1578" spans="1:5" ht="15" customHeight="1">
      <c r="A1578" s="969" t="s">
        <v>4202</v>
      </c>
      <c r="B1578" s="574" t="s">
        <v>1972</v>
      </c>
      <c r="C1578" s="575">
        <v>50</v>
      </c>
      <c r="D1578" s="576" t="s">
        <v>4203</v>
      </c>
      <c r="E1578" s="577">
        <v>60000</v>
      </c>
    </row>
    <row r="1579" spans="1:5" ht="15" customHeight="1">
      <c r="A1579" s="922" t="str">
        <f t="shared" ref="A1579:A1589" si="62">A1578</f>
        <v>MF크라프트
(MF)</v>
      </c>
      <c r="B1579" s="856" t="s">
        <v>1814</v>
      </c>
      <c r="C1579" s="415">
        <v>80</v>
      </c>
      <c r="D1579" s="150" t="s">
        <v>3183</v>
      </c>
      <c r="E1579" s="423">
        <v>103000</v>
      </c>
    </row>
    <row r="1580" spans="1:5" ht="15" customHeight="1">
      <c r="A1580" s="922" t="str">
        <f t="shared" si="62"/>
        <v>MF크라프트
(MF)</v>
      </c>
      <c r="B1580" s="846"/>
      <c r="C1580" s="415">
        <v>120</v>
      </c>
      <c r="D1580" s="150" t="s">
        <v>3184</v>
      </c>
      <c r="E1580" s="423">
        <v>155000</v>
      </c>
    </row>
    <row r="1581" spans="1:5" ht="15" customHeight="1">
      <c r="A1581" s="922" t="str">
        <f t="shared" si="62"/>
        <v>MF크라프트
(MF)</v>
      </c>
      <c r="B1581" s="851"/>
      <c r="C1581" s="415">
        <v>120</v>
      </c>
      <c r="D1581" s="150" t="s">
        <v>4204</v>
      </c>
      <c r="E1581" s="289">
        <v>145000</v>
      </c>
    </row>
    <row r="1582" spans="1:5" ht="15" customHeight="1">
      <c r="A1582" s="922" t="str">
        <f t="shared" si="62"/>
        <v>MF크라프트
(MF)</v>
      </c>
      <c r="B1582" s="848" t="s">
        <v>1811</v>
      </c>
      <c r="C1582" s="89">
        <v>80</v>
      </c>
      <c r="D1582" s="153" t="s">
        <v>3185</v>
      </c>
      <c r="E1582" s="423">
        <v>130000</v>
      </c>
    </row>
    <row r="1583" spans="1:5" ht="15" customHeight="1">
      <c r="A1583" s="922" t="str">
        <f t="shared" si="62"/>
        <v>MF크라프트
(MF)</v>
      </c>
      <c r="B1583" s="846"/>
      <c r="C1583" s="415">
        <v>120</v>
      </c>
      <c r="D1583" s="150" t="s">
        <v>3186</v>
      </c>
      <c r="E1583" s="423">
        <v>195000</v>
      </c>
    </row>
    <row r="1584" spans="1:5" ht="14.4" customHeight="1">
      <c r="A1584" s="922" t="str">
        <f t="shared" si="62"/>
        <v>MF크라프트
(MF)</v>
      </c>
      <c r="B1584" s="851"/>
      <c r="C1584" s="415">
        <v>120</v>
      </c>
      <c r="D1584" s="150" t="s">
        <v>4205</v>
      </c>
      <c r="E1584" s="289">
        <v>180000</v>
      </c>
    </row>
    <row r="1585" spans="1:5" ht="14.4" customHeight="1">
      <c r="A1585" s="922" t="str">
        <f t="shared" si="62"/>
        <v>MF크라프트
(MF)</v>
      </c>
      <c r="B1585" s="848" t="s">
        <v>4206</v>
      </c>
      <c r="C1585" s="89">
        <v>120</v>
      </c>
      <c r="D1585" s="578" t="s">
        <v>4207</v>
      </c>
      <c r="E1585" s="241">
        <v>180000</v>
      </c>
    </row>
    <row r="1586" spans="1:5" ht="14.4" customHeight="1">
      <c r="A1586" s="922" t="str">
        <f t="shared" si="62"/>
        <v>MF크라프트
(MF)</v>
      </c>
      <c r="B1586" s="852"/>
      <c r="C1586" s="415">
        <v>120</v>
      </c>
      <c r="D1586" s="579" t="s">
        <v>4208</v>
      </c>
      <c r="E1586" s="423">
        <v>180000</v>
      </c>
    </row>
    <row r="1587" spans="1:5" ht="14.4" customHeight="1">
      <c r="A1587" s="922" t="str">
        <f t="shared" si="62"/>
        <v>MF크라프트
(MF)</v>
      </c>
      <c r="B1587" s="856" t="s">
        <v>4168</v>
      </c>
      <c r="C1587" s="91">
        <v>50</v>
      </c>
      <c r="D1587" s="580" t="s">
        <v>1755</v>
      </c>
      <c r="E1587" s="283" t="s">
        <v>1755</v>
      </c>
    </row>
    <row r="1588" spans="1:5" ht="14.4" customHeight="1">
      <c r="A1588" s="922" t="str">
        <f t="shared" si="62"/>
        <v>MF크라프트
(MF)</v>
      </c>
      <c r="B1588" s="846"/>
      <c r="C1588" s="415">
        <v>80</v>
      </c>
      <c r="D1588" s="579"/>
      <c r="E1588" s="423"/>
    </row>
    <row r="1589" spans="1:5" ht="14.4" customHeight="1">
      <c r="A1589" s="923" t="str">
        <f t="shared" si="62"/>
        <v>MF크라프트
(MF)</v>
      </c>
      <c r="B1589" s="847"/>
      <c r="C1589" s="171">
        <v>120</v>
      </c>
      <c r="D1589" s="581" t="s">
        <v>1755</v>
      </c>
      <c r="E1589" s="238" t="s">
        <v>1755</v>
      </c>
    </row>
    <row r="1590" spans="1:5" ht="14.4" customHeight="1">
      <c r="A1590" s="969" t="s">
        <v>4209</v>
      </c>
      <c r="B1590" s="850" t="s">
        <v>1757</v>
      </c>
      <c r="C1590" s="539">
        <v>120</v>
      </c>
      <c r="D1590" s="572" t="s">
        <v>4210</v>
      </c>
      <c r="E1590" s="573">
        <v>100000</v>
      </c>
    </row>
    <row r="1591" spans="1:5" ht="14.4" customHeight="1">
      <c r="A1591" s="948" t="str">
        <f t="shared" ref="A1591:A1605" si="63">A1590</f>
        <v>MG크라프트
(MG)</v>
      </c>
      <c r="B1591" s="846"/>
      <c r="C1591" s="287">
        <v>120</v>
      </c>
      <c r="D1591" s="348" t="s">
        <v>4211</v>
      </c>
      <c r="E1591" s="341">
        <v>145000</v>
      </c>
    </row>
    <row r="1592" spans="1:5" ht="14.4" customHeight="1">
      <c r="A1592" s="948" t="str">
        <f t="shared" si="63"/>
        <v>MG크라프트
(MG)</v>
      </c>
      <c r="B1592" s="846"/>
      <c r="C1592" s="415">
        <v>50</v>
      </c>
      <c r="D1592" s="866" t="s">
        <v>4212</v>
      </c>
      <c r="E1592" s="423">
        <v>76000</v>
      </c>
    </row>
    <row r="1593" spans="1:5" ht="14.4" customHeight="1">
      <c r="A1593" s="948" t="str">
        <f t="shared" si="63"/>
        <v>MG크라프트
(MG)</v>
      </c>
      <c r="B1593" s="846"/>
      <c r="C1593" s="415">
        <v>80</v>
      </c>
      <c r="D1593" s="867"/>
      <c r="E1593" s="423">
        <v>121000</v>
      </c>
    </row>
    <row r="1594" spans="1:5" ht="14.4" customHeight="1">
      <c r="A1594" s="948" t="str">
        <f t="shared" si="63"/>
        <v>MG크라프트
(MG)</v>
      </c>
      <c r="B1594" s="846"/>
      <c r="C1594" s="415">
        <v>100</v>
      </c>
      <c r="D1594" s="867"/>
      <c r="E1594" s="423">
        <v>151000</v>
      </c>
    </row>
    <row r="1595" spans="1:5" s="93" customFormat="1" ht="14.4" customHeight="1">
      <c r="A1595" s="948" t="str">
        <f t="shared" si="63"/>
        <v>MG크라프트
(MG)</v>
      </c>
      <c r="B1595" s="846"/>
      <c r="C1595" s="415">
        <v>120</v>
      </c>
      <c r="D1595" s="867"/>
      <c r="E1595" s="423">
        <v>182000</v>
      </c>
    </row>
    <row r="1596" spans="1:5" s="93" customFormat="1" ht="14.4" customHeight="1">
      <c r="A1596" s="948" t="str">
        <f t="shared" si="63"/>
        <v>MG크라프트
(MG)</v>
      </c>
      <c r="B1596" s="851"/>
      <c r="C1596" s="287">
        <v>140</v>
      </c>
      <c r="D1596" s="868"/>
      <c r="E1596" s="289">
        <v>212000</v>
      </c>
    </row>
    <row r="1597" spans="1:5" s="93" customFormat="1" ht="14.4" customHeight="1">
      <c r="A1597" s="948" t="str">
        <f t="shared" si="63"/>
        <v>MG크라프트
(MG)</v>
      </c>
      <c r="B1597" s="848" t="s">
        <v>1811</v>
      </c>
      <c r="C1597" s="415">
        <v>50</v>
      </c>
      <c r="D1597" s="866" t="s">
        <v>4212</v>
      </c>
      <c r="E1597" s="423">
        <v>95000</v>
      </c>
    </row>
    <row r="1598" spans="1:5" s="93" customFormat="1" ht="14.4" customHeight="1">
      <c r="A1598" s="948" t="str">
        <f t="shared" si="63"/>
        <v>MG크라프트
(MG)</v>
      </c>
      <c r="B1598" s="846"/>
      <c r="C1598" s="415">
        <v>80</v>
      </c>
      <c r="D1598" s="867"/>
      <c r="E1598" s="423">
        <v>152000</v>
      </c>
    </row>
    <row r="1599" spans="1:5" s="93" customFormat="1" ht="14.4" customHeight="1">
      <c r="A1599" s="948" t="str">
        <f t="shared" si="63"/>
        <v>MG크라프트
(MG)</v>
      </c>
      <c r="B1599" s="846"/>
      <c r="C1599" s="415">
        <v>100</v>
      </c>
      <c r="D1599" s="867"/>
      <c r="E1599" s="423">
        <v>190000</v>
      </c>
    </row>
    <row r="1600" spans="1:5" s="93" customFormat="1" ht="14.4" customHeight="1">
      <c r="A1600" s="948" t="str">
        <f t="shared" si="63"/>
        <v>MG크라프트
(MG)</v>
      </c>
      <c r="B1600" s="846"/>
      <c r="C1600" s="415">
        <v>120</v>
      </c>
      <c r="D1600" s="867"/>
      <c r="E1600" s="423">
        <v>228000</v>
      </c>
    </row>
    <row r="1601" spans="1:5" s="93" customFormat="1" ht="14.4" customHeight="1">
      <c r="A1601" s="948" t="str">
        <f t="shared" si="63"/>
        <v>MG크라프트
(MG)</v>
      </c>
      <c r="B1601" s="851"/>
      <c r="C1601" s="287">
        <v>140</v>
      </c>
      <c r="D1601" s="868"/>
      <c r="E1601" s="289">
        <v>267000</v>
      </c>
    </row>
    <row r="1602" spans="1:5" s="93" customFormat="1" ht="14.4" customHeight="1">
      <c r="A1602" s="948" t="str">
        <f t="shared" si="63"/>
        <v>MG크라프트
(MG)</v>
      </c>
      <c r="B1602" s="848" t="s">
        <v>4206</v>
      </c>
      <c r="C1602" s="89">
        <v>120</v>
      </c>
      <c r="D1602" s="363" t="s">
        <v>4213</v>
      </c>
      <c r="E1602" s="364">
        <v>180000</v>
      </c>
    </row>
    <row r="1603" spans="1:5" s="93" customFormat="1" ht="14.4" customHeight="1">
      <c r="A1603" s="948" t="str">
        <f t="shared" si="63"/>
        <v>MG크라프트
(MG)</v>
      </c>
      <c r="B1603" s="851"/>
      <c r="C1603" s="287">
        <v>140</v>
      </c>
      <c r="D1603" s="348" t="s">
        <v>4213</v>
      </c>
      <c r="E1603" s="341">
        <v>210000</v>
      </c>
    </row>
    <row r="1604" spans="1:5" s="93" customFormat="1" ht="14.4" customHeight="1">
      <c r="A1604" s="948" t="str">
        <f t="shared" si="63"/>
        <v>MG크라프트
(MG)</v>
      </c>
      <c r="B1604" s="87" t="s">
        <v>4214</v>
      </c>
      <c r="C1604" s="415" t="s">
        <v>3305</v>
      </c>
      <c r="D1604" s="150" t="s">
        <v>4212</v>
      </c>
      <c r="E1604" s="423" t="s">
        <v>1755</v>
      </c>
    </row>
    <row r="1605" spans="1:5" s="93" customFormat="1" ht="14.4" customHeight="1">
      <c r="A1605" s="948" t="str">
        <f t="shared" si="63"/>
        <v>MG크라프트
(MG)</v>
      </c>
      <c r="B1605" s="87" t="s">
        <v>1826</v>
      </c>
      <c r="C1605" s="415" t="s">
        <v>3305</v>
      </c>
      <c r="D1605" s="150" t="s">
        <v>1755</v>
      </c>
      <c r="E1605" s="423" t="s">
        <v>1755</v>
      </c>
    </row>
    <row r="1606" spans="1:5" s="93" customFormat="1" ht="14.4" customHeight="1">
      <c r="A1606" s="980" t="s">
        <v>2120</v>
      </c>
      <c r="B1606" s="845" t="s">
        <v>1814</v>
      </c>
      <c r="C1606" s="349">
        <v>130</v>
      </c>
      <c r="D1606" s="441" t="s">
        <v>1829</v>
      </c>
      <c r="E1606" s="351">
        <v>175000</v>
      </c>
    </row>
    <row r="1607" spans="1:5" s="93" customFormat="1" ht="14.4" customHeight="1">
      <c r="A1607" s="946" t="str">
        <f>A1606</f>
        <v>SA크라프트
(SAK)</v>
      </c>
      <c r="B1607" s="851"/>
      <c r="C1607" s="415">
        <v>160</v>
      </c>
      <c r="D1607" s="167" t="s">
        <v>1831</v>
      </c>
      <c r="E1607" s="423">
        <v>215000</v>
      </c>
    </row>
    <row r="1608" spans="1:5" s="93" customFormat="1" ht="14.4" customHeight="1">
      <c r="A1608" s="946" t="str">
        <f>A1607</f>
        <v>SA크라프트
(SAK)</v>
      </c>
      <c r="B1608" s="848" t="s">
        <v>1839</v>
      </c>
      <c r="C1608" s="89">
        <v>130</v>
      </c>
      <c r="D1608" s="168" t="s">
        <v>1830</v>
      </c>
      <c r="E1608" s="241">
        <v>220000</v>
      </c>
    </row>
    <row r="1609" spans="1:5" s="93" customFormat="1" ht="14.4" customHeight="1">
      <c r="A1609" s="946" t="str">
        <f>A1608</f>
        <v>SA크라프트
(SAK)</v>
      </c>
      <c r="B1609" s="851"/>
      <c r="C1609" s="287">
        <v>160</v>
      </c>
      <c r="D1609" s="322" t="s">
        <v>1832</v>
      </c>
      <c r="E1609" s="289">
        <v>270000</v>
      </c>
    </row>
    <row r="1610" spans="1:5" s="93" customFormat="1" ht="14.4" customHeight="1">
      <c r="A1610" s="946" t="str">
        <f>A1609</f>
        <v>SA크라프트
(SAK)</v>
      </c>
      <c r="B1610" s="848" t="s">
        <v>2121</v>
      </c>
      <c r="C1610" s="415">
        <v>130</v>
      </c>
      <c r="D1610" s="167" t="s">
        <v>2085</v>
      </c>
      <c r="E1610" s="423"/>
    </row>
    <row r="1611" spans="1:5" s="93" customFormat="1" ht="14.4" customHeight="1">
      <c r="A1611" s="981" t="str">
        <f>A1610</f>
        <v>SA크라프트
(SAK)</v>
      </c>
      <c r="B1611" s="849"/>
      <c r="C1611" s="154">
        <v>160</v>
      </c>
      <c r="D1611" s="179" t="s">
        <v>2005</v>
      </c>
      <c r="E1611" s="289" t="s">
        <v>1755</v>
      </c>
    </row>
    <row r="1612" spans="1:5" s="93" customFormat="1" ht="14.4" customHeight="1">
      <c r="A1612" s="975" t="s">
        <v>3187</v>
      </c>
      <c r="B1612" s="845" t="s">
        <v>1972</v>
      </c>
      <c r="C1612" s="419">
        <v>115</v>
      </c>
      <c r="D1612" s="419" t="s">
        <v>2122</v>
      </c>
      <c r="E1612" s="423">
        <v>210000</v>
      </c>
    </row>
    <row r="1613" spans="1:5" s="93" customFormat="1" ht="14.4" customHeight="1">
      <c r="A1613" s="955"/>
      <c r="B1613" s="846"/>
      <c r="C1613" s="419">
        <v>150</v>
      </c>
      <c r="D1613" s="240" t="s">
        <v>2246</v>
      </c>
      <c r="E1613" s="423">
        <v>275000</v>
      </c>
    </row>
    <row r="1614" spans="1:5" s="93" customFormat="1" ht="14.4" customHeight="1">
      <c r="A1614" s="956"/>
      <c r="B1614" s="849"/>
      <c r="C1614" s="419">
        <v>300</v>
      </c>
      <c r="D1614" s="150">
        <v>3</v>
      </c>
      <c r="E1614" s="238">
        <v>550000</v>
      </c>
    </row>
    <row r="1615" spans="1:5" s="93" customFormat="1" ht="14.4" customHeight="1">
      <c r="A1615" s="927" t="s">
        <v>4215</v>
      </c>
      <c r="B1615" s="582" t="s">
        <v>4216</v>
      </c>
      <c r="C1615" s="583">
        <v>100</v>
      </c>
      <c r="D1615" s="444" t="s">
        <v>4217</v>
      </c>
      <c r="E1615" s="445" t="s">
        <v>1940</v>
      </c>
    </row>
    <row r="1616" spans="1:5" s="93" customFormat="1" ht="14.4" customHeight="1">
      <c r="A1616" s="922" t="str">
        <f t="shared" ref="A1616:A1625" si="64">A1615</f>
        <v>올드밀 
(OLD)</v>
      </c>
      <c r="B1616" s="848" t="s">
        <v>1972</v>
      </c>
      <c r="C1616" s="419">
        <v>100</v>
      </c>
      <c r="D1616" s="150" t="s">
        <v>4218</v>
      </c>
      <c r="E1616" s="423">
        <v>225000</v>
      </c>
    </row>
    <row r="1617" spans="1:5" s="93" customFormat="1" ht="14.4" customHeight="1">
      <c r="A1617" s="922" t="str">
        <f t="shared" si="64"/>
        <v>올드밀 
(OLD)</v>
      </c>
      <c r="B1617" s="846"/>
      <c r="C1617" s="419">
        <v>130</v>
      </c>
      <c r="D1617" s="150">
        <v>2</v>
      </c>
      <c r="E1617" s="423">
        <v>293000</v>
      </c>
    </row>
    <row r="1618" spans="1:5" s="93" customFormat="1" ht="14.4" customHeight="1">
      <c r="A1618" s="922" t="str">
        <f t="shared" si="64"/>
        <v>올드밀 
(OLD)</v>
      </c>
      <c r="B1618" s="846"/>
      <c r="C1618" s="419">
        <v>220</v>
      </c>
      <c r="D1618" s="150">
        <v>3</v>
      </c>
      <c r="E1618" s="423">
        <v>495000</v>
      </c>
    </row>
    <row r="1619" spans="1:5" s="93" customFormat="1" ht="14.4" customHeight="1">
      <c r="A1619" s="922" t="str">
        <f t="shared" si="64"/>
        <v>올드밀 
(OLD)</v>
      </c>
      <c r="B1619" s="846"/>
      <c r="C1619" s="419">
        <v>250</v>
      </c>
      <c r="D1619" s="150">
        <v>4</v>
      </c>
      <c r="E1619" s="423">
        <v>565000</v>
      </c>
    </row>
    <row r="1620" spans="1:5" s="93" customFormat="1" ht="14.4" customHeight="1">
      <c r="A1620" s="922" t="str">
        <f t="shared" si="64"/>
        <v>올드밀 
(OLD)</v>
      </c>
      <c r="B1620" s="846"/>
      <c r="C1620" s="419">
        <v>300</v>
      </c>
      <c r="D1620" s="150">
        <v>5</v>
      </c>
      <c r="E1620" s="423">
        <v>675000</v>
      </c>
    </row>
    <row r="1621" spans="1:5" s="93" customFormat="1" ht="14.4" customHeight="1">
      <c r="A1621" s="922" t="str">
        <f t="shared" si="64"/>
        <v>올드밀 
(OLD)</v>
      </c>
      <c r="B1621" s="846"/>
      <c r="C1621" s="419">
        <v>350</v>
      </c>
      <c r="D1621" s="150">
        <v>6</v>
      </c>
      <c r="E1621" s="423">
        <v>790000</v>
      </c>
    </row>
    <row r="1622" spans="1:5" s="93" customFormat="1" ht="14.4" customHeight="1">
      <c r="A1622" s="922" t="str">
        <f t="shared" si="64"/>
        <v>올드밀 
(OLD)</v>
      </c>
      <c r="B1622" s="851"/>
      <c r="C1622" s="311">
        <v>510</v>
      </c>
      <c r="D1622" s="311">
        <v>7</v>
      </c>
      <c r="E1622" s="289">
        <v>1190000</v>
      </c>
    </row>
    <row r="1623" spans="1:5" s="93" customFormat="1" ht="14.4" customHeight="1">
      <c r="A1623" s="922" t="str">
        <f t="shared" si="64"/>
        <v>올드밀 
(OLD)</v>
      </c>
      <c r="B1623" s="848" t="s">
        <v>1895</v>
      </c>
      <c r="C1623" s="419">
        <v>100</v>
      </c>
      <c r="D1623" s="419" t="s">
        <v>4219</v>
      </c>
      <c r="E1623" s="423">
        <v>157000</v>
      </c>
    </row>
    <row r="1624" spans="1:5" s="93" customFormat="1" ht="14.4" customHeight="1">
      <c r="A1624" s="922" t="str">
        <f t="shared" si="64"/>
        <v>올드밀 
(OLD)</v>
      </c>
      <c r="B1624" s="846"/>
      <c r="C1624" s="419">
        <v>130</v>
      </c>
      <c r="D1624" s="419">
        <v>8</v>
      </c>
      <c r="E1624" s="423">
        <v>204000</v>
      </c>
    </row>
    <row r="1625" spans="1:5" s="93" customFormat="1" ht="14.4" customHeight="1">
      <c r="A1625" s="922" t="str">
        <f t="shared" si="64"/>
        <v>올드밀 
(OLD)</v>
      </c>
      <c r="B1625" s="846"/>
      <c r="C1625" s="419">
        <v>220</v>
      </c>
      <c r="D1625" s="419">
        <v>9</v>
      </c>
      <c r="E1625" s="423">
        <v>344000</v>
      </c>
    </row>
    <row r="1626" spans="1:5" s="93" customFormat="1" ht="14.4" customHeight="1">
      <c r="A1626" s="922"/>
      <c r="B1626" s="846"/>
      <c r="C1626" s="419">
        <v>250</v>
      </c>
      <c r="D1626" s="150">
        <v>10</v>
      </c>
      <c r="E1626" s="423">
        <v>393000</v>
      </c>
    </row>
    <row r="1627" spans="1:5" s="93" customFormat="1" ht="14.4" customHeight="1">
      <c r="A1627" s="922" t="str">
        <f>A1625</f>
        <v>올드밀 
(OLD)</v>
      </c>
      <c r="B1627" s="851"/>
      <c r="C1627" s="419">
        <v>350</v>
      </c>
      <c r="D1627" s="419">
        <v>16</v>
      </c>
      <c r="E1627" s="423">
        <v>560000</v>
      </c>
    </row>
    <row r="1628" spans="1:5" s="93" customFormat="1" ht="14.4" customHeight="1">
      <c r="A1628" s="922" t="str">
        <f>A1627</f>
        <v>올드밀 
(OLD)</v>
      </c>
      <c r="B1628" s="848" t="s">
        <v>4220</v>
      </c>
      <c r="C1628" s="270">
        <v>220</v>
      </c>
      <c r="D1628" s="270" t="s">
        <v>4221</v>
      </c>
      <c r="E1628" s="241">
        <v>248000</v>
      </c>
    </row>
    <row r="1629" spans="1:5" s="93" customFormat="1" ht="14.4" customHeight="1">
      <c r="A1629" s="922" t="e">
        <f>#REF!</f>
        <v>#REF!</v>
      </c>
      <c r="B1629" s="846"/>
      <c r="C1629" s="419">
        <v>250</v>
      </c>
      <c r="D1629" s="584" t="s">
        <v>3761</v>
      </c>
      <c r="E1629" s="423">
        <v>281000</v>
      </c>
    </row>
    <row r="1630" spans="1:5" s="93" customFormat="1" ht="14.4" customHeight="1">
      <c r="A1630" s="922" t="e">
        <f t="shared" ref="A1630:A1636" si="65">A1629</f>
        <v>#REF!</v>
      </c>
      <c r="B1630" s="846"/>
      <c r="C1630" s="419">
        <v>300</v>
      </c>
      <c r="D1630" s="429" t="s">
        <v>3761</v>
      </c>
      <c r="E1630" s="423">
        <v>338000</v>
      </c>
    </row>
    <row r="1631" spans="1:5" s="93" customFormat="1" ht="14.4" customHeight="1">
      <c r="A1631" s="922" t="e">
        <f t="shared" si="65"/>
        <v>#REF!</v>
      </c>
      <c r="B1631" s="852"/>
      <c r="C1631" s="419">
        <v>350</v>
      </c>
      <c r="D1631" s="429" t="s">
        <v>3762</v>
      </c>
      <c r="E1631" s="423">
        <v>395000</v>
      </c>
    </row>
    <row r="1632" spans="1:5" s="93" customFormat="1" ht="14.4" customHeight="1">
      <c r="A1632" s="922" t="e">
        <f t="shared" si="65"/>
        <v>#REF!</v>
      </c>
      <c r="B1632" s="856" t="s">
        <v>1972</v>
      </c>
      <c r="C1632" s="389">
        <v>220</v>
      </c>
      <c r="D1632" s="389" t="s">
        <v>4222</v>
      </c>
      <c r="E1632" s="283">
        <v>495000</v>
      </c>
    </row>
    <row r="1633" spans="1:5" s="93" customFormat="1" ht="14.4" customHeight="1">
      <c r="A1633" s="922" t="e">
        <f t="shared" si="65"/>
        <v>#REF!</v>
      </c>
      <c r="B1633" s="846"/>
      <c r="C1633" s="419">
        <v>250</v>
      </c>
      <c r="D1633" s="419" t="s">
        <v>3983</v>
      </c>
      <c r="E1633" s="423">
        <v>565000</v>
      </c>
    </row>
    <row r="1634" spans="1:5" s="93" customFormat="1" ht="14.4" customHeight="1">
      <c r="A1634" s="922" t="e">
        <f t="shared" si="65"/>
        <v>#REF!</v>
      </c>
      <c r="B1634" s="846"/>
      <c r="C1634" s="419">
        <v>300</v>
      </c>
      <c r="D1634" s="419" t="s">
        <v>4223</v>
      </c>
      <c r="E1634" s="423">
        <v>675000</v>
      </c>
    </row>
    <row r="1635" spans="1:5" s="93" customFormat="1" ht="14.4" customHeight="1">
      <c r="A1635" s="922" t="e">
        <f t="shared" si="65"/>
        <v>#REF!</v>
      </c>
      <c r="B1635" s="846"/>
      <c r="C1635" s="419">
        <v>350</v>
      </c>
      <c r="D1635" s="419" t="s">
        <v>3986</v>
      </c>
      <c r="E1635" s="423">
        <v>790000</v>
      </c>
    </row>
    <row r="1636" spans="1:5" s="93" customFormat="1" ht="14.4" customHeight="1">
      <c r="A1636" s="922" t="e">
        <f t="shared" si="65"/>
        <v>#REF!</v>
      </c>
      <c r="B1636" s="849"/>
      <c r="C1636" s="162">
        <v>510</v>
      </c>
      <c r="D1636" s="162" t="s">
        <v>3987</v>
      </c>
      <c r="E1636" s="243">
        <v>1190000</v>
      </c>
    </row>
    <row r="1637" spans="1:5" s="93" customFormat="1" ht="14.4" customHeight="1">
      <c r="A1637" s="922"/>
      <c r="B1637" s="193" t="s">
        <v>1895</v>
      </c>
      <c r="C1637" s="162">
        <v>350</v>
      </c>
      <c r="D1637" s="162" t="s">
        <v>4224</v>
      </c>
      <c r="E1637" s="243">
        <v>560000</v>
      </c>
    </row>
    <row r="1638" spans="1:5" s="93" customFormat="1" ht="14.4" customHeight="1">
      <c r="A1638" s="922" t="e">
        <f>A1636</f>
        <v>#REF!</v>
      </c>
      <c r="B1638" s="845" t="s">
        <v>1972</v>
      </c>
      <c r="C1638" s="419">
        <v>130</v>
      </c>
      <c r="D1638" s="419" t="s">
        <v>4225</v>
      </c>
      <c r="E1638" s="423">
        <v>293000</v>
      </c>
    </row>
    <row r="1639" spans="1:5" s="93" customFormat="1" ht="14.4" customHeight="1">
      <c r="A1639" s="922" t="e">
        <f t="shared" ref="A1639:A1646" si="66">A1638</f>
        <v>#REF!</v>
      </c>
      <c r="B1639" s="846"/>
      <c r="C1639" s="419">
        <v>220</v>
      </c>
      <c r="D1639" s="419" t="s">
        <v>2123</v>
      </c>
      <c r="E1639" s="423">
        <v>495000</v>
      </c>
    </row>
    <row r="1640" spans="1:5" s="93" customFormat="1" ht="14.4" customHeight="1">
      <c r="A1640" s="922" t="e">
        <f t="shared" si="66"/>
        <v>#REF!</v>
      </c>
      <c r="B1640" s="846"/>
      <c r="C1640" s="419">
        <v>250</v>
      </c>
      <c r="D1640" s="419" t="s">
        <v>2124</v>
      </c>
      <c r="E1640" s="423">
        <v>565000</v>
      </c>
    </row>
    <row r="1641" spans="1:5" s="93" customFormat="1" ht="14.4" customHeight="1">
      <c r="A1641" s="922" t="e">
        <f t="shared" si="66"/>
        <v>#REF!</v>
      </c>
      <c r="B1641" s="846"/>
      <c r="C1641" s="419">
        <v>300</v>
      </c>
      <c r="D1641" s="419" t="s">
        <v>2125</v>
      </c>
      <c r="E1641" s="423">
        <v>675000</v>
      </c>
    </row>
    <row r="1642" spans="1:5" s="93" customFormat="1" ht="14.4" customHeight="1">
      <c r="A1642" s="922" t="e">
        <f t="shared" si="66"/>
        <v>#REF!</v>
      </c>
      <c r="B1642" s="851"/>
      <c r="C1642" s="311">
        <v>350</v>
      </c>
      <c r="D1642" s="311" t="s">
        <v>4226</v>
      </c>
      <c r="E1642" s="289">
        <v>790000</v>
      </c>
    </row>
    <row r="1643" spans="1:5" s="93" customFormat="1" ht="14.4" customHeight="1">
      <c r="A1643" s="922" t="e">
        <f t="shared" si="66"/>
        <v>#REF!</v>
      </c>
      <c r="B1643" s="848" t="s">
        <v>1895</v>
      </c>
      <c r="C1643" s="419">
        <v>100</v>
      </c>
      <c r="D1643" s="419" t="s">
        <v>4227</v>
      </c>
      <c r="E1643" s="423">
        <v>157000</v>
      </c>
    </row>
    <row r="1644" spans="1:5" s="93" customFormat="1" ht="14.4" customHeight="1">
      <c r="A1644" s="922" t="e">
        <f t="shared" si="66"/>
        <v>#REF!</v>
      </c>
      <c r="B1644" s="846"/>
      <c r="C1644" s="419">
        <v>130</v>
      </c>
      <c r="D1644" s="419" t="s">
        <v>4228</v>
      </c>
      <c r="E1644" s="423">
        <v>204000</v>
      </c>
    </row>
    <row r="1645" spans="1:5" s="93" customFormat="1" ht="14.4" customHeight="1">
      <c r="A1645" s="922" t="e">
        <f t="shared" si="66"/>
        <v>#REF!</v>
      </c>
      <c r="B1645" s="846"/>
      <c r="C1645" s="419">
        <v>220</v>
      </c>
      <c r="D1645" s="419" t="s">
        <v>4229</v>
      </c>
      <c r="E1645" s="423">
        <v>344000</v>
      </c>
    </row>
    <row r="1646" spans="1:5" s="93" customFormat="1" ht="14.4" customHeight="1">
      <c r="A1646" s="922" t="e">
        <f t="shared" si="66"/>
        <v>#REF!</v>
      </c>
      <c r="B1646" s="846"/>
      <c r="C1646" s="419">
        <v>250</v>
      </c>
      <c r="D1646" s="419" t="s">
        <v>4230</v>
      </c>
      <c r="E1646" s="423">
        <v>393000</v>
      </c>
    </row>
    <row r="1647" spans="1:5" s="93" customFormat="1" ht="14.4" customHeight="1">
      <c r="A1647" s="217"/>
      <c r="B1647" s="849"/>
      <c r="C1647" s="162">
        <v>350</v>
      </c>
      <c r="D1647" s="162" t="s">
        <v>4231</v>
      </c>
      <c r="E1647" s="243">
        <v>560000</v>
      </c>
    </row>
    <row r="1648" spans="1:5" s="93" customFormat="1" ht="14.4" customHeight="1">
      <c r="A1648" s="975" t="s">
        <v>4232</v>
      </c>
      <c r="B1648" s="845" t="s">
        <v>1972</v>
      </c>
      <c r="C1648" s="386">
        <v>250</v>
      </c>
      <c r="D1648" s="386" t="s">
        <v>4233</v>
      </c>
      <c r="E1648" s="351">
        <v>565000</v>
      </c>
    </row>
    <row r="1649" spans="1:5" s="93" customFormat="1" ht="14.4" customHeight="1">
      <c r="A1649" s="970" t="str">
        <f>A1648</f>
        <v>올드밀 리사이클 
(OLDR)</v>
      </c>
      <c r="B1649" s="846"/>
      <c r="C1649" s="419">
        <v>300</v>
      </c>
      <c r="D1649" s="419" t="s">
        <v>4234</v>
      </c>
      <c r="E1649" s="423">
        <v>675000</v>
      </c>
    </row>
    <row r="1650" spans="1:5" s="93" customFormat="1" ht="14.4" customHeight="1">
      <c r="A1650" s="970" t="str">
        <f>A1649</f>
        <v>올드밀 리사이클 
(OLDR)</v>
      </c>
      <c r="B1650" s="849"/>
      <c r="C1650" s="162">
        <v>350</v>
      </c>
      <c r="D1650" s="162" t="s">
        <v>4235</v>
      </c>
      <c r="E1650" s="243">
        <v>790000</v>
      </c>
    </row>
    <row r="1651" spans="1:5" s="93" customFormat="1" ht="14.4" customHeight="1">
      <c r="A1651" s="955"/>
      <c r="B1651" s="845" t="s">
        <v>2096</v>
      </c>
      <c r="C1651" s="386">
        <v>350</v>
      </c>
      <c r="D1651" s="386" t="s">
        <v>4236</v>
      </c>
      <c r="E1651" s="351">
        <v>395000</v>
      </c>
    </row>
    <row r="1652" spans="1:5" s="93" customFormat="1" ht="14.4" customHeight="1">
      <c r="A1652" s="955"/>
      <c r="B1652" s="849"/>
      <c r="C1652" s="162">
        <v>350</v>
      </c>
      <c r="D1652" s="162" t="s">
        <v>4237</v>
      </c>
      <c r="E1652" s="243">
        <v>395000</v>
      </c>
    </row>
    <row r="1653" spans="1:5" s="93" customFormat="1" ht="14.4" customHeight="1">
      <c r="A1653" s="955"/>
      <c r="B1653" s="845" t="s">
        <v>1895</v>
      </c>
      <c r="C1653" s="386">
        <v>250</v>
      </c>
      <c r="D1653" s="386" t="s">
        <v>4238</v>
      </c>
      <c r="E1653" s="351">
        <v>393000</v>
      </c>
    </row>
    <row r="1654" spans="1:5" s="93" customFormat="1" ht="14.4" customHeight="1">
      <c r="A1654" s="955"/>
      <c r="B1654" s="846"/>
      <c r="C1654" s="419">
        <v>300</v>
      </c>
      <c r="D1654" s="419" t="s">
        <v>4239</v>
      </c>
      <c r="E1654" s="423">
        <v>480000</v>
      </c>
    </row>
    <row r="1655" spans="1:5" s="93" customFormat="1" ht="14.4" customHeight="1">
      <c r="A1655" s="982"/>
      <c r="B1655" s="849"/>
      <c r="C1655" s="162">
        <v>350</v>
      </c>
      <c r="D1655" s="162" t="s">
        <v>4240</v>
      </c>
      <c r="E1655" s="243">
        <v>560000</v>
      </c>
    </row>
    <row r="1656" spans="1:5" s="93" customFormat="1" ht="14.4" customHeight="1">
      <c r="A1656" s="983" t="s">
        <v>2126</v>
      </c>
      <c r="B1656" s="845" t="s">
        <v>1752</v>
      </c>
      <c r="C1656" s="842">
        <v>110</v>
      </c>
      <c r="D1656" s="586" t="s">
        <v>2127</v>
      </c>
      <c r="E1656" s="587">
        <v>590000</v>
      </c>
    </row>
    <row r="1657" spans="1:5" s="93" customFormat="1" ht="14.4" customHeight="1">
      <c r="A1657" s="983" t="str">
        <f t="shared" ref="A1657:A1664" si="67">A1656</f>
        <v>우드스킨
(WOOD)</v>
      </c>
      <c r="B1657" s="846"/>
      <c r="C1657" s="843"/>
      <c r="D1657" s="150" t="s">
        <v>4241</v>
      </c>
      <c r="E1657" s="423">
        <v>330000</v>
      </c>
    </row>
    <row r="1658" spans="1:5" s="93" customFormat="1" ht="14.4" customHeight="1">
      <c r="A1658" s="983" t="str">
        <f t="shared" si="67"/>
        <v>우드스킨
(WOOD)</v>
      </c>
      <c r="B1658" s="846"/>
      <c r="C1658" s="843"/>
      <c r="D1658" s="150" t="s">
        <v>4242</v>
      </c>
      <c r="E1658" s="423">
        <v>495000</v>
      </c>
    </row>
    <row r="1659" spans="1:5" s="93" customFormat="1" ht="14.4" customHeight="1">
      <c r="A1659" s="983" t="str">
        <f t="shared" si="67"/>
        <v>우드스킨
(WOOD)</v>
      </c>
      <c r="B1659" s="846"/>
      <c r="C1659" s="843"/>
      <c r="D1659" s="150" t="s">
        <v>4243</v>
      </c>
      <c r="E1659" s="423">
        <v>495000</v>
      </c>
    </row>
    <row r="1660" spans="1:5" s="93" customFormat="1" ht="14.4" customHeight="1">
      <c r="A1660" s="983" t="str">
        <f t="shared" si="67"/>
        <v>우드스킨
(WOOD)</v>
      </c>
      <c r="B1660" s="846"/>
      <c r="C1660" s="844"/>
      <c r="D1660" s="288" t="s">
        <v>2128</v>
      </c>
      <c r="E1660" s="289">
        <v>710000</v>
      </c>
    </row>
    <row r="1661" spans="1:5" s="93" customFormat="1" ht="14.4" customHeight="1">
      <c r="A1661" s="983" t="str">
        <f t="shared" si="67"/>
        <v>우드스킨
(WOOD)</v>
      </c>
      <c r="B1661" s="846"/>
      <c r="C1661" s="853">
        <v>250</v>
      </c>
      <c r="D1661" s="150" t="s">
        <v>2129</v>
      </c>
      <c r="E1661" s="423">
        <v>1350000</v>
      </c>
    </row>
    <row r="1662" spans="1:5" s="93" customFormat="1" ht="14.4" customHeight="1">
      <c r="A1662" s="983" t="str">
        <f t="shared" si="67"/>
        <v>우드스킨
(WOOD)</v>
      </c>
      <c r="B1662" s="846"/>
      <c r="C1662" s="843"/>
      <c r="D1662" s="150" t="s">
        <v>4244</v>
      </c>
      <c r="E1662" s="423">
        <v>1135000</v>
      </c>
    </row>
    <row r="1663" spans="1:5" s="93" customFormat="1" ht="14.4" customHeight="1">
      <c r="A1663" s="983" t="str">
        <f t="shared" si="67"/>
        <v>우드스킨
(WOOD)</v>
      </c>
      <c r="B1663" s="846"/>
      <c r="C1663" s="843"/>
      <c r="D1663" s="150" t="s">
        <v>2130</v>
      </c>
      <c r="E1663" s="423">
        <v>1625000</v>
      </c>
    </row>
    <row r="1664" spans="1:5" ht="14.1" customHeight="1">
      <c r="A1664" s="984" t="str">
        <f t="shared" si="67"/>
        <v>우드스킨
(WOOD)</v>
      </c>
      <c r="B1664" s="849"/>
      <c r="C1664" s="858"/>
      <c r="D1664" s="155" t="s">
        <v>4245</v>
      </c>
      <c r="E1664" s="243">
        <v>1255000</v>
      </c>
    </row>
    <row r="1665" spans="1:5" ht="14.1" customHeight="1">
      <c r="A1665" s="985" t="s">
        <v>4246</v>
      </c>
      <c r="B1665" s="845" t="s">
        <v>2131</v>
      </c>
      <c r="C1665" s="842">
        <v>110</v>
      </c>
      <c r="D1665" s="350" t="s">
        <v>4247</v>
      </c>
      <c r="E1665" s="351">
        <v>180000</v>
      </c>
    </row>
    <row r="1666" spans="1:5" ht="14.1" customHeight="1">
      <c r="A1666" s="941"/>
      <c r="B1666" s="846"/>
      <c r="C1666" s="843"/>
      <c r="D1666" s="150" t="s">
        <v>2132</v>
      </c>
      <c r="E1666" s="423">
        <v>240000</v>
      </c>
    </row>
    <row r="1667" spans="1:5" ht="14.1" customHeight="1">
      <c r="A1667" s="983" t="str">
        <f>A1665</f>
        <v>우드스탁
(WDS)</v>
      </c>
      <c r="B1667" s="846"/>
      <c r="C1667" s="844"/>
      <c r="D1667" s="288" t="s">
        <v>3188</v>
      </c>
      <c r="E1667" s="289">
        <v>240000</v>
      </c>
    </row>
    <row r="1668" spans="1:5" ht="14.1" customHeight="1">
      <c r="A1668" s="983" t="str">
        <f>A1667</f>
        <v>우드스탁
(WDS)</v>
      </c>
      <c r="B1668" s="846"/>
      <c r="C1668" s="415">
        <v>140</v>
      </c>
      <c r="D1668" s="150" t="s">
        <v>2134</v>
      </c>
      <c r="E1668" s="423">
        <v>340000</v>
      </c>
    </row>
    <row r="1669" spans="1:5" ht="14.1" customHeight="1">
      <c r="A1669" s="983" t="str">
        <f>A1668</f>
        <v>우드스탁
(WDS)</v>
      </c>
      <c r="B1669" s="846"/>
      <c r="C1669" s="853">
        <v>285</v>
      </c>
      <c r="D1669" s="153" t="s">
        <v>2135</v>
      </c>
      <c r="E1669" s="241">
        <v>480000</v>
      </c>
    </row>
    <row r="1670" spans="1:5" ht="14.1" customHeight="1">
      <c r="A1670" s="983"/>
      <c r="B1670" s="846"/>
      <c r="C1670" s="843"/>
      <c r="D1670" s="150" t="s">
        <v>3189</v>
      </c>
      <c r="E1670" s="423">
        <v>625000</v>
      </c>
    </row>
    <row r="1671" spans="1:5" ht="14.1" customHeight="1">
      <c r="A1671" s="983" t="str">
        <f>A1669</f>
        <v>우드스탁
(WDS)</v>
      </c>
      <c r="B1671" s="846"/>
      <c r="C1671" s="843"/>
      <c r="D1671" s="150" t="s">
        <v>3190</v>
      </c>
      <c r="E1671" s="423">
        <v>690000</v>
      </c>
    </row>
    <row r="1672" spans="1:5" ht="14.1" customHeight="1">
      <c r="A1672" s="984" t="str">
        <f>A1671</f>
        <v>우드스탁
(WDS)</v>
      </c>
      <c r="B1672" s="849"/>
      <c r="C1672" s="858"/>
      <c r="D1672" s="155" t="s">
        <v>4248</v>
      </c>
      <c r="E1672" s="243">
        <v>600000</v>
      </c>
    </row>
    <row r="1673" spans="1:5" ht="14.1" customHeight="1">
      <c r="A1673" s="922" t="s">
        <v>4249</v>
      </c>
      <c r="B1673" s="904" t="s">
        <v>4250</v>
      </c>
      <c r="C1673" s="415">
        <v>90</v>
      </c>
      <c r="D1673" s="150" t="s">
        <v>4251</v>
      </c>
      <c r="E1673" s="423">
        <v>190000</v>
      </c>
    </row>
    <row r="1674" spans="1:5" ht="14.1" customHeight="1">
      <c r="A1674" s="948" t="str">
        <f t="shared" ref="A1674:A1707" si="68">A1673</f>
        <v>위너스
(WIN)</v>
      </c>
      <c r="B1674" s="870"/>
      <c r="C1674" s="415">
        <v>105</v>
      </c>
      <c r="D1674" s="150"/>
      <c r="E1674" s="423">
        <v>220000</v>
      </c>
    </row>
    <row r="1675" spans="1:5" ht="14.1" customHeight="1">
      <c r="A1675" s="948" t="str">
        <f t="shared" si="68"/>
        <v>위너스
(WIN)</v>
      </c>
      <c r="B1675" s="870"/>
      <c r="C1675" s="415">
        <v>128</v>
      </c>
      <c r="D1675" s="150"/>
      <c r="E1675" s="423">
        <v>270000</v>
      </c>
    </row>
    <row r="1676" spans="1:5" ht="14.1" customHeight="1">
      <c r="A1676" s="948" t="str">
        <f t="shared" si="68"/>
        <v>위너스
(WIN)</v>
      </c>
      <c r="B1676" s="870"/>
      <c r="C1676" s="415">
        <v>157</v>
      </c>
      <c r="D1676" s="150"/>
      <c r="E1676" s="423">
        <v>330000</v>
      </c>
    </row>
    <row r="1677" spans="1:5" ht="14.1" customHeight="1">
      <c r="A1677" s="948" t="str">
        <f t="shared" si="68"/>
        <v>위너스
(WIN)</v>
      </c>
      <c r="B1677" s="870"/>
      <c r="C1677" s="415">
        <v>186</v>
      </c>
      <c r="D1677" s="150"/>
      <c r="E1677" s="423">
        <v>395000</v>
      </c>
    </row>
    <row r="1678" spans="1:5" ht="15" customHeight="1">
      <c r="A1678" s="948" t="str">
        <f t="shared" si="68"/>
        <v>위너스
(WIN)</v>
      </c>
      <c r="B1678" s="870"/>
      <c r="C1678" s="415">
        <v>209</v>
      </c>
      <c r="D1678" s="150"/>
      <c r="E1678" s="423">
        <v>440000</v>
      </c>
    </row>
    <row r="1679" spans="1:5" ht="15" customHeight="1">
      <c r="A1679" s="948" t="str">
        <f t="shared" si="68"/>
        <v>위너스
(WIN)</v>
      </c>
      <c r="B1679" s="870"/>
      <c r="C1679" s="415">
        <v>233</v>
      </c>
      <c r="D1679" s="150"/>
      <c r="E1679" s="423">
        <v>490000</v>
      </c>
    </row>
    <row r="1680" spans="1:5" ht="15" customHeight="1">
      <c r="A1680" s="948" t="str">
        <f t="shared" si="68"/>
        <v>위너스
(WIN)</v>
      </c>
      <c r="B1680" s="870"/>
      <c r="C1680" s="89">
        <v>90</v>
      </c>
      <c r="D1680" s="363" t="s">
        <v>4252</v>
      </c>
      <c r="E1680" s="364">
        <v>155000</v>
      </c>
    </row>
    <row r="1681" spans="1:5" ht="15" customHeight="1">
      <c r="A1681" s="948" t="str">
        <f t="shared" si="68"/>
        <v>위너스
(WIN)</v>
      </c>
      <c r="B1681" s="870"/>
      <c r="C1681" s="415">
        <v>105</v>
      </c>
      <c r="D1681" s="257" t="s">
        <v>3320</v>
      </c>
      <c r="E1681" s="424">
        <v>180000</v>
      </c>
    </row>
    <row r="1682" spans="1:5" ht="15" customHeight="1">
      <c r="A1682" s="948" t="str">
        <f t="shared" si="68"/>
        <v>위너스
(WIN)</v>
      </c>
      <c r="B1682" s="870"/>
      <c r="C1682" s="415">
        <v>128</v>
      </c>
      <c r="D1682" s="257" t="s">
        <v>3320</v>
      </c>
      <c r="E1682" s="424">
        <v>220000</v>
      </c>
    </row>
    <row r="1683" spans="1:5" ht="15" customHeight="1">
      <c r="A1683" s="948" t="str">
        <f t="shared" si="68"/>
        <v>위너스
(WIN)</v>
      </c>
      <c r="B1683" s="870"/>
      <c r="C1683" s="415">
        <v>157</v>
      </c>
      <c r="D1683" s="257" t="s">
        <v>3320</v>
      </c>
      <c r="E1683" s="424">
        <v>272500</v>
      </c>
    </row>
    <row r="1684" spans="1:5" ht="15" customHeight="1">
      <c r="A1684" s="948" t="str">
        <f t="shared" si="68"/>
        <v>위너스
(WIN)</v>
      </c>
      <c r="B1684" s="870"/>
      <c r="C1684" s="415">
        <v>186</v>
      </c>
      <c r="D1684" s="257" t="s">
        <v>3320</v>
      </c>
      <c r="E1684" s="424">
        <v>325000</v>
      </c>
    </row>
    <row r="1685" spans="1:5" ht="15" customHeight="1">
      <c r="A1685" s="948" t="str">
        <f t="shared" si="68"/>
        <v>위너스
(WIN)</v>
      </c>
      <c r="B1685" s="870"/>
      <c r="C1685" s="415">
        <v>209</v>
      </c>
      <c r="D1685" s="257" t="s">
        <v>3320</v>
      </c>
      <c r="E1685" s="424">
        <v>360000</v>
      </c>
    </row>
    <row r="1686" spans="1:5" ht="15" customHeight="1">
      <c r="A1686" s="948" t="str">
        <f t="shared" si="68"/>
        <v>위너스
(WIN)</v>
      </c>
      <c r="B1686" s="870"/>
      <c r="C1686" s="415">
        <v>233</v>
      </c>
      <c r="D1686" s="257" t="s">
        <v>3320</v>
      </c>
      <c r="E1686" s="424">
        <v>405000</v>
      </c>
    </row>
    <row r="1687" spans="1:5" ht="15" customHeight="1">
      <c r="A1687" s="948" t="str">
        <f t="shared" si="68"/>
        <v>위너스
(WIN)</v>
      </c>
      <c r="B1687" s="856" t="s">
        <v>4253</v>
      </c>
      <c r="C1687" s="91">
        <v>90</v>
      </c>
      <c r="D1687" s="157" t="s">
        <v>4251</v>
      </c>
      <c r="E1687" s="283">
        <v>95000</v>
      </c>
    </row>
    <row r="1688" spans="1:5" ht="15" customHeight="1">
      <c r="A1688" s="948" t="str">
        <f t="shared" si="68"/>
        <v>위너스
(WIN)</v>
      </c>
      <c r="B1688" s="846"/>
      <c r="C1688" s="415">
        <v>105</v>
      </c>
      <c r="D1688" s="150"/>
      <c r="E1688" s="423">
        <v>110000</v>
      </c>
    </row>
    <row r="1689" spans="1:5" ht="15" customHeight="1">
      <c r="A1689" s="948" t="str">
        <f t="shared" si="68"/>
        <v>위너스
(WIN)</v>
      </c>
      <c r="B1689" s="846"/>
      <c r="C1689" s="415">
        <v>128</v>
      </c>
      <c r="D1689" s="150"/>
      <c r="E1689" s="423">
        <v>135000</v>
      </c>
    </row>
    <row r="1690" spans="1:5" ht="15" customHeight="1">
      <c r="A1690" s="948" t="str">
        <f t="shared" si="68"/>
        <v>위너스
(WIN)</v>
      </c>
      <c r="B1690" s="846"/>
      <c r="C1690" s="415">
        <v>157</v>
      </c>
      <c r="D1690" s="150"/>
      <c r="E1690" s="423">
        <v>165000</v>
      </c>
    </row>
    <row r="1691" spans="1:5" ht="15" customHeight="1">
      <c r="A1691" s="948" t="str">
        <f t="shared" si="68"/>
        <v>위너스
(WIN)</v>
      </c>
      <c r="B1691" s="846"/>
      <c r="C1691" s="415">
        <v>186</v>
      </c>
      <c r="D1691" s="150"/>
      <c r="E1691" s="423">
        <v>195000</v>
      </c>
    </row>
    <row r="1692" spans="1:5" ht="13.95" customHeight="1">
      <c r="A1692" s="948" t="str">
        <f t="shared" si="68"/>
        <v>위너스
(WIN)</v>
      </c>
      <c r="B1692" s="846"/>
      <c r="C1692" s="415">
        <v>209</v>
      </c>
      <c r="D1692" s="150"/>
      <c r="E1692" s="423">
        <v>220000</v>
      </c>
    </row>
    <row r="1693" spans="1:5" ht="15" customHeight="1">
      <c r="A1693" s="948" t="str">
        <f t="shared" si="68"/>
        <v>위너스
(WIN)</v>
      </c>
      <c r="B1693" s="851"/>
      <c r="C1693" s="287">
        <v>233</v>
      </c>
      <c r="D1693" s="288"/>
      <c r="E1693" s="289">
        <v>245000</v>
      </c>
    </row>
    <row r="1694" spans="1:5" ht="15" customHeight="1">
      <c r="A1694" s="948" t="str">
        <f t="shared" si="68"/>
        <v>위너스
(WIN)</v>
      </c>
      <c r="B1694" s="869" t="s">
        <v>4254</v>
      </c>
      <c r="C1694" s="415">
        <v>90</v>
      </c>
      <c r="D1694" s="150" t="s">
        <v>4251</v>
      </c>
      <c r="E1694" s="423">
        <v>132000</v>
      </c>
    </row>
    <row r="1695" spans="1:5" ht="15" customHeight="1">
      <c r="A1695" s="948" t="str">
        <f t="shared" si="68"/>
        <v>위너스
(WIN)</v>
      </c>
      <c r="B1695" s="870"/>
      <c r="C1695" s="415">
        <v>105</v>
      </c>
      <c r="D1695" s="150"/>
      <c r="E1695" s="423">
        <v>155000</v>
      </c>
    </row>
    <row r="1696" spans="1:5" ht="15" customHeight="1">
      <c r="A1696" s="948" t="str">
        <f t="shared" si="68"/>
        <v>위너스
(WIN)</v>
      </c>
      <c r="B1696" s="870"/>
      <c r="C1696" s="415">
        <v>128</v>
      </c>
      <c r="D1696" s="150"/>
      <c r="E1696" s="423">
        <v>190000</v>
      </c>
    </row>
    <row r="1697" spans="1:5" ht="15" customHeight="1">
      <c r="A1697" s="948" t="str">
        <f t="shared" si="68"/>
        <v>위너스
(WIN)</v>
      </c>
      <c r="B1697" s="870"/>
      <c r="C1697" s="415">
        <v>157</v>
      </c>
      <c r="D1697" s="150"/>
      <c r="E1697" s="423">
        <v>230000</v>
      </c>
    </row>
    <row r="1698" spans="1:5" ht="15" customHeight="1">
      <c r="A1698" s="948" t="str">
        <f t="shared" si="68"/>
        <v>위너스
(WIN)</v>
      </c>
      <c r="B1698" s="870"/>
      <c r="C1698" s="415">
        <v>186</v>
      </c>
      <c r="D1698" s="150"/>
      <c r="E1698" s="423">
        <v>275000</v>
      </c>
    </row>
    <row r="1699" spans="1:5" ht="15" customHeight="1">
      <c r="A1699" s="948" t="str">
        <f t="shared" si="68"/>
        <v>위너스
(WIN)</v>
      </c>
      <c r="B1699" s="870"/>
      <c r="C1699" s="415">
        <v>209</v>
      </c>
      <c r="D1699" s="150"/>
      <c r="E1699" s="423">
        <v>305000</v>
      </c>
    </row>
    <row r="1700" spans="1:5" ht="15" customHeight="1">
      <c r="A1700" s="948" t="str">
        <f t="shared" si="68"/>
        <v>위너스
(WIN)</v>
      </c>
      <c r="B1700" s="870"/>
      <c r="C1700" s="415">
        <v>233</v>
      </c>
      <c r="D1700" s="150" t="s">
        <v>1755</v>
      </c>
      <c r="E1700" s="423">
        <v>340000</v>
      </c>
    </row>
    <row r="1701" spans="1:5" ht="15" customHeight="1">
      <c r="A1701" s="948" t="str">
        <f t="shared" si="68"/>
        <v>위너스
(WIN)</v>
      </c>
      <c r="B1701" s="870"/>
      <c r="C1701" s="91">
        <v>90</v>
      </c>
      <c r="D1701" s="486" t="s">
        <v>1994</v>
      </c>
      <c r="E1701" s="504">
        <v>132000</v>
      </c>
    </row>
    <row r="1702" spans="1:5" ht="15" customHeight="1">
      <c r="A1702" s="948" t="str">
        <f t="shared" si="68"/>
        <v>위너스
(WIN)</v>
      </c>
      <c r="B1702" s="870"/>
      <c r="C1702" s="415">
        <v>105</v>
      </c>
      <c r="D1702" s="257" t="s">
        <v>3320</v>
      </c>
      <c r="E1702" s="424">
        <v>125000</v>
      </c>
    </row>
    <row r="1703" spans="1:5" ht="15" customHeight="1">
      <c r="A1703" s="948" t="str">
        <f t="shared" si="68"/>
        <v>위너스
(WIN)</v>
      </c>
      <c r="B1703" s="870"/>
      <c r="C1703" s="415">
        <v>128</v>
      </c>
      <c r="D1703" s="257" t="s">
        <v>3320</v>
      </c>
      <c r="E1703" s="424">
        <v>155000</v>
      </c>
    </row>
    <row r="1704" spans="1:5" ht="15" customHeight="1">
      <c r="A1704" s="948" t="str">
        <f t="shared" si="68"/>
        <v>위너스
(WIN)</v>
      </c>
      <c r="B1704" s="870"/>
      <c r="C1704" s="415">
        <v>157</v>
      </c>
      <c r="D1704" s="257" t="s">
        <v>3320</v>
      </c>
      <c r="E1704" s="424">
        <v>190000</v>
      </c>
    </row>
    <row r="1705" spans="1:5" ht="15" customHeight="1">
      <c r="A1705" s="948" t="str">
        <f t="shared" si="68"/>
        <v>위너스
(WIN)</v>
      </c>
      <c r="B1705" s="870"/>
      <c r="C1705" s="415">
        <v>186</v>
      </c>
      <c r="D1705" s="257" t="s">
        <v>3320</v>
      </c>
      <c r="E1705" s="424">
        <v>225000</v>
      </c>
    </row>
    <row r="1706" spans="1:5" ht="15" customHeight="1">
      <c r="A1706" s="948" t="str">
        <f t="shared" si="68"/>
        <v>위너스
(WIN)</v>
      </c>
      <c r="B1706" s="870"/>
      <c r="C1706" s="415">
        <v>209</v>
      </c>
      <c r="D1706" s="257" t="s">
        <v>3320</v>
      </c>
      <c r="E1706" s="424">
        <v>250000</v>
      </c>
    </row>
    <row r="1707" spans="1:5" ht="15" customHeight="1">
      <c r="A1707" s="949" t="str">
        <f t="shared" si="68"/>
        <v>위너스
(WIN)</v>
      </c>
      <c r="B1707" s="883"/>
      <c r="C1707" s="171">
        <v>233</v>
      </c>
      <c r="D1707" s="258" t="s">
        <v>3320</v>
      </c>
      <c r="E1707" s="259">
        <v>280000</v>
      </c>
    </row>
    <row r="1708" spans="1:5" ht="15" customHeight="1">
      <c r="A1708" s="927" t="s">
        <v>4255</v>
      </c>
      <c r="B1708" s="845" t="s">
        <v>2136</v>
      </c>
      <c r="C1708" s="349">
        <v>215</v>
      </c>
      <c r="D1708" s="350" t="s">
        <v>4256</v>
      </c>
      <c r="E1708" s="351">
        <v>215000</v>
      </c>
    </row>
    <row r="1709" spans="1:5" ht="15" customHeight="1">
      <c r="A1709" s="922" t="str">
        <f t="shared" ref="A1709:A1717" si="69">A1708</f>
        <v>유니 크라프트
(UK) *</v>
      </c>
      <c r="B1709" s="846"/>
      <c r="C1709" s="415">
        <v>265</v>
      </c>
      <c r="D1709" s="150"/>
      <c r="E1709" s="423">
        <v>250000</v>
      </c>
    </row>
    <row r="1710" spans="1:5" ht="15" customHeight="1">
      <c r="A1710" s="922" t="str">
        <f t="shared" si="69"/>
        <v>유니 크라프트
(UK) *</v>
      </c>
      <c r="B1710" s="846"/>
      <c r="C1710" s="415">
        <v>305</v>
      </c>
      <c r="D1710" s="150"/>
      <c r="E1710" s="423">
        <v>285000</v>
      </c>
    </row>
    <row r="1711" spans="1:5" ht="15" customHeight="1">
      <c r="A1711" s="922" t="str">
        <f t="shared" si="69"/>
        <v>유니 크라프트
(UK) *</v>
      </c>
      <c r="B1711" s="846"/>
      <c r="C1711" s="415">
        <v>320</v>
      </c>
      <c r="D1711" s="150"/>
      <c r="E1711" s="423">
        <v>300000</v>
      </c>
    </row>
    <row r="1712" spans="1:5" ht="15" customHeight="1">
      <c r="A1712" s="922" t="str">
        <f t="shared" si="69"/>
        <v>유니 크라프트
(UK) *</v>
      </c>
      <c r="B1712" s="846"/>
      <c r="C1712" s="415">
        <v>345</v>
      </c>
      <c r="D1712" s="150"/>
      <c r="E1712" s="423">
        <v>320000</v>
      </c>
    </row>
    <row r="1713" spans="1:5" ht="15" customHeight="1">
      <c r="A1713" s="922" t="str">
        <f t="shared" si="69"/>
        <v>유니 크라프트
(UK) *</v>
      </c>
      <c r="B1713" s="846"/>
      <c r="C1713" s="89">
        <v>215</v>
      </c>
      <c r="D1713" s="153" t="s">
        <v>4256</v>
      </c>
      <c r="E1713" s="241"/>
    </row>
    <row r="1714" spans="1:5" ht="15" customHeight="1">
      <c r="A1714" s="922" t="str">
        <f t="shared" si="69"/>
        <v>유니 크라프트
(UK) *</v>
      </c>
      <c r="B1714" s="851"/>
      <c r="C1714" s="415" t="s">
        <v>4257</v>
      </c>
      <c r="D1714" s="150"/>
      <c r="E1714" s="423"/>
    </row>
    <row r="1715" spans="1:5" ht="15" customHeight="1">
      <c r="A1715" s="948" t="str">
        <f t="shared" si="69"/>
        <v>유니 크라프트
(UK) *</v>
      </c>
      <c r="B1715" s="848" t="s">
        <v>3885</v>
      </c>
      <c r="C1715" s="89">
        <v>215</v>
      </c>
      <c r="D1715" s="153" t="s">
        <v>4256</v>
      </c>
      <c r="E1715" s="241"/>
    </row>
    <row r="1716" spans="1:5" ht="15" customHeight="1">
      <c r="A1716" s="948" t="str">
        <f t="shared" si="69"/>
        <v>유니 크라프트
(UK) *</v>
      </c>
      <c r="B1716" s="846"/>
      <c r="C1716" s="843" t="s">
        <v>4258</v>
      </c>
      <c r="D1716" s="150"/>
      <c r="E1716" s="423"/>
    </row>
    <row r="1717" spans="1:5" ht="15" customHeight="1">
      <c r="A1717" s="963" t="str">
        <f t="shared" si="69"/>
        <v>유니 크라프트
(UK) *</v>
      </c>
      <c r="B1717" s="847"/>
      <c r="C1717" s="854"/>
      <c r="D1717" s="588" t="s">
        <v>4671</v>
      </c>
      <c r="E1717" s="238"/>
    </row>
    <row r="1718" spans="1:5" ht="15" customHeight="1">
      <c r="A1718" s="974" t="s">
        <v>4259</v>
      </c>
      <c r="B1718" s="850" t="s">
        <v>4260</v>
      </c>
      <c r="C1718" s="855">
        <v>64</v>
      </c>
      <c r="D1718" s="590" t="s">
        <v>4261</v>
      </c>
      <c r="E1718" s="591">
        <v>290000</v>
      </c>
    </row>
    <row r="1719" spans="1:5" ht="15" customHeight="1">
      <c r="A1719" s="974" t="str">
        <f>A1718</f>
        <v>유브이 울트라
(UV)*</v>
      </c>
      <c r="B1719" s="846"/>
      <c r="C1719" s="844"/>
      <c r="D1719" s="257" t="s">
        <v>4262</v>
      </c>
      <c r="E1719" s="341">
        <v>290000</v>
      </c>
    </row>
    <row r="1720" spans="1:5" ht="15" customHeight="1">
      <c r="A1720" s="974" t="str">
        <f>A1719</f>
        <v>유브이 울트라
(UV)*</v>
      </c>
      <c r="B1720" s="846"/>
      <c r="C1720" s="853">
        <v>105</v>
      </c>
      <c r="D1720" s="363" t="s">
        <v>4263</v>
      </c>
      <c r="E1720" s="424">
        <v>760000</v>
      </c>
    </row>
    <row r="1721" spans="1:5" ht="15" customHeight="1">
      <c r="A1721" s="974" t="str">
        <f>A1720</f>
        <v>유브이 울트라
(UV)*</v>
      </c>
      <c r="B1721" s="846"/>
      <c r="C1721" s="844"/>
      <c r="D1721" s="257" t="s">
        <v>4262</v>
      </c>
      <c r="E1721" s="341">
        <v>570000</v>
      </c>
    </row>
    <row r="1722" spans="1:5" ht="15" customHeight="1">
      <c r="A1722" s="974" t="str">
        <f>A1721</f>
        <v>유브이 울트라
(UV)*</v>
      </c>
      <c r="B1722" s="847"/>
      <c r="C1722" s="89">
        <v>135</v>
      </c>
      <c r="D1722" s="363" t="s">
        <v>4263</v>
      </c>
      <c r="E1722" s="385">
        <v>965000</v>
      </c>
    </row>
    <row r="1723" spans="1:5" ht="15" customHeight="1">
      <c r="A1723" s="974" t="s">
        <v>2137</v>
      </c>
      <c r="B1723" s="850" t="s">
        <v>2138</v>
      </c>
      <c r="C1723" s="589"/>
      <c r="D1723" s="593" t="s">
        <v>2139</v>
      </c>
      <c r="E1723" s="425">
        <v>550000</v>
      </c>
    </row>
    <row r="1724" spans="1:5" ht="15" customHeight="1">
      <c r="A1724" s="974" t="str">
        <f t="shared" ref="A1724:A1744" si="70">A1723</f>
        <v>유포
(YUPO)</v>
      </c>
      <c r="B1724" s="852"/>
      <c r="C1724" s="415"/>
      <c r="D1724" s="150" t="s">
        <v>2140</v>
      </c>
      <c r="E1724" s="423">
        <v>630000</v>
      </c>
    </row>
    <row r="1725" spans="1:5" ht="15" customHeight="1">
      <c r="A1725" s="974" t="str">
        <f t="shared" si="70"/>
        <v>유포
(YUPO)</v>
      </c>
      <c r="B1725" s="856" t="s">
        <v>2138</v>
      </c>
      <c r="C1725" s="91"/>
      <c r="D1725" s="594" t="s">
        <v>4264</v>
      </c>
      <c r="E1725" s="283">
        <v>425000</v>
      </c>
    </row>
    <row r="1726" spans="1:5" ht="15" customHeight="1">
      <c r="A1726" s="974" t="str">
        <f t="shared" si="70"/>
        <v>유포
(YUPO)</v>
      </c>
      <c r="B1726" s="846"/>
      <c r="C1726" s="415"/>
      <c r="D1726" s="595" t="s">
        <v>4265</v>
      </c>
      <c r="E1726" s="423">
        <v>475000</v>
      </c>
    </row>
    <row r="1727" spans="1:5" ht="15" customHeight="1">
      <c r="A1727" s="974" t="str">
        <f t="shared" si="70"/>
        <v>유포
(YUPO)</v>
      </c>
      <c r="B1727" s="846"/>
      <c r="C1727" s="415"/>
      <c r="D1727" s="595" t="s">
        <v>4266</v>
      </c>
      <c r="E1727" s="423">
        <v>570000</v>
      </c>
    </row>
    <row r="1728" spans="1:5" ht="15" customHeight="1">
      <c r="A1728" s="974" t="str">
        <f t="shared" si="70"/>
        <v>유포
(YUPO)</v>
      </c>
      <c r="B1728" s="846"/>
      <c r="C1728" s="415"/>
      <c r="D1728" s="595" t="s">
        <v>4267</v>
      </c>
      <c r="E1728" s="423">
        <v>655000</v>
      </c>
    </row>
    <row r="1729" spans="1:5" ht="15" customHeight="1">
      <c r="A1729" s="974" t="str">
        <f t="shared" si="70"/>
        <v>유포
(YUPO)</v>
      </c>
      <c r="B1729" s="846"/>
      <c r="C1729" s="415"/>
      <c r="D1729" s="595" t="s">
        <v>4268</v>
      </c>
      <c r="E1729" s="423">
        <v>875000</v>
      </c>
    </row>
    <row r="1730" spans="1:5" ht="15" customHeight="1">
      <c r="A1730" s="974" t="str">
        <f t="shared" si="70"/>
        <v>유포
(YUPO)</v>
      </c>
      <c r="B1730" s="846"/>
      <c r="C1730" s="415"/>
      <c r="D1730" s="595" t="s">
        <v>2141</v>
      </c>
      <c r="E1730" s="423">
        <v>1085000</v>
      </c>
    </row>
    <row r="1731" spans="1:5" ht="15" customHeight="1">
      <c r="A1731" s="974" t="str">
        <f t="shared" si="70"/>
        <v>유포
(YUPO)</v>
      </c>
      <c r="B1731" s="846"/>
      <c r="C1731" s="415"/>
      <c r="D1731" s="595" t="s">
        <v>4269</v>
      </c>
      <c r="E1731" s="423">
        <v>1400000</v>
      </c>
    </row>
    <row r="1732" spans="1:5" ht="15" customHeight="1">
      <c r="A1732" s="974" t="str">
        <f t="shared" si="70"/>
        <v>유포
(YUPO)</v>
      </c>
      <c r="B1732" s="846"/>
      <c r="C1732" s="415"/>
      <c r="D1732" s="156" t="s">
        <v>4270</v>
      </c>
      <c r="E1732" s="244">
        <v>840000</v>
      </c>
    </row>
    <row r="1733" spans="1:5" ht="15" customHeight="1">
      <c r="A1733" s="974" t="str">
        <f t="shared" si="70"/>
        <v>유포
(YUPO)</v>
      </c>
      <c r="B1733" s="846"/>
      <c r="C1733" s="415"/>
      <c r="D1733" s="270" t="s">
        <v>2142</v>
      </c>
      <c r="E1733" s="241">
        <v>600000</v>
      </c>
    </row>
    <row r="1734" spans="1:5" ht="15" customHeight="1">
      <c r="A1734" s="974" t="str">
        <f t="shared" si="70"/>
        <v>유포
(YUPO)</v>
      </c>
      <c r="B1734" s="851"/>
      <c r="C1734" s="287"/>
      <c r="D1734" s="288" t="s">
        <v>4271</v>
      </c>
      <c r="E1734" s="289">
        <v>700000</v>
      </c>
    </row>
    <row r="1735" spans="1:5" ht="15" customHeight="1">
      <c r="A1735" s="974" t="str">
        <f t="shared" si="70"/>
        <v>유포
(YUPO)</v>
      </c>
      <c r="B1735" s="848" t="s">
        <v>4272</v>
      </c>
      <c r="C1735" s="89"/>
      <c r="D1735" s="168" t="s">
        <v>4273</v>
      </c>
      <c r="E1735" s="423">
        <v>330000</v>
      </c>
    </row>
    <row r="1736" spans="1:5" ht="15" customHeight="1">
      <c r="A1736" s="974" t="str">
        <f t="shared" si="70"/>
        <v>유포
(YUPO)</v>
      </c>
      <c r="B1736" s="846"/>
      <c r="C1736" s="415"/>
      <c r="D1736" s="167" t="s">
        <v>4274</v>
      </c>
      <c r="E1736" s="423">
        <v>395000</v>
      </c>
    </row>
    <row r="1737" spans="1:5" s="95" customFormat="1" ht="15" customHeight="1">
      <c r="A1737" s="974" t="str">
        <f t="shared" si="70"/>
        <v>유포
(YUPO)</v>
      </c>
      <c r="B1737" s="846"/>
      <c r="C1737" s="415"/>
      <c r="D1737" s="150" t="s">
        <v>4275</v>
      </c>
      <c r="E1737" s="423">
        <v>615000</v>
      </c>
    </row>
    <row r="1738" spans="1:5" s="95" customFormat="1" ht="15" customHeight="1">
      <c r="A1738" s="974" t="str">
        <f t="shared" si="70"/>
        <v>유포
(YUPO)</v>
      </c>
      <c r="B1738" s="851"/>
      <c r="C1738" s="415"/>
      <c r="D1738" s="150" t="s">
        <v>4276</v>
      </c>
      <c r="E1738" s="423">
        <v>760000</v>
      </c>
    </row>
    <row r="1739" spans="1:5" s="95" customFormat="1" ht="15" customHeight="1">
      <c r="A1739" s="974" t="str">
        <f t="shared" si="70"/>
        <v>유포
(YUPO)</v>
      </c>
      <c r="B1739" s="848" t="s">
        <v>3981</v>
      </c>
      <c r="C1739" s="89"/>
      <c r="D1739" s="153" t="s">
        <v>4277</v>
      </c>
      <c r="E1739" s="241">
        <v>1400000</v>
      </c>
    </row>
    <row r="1740" spans="1:5" s="93" customFormat="1" ht="15" customHeight="1">
      <c r="A1740" s="974" t="str">
        <f t="shared" si="70"/>
        <v>유포
(YUPO)</v>
      </c>
      <c r="B1740" s="846"/>
      <c r="C1740" s="415"/>
      <c r="D1740" s="150" t="s">
        <v>4278</v>
      </c>
      <c r="E1740" s="423">
        <v>1800000</v>
      </c>
    </row>
    <row r="1741" spans="1:5" s="93" customFormat="1" ht="15" customHeight="1">
      <c r="A1741" s="974" t="str">
        <f t="shared" si="70"/>
        <v>유포
(YUPO)</v>
      </c>
      <c r="B1741" s="851"/>
      <c r="C1741" s="415"/>
      <c r="D1741" s="150" t="s">
        <v>4279</v>
      </c>
      <c r="E1741" s="423">
        <v>1900000</v>
      </c>
    </row>
    <row r="1742" spans="1:5" s="93" customFormat="1" ht="15" customHeight="1">
      <c r="A1742" s="974" t="str">
        <f t="shared" si="70"/>
        <v>유포
(YUPO)</v>
      </c>
      <c r="B1742" s="326" t="s">
        <v>4280</v>
      </c>
      <c r="C1742" s="90"/>
      <c r="D1742" s="156" t="s">
        <v>4281</v>
      </c>
      <c r="E1742" s="244">
        <v>850000</v>
      </c>
    </row>
    <row r="1743" spans="1:5" s="93" customFormat="1" ht="15" customHeight="1">
      <c r="A1743" s="974" t="str">
        <f t="shared" si="70"/>
        <v>유포
(YUPO)</v>
      </c>
      <c r="B1743" s="326" t="s">
        <v>4282</v>
      </c>
      <c r="C1743" s="90"/>
      <c r="D1743" s="156" t="s">
        <v>4283</v>
      </c>
      <c r="E1743" s="244">
        <v>405000</v>
      </c>
    </row>
    <row r="1744" spans="1:5" s="93" customFormat="1" ht="15" customHeight="1">
      <c r="A1744" s="974" t="str">
        <f t="shared" si="70"/>
        <v>유포
(YUPO)</v>
      </c>
      <c r="B1744" s="170" t="s">
        <v>4284</v>
      </c>
      <c r="C1744" s="171"/>
      <c r="D1744" s="237" t="s">
        <v>4285</v>
      </c>
      <c r="E1744" s="238">
        <v>760000</v>
      </c>
    </row>
    <row r="1745" spans="1:5" s="93" customFormat="1" ht="15" customHeight="1">
      <c r="A1745" s="988" t="s">
        <v>4286</v>
      </c>
      <c r="B1745" s="905" t="s">
        <v>4835</v>
      </c>
      <c r="C1745" s="855">
        <v>120</v>
      </c>
      <c r="D1745" s="150" t="s">
        <v>4287</v>
      </c>
      <c r="E1745" s="423">
        <v>535000</v>
      </c>
    </row>
    <row r="1746" spans="1:5" s="93" customFormat="1" ht="15" customHeight="1">
      <c r="A1746" s="988" t="str">
        <f t="shared" ref="A1746:A1752" si="71">A1745</f>
        <v xml:space="preserve">이스피라
(ISP) </v>
      </c>
      <c r="B1746" s="870"/>
      <c r="C1746" s="843"/>
      <c r="D1746" s="150" t="s">
        <v>3191</v>
      </c>
      <c r="E1746" s="423">
        <v>765000</v>
      </c>
    </row>
    <row r="1747" spans="1:5" s="93" customFormat="1" ht="15" customHeight="1">
      <c r="A1747" s="988" t="str">
        <f t="shared" si="71"/>
        <v xml:space="preserve">이스피라
(ISP) </v>
      </c>
      <c r="B1747" s="870"/>
      <c r="C1747" s="844"/>
      <c r="D1747" s="150" t="s">
        <v>4288</v>
      </c>
      <c r="E1747" s="423">
        <v>650000</v>
      </c>
    </row>
    <row r="1748" spans="1:5" s="93" customFormat="1" ht="15" customHeight="1">
      <c r="A1748" s="988" t="str">
        <f t="shared" si="71"/>
        <v xml:space="preserve">이스피라
(ISP) </v>
      </c>
      <c r="B1748" s="870"/>
      <c r="C1748" s="853">
        <v>250</v>
      </c>
      <c r="D1748" s="153" t="s">
        <v>4289</v>
      </c>
      <c r="E1748" s="241">
        <v>830000</v>
      </c>
    </row>
    <row r="1749" spans="1:5" s="93" customFormat="1" ht="15" customHeight="1">
      <c r="A1749" s="988" t="e">
        <f>#REF!</f>
        <v>#REF!</v>
      </c>
      <c r="B1749" s="870"/>
      <c r="C1749" s="844"/>
      <c r="D1749" s="288" t="s">
        <v>4290</v>
      </c>
      <c r="E1749" s="289">
        <v>1100000</v>
      </c>
    </row>
    <row r="1750" spans="1:5" s="93" customFormat="1" ht="15" customHeight="1">
      <c r="A1750" s="988" t="e">
        <f t="shared" si="71"/>
        <v>#REF!</v>
      </c>
      <c r="B1750" s="870"/>
      <c r="C1750" s="853">
        <v>360</v>
      </c>
      <c r="D1750" s="150" t="s">
        <v>3744</v>
      </c>
      <c r="E1750" s="423">
        <v>1200000</v>
      </c>
    </row>
    <row r="1751" spans="1:5" s="93" customFormat="1" ht="15" customHeight="1">
      <c r="A1751" s="988" t="e">
        <f t="shared" si="71"/>
        <v>#REF!</v>
      </c>
      <c r="B1751" s="878"/>
      <c r="C1751" s="860"/>
      <c r="D1751" s="150" t="s">
        <v>4291</v>
      </c>
      <c r="E1751" s="423">
        <v>1575000</v>
      </c>
    </row>
    <row r="1752" spans="1:5" s="93" customFormat="1" ht="15" customHeight="1">
      <c r="A1752" s="988" t="e">
        <f t="shared" si="71"/>
        <v>#REF!</v>
      </c>
      <c r="B1752" s="872" t="s">
        <v>4834</v>
      </c>
      <c r="C1752" s="859">
        <v>120</v>
      </c>
      <c r="D1752" s="157" t="s">
        <v>3192</v>
      </c>
      <c r="E1752" s="283">
        <v>715000</v>
      </c>
    </row>
    <row r="1753" spans="1:5" s="93" customFormat="1" ht="15" customHeight="1">
      <c r="A1753" s="988"/>
      <c r="B1753" s="870"/>
      <c r="C1753" s="843"/>
      <c r="D1753" s="419" t="s">
        <v>3193</v>
      </c>
      <c r="E1753" s="423">
        <v>900000</v>
      </c>
    </row>
    <row r="1754" spans="1:5" s="93" customFormat="1" ht="15" customHeight="1">
      <c r="A1754" s="988" t="e">
        <f>A1752</f>
        <v>#REF!</v>
      </c>
      <c r="B1754" s="870"/>
      <c r="C1754" s="844"/>
      <c r="D1754" s="311" t="s">
        <v>4292</v>
      </c>
      <c r="E1754" s="289">
        <v>550000</v>
      </c>
    </row>
    <row r="1755" spans="1:5" s="93" customFormat="1" ht="15" customHeight="1">
      <c r="A1755" s="988" t="e">
        <f>A1754</f>
        <v>#REF!</v>
      </c>
      <c r="B1755" s="870"/>
      <c r="C1755" s="853">
        <v>245</v>
      </c>
      <c r="D1755" s="150" t="s">
        <v>2143</v>
      </c>
      <c r="E1755" s="423">
        <v>1550000</v>
      </c>
    </row>
    <row r="1756" spans="1:5" s="93" customFormat="1" ht="15" customHeight="1">
      <c r="A1756" s="988"/>
      <c r="B1756" s="870"/>
      <c r="C1756" s="843"/>
      <c r="D1756" s="150" t="s">
        <v>4293</v>
      </c>
      <c r="E1756" s="423">
        <v>1500000</v>
      </c>
    </row>
    <row r="1757" spans="1:5" s="93" customFormat="1" ht="15" customHeight="1">
      <c r="A1757" s="988" t="e">
        <f>A1755</f>
        <v>#REF!</v>
      </c>
      <c r="B1757" s="870"/>
      <c r="C1757" s="844"/>
      <c r="D1757" s="288" t="s">
        <v>3194</v>
      </c>
      <c r="E1757" s="289">
        <v>1875000</v>
      </c>
    </row>
    <row r="1758" spans="1:5" s="93" customFormat="1" ht="15" customHeight="1">
      <c r="A1758" s="988" t="e">
        <f>A1757</f>
        <v>#REF!</v>
      </c>
      <c r="B1758" s="870"/>
      <c r="C1758" s="853">
        <v>355</v>
      </c>
      <c r="D1758" s="150" t="s">
        <v>2144</v>
      </c>
      <c r="E1758" s="423">
        <v>2150000</v>
      </c>
    </row>
    <row r="1759" spans="1:5" s="93" customFormat="1" ht="15" customHeight="1">
      <c r="A1759" s="988" t="e">
        <f>A1758</f>
        <v>#REF!</v>
      </c>
      <c r="B1759" s="874"/>
      <c r="C1759" s="858"/>
      <c r="D1759" s="237" t="s">
        <v>3195</v>
      </c>
      <c r="E1759" s="238">
        <v>2700000</v>
      </c>
    </row>
    <row r="1760" spans="1:5" s="93" customFormat="1" ht="15" customHeight="1">
      <c r="A1760" s="989" t="s">
        <v>4294</v>
      </c>
      <c r="B1760" s="850" t="s">
        <v>1757</v>
      </c>
      <c r="C1760" s="443">
        <v>104</v>
      </c>
      <c r="D1760" s="596" t="s">
        <v>4295</v>
      </c>
      <c r="E1760" s="597">
        <v>275000</v>
      </c>
    </row>
    <row r="1761" spans="1:5" s="93" customFormat="1" ht="15" customHeight="1">
      <c r="A1761" s="940" t="str">
        <f t="shared" ref="A1761:A1786" si="72">A1760</f>
        <v>인바이런먼트
(ENV)</v>
      </c>
      <c r="B1761" s="846"/>
      <c r="C1761" s="853">
        <v>118</v>
      </c>
      <c r="D1761" s="227" t="s">
        <v>2145</v>
      </c>
      <c r="E1761" s="366">
        <v>600000</v>
      </c>
    </row>
    <row r="1762" spans="1:5" s="93" customFormat="1" ht="15" customHeight="1">
      <c r="A1762" s="940" t="str">
        <f t="shared" si="72"/>
        <v>인바이런먼트
(ENV)</v>
      </c>
      <c r="B1762" s="846"/>
      <c r="C1762" s="843"/>
      <c r="D1762" s="257" t="s">
        <v>4296</v>
      </c>
      <c r="E1762" s="424">
        <v>320000</v>
      </c>
    </row>
    <row r="1763" spans="1:5" s="93" customFormat="1" ht="15" customHeight="1">
      <c r="A1763" s="940" t="str">
        <f t="shared" si="72"/>
        <v>인바이런먼트
(ENV)</v>
      </c>
      <c r="B1763" s="846"/>
      <c r="C1763" s="843"/>
      <c r="D1763" s="150" t="s">
        <v>2146</v>
      </c>
      <c r="E1763" s="423">
        <v>585000</v>
      </c>
    </row>
    <row r="1764" spans="1:5" s="93" customFormat="1" ht="15" customHeight="1">
      <c r="A1764" s="940" t="str">
        <f t="shared" si="72"/>
        <v>인바이런먼트
(ENV)</v>
      </c>
      <c r="B1764" s="846"/>
      <c r="C1764" s="844"/>
      <c r="D1764" s="419" t="s">
        <v>2147</v>
      </c>
      <c r="E1764" s="423">
        <v>575000</v>
      </c>
    </row>
    <row r="1765" spans="1:5" s="93" customFormat="1" ht="15" customHeight="1">
      <c r="A1765" s="940" t="str">
        <f t="shared" si="72"/>
        <v>인바이런먼트
(ENV)</v>
      </c>
      <c r="B1765" s="846"/>
      <c r="C1765" s="90">
        <v>148</v>
      </c>
      <c r="D1765" s="156" t="s">
        <v>2148</v>
      </c>
      <c r="E1765" s="244">
        <v>720000</v>
      </c>
    </row>
    <row r="1766" spans="1:5" s="93" customFormat="1" ht="15" customHeight="1">
      <c r="A1766" s="940" t="str">
        <f t="shared" si="72"/>
        <v>인바이런먼트
(ENV)</v>
      </c>
      <c r="B1766" s="846"/>
      <c r="C1766" s="853">
        <v>216</v>
      </c>
      <c r="D1766" s="150" t="s">
        <v>2149</v>
      </c>
      <c r="E1766" s="423">
        <v>1085000</v>
      </c>
    </row>
    <row r="1767" spans="1:5" s="93" customFormat="1" ht="15" customHeight="1">
      <c r="A1767" s="940" t="str">
        <f t="shared" si="72"/>
        <v>인바이런먼트
(ENV)</v>
      </c>
      <c r="B1767" s="846"/>
      <c r="C1767" s="843"/>
      <c r="D1767" s="257" t="s">
        <v>4297</v>
      </c>
      <c r="E1767" s="424">
        <v>570000</v>
      </c>
    </row>
    <row r="1768" spans="1:5" s="93" customFormat="1" ht="15" customHeight="1">
      <c r="A1768" s="940" t="str">
        <f t="shared" si="72"/>
        <v>인바이런먼트
(ENV)</v>
      </c>
      <c r="B1768" s="846"/>
      <c r="C1768" s="843"/>
      <c r="D1768" s="222" t="s">
        <v>1961</v>
      </c>
      <c r="E1768" s="425">
        <v>1110000</v>
      </c>
    </row>
    <row r="1769" spans="1:5" s="93" customFormat="1" ht="15" customHeight="1">
      <c r="A1769" s="940" t="str">
        <f t="shared" si="72"/>
        <v>인바이런먼트
(ENV)</v>
      </c>
      <c r="B1769" s="846"/>
      <c r="C1769" s="843"/>
      <c r="D1769" s="257" t="s">
        <v>4298</v>
      </c>
      <c r="E1769" s="424">
        <v>570000</v>
      </c>
    </row>
    <row r="1770" spans="1:5" s="93" customFormat="1" ht="15" customHeight="1">
      <c r="A1770" s="940" t="str">
        <f t="shared" si="72"/>
        <v>인바이런먼트
(ENV)</v>
      </c>
      <c r="B1770" s="846"/>
      <c r="C1770" s="843"/>
      <c r="D1770" s="222" t="s">
        <v>2150</v>
      </c>
      <c r="E1770" s="425">
        <v>1070000</v>
      </c>
    </row>
    <row r="1771" spans="1:5" s="93" customFormat="1" ht="12" customHeight="1">
      <c r="A1771" s="940" t="str">
        <f t="shared" si="72"/>
        <v>인바이런먼트
(ENV)</v>
      </c>
      <c r="B1771" s="846"/>
      <c r="C1771" s="844"/>
      <c r="D1771" s="222" t="s">
        <v>2151</v>
      </c>
      <c r="E1771" s="425">
        <v>1110000</v>
      </c>
    </row>
    <row r="1772" spans="1:5" s="93" customFormat="1" ht="13.2" customHeight="1">
      <c r="A1772" s="940" t="str">
        <f t="shared" si="72"/>
        <v>인바이런먼트
(ENV)</v>
      </c>
      <c r="B1772" s="846"/>
      <c r="C1772" s="853">
        <v>270</v>
      </c>
      <c r="D1772" s="227" t="s">
        <v>2152</v>
      </c>
      <c r="E1772" s="366">
        <v>1355000</v>
      </c>
    </row>
    <row r="1773" spans="1:5" s="93" customFormat="1" ht="13.2" customHeight="1">
      <c r="A1773" s="940" t="str">
        <f t="shared" si="72"/>
        <v>인바이런먼트
(ENV)</v>
      </c>
      <c r="B1773" s="846"/>
      <c r="C1773" s="843"/>
      <c r="D1773" s="222" t="s">
        <v>2153</v>
      </c>
      <c r="E1773" s="425">
        <v>1335000</v>
      </c>
    </row>
    <row r="1774" spans="1:5" s="93" customFormat="1" ht="13.2" customHeight="1">
      <c r="A1774" s="940" t="str">
        <f t="shared" si="72"/>
        <v>인바이런먼트
(ENV)</v>
      </c>
      <c r="B1774" s="846"/>
      <c r="C1774" s="843"/>
      <c r="D1774" s="467" t="s">
        <v>4299</v>
      </c>
      <c r="E1774" s="424">
        <v>715000</v>
      </c>
    </row>
    <row r="1775" spans="1:5" s="93" customFormat="1" ht="13.2" customHeight="1">
      <c r="A1775" s="940" t="str">
        <f t="shared" si="72"/>
        <v>인바이런먼트
(ENV)</v>
      </c>
      <c r="B1775" s="846"/>
      <c r="C1775" s="844"/>
      <c r="D1775" s="598" t="s">
        <v>2154</v>
      </c>
      <c r="E1775" s="571">
        <v>1385000</v>
      </c>
    </row>
    <row r="1776" spans="1:5" s="93" customFormat="1" ht="13.2" customHeight="1">
      <c r="A1776" s="940" t="str">
        <f t="shared" si="72"/>
        <v>인바이런먼트
(ENV)</v>
      </c>
      <c r="B1776" s="846"/>
      <c r="C1776" s="853">
        <v>324</v>
      </c>
      <c r="D1776" s="227" t="s">
        <v>2155</v>
      </c>
      <c r="E1776" s="366">
        <v>1735000</v>
      </c>
    </row>
    <row r="1777" spans="1:5" s="93" customFormat="1" ht="13.2" customHeight="1">
      <c r="A1777" s="940" t="str">
        <f t="shared" si="72"/>
        <v>인바이런먼트
(ENV)</v>
      </c>
      <c r="B1777" s="846"/>
      <c r="C1777" s="843"/>
      <c r="D1777" s="257" t="s">
        <v>4300</v>
      </c>
      <c r="E1777" s="424">
        <v>940000</v>
      </c>
    </row>
    <row r="1778" spans="1:5" s="93" customFormat="1" ht="13.2" customHeight="1">
      <c r="A1778" s="940"/>
      <c r="B1778" s="846"/>
      <c r="C1778" s="843"/>
      <c r="D1778" s="150" t="s">
        <v>2278</v>
      </c>
      <c r="E1778" s="423">
        <v>1775000</v>
      </c>
    </row>
    <row r="1779" spans="1:5" s="93" customFormat="1" ht="13.2" customHeight="1">
      <c r="A1779" s="940" t="str">
        <f>A1777</f>
        <v>인바이런먼트
(ENV)</v>
      </c>
      <c r="B1779" s="846"/>
      <c r="C1779" s="844"/>
      <c r="D1779" s="599" t="s">
        <v>4301</v>
      </c>
      <c r="E1779" s="571">
        <v>1490000</v>
      </c>
    </row>
    <row r="1780" spans="1:5" s="93" customFormat="1" ht="13.2" customHeight="1">
      <c r="A1780" s="940" t="str">
        <f t="shared" si="72"/>
        <v>인바이런먼트
(ENV)</v>
      </c>
      <c r="B1780" s="846"/>
      <c r="C1780" s="853">
        <v>352</v>
      </c>
      <c r="D1780" s="227" t="s">
        <v>1822</v>
      </c>
      <c r="E1780" s="366">
        <v>1875000</v>
      </c>
    </row>
    <row r="1781" spans="1:5" s="93" customFormat="1" ht="13.2" customHeight="1">
      <c r="A1781" s="940" t="str">
        <f t="shared" si="72"/>
        <v>인바이런먼트
(ENV)</v>
      </c>
      <c r="B1781" s="846"/>
      <c r="C1781" s="843"/>
      <c r="D1781" s="257" t="s">
        <v>4302</v>
      </c>
      <c r="E1781" s="424">
        <v>1020000</v>
      </c>
    </row>
    <row r="1782" spans="1:5" s="93" customFormat="1" ht="13.2" customHeight="1">
      <c r="A1782" s="940" t="str">
        <f t="shared" si="72"/>
        <v>인바이런먼트
(ENV)</v>
      </c>
      <c r="B1782" s="851"/>
      <c r="C1782" s="844"/>
      <c r="D1782" s="599" t="s">
        <v>2156</v>
      </c>
      <c r="E1782" s="571">
        <v>1925000</v>
      </c>
    </row>
    <row r="1783" spans="1:5" s="93" customFormat="1" ht="13.2" customHeight="1">
      <c r="A1783" s="940" t="str">
        <f t="shared" si="72"/>
        <v>인바이런먼트
(ENV)</v>
      </c>
      <c r="B1783" s="87" t="s">
        <v>2157</v>
      </c>
      <c r="C1783" s="90">
        <v>118</v>
      </c>
      <c r="D1783" s="273" t="s">
        <v>3735</v>
      </c>
      <c r="E1783" s="341">
        <v>220000</v>
      </c>
    </row>
    <row r="1784" spans="1:5" s="93" customFormat="1" ht="13.2" customHeight="1">
      <c r="A1784" s="940" t="str">
        <f t="shared" si="72"/>
        <v>인바이런먼트
(ENV)</v>
      </c>
      <c r="B1784" s="848" t="s">
        <v>1754</v>
      </c>
      <c r="C1784" s="415">
        <v>118</v>
      </c>
      <c r="D1784" s="150" t="s">
        <v>2158</v>
      </c>
      <c r="E1784" s="289">
        <v>400000</v>
      </c>
    </row>
    <row r="1785" spans="1:5" s="93" customFormat="1" ht="13.2" customHeight="1">
      <c r="A1785" s="940" t="str">
        <f t="shared" si="72"/>
        <v>인바이런먼트
(ENV)</v>
      </c>
      <c r="B1785" s="846"/>
      <c r="C1785" s="90">
        <v>148</v>
      </c>
      <c r="D1785" s="156" t="s">
        <v>2159</v>
      </c>
      <c r="E1785" s="244">
        <v>500000</v>
      </c>
    </row>
    <row r="1786" spans="1:5" s="93" customFormat="1" ht="13.2" customHeight="1">
      <c r="A1786" s="968" t="str">
        <f t="shared" si="72"/>
        <v>인바이런먼트
(ENV)</v>
      </c>
      <c r="B1786" s="847"/>
      <c r="C1786" s="154">
        <v>216</v>
      </c>
      <c r="D1786" s="155" t="s">
        <v>2160</v>
      </c>
      <c r="E1786" s="243">
        <v>740000</v>
      </c>
    </row>
    <row r="1787" spans="1:5" s="93" customFormat="1" ht="13.2" customHeight="1">
      <c r="A1787" s="974" t="s">
        <v>4303</v>
      </c>
      <c r="B1787" s="592" t="s">
        <v>1752</v>
      </c>
      <c r="C1787" s="589">
        <v>115</v>
      </c>
      <c r="D1787" s="590" t="s">
        <v>4304</v>
      </c>
      <c r="E1787" s="424">
        <v>300000</v>
      </c>
    </row>
    <row r="1788" spans="1:5" s="93" customFormat="1" ht="13.2" customHeight="1">
      <c r="A1788" s="922" t="str">
        <f>A1787</f>
        <v xml:space="preserve">쟈데
(JD) </v>
      </c>
      <c r="B1788" s="848" t="s">
        <v>2161</v>
      </c>
      <c r="C1788" s="853">
        <v>115</v>
      </c>
      <c r="D1788" s="270" t="s">
        <v>2162</v>
      </c>
      <c r="E1788" s="241">
        <v>450000</v>
      </c>
    </row>
    <row r="1789" spans="1:5" s="93" customFormat="1" ht="13.2" customHeight="1">
      <c r="A1789" s="922"/>
      <c r="B1789" s="846"/>
      <c r="C1789" s="843"/>
      <c r="D1789" s="419" t="s">
        <v>4305</v>
      </c>
      <c r="E1789" s="423">
        <v>315000</v>
      </c>
    </row>
    <row r="1790" spans="1:5" s="93" customFormat="1" ht="13.2" customHeight="1">
      <c r="A1790" s="922" t="str">
        <f>A1788</f>
        <v xml:space="preserve">쟈데
(JD) </v>
      </c>
      <c r="B1790" s="846"/>
      <c r="C1790" s="415">
        <v>190</v>
      </c>
      <c r="D1790" s="150" t="s">
        <v>4306</v>
      </c>
      <c r="E1790" s="423">
        <v>515000</v>
      </c>
    </row>
    <row r="1791" spans="1:5" s="93" customFormat="1" ht="13.2" customHeight="1">
      <c r="A1791" s="922"/>
      <c r="B1791" s="846"/>
      <c r="C1791" s="843">
        <v>215</v>
      </c>
      <c r="D1791" s="150" t="s">
        <v>2163</v>
      </c>
      <c r="E1791" s="423">
        <v>850000</v>
      </c>
    </row>
    <row r="1792" spans="1:5" s="93" customFormat="1" ht="13.2" customHeight="1">
      <c r="A1792" s="922" t="str">
        <f>A1790</f>
        <v xml:space="preserve">쟈데
(JD) </v>
      </c>
      <c r="B1792" s="851"/>
      <c r="C1792" s="844"/>
      <c r="D1792" s="150" t="s">
        <v>4307</v>
      </c>
      <c r="E1792" s="423">
        <v>585000</v>
      </c>
    </row>
    <row r="1793" spans="1:5" s="93" customFormat="1" ht="13.2" customHeight="1">
      <c r="A1793" s="922"/>
      <c r="B1793" s="848" t="s">
        <v>1982</v>
      </c>
      <c r="C1793" s="89">
        <v>115</v>
      </c>
      <c r="D1793" s="363" t="s">
        <v>4308</v>
      </c>
      <c r="E1793" s="364">
        <v>270000</v>
      </c>
    </row>
    <row r="1794" spans="1:5" s="93" customFormat="1" ht="13.2" customHeight="1">
      <c r="A1794" s="922"/>
      <c r="B1794" s="846"/>
      <c r="C1794" s="415">
        <v>190</v>
      </c>
      <c r="D1794" s="257" t="s">
        <v>4309</v>
      </c>
      <c r="E1794" s="424">
        <v>445000</v>
      </c>
    </row>
    <row r="1795" spans="1:5" s="93" customFormat="1" ht="13.2" customHeight="1">
      <c r="A1795" s="922"/>
      <c r="B1795" s="846"/>
      <c r="C1795" s="415">
        <v>215</v>
      </c>
      <c r="D1795" s="150" t="s">
        <v>4310</v>
      </c>
      <c r="E1795" s="423">
        <v>500000</v>
      </c>
    </row>
    <row r="1796" spans="1:5" s="93" customFormat="1" ht="13.2" customHeight="1">
      <c r="A1796" s="922" t="str">
        <f>A1792</f>
        <v xml:space="preserve">쟈데
(JD) </v>
      </c>
      <c r="B1796" s="851"/>
      <c r="C1796" s="287">
        <v>300</v>
      </c>
      <c r="D1796" s="288" t="s">
        <v>4311</v>
      </c>
      <c r="E1796" s="289">
        <v>690000</v>
      </c>
    </row>
    <row r="1797" spans="1:5" s="93" customFormat="1" ht="13.2" customHeight="1">
      <c r="A1797" s="922"/>
      <c r="B1797" s="848" t="s">
        <v>1889</v>
      </c>
      <c r="C1797" s="853">
        <v>350</v>
      </c>
      <c r="D1797" s="153" t="s">
        <v>4312</v>
      </c>
      <c r="E1797" s="241">
        <v>850000</v>
      </c>
    </row>
    <row r="1798" spans="1:5" s="93" customFormat="1" ht="13.2" customHeight="1">
      <c r="A1798" s="963" t="str">
        <f>A1796</f>
        <v xml:space="preserve">쟈데
(JD) </v>
      </c>
      <c r="B1798" s="849"/>
      <c r="C1798" s="858"/>
      <c r="D1798" s="426" t="s">
        <v>4313</v>
      </c>
      <c r="E1798" s="370">
        <v>850000</v>
      </c>
    </row>
    <row r="1799" spans="1:5" s="93" customFormat="1" ht="13.2" customHeight="1">
      <c r="A1799" s="975" t="s">
        <v>3196</v>
      </c>
      <c r="B1799" s="845" t="s">
        <v>1757</v>
      </c>
      <c r="C1799" s="415">
        <v>120</v>
      </c>
      <c r="D1799" s="150" t="s">
        <v>3197</v>
      </c>
      <c r="E1799" s="423">
        <v>210000</v>
      </c>
    </row>
    <row r="1800" spans="1:5" s="93" customFormat="1" ht="13.2" customHeight="1">
      <c r="A1800" s="970"/>
      <c r="B1800" s="846"/>
      <c r="C1800" s="415">
        <v>190</v>
      </c>
      <c r="D1800" s="150" t="s">
        <v>3198</v>
      </c>
      <c r="E1800" s="423">
        <v>331000</v>
      </c>
    </row>
    <row r="1801" spans="1:5" s="93" customFormat="1" ht="13.2" customHeight="1">
      <c r="A1801" s="970"/>
      <c r="B1801" s="846"/>
      <c r="C1801" s="415">
        <v>230</v>
      </c>
      <c r="D1801" s="150" t="s">
        <v>3199</v>
      </c>
      <c r="E1801" s="423">
        <v>400000</v>
      </c>
    </row>
    <row r="1802" spans="1:5" s="93" customFormat="1" ht="12" customHeight="1">
      <c r="A1802" s="970"/>
      <c r="B1802" s="846"/>
      <c r="C1802" s="415">
        <v>300</v>
      </c>
      <c r="D1802" s="150" t="s">
        <v>3200</v>
      </c>
      <c r="E1802" s="423">
        <v>525000</v>
      </c>
    </row>
    <row r="1803" spans="1:5" s="93" customFormat="1" ht="13.2" customHeight="1">
      <c r="A1803" s="970"/>
      <c r="B1803" s="846"/>
      <c r="C1803" s="287">
        <v>350</v>
      </c>
      <c r="D1803" s="150" t="s">
        <v>3201</v>
      </c>
      <c r="E1803" s="289">
        <v>610000</v>
      </c>
    </row>
    <row r="1804" spans="1:5" s="93" customFormat="1" ht="13.2">
      <c r="A1804" s="970"/>
      <c r="B1804" s="846"/>
      <c r="C1804" s="89">
        <v>300</v>
      </c>
      <c r="D1804" s="153" t="s">
        <v>3202</v>
      </c>
      <c r="E1804" s="241">
        <v>525000</v>
      </c>
    </row>
    <row r="1805" spans="1:5" s="93" customFormat="1" ht="13.2">
      <c r="A1805" s="970"/>
      <c r="B1805" s="846"/>
      <c r="C1805" s="287">
        <v>350</v>
      </c>
      <c r="D1805" s="288" t="s">
        <v>3203</v>
      </c>
      <c r="E1805" s="289">
        <v>610000</v>
      </c>
    </row>
    <row r="1806" spans="1:5" s="93" customFormat="1" ht="13.2">
      <c r="A1806" s="970"/>
      <c r="B1806" s="846"/>
      <c r="C1806" s="415">
        <v>300</v>
      </c>
      <c r="D1806" s="150" t="s">
        <v>3204</v>
      </c>
      <c r="E1806" s="423">
        <v>515000</v>
      </c>
    </row>
    <row r="1807" spans="1:5" s="93" customFormat="1" ht="13.2">
      <c r="A1807" s="970"/>
      <c r="B1807" s="849"/>
      <c r="C1807" s="154">
        <v>350</v>
      </c>
      <c r="D1807" s="155" t="s">
        <v>3205</v>
      </c>
      <c r="E1807" s="243">
        <v>600000</v>
      </c>
    </row>
    <row r="1808" spans="1:5" s="93" customFormat="1" ht="13.2">
      <c r="A1808" s="990" t="s">
        <v>4672</v>
      </c>
      <c r="B1808" s="906" t="s">
        <v>4673</v>
      </c>
      <c r="C1808" s="600">
        <v>250</v>
      </c>
      <c r="D1808" s="601" t="s">
        <v>4674</v>
      </c>
      <c r="E1808" s="602">
        <v>600000</v>
      </c>
    </row>
    <row r="1809" spans="1:5" s="93" customFormat="1" ht="13.2" customHeight="1">
      <c r="A1809" s="991"/>
      <c r="B1809" s="907"/>
      <c r="C1809" s="603">
        <v>350</v>
      </c>
      <c r="D1809" s="604" t="s">
        <v>4675</v>
      </c>
      <c r="E1809" s="605">
        <v>820000</v>
      </c>
    </row>
    <row r="1810" spans="1:5" ht="15" customHeight="1">
      <c r="A1810" s="991"/>
      <c r="B1810" s="907"/>
      <c r="C1810" s="603">
        <v>450</v>
      </c>
      <c r="D1810" s="604" t="s">
        <v>4676</v>
      </c>
      <c r="E1810" s="605">
        <v>1050000</v>
      </c>
    </row>
    <row r="1811" spans="1:5" ht="15" customHeight="1">
      <c r="A1811" s="992"/>
      <c r="B1811" s="908"/>
      <c r="C1811" s="606">
        <v>550</v>
      </c>
      <c r="D1811" s="607" t="s">
        <v>4677</v>
      </c>
      <c r="E1811" s="608">
        <v>1400000</v>
      </c>
    </row>
    <row r="1812" spans="1:5" ht="15" customHeight="1">
      <c r="A1812" s="970" t="s">
        <v>3206</v>
      </c>
      <c r="B1812" s="845" t="s">
        <v>1757</v>
      </c>
      <c r="C1812" s="842">
        <v>120</v>
      </c>
      <c r="D1812" s="150" t="s">
        <v>2164</v>
      </c>
      <c r="E1812" s="423">
        <v>224000</v>
      </c>
    </row>
    <row r="1813" spans="1:5" ht="15" customHeight="1">
      <c r="A1813" s="970"/>
      <c r="B1813" s="846"/>
      <c r="C1813" s="843"/>
      <c r="D1813" s="150" t="s">
        <v>2165</v>
      </c>
      <c r="E1813" s="423">
        <v>187000</v>
      </c>
    </row>
    <row r="1814" spans="1:5" ht="15" customHeight="1">
      <c r="A1814" s="970"/>
      <c r="B1814" s="846"/>
      <c r="C1814" s="844"/>
      <c r="D1814" s="150" t="s">
        <v>2166</v>
      </c>
      <c r="E1814" s="423">
        <v>200000</v>
      </c>
    </row>
    <row r="1815" spans="1:5" ht="15" customHeight="1">
      <c r="A1815" s="970"/>
      <c r="B1815" s="846"/>
      <c r="C1815" s="90">
        <v>180</v>
      </c>
      <c r="D1815" s="156" t="s">
        <v>2167</v>
      </c>
      <c r="E1815" s="244">
        <v>335000</v>
      </c>
    </row>
    <row r="1816" spans="1:5" ht="15" customHeight="1">
      <c r="A1816" s="970"/>
      <c r="B1816" s="846"/>
      <c r="C1816" s="853">
        <v>220</v>
      </c>
      <c r="D1816" s="150" t="s">
        <v>2168</v>
      </c>
      <c r="E1816" s="423">
        <v>410000</v>
      </c>
    </row>
    <row r="1817" spans="1:5" ht="15" customHeight="1">
      <c r="A1817" s="970"/>
      <c r="B1817" s="846"/>
      <c r="C1817" s="843"/>
      <c r="D1817" s="150" t="s">
        <v>3207</v>
      </c>
      <c r="E1817" s="423">
        <v>342000</v>
      </c>
    </row>
    <row r="1818" spans="1:5" ht="15" customHeight="1">
      <c r="A1818" s="970"/>
      <c r="B1818" s="846"/>
      <c r="C1818" s="843"/>
      <c r="D1818" s="150" t="s">
        <v>2169</v>
      </c>
      <c r="E1818" s="423">
        <v>368000</v>
      </c>
    </row>
    <row r="1819" spans="1:5" ht="15" customHeight="1">
      <c r="A1819" s="970"/>
      <c r="B1819" s="846"/>
      <c r="C1819" s="843"/>
      <c r="D1819" s="150" t="s">
        <v>2170</v>
      </c>
      <c r="E1819" s="423">
        <v>415000</v>
      </c>
    </row>
    <row r="1820" spans="1:5" ht="15" customHeight="1">
      <c r="A1820" s="970"/>
      <c r="B1820" s="846"/>
      <c r="C1820" s="843"/>
      <c r="D1820" s="150" t="s">
        <v>2171</v>
      </c>
      <c r="E1820" s="423">
        <v>415000</v>
      </c>
    </row>
    <row r="1821" spans="1:5" ht="15" customHeight="1">
      <c r="A1821" s="970"/>
      <c r="B1821" s="846"/>
      <c r="C1821" s="844"/>
      <c r="D1821" s="288" t="s">
        <v>2172</v>
      </c>
      <c r="E1821" s="289">
        <v>462000</v>
      </c>
    </row>
    <row r="1822" spans="1:5" ht="15" customHeight="1">
      <c r="A1822" s="970"/>
      <c r="B1822" s="846"/>
      <c r="C1822" s="853">
        <v>270</v>
      </c>
      <c r="D1822" s="150" t="s">
        <v>2173</v>
      </c>
      <c r="E1822" s="423">
        <v>500000</v>
      </c>
    </row>
    <row r="1823" spans="1:5" ht="15" customHeight="1">
      <c r="A1823" s="970"/>
      <c r="B1823" s="846"/>
      <c r="C1823" s="843"/>
      <c r="D1823" s="150" t="s">
        <v>2174</v>
      </c>
      <c r="E1823" s="423">
        <v>420000</v>
      </c>
    </row>
    <row r="1824" spans="1:5" ht="15" customHeight="1">
      <c r="A1824" s="970"/>
      <c r="B1824" s="846"/>
      <c r="C1824" s="843"/>
      <c r="D1824" s="150" t="s">
        <v>2175</v>
      </c>
      <c r="E1824" s="423">
        <v>450000</v>
      </c>
    </row>
    <row r="1825" spans="1:5" ht="15" customHeight="1">
      <c r="A1825" s="970"/>
      <c r="B1825" s="846"/>
      <c r="C1825" s="843"/>
      <c r="D1825" s="150" t="s">
        <v>2176</v>
      </c>
      <c r="E1825" s="423">
        <v>510000</v>
      </c>
    </row>
    <row r="1826" spans="1:5" ht="15" customHeight="1">
      <c r="A1826" s="970"/>
      <c r="B1826" s="846"/>
      <c r="C1826" s="844"/>
      <c r="D1826" s="150" t="s">
        <v>3208</v>
      </c>
      <c r="E1826" s="423">
        <v>510000</v>
      </c>
    </row>
    <row r="1827" spans="1:5" ht="15" customHeight="1">
      <c r="A1827" s="970"/>
      <c r="B1827" s="846"/>
      <c r="C1827" s="853">
        <v>310</v>
      </c>
      <c r="D1827" s="153" t="s">
        <v>2177</v>
      </c>
      <c r="E1827" s="241">
        <v>535000</v>
      </c>
    </row>
    <row r="1828" spans="1:5" ht="15" customHeight="1">
      <c r="A1828" s="970"/>
      <c r="B1828" s="846"/>
      <c r="C1828" s="844"/>
      <c r="D1828" s="288" t="s">
        <v>2178</v>
      </c>
      <c r="E1828" s="289">
        <v>545000</v>
      </c>
    </row>
    <row r="1829" spans="1:5" ht="15" customHeight="1">
      <c r="A1829" s="970"/>
      <c r="B1829" s="846"/>
      <c r="C1829" s="853">
        <v>370</v>
      </c>
      <c r="D1829" s="150" t="s">
        <v>2179</v>
      </c>
      <c r="E1829" s="423">
        <v>640000</v>
      </c>
    </row>
    <row r="1830" spans="1:5" ht="15" customHeight="1">
      <c r="A1830" s="970"/>
      <c r="B1830" s="846"/>
      <c r="C1830" s="844"/>
      <c r="D1830" s="288" t="s">
        <v>2180</v>
      </c>
      <c r="E1830" s="289">
        <v>650000</v>
      </c>
    </row>
    <row r="1831" spans="1:5" ht="15" customHeight="1">
      <c r="A1831" s="970"/>
      <c r="B1831" s="852"/>
      <c r="C1831" s="415">
        <v>430</v>
      </c>
      <c r="D1831" s="150" t="s">
        <v>2181</v>
      </c>
      <c r="E1831" s="423">
        <v>775000</v>
      </c>
    </row>
    <row r="1832" spans="1:5" ht="15" customHeight="1">
      <c r="A1832" s="970"/>
      <c r="B1832" s="92" t="s">
        <v>2182</v>
      </c>
      <c r="C1832" s="91">
        <v>220</v>
      </c>
      <c r="D1832" s="157" t="s">
        <v>2183</v>
      </c>
      <c r="E1832" s="283">
        <v>235000</v>
      </c>
    </row>
    <row r="1833" spans="1:5" ht="15" customHeight="1">
      <c r="A1833" s="970"/>
      <c r="B1833" s="92" t="s">
        <v>1895</v>
      </c>
      <c r="C1833" s="91">
        <v>220</v>
      </c>
      <c r="D1833" s="157" t="s">
        <v>2184</v>
      </c>
      <c r="E1833" s="283">
        <v>320000</v>
      </c>
    </row>
    <row r="1834" spans="1:5" ht="15" customHeight="1">
      <c r="A1834" s="970"/>
      <c r="B1834" s="92" t="s">
        <v>1788</v>
      </c>
      <c r="C1834" s="91">
        <v>220</v>
      </c>
      <c r="D1834" s="157" t="s">
        <v>2185</v>
      </c>
      <c r="E1834" s="283">
        <v>320000</v>
      </c>
    </row>
    <row r="1835" spans="1:5" ht="15" customHeight="1">
      <c r="A1835" s="977" t="s">
        <v>2186</v>
      </c>
      <c r="B1835" s="909" t="s">
        <v>2187</v>
      </c>
      <c r="C1835" s="609">
        <v>135</v>
      </c>
      <c r="D1835" s="158" t="s">
        <v>3209</v>
      </c>
      <c r="E1835" s="610">
        <v>445000</v>
      </c>
    </row>
    <row r="1836" spans="1:5" ht="15" customHeight="1">
      <c r="A1836" s="948" t="str">
        <f t="shared" ref="A1836:A1854" si="73">A1835</f>
        <v>칼라플랜
(CPL)</v>
      </c>
      <c r="B1836" s="910"/>
      <c r="C1836" s="612"/>
      <c r="D1836" s="613" t="s">
        <v>3210</v>
      </c>
      <c r="E1836" s="310">
        <v>460000</v>
      </c>
    </row>
    <row r="1837" spans="1:5" ht="15" customHeight="1">
      <c r="A1837" s="948" t="str">
        <f t="shared" si="73"/>
        <v>칼라플랜
(CPL)</v>
      </c>
      <c r="B1837" s="910"/>
      <c r="C1837" s="612"/>
      <c r="D1837" s="186" t="s">
        <v>3211</v>
      </c>
      <c r="E1837" s="293">
        <v>495000</v>
      </c>
    </row>
    <row r="1838" spans="1:5" ht="15" customHeight="1">
      <c r="A1838" s="948" t="str">
        <f t="shared" si="73"/>
        <v>칼라플랜
(CPL)</v>
      </c>
      <c r="B1838" s="910"/>
      <c r="C1838" s="612"/>
      <c r="D1838" s="185" t="s">
        <v>3212</v>
      </c>
      <c r="E1838" s="293">
        <v>540000</v>
      </c>
    </row>
    <row r="1839" spans="1:5" ht="15" customHeight="1">
      <c r="A1839" s="948" t="str">
        <f t="shared" si="73"/>
        <v>칼라플랜
(CPL)</v>
      </c>
      <c r="B1839" s="910"/>
      <c r="C1839" s="612"/>
      <c r="D1839" s="185" t="s">
        <v>2188</v>
      </c>
      <c r="E1839" s="293">
        <v>550000</v>
      </c>
    </row>
    <row r="1840" spans="1:5" ht="15" customHeight="1">
      <c r="A1840" s="948" t="str">
        <f t="shared" si="73"/>
        <v>칼라플랜
(CPL)</v>
      </c>
      <c r="B1840" s="910"/>
      <c r="C1840" s="612"/>
      <c r="D1840" s="185" t="s">
        <v>2189</v>
      </c>
      <c r="E1840" s="293">
        <v>575000</v>
      </c>
    </row>
    <row r="1841" spans="1:5" ht="15" customHeight="1">
      <c r="A1841" s="948" t="str">
        <f t="shared" si="73"/>
        <v>칼라플랜
(CPL)</v>
      </c>
      <c r="B1841" s="910"/>
      <c r="C1841" s="612"/>
      <c r="D1841" s="185" t="s">
        <v>3213</v>
      </c>
      <c r="E1841" s="293">
        <v>590000</v>
      </c>
    </row>
    <row r="1842" spans="1:5" ht="15" customHeight="1">
      <c r="A1842" s="948" t="str">
        <f t="shared" si="73"/>
        <v>칼라플랜
(CPL)</v>
      </c>
      <c r="B1842" s="910"/>
      <c r="C1842" s="612"/>
      <c r="D1842" s="185" t="s">
        <v>3214</v>
      </c>
      <c r="E1842" s="293">
        <v>620000</v>
      </c>
    </row>
    <row r="1843" spans="1:5" ht="15" customHeight="1">
      <c r="A1843" s="948" t="str">
        <f t="shared" si="73"/>
        <v>칼라플랜
(CPL)</v>
      </c>
      <c r="B1843" s="910"/>
      <c r="C1843" s="612"/>
      <c r="D1843" s="614" t="s">
        <v>2190</v>
      </c>
      <c r="E1843" s="283">
        <v>650000</v>
      </c>
    </row>
    <row r="1844" spans="1:5" ht="15" customHeight="1">
      <c r="A1844" s="948" t="str">
        <f t="shared" si="73"/>
        <v>칼라플랜
(CPL)</v>
      </c>
      <c r="B1844" s="910"/>
      <c r="C1844" s="615" t="s">
        <v>4314</v>
      </c>
      <c r="D1844" s="614" t="s">
        <v>4315</v>
      </c>
      <c r="E1844" s="283">
        <v>370000</v>
      </c>
    </row>
    <row r="1845" spans="1:5" ht="15" customHeight="1">
      <c r="A1845" s="948" t="str">
        <f t="shared" si="73"/>
        <v>칼라플랜
(CPL)</v>
      </c>
      <c r="B1845" s="912"/>
      <c r="C1845" s="617"/>
      <c r="D1845" s="618" t="s">
        <v>4316</v>
      </c>
      <c r="E1845" s="619">
        <v>430000</v>
      </c>
    </row>
    <row r="1846" spans="1:5" ht="15" customHeight="1">
      <c r="A1846" s="948" t="str">
        <f t="shared" si="73"/>
        <v>칼라플랜
(CPL)</v>
      </c>
      <c r="B1846" s="909" t="s">
        <v>2187</v>
      </c>
      <c r="C1846" s="612">
        <v>270</v>
      </c>
      <c r="D1846" s="620" t="s">
        <v>2191</v>
      </c>
      <c r="E1846" s="294">
        <v>890000</v>
      </c>
    </row>
    <row r="1847" spans="1:5" ht="15" customHeight="1">
      <c r="A1847" s="948" t="str">
        <f t="shared" si="73"/>
        <v>칼라플랜
(CPL)</v>
      </c>
      <c r="B1847" s="910"/>
      <c r="C1847" s="612"/>
      <c r="D1847" s="185" t="s">
        <v>2192</v>
      </c>
      <c r="E1847" s="293">
        <v>920000</v>
      </c>
    </row>
    <row r="1848" spans="1:5" ht="15" customHeight="1">
      <c r="A1848" s="948" t="str">
        <f t="shared" si="73"/>
        <v>칼라플랜
(CPL)</v>
      </c>
      <c r="B1848" s="910"/>
      <c r="C1848" s="612"/>
      <c r="D1848" s="186" t="s">
        <v>2193</v>
      </c>
      <c r="E1848" s="293">
        <v>985000</v>
      </c>
    </row>
    <row r="1849" spans="1:5" ht="15" customHeight="1">
      <c r="A1849" s="948" t="str">
        <f t="shared" si="73"/>
        <v>칼라플랜
(CPL)</v>
      </c>
      <c r="B1849" s="910"/>
      <c r="C1849" s="612"/>
      <c r="D1849" s="185" t="s">
        <v>2194</v>
      </c>
      <c r="E1849" s="293">
        <v>1080000</v>
      </c>
    </row>
    <row r="1850" spans="1:5" ht="15" customHeight="1">
      <c r="A1850" s="948" t="str">
        <f t="shared" si="73"/>
        <v>칼라플랜
(CPL)</v>
      </c>
      <c r="B1850" s="910"/>
      <c r="C1850" s="612"/>
      <c r="D1850" s="185" t="s">
        <v>2195</v>
      </c>
      <c r="E1850" s="293">
        <v>1100000</v>
      </c>
    </row>
    <row r="1851" spans="1:5" ht="15" customHeight="1">
      <c r="A1851" s="948" t="str">
        <f t="shared" si="73"/>
        <v>칼라플랜
(CPL)</v>
      </c>
      <c r="B1851" s="910"/>
      <c r="C1851" s="612"/>
      <c r="D1851" s="185" t="s">
        <v>2196</v>
      </c>
      <c r="E1851" s="293">
        <v>1150000</v>
      </c>
    </row>
    <row r="1852" spans="1:5" ht="15" customHeight="1">
      <c r="A1852" s="948" t="str">
        <f t="shared" si="73"/>
        <v>칼라플랜
(CPL)</v>
      </c>
      <c r="B1852" s="910"/>
      <c r="C1852" s="612"/>
      <c r="D1852" s="620" t="s">
        <v>2197</v>
      </c>
      <c r="E1852" s="294">
        <v>1180000</v>
      </c>
    </row>
    <row r="1853" spans="1:5" ht="15" customHeight="1">
      <c r="A1853" s="948" t="str">
        <f t="shared" si="73"/>
        <v>칼라플랜
(CPL)</v>
      </c>
      <c r="B1853" s="910"/>
      <c r="C1853" s="612"/>
      <c r="D1853" s="185" t="s">
        <v>2198</v>
      </c>
      <c r="E1853" s="293">
        <v>1240000</v>
      </c>
    </row>
    <row r="1854" spans="1:5" ht="15" customHeight="1">
      <c r="A1854" s="948" t="str">
        <f t="shared" si="73"/>
        <v>칼라플랜
(CPL)</v>
      </c>
      <c r="B1854" s="912"/>
      <c r="C1854" s="617"/>
      <c r="D1854" s="621" t="s">
        <v>2199</v>
      </c>
      <c r="E1854" s="569">
        <v>1310000</v>
      </c>
    </row>
    <row r="1855" spans="1:5" ht="15" customHeight="1">
      <c r="A1855" s="948" t="e">
        <f>#REF!</f>
        <v>#REF!</v>
      </c>
      <c r="B1855" s="909" t="s">
        <v>2187</v>
      </c>
      <c r="C1855" s="612">
        <v>350</v>
      </c>
      <c r="D1855" s="620" t="s">
        <v>2200</v>
      </c>
      <c r="E1855" s="294">
        <v>1150000</v>
      </c>
    </row>
    <row r="1856" spans="1:5" ht="15" customHeight="1">
      <c r="A1856" s="948" t="e">
        <f t="shared" ref="A1856:A1876" si="74">A1855</f>
        <v>#REF!</v>
      </c>
      <c r="B1856" s="910"/>
      <c r="C1856" s="612"/>
      <c r="D1856" s="185" t="s">
        <v>2201</v>
      </c>
      <c r="E1856" s="293">
        <v>1190000</v>
      </c>
    </row>
    <row r="1857" spans="1:5" ht="15" customHeight="1">
      <c r="A1857" s="948" t="e">
        <f t="shared" si="74"/>
        <v>#REF!</v>
      </c>
      <c r="B1857" s="910"/>
      <c r="C1857" s="612"/>
      <c r="D1857" s="186" t="s">
        <v>2202</v>
      </c>
      <c r="E1857" s="293">
        <v>1275000</v>
      </c>
    </row>
    <row r="1858" spans="1:5" ht="15" customHeight="1">
      <c r="A1858" s="948" t="e">
        <f t="shared" si="74"/>
        <v>#REF!</v>
      </c>
      <c r="B1858" s="910"/>
      <c r="C1858" s="612"/>
      <c r="D1858" s="185" t="s">
        <v>2203</v>
      </c>
      <c r="E1858" s="293">
        <v>1400000</v>
      </c>
    </row>
    <row r="1859" spans="1:5" ht="15" customHeight="1">
      <c r="A1859" s="948" t="e">
        <f t="shared" si="74"/>
        <v>#REF!</v>
      </c>
      <c r="B1859" s="910"/>
      <c r="C1859" s="612"/>
      <c r="D1859" s="186" t="s">
        <v>2204</v>
      </c>
      <c r="E1859" s="293">
        <v>1425000</v>
      </c>
    </row>
    <row r="1860" spans="1:5" ht="15" customHeight="1">
      <c r="A1860" s="948" t="e">
        <f t="shared" si="74"/>
        <v>#REF!</v>
      </c>
      <c r="B1860" s="910"/>
      <c r="C1860" s="612"/>
      <c r="D1860" s="186" t="s">
        <v>2205</v>
      </c>
      <c r="E1860" s="293">
        <v>1485000</v>
      </c>
    </row>
    <row r="1861" spans="1:5" ht="15" customHeight="1">
      <c r="A1861" s="948" t="e">
        <f t="shared" si="74"/>
        <v>#REF!</v>
      </c>
      <c r="B1861" s="910"/>
      <c r="C1861" s="612"/>
      <c r="D1861" s="185" t="s">
        <v>2206</v>
      </c>
      <c r="E1861" s="293">
        <v>1530000</v>
      </c>
    </row>
    <row r="1862" spans="1:5" ht="15" customHeight="1">
      <c r="A1862" s="948" t="e">
        <f t="shared" si="74"/>
        <v>#REF!</v>
      </c>
      <c r="B1862" s="910"/>
      <c r="C1862" s="612"/>
      <c r="D1862" s="185" t="s">
        <v>2207</v>
      </c>
      <c r="E1862" s="293">
        <v>1610000</v>
      </c>
    </row>
    <row r="1863" spans="1:5" ht="15" customHeight="1">
      <c r="A1863" s="948" t="e">
        <f t="shared" si="74"/>
        <v>#REF!</v>
      </c>
      <c r="B1863" s="910"/>
      <c r="C1863" s="612"/>
      <c r="D1863" s="614" t="s">
        <v>2208</v>
      </c>
      <c r="E1863" s="283">
        <v>1700000</v>
      </c>
    </row>
    <row r="1864" spans="1:5" ht="15" customHeight="1">
      <c r="A1864" s="948" t="e">
        <f t="shared" si="74"/>
        <v>#REF!</v>
      </c>
      <c r="B1864" s="910"/>
      <c r="C1864" s="615" t="s">
        <v>4314</v>
      </c>
      <c r="D1864" s="614" t="s">
        <v>4317</v>
      </c>
      <c r="E1864" s="283">
        <v>790000</v>
      </c>
    </row>
    <row r="1865" spans="1:5" ht="15" customHeight="1">
      <c r="A1865" s="948" t="e">
        <f t="shared" si="74"/>
        <v>#REF!</v>
      </c>
      <c r="B1865" s="910"/>
      <c r="C1865" s="612"/>
      <c r="D1865" s="611" t="s">
        <v>4318</v>
      </c>
      <c r="E1865" s="423">
        <v>1200000</v>
      </c>
    </row>
    <row r="1866" spans="1:5" ht="15" customHeight="1">
      <c r="A1866" s="948" t="e">
        <f t="shared" si="74"/>
        <v>#REF!</v>
      </c>
      <c r="B1866" s="910"/>
      <c r="C1866" s="612"/>
      <c r="D1866" s="611" t="s">
        <v>4319</v>
      </c>
      <c r="E1866" s="423">
        <v>1050000</v>
      </c>
    </row>
    <row r="1867" spans="1:5" ht="15" customHeight="1">
      <c r="A1867" s="948" t="e">
        <f t="shared" si="74"/>
        <v>#REF!</v>
      </c>
      <c r="B1867" s="912"/>
      <c r="C1867" s="612"/>
      <c r="D1867" s="611" t="s">
        <v>4320</v>
      </c>
      <c r="E1867" s="423">
        <v>900000</v>
      </c>
    </row>
    <row r="1868" spans="1:5" ht="15" customHeight="1">
      <c r="A1868" s="948" t="e">
        <f t="shared" si="74"/>
        <v>#REF!</v>
      </c>
      <c r="B1868" s="909" t="s">
        <v>2209</v>
      </c>
      <c r="C1868" s="609">
        <v>540</v>
      </c>
      <c r="D1868" s="158" t="s">
        <v>2210</v>
      </c>
      <c r="E1868" s="610">
        <v>2200000</v>
      </c>
    </row>
    <row r="1869" spans="1:5" ht="15" customHeight="1">
      <c r="A1869" s="948" t="e">
        <f t="shared" si="74"/>
        <v>#REF!</v>
      </c>
      <c r="B1869" s="910"/>
      <c r="C1869" s="612"/>
      <c r="D1869" s="185" t="s">
        <v>2211</v>
      </c>
      <c r="E1869" s="293">
        <v>2250000</v>
      </c>
    </row>
    <row r="1870" spans="1:5" ht="14.4" customHeight="1">
      <c r="A1870" s="948" t="e">
        <f t="shared" si="74"/>
        <v>#REF!</v>
      </c>
      <c r="B1870" s="910"/>
      <c r="C1870" s="612"/>
      <c r="D1870" s="185" t="s">
        <v>2212</v>
      </c>
      <c r="E1870" s="293">
        <v>2400000</v>
      </c>
    </row>
    <row r="1871" spans="1:5" ht="15" customHeight="1">
      <c r="A1871" s="948" t="e">
        <f t="shared" si="74"/>
        <v>#REF!</v>
      </c>
      <c r="B1871" s="910"/>
      <c r="C1871" s="612"/>
      <c r="D1871" s="185" t="s">
        <v>2213</v>
      </c>
      <c r="E1871" s="293">
        <v>2620000</v>
      </c>
    </row>
    <row r="1872" spans="1:5" ht="15" customHeight="1">
      <c r="A1872" s="948" t="e">
        <f t="shared" si="74"/>
        <v>#REF!</v>
      </c>
      <c r="B1872" s="910"/>
      <c r="C1872" s="612"/>
      <c r="D1872" s="185" t="s">
        <v>2214</v>
      </c>
      <c r="E1872" s="293">
        <v>2700000</v>
      </c>
    </row>
    <row r="1873" spans="1:5" ht="15" customHeight="1">
      <c r="A1873" s="948" t="e">
        <f t="shared" si="74"/>
        <v>#REF!</v>
      </c>
      <c r="B1873" s="910"/>
      <c r="C1873" s="612"/>
      <c r="D1873" s="185" t="s">
        <v>2215</v>
      </c>
      <c r="E1873" s="293">
        <v>2750000</v>
      </c>
    </row>
    <row r="1874" spans="1:5" ht="15" customHeight="1">
      <c r="A1874" s="948" t="e">
        <f t="shared" si="74"/>
        <v>#REF!</v>
      </c>
      <c r="B1874" s="912"/>
      <c r="C1874" s="617"/>
      <c r="D1874" s="621" t="s">
        <v>2216</v>
      </c>
      <c r="E1874" s="569">
        <v>2900000</v>
      </c>
    </row>
    <row r="1875" spans="1:5" ht="15" customHeight="1">
      <c r="A1875" s="948" t="e">
        <f t="shared" si="74"/>
        <v>#REF!</v>
      </c>
      <c r="B1875" s="909" t="s">
        <v>2209</v>
      </c>
      <c r="C1875" s="609">
        <v>700</v>
      </c>
      <c r="D1875" s="158" t="s">
        <v>2217</v>
      </c>
      <c r="E1875" s="610">
        <v>2850000</v>
      </c>
    </row>
    <row r="1876" spans="1:5" ht="15" customHeight="1">
      <c r="A1876" s="948" t="e">
        <f t="shared" si="74"/>
        <v>#REF!</v>
      </c>
      <c r="B1876" s="912"/>
      <c r="C1876" s="617"/>
      <c r="D1876" s="616" t="s">
        <v>2218</v>
      </c>
      <c r="E1876" s="243">
        <v>3500000</v>
      </c>
    </row>
    <row r="1877" spans="1:5" ht="15" customHeight="1">
      <c r="A1877" s="948"/>
      <c r="B1877" s="909" t="s">
        <v>4321</v>
      </c>
      <c r="C1877" s="622">
        <v>225</v>
      </c>
      <c r="D1877" s="623" t="s">
        <v>4322</v>
      </c>
      <c r="E1877" s="368">
        <v>990000</v>
      </c>
    </row>
    <row r="1878" spans="1:5" ht="15" customHeight="1">
      <c r="A1878" s="948"/>
      <c r="B1878" s="910"/>
      <c r="C1878" s="624">
        <v>270</v>
      </c>
      <c r="D1878" s="625" t="s">
        <v>4323</v>
      </c>
      <c r="E1878" s="626">
        <v>1250000</v>
      </c>
    </row>
    <row r="1879" spans="1:5" ht="15" customHeight="1">
      <c r="A1879" s="949" t="e">
        <f>A1876</f>
        <v>#REF!</v>
      </c>
      <c r="B1879" s="911"/>
      <c r="C1879" s="622" t="s">
        <v>1755</v>
      </c>
      <c r="D1879" s="623" t="s">
        <v>4324</v>
      </c>
      <c r="E1879" s="368">
        <v>1290000</v>
      </c>
    </row>
    <row r="1880" spans="1:5" ht="15" customHeight="1">
      <c r="A1880" s="969" t="s">
        <v>3215</v>
      </c>
      <c r="B1880" s="850" t="s">
        <v>1794</v>
      </c>
      <c r="C1880" s="585">
        <v>120</v>
      </c>
      <c r="D1880" s="627" t="s">
        <v>1805</v>
      </c>
      <c r="E1880" s="587">
        <v>440000</v>
      </c>
    </row>
    <row r="1881" spans="1:5" ht="15" customHeight="1">
      <c r="A1881" s="922"/>
      <c r="B1881" s="846"/>
      <c r="C1881" s="415"/>
      <c r="D1881" s="419" t="s">
        <v>4325</v>
      </c>
      <c r="E1881" s="423">
        <v>360000</v>
      </c>
    </row>
    <row r="1882" spans="1:5" ht="15" customHeight="1">
      <c r="A1882" s="922" t="str">
        <f>A1880</f>
        <v>칼라플 터치
(CFT)</v>
      </c>
      <c r="B1882" s="846"/>
      <c r="C1882" s="287"/>
      <c r="D1882" s="288" t="s">
        <v>1806</v>
      </c>
      <c r="E1882" s="289">
        <v>460000</v>
      </c>
    </row>
    <row r="1883" spans="1:5" ht="15" customHeight="1">
      <c r="A1883" s="922"/>
      <c r="B1883" s="846"/>
      <c r="C1883" s="415">
        <v>230</v>
      </c>
      <c r="D1883" s="150" t="s">
        <v>1807</v>
      </c>
      <c r="E1883" s="423">
        <v>720000</v>
      </c>
    </row>
    <row r="1884" spans="1:5" ht="15" customHeight="1">
      <c r="A1884" s="922"/>
      <c r="B1884" s="846"/>
      <c r="C1884" s="287"/>
      <c r="D1884" s="288" t="s">
        <v>1808</v>
      </c>
      <c r="E1884" s="289">
        <v>840000</v>
      </c>
    </row>
    <row r="1885" spans="1:5" ht="15" customHeight="1">
      <c r="A1885" s="922"/>
      <c r="B1885" s="846"/>
      <c r="C1885" s="415">
        <v>230</v>
      </c>
      <c r="D1885" s="150" t="s">
        <v>1809</v>
      </c>
      <c r="E1885" s="423">
        <v>990000</v>
      </c>
    </row>
    <row r="1886" spans="1:5" ht="15" customHeight="1">
      <c r="A1886" s="922"/>
      <c r="B1886" s="846"/>
      <c r="C1886" s="415" t="s">
        <v>1755</v>
      </c>
      <c r="D1886" s="150" t="s">
        <v>4326</v>
      </c>
      <c r="E1886" s="423">
        <v>840000</v>
      </c>
    </row>
    <row r="1887" spans="1:5" ht="15" customHeight="1">
      <c r="A1887" s="922"/>
      <c r="B1887" s="846"/>
      <c r="C1887" s="287"/>
      <c r="D1887" s="288" t="s">
        <v>1810</v>
      </c>
      <c r="E1887" s="289">
        <v>1030000</v>
      </c>
    </row>
    <row r="1888" spans="1:5" ht="15" customHeight="1">
      <c r="A1888" s="922"/>
      <c r="B1888" s="846"/>
      <c r="C1888" s="415">
        <v>350</v>
      </c>
      <c r="D1888" s="101" t="s">
        <v>3216</v>
      </c>
      <c r="E1888" s="423">
        <v>1500000</v>
      </c>
    </row>
    <row r="1889" spans="1:5" ht="15" customHeight="1">
      <c r="A1889" s="922"/>
      <c r="B1889" s="846"/>
      <c r="C1889" s="415" t="s">
        <v>1755</v>
      </c>
      <c r="D1889" s="101" t="s">
        <v>4327</v>
      </c>
      <c r="E1889" s="423">
        <v>1280000</v>
      </c>
    </row>
    <row r="1890" spans="1:5" ht="15" customHeight="1">
      <c r="A1890" s="922"/>
      <c r="B1890" s="846"/>
      <c r="C1890" s="415"/>
      <c r="D1890" s="101" t="s">
        <v>3217</v>
      </c>
      <c r="E1890" s="423">
        <v>1550000</v>
      </c>
    </row>
    <row r="1891" spans="1:5" ht="15" customHeight="1">
      <c r="A1891" s="922"/>
      <c r="B1891" s="846"/>
      <c r="C1891" s="415"/>
      <c r="D1891" s="101" t="s">
        <v>3218</v>
      </c>
      <c r="E1891" s="423">
        <v>1550000</v>
      </c>
    </row>
    <row r="1892" spans="1:5" ht="15" customHeight="1">
      <c r="A1892" s="922"/>
      <c r="B1892" s="846"/>
      <c r="C1892" s="89">
        <v>120</v>
      </c>
      <c r="D1892" s="159" t="s">
        <v>3219</v>
      </c>
      <c r="E1892" s="241">
        <v>460000</v>
      </c>
    </row>
    <row r="1893" spans="1:5" ht="15" customHeight="1">
      <c r="A1893" s="922"/>
      <c r="B1893" s="846"/>
      <c r="C1893" s="415">
        <v>150</v>
      </c>
      <c r="D1893" s="101" t="s">
        <v>3220</v>
      </c>
      <c r="E1893" s="423">
        <v>570000</v>
      </c>
    </row>
    <row r="1894" spans="1:5" ht="15" customHeight="1">
      <c r="A1894" s="922"/>
      <c r="B1894" s="846"/>
      <c r="C1894" s="415">
        <v>230</v>
      </c>
      <c r="D1894" s="101" t="s">
        <v>3221</v>
      </c>
      <c r="E1894" s="423">
        <v>950000</v>
      </c>
    </row>
    <row r="1895" spans="1:5" ht="15" customHeight="1">
      <c r="A1895" s="922"/>
      <c r="B1895" s="846"/>
      <c r="C1895" s="415">
        <v>300</v>
      </c>
      <c r="D1895" s="101" t="s">
        <v>3222</v>
      </c>
      <c r="E1895" s="423">
        <v>1240000</v>
      </c>
    </row>
    <row r="1896" spans="1:5" ht="15" customHeight="1">
      <c r="A1896" s="922"/>
      <c r="B1896" s="846"/>
      <c r="C1896" s="287">
        <v>350</v>
      </c>
      <c r="D1896" s="628" t="s">
        <v>3223</v>
      </c>
      <c r="E1896" s="289">
        <v>1450000</v>
      </c>
    </row>
    <row r="1897" spans="1:5" ht="15" customHeight="1">
      <c r="A1897" s="922"/>
      <c r="B1897" s="846"/>
      <c r="C1897" s="415">
        <v>120</v>
      </c>
      <c r="D1897" s="410" t="s">
        <v>4678</v>
      </c>
      <c r="E1897" s="534">
        <v>340000</v>
      </c>
    </row>
    <row r="1898" spans="1:5" ht="15" customHeight="1">
      <c r="A1898" s="922" t="str">
        <f>A1882</f>
        <v>칼라플 터치
(CFT)</v>
      </c>
      <c r="B1898" s="846"/>
      <c r="C1898" s="415">
        <v>250</v>
      </c>
      <c r="D1898" s="410" t="s">
        <v>4679</v>
      </c>
      <c r="E1898" s="534">
        <v>650000</v>
      </c>
    </row>
    <row r="1899" spans="1:5" ht="15" customHeight="1">
      <c r="A1899" s="922" t="str">
        <f>A1898</f>
        <v>칼라플 터치
(CFT)</v>
      </c>
      <c r="B1899" s="846"/>
      <c r="C1899" s="415">
        <v>300</v>
      </c>
      <c r="D1899" s="410" t="s">
        <v>4680</v>
      </c>
      <c r="E1899" s="534">
        <v>780000</v>
      </c>
    </row>
    <row r="1900" spans="1:5" ht="15" customHeight="1">
      <c r="A1900" s="923" t="str">
        <f>A1899</f>
        <v>칼라플 터치
(CFT)</v>
      </c>
      <c r="B1900" s="847"/>
      <c r="C1900" s="171">
        <v>350</v>
      </c>
      <c r="D1900" s="410" t="s">
        <v>4681</v>
      </c>
      <c r="E1900" s="231">
        <v>910000</v>
      </c>
    </row>
    <row r="1901" spans="1:5" ht="15" customHeight="1">
      <c r="A1901" s="969" t="s">
        <v>4328</v>
      </c>
      <c r="B1901" s="850" t="s">
        <v>4329</v>
      </c>
      <c r="C1901" s="585">
        <v>100</v>
      </c>
      <c r="D1901" s="586" t="s">
        <v>4330</v>
      </c>
      <c r="E1901" s="587">
        <v>315000</v>
      </c>
    </row>
    <row r="1902" spans="1:5" ht="15" customHeight="1">
      <c r="A1902" s="922" t="str">
        <f>A1901</f>
        <v>커피페이퍼 
(COF)</v>
      </c>
      <c r="B1902" s="846"/>
      <c r="C1902" s="415">
        <v>100</v>
      </c>
      <c r="D1902" s="150" t="s">
        <v>4331</v>
      </c>
      <c r="E1902" s="423">
        <v>350000</v>
      </c>
    </row>
    <row r="1903" spans="1:5" ht="15" customHeight="1">
      <c r="A1903" s="922" t="str">
        <f>A1902</f>
        <v>커피페이퍼 
(COF)</v>
      </c>
      <c r="B1903" s="846"/>
      <c r="C1903" s="287">
        <v>100</v>
      </c>
      <c r="D1903" s="288" t="s">
        <v>4332</v>
      </c>
      <c r="E1903" s="289">
        <v>385000</v>
      </c>
    </row>
    <row r="1904" spans="1:5" ht="15" customHeight="1">
      <c r="A1904" s="922"/>
      <c r="B1904" s="846"/>
      <c r="C1904" s="415">
        <v>300</v>
      </c>
      <c r="D1904" s="150" t="s">
        <v>4333</v>
      </c>
      <c r="E1904" s="423">
        <v>950000</v>
      </c>
    </row>
    <row r="1905" spans="1:5" ht="15" customHeight="1">
      <c r="A1905" s="922" t="str">
        <f>A1903</f>
        <v>커피페이퍼 
(COF)</v>
      </c>
      <c r="B1905" s="846"/>
      <c r="C1905" s="415">
        <v>300</v>
      </c>
      <c r="D1905" s="150" t="s">
        <v>4334</v>
      </c>
      <c r="E1905" s="423">
        <v>1050000</v>
      </c>
    </row>
    <row r="1906" spans="1:5" ht="15" customHeight="1">
      <c r="A1906" s="923" t="str">
        <f>A1905</f>
        <v>커피페이퍼 
(COF)</v>
      </c>
      <c r="B1906" s="847"/>
      <c r="C1906" s="171">
        <v>300</v>
      </c>
      <c r="D1906" s="237" t="s">
        <v>4335</v>
      </c>
      <c r="E1906" s="238">
        <v>1150000</v>
      </c>
    </row>
    <row r="1907" spans="1:5" ht="15" customHeight="1">
      <c r="A1907" s="969" t="s">
        <v>2219</v>
      </c>
      <c r="B1907" s="850" t="s">
        <v>1889</v>
      </c>
      <c r="C1907" s="585">
        <v>200</v>
      </c>
      <c r="D1907" s="586" t="s">
        <v>1994</v>
      </c>
      <c r="E1907" s="587">
        <v>425000</v>
      </c>
    </row>
    <row r="1908" spans="1:5" ht="15" customHeight="1">
      <c r="A1908" s="922" t="str">
        <f>A1907</f>
        <v>컨택팩
(CTT)</v>
      </c>
      <c r="B1908" s="846"/>
      <c r="C1908" s="415">
        <v>250</v>
      </c>
      <c r="D1908" s="150"/>
      <c r="E1908" s="423">
        <v>530000</v>
      </c>
    </row>
    <row r="1909" spans="1:5" ht="15" customHeight="1">
      <c r="A1909" s="922" t="str">
        <f>A1908</f>
        <v>컨택팩
(CTT)</v>
      </c>
      <c r="B1909" s="846"/>
      <c r="C1909" s="415">
        <v>300</v>
      </c>
      <c r="D1909" s="150"/>
      <c r="E1909" s="423">
        <v>635000</v>
      </c>
    </row>
    <row r="1910" spans="1:5" ht="15" customHeight="1">
      <c r="A1910" s="922" t="str">
        <f>A1909</f>
        <v>컨택팩
(CTT)</v>
      </c>
      <c r="B1910" s="846"/>
      <c r="C1910" s="415">
        <v>360</v>
      </c>
      <c r="D1910" s="150"/>
      <c r="E1910" s="423">
        <v>760000</v>
      </c>
    </row>
    <row r="1911" spans="1:5" ht="15" customHeight="1">
      <c r="A1911" s="923" t="str">
        <f>A1910</f>
        <v>컨택팩
(CTT)</v>
      </c>
      <c r="B1911" s="847"/>
      <c r="C1911" s="171">
        <v>450</v>
      </c>
      <c r="D1911" s="237"/>
      <c r="E1911" s="238">
        <v>1075000</v>
      </c>
    </row>
    <row r="1912" spans="1:5" s="93" customFormat="1" ht="14.4" customHeight="1">
      <c r="A1912" s="969" t="s">
        <v>4336</v>
      </c>
      <c r="B1912" s="850" t="s">
        <v>1752</v>
      </c>
      <c r="C1912" s="585">
        <v>120</v>
      </c>
      <c r="D1912" s="586" t="s">
        <v>1753</v>
      </c>
      <c r="E1912" s="587">
        <v>270000</v>
      </c>
    </row>
    <row r="1913" spans="1:5" s="93" customFormat="1" ht="14.4" customHeight="1">
      <c r="A1913" s="969" t="str">
        <f>A1912</f>
        <v>켄도
(KD)</v>
      </c>
      <c r="B1913" s="846"/>
      <c r="C1913" s="415">
        <v>150</v>
      </c>
      <c r="D1913" s="150"/>
      <c r="E1913" s="423">
        <v>335000</v>
      </c>
    </row>
    <row r="1914" spans="1:5" s="93" customFormat="1" ht="14.4" customHeight="1">
      <c r="A1914" s="969" t="str">
        <f>A1913</f>
        <v>켄도
(KD)</v>
      </c>
      <c r="B1914" s="846"/>
      <c r="C1914" s="415">
        <v>200</v>
      </c>
      <c r="D1914" s="150"/>
      <c r="E1914" s="423">
        <v>450000</v>
      </c>
    </row>
    <row r="1915" spans="1:5" s="93" customFormat="1" ht="14.4" customHeight="1">
      <c r="A1915" s="969" t="str">
        <f>A1914</f>
        <v>켄도
(KD)</v>
      </c>
      <c r="B1915" s="846"/>
      <c r="C1915" s="415">
        <v>250</v>
      </c>
      <c r="D1915" s="150"/>
      <c r="E1915" s="423">
        <v>560000</v>
      </c>
    </row>
    <row r="1916" spans="1:5" s="93" customFormat="1" ht="14.4" customHeight="1">
      <c r="A1916" s="969"/>
      <c r="B1916" s="846"/>
      <c r="C1916" s="415">
        <v>300</v>
      </c>
      <c r="D1916" s="150"/>
      <c r="E1916" s="423">
        <v>670000</v>
      </c>
    </row>
    <row r="1917" spans="1:5" s="93" customFormat="1" ht="14.4" customHeight="1">
      <c r="A1917" s="969" t="str">
        <f>A1915</f>
        <v>켄도
(KD)</v>
      </c>
      <c r="B1917" s="846"/>
      <c r="C1917" s="415">
        <v>340</v>
      </c>
      <c r="D1917" s="150"/>
      <c r="E1917" s="423">
        <v>760000</v>
      </c>
    </row>
    <row r="1918" spans="1:5" s="93" customFormat="1" ht="14.4" customHeight="1">
      <c r="A1918" s="932" t="str">
        <f>A1917</f>
        <v>켄도
(KD)</v>
      </c>
      <c r="B1918" s="849"/>
      <c r="C1918" s="154">
        <v>370</v>
      </c>
      <c r="D1918" s="155"/>
      <c r="E1918" s="243">
        <v>840000</v>
      </c>
    </row>
    <row r="1919" spans="1:5" s="93" customFormat="1" ht="14.4" customHeight="1">
      <c r="A1919" s="969" t="s">
        <v>4337</v>
      </c>
      <c r="B1919" s="915" t="s">
        <v>1889</v>
      </c>
      <c r="C1919" s="585">
        <v>90</v>
      </c>
      <c r="D1919" s="586" t="s">
        <v>4338</v>
      </c>
      <c r="E1919" s="423">
        <v>245000</v>
      </c>
    </row>
    <row r="1920" spans="1:5" s="93" customFormat="1" ht="14.4" customHeight="1">
      <c r="A1920" s="969" t="str">
        <f>A1919</f>
        <v>카카오
(CACA)</v>
      </c>
      <c r="B1920" s="846"/>
      <c r="C1920" s="415">
        <v>120</v>
      </c>
      <c r="D1920" s="150" t="s">
        <v>2220</v>
      </c>
      <c r="E1920" s="423">
        <v>365000</v>
      </c>
    </row>
    <row r="1921" spans="1:5" s="93" customFormat="1" ht="14.4" customHeight="1">
      <c r="A1921" s="969" t="str">
        <f>A1920</f>
        <v>카카오
(CACA)</v>
      </c>
      <c r="B1921" s="846"/>
      <c r="C1921" s="415">
        <v>250</v>
      </c>
      <c r="D1921" s="150" t="s">
        <v>2221</v>
      </c>
      <c r="E1921" s="423">
        <v>625000</v>
      </c>
    </row>
    <row r="1922" spans="1:5" s="93" customFormat="1" ht="14.4" customHeight="1">
      <c r="A1922" s="969" t="str">
        <f>A1921</f>
        <v>카카오
(CACA)</v>
      </c>
      <c r="B1922" s="847"/>
      <c r="C1922" s="171">
        <v>350</v>
      </c>
      <c r="D1922" s="150" t="s">
        <v>2222</v>
      </c>
      <c r="E1922" s="238">
        <v>1070000</v>
      </c>
    </row>
    <row r="1923" spans="1:5" s="93" customFormat="1" ht="14.4" customHeight="1">
      <c r="A1923" s="969" t="s">
        <v>4339</v>
      </c>
      <c r="B1923" s="916" t="s">
        <v>4340</v>
      </c>
      <c r="C1923" s="855">
        <v>100</v>
      </c>
      <c r="D1923" s="629" t="s">
        <v>4341</v>
      </c>
      <c r="E1923" s="423">
        <v>105000</v>
      </c>
    </row>
    <row r="1924" spans="1:5" s="93" customFormat="1" ht="14.4" customHeight="1">
      <c r="A1924" s="922" t="str">
        <f t="shared" ref="A1924:A1938" si="75">A1923</f>
        <v>콩코르 
레이드(CQL/CQ)*</v>
      </c>
      <c r="B1924" s="846"/>
      <c r="C1924" s="843"/>
      <c r="D1924" s="167">
        <v>18</v>
      </c>
      <c r="E1924" s="423">
        <v>155000</v>
      </c>
    </row>
    <row r="1925" spans="1:5" s="93" customFormat="1" ht="14.4" customHeight="1">
      <c r="A1925" s="922" t="str">
        <f t="shared" si="75"/>
        <v>콩코르 
레이드(CQL/CQ)*</v>
      </c>
      <c r="B1925" s="851"/>
      <c r="C1925" s="844"/>
      <c r="D1925" s="169" t="s">
        <v>4342</v>
      </c>
      <c r="E1925" s="341">
        <v>105000</v>
      </c>
    </row>
    <row r="1926" spans="1:5" s="93" customFormat="1" ht="14.4" customHeight="1">
      <c r="A1926" s="922" t="str">
        <f t="shared" si="75"/>
        <v>콩코르 
레이드(CQL/CQ)*</v>
      </c>
      <c r="B1926" s="188" t="s">
        <v>4343</v>
      </c>
      <c r="C1926" s="90">
        <v>100</v>
      </c>
      <c r="D1926" s="189" t="s">
        <v>4344</v>
      </c>
      <c r="E1926" s="244">
        <v>115000</v>
      </c>
    </row>
    <row r="1927" spans="1:5" s="93" customFormat="1" ht="14.4" customHeight="1">
      <c r="A1927" s="922" t="str">
        <f t="shared" si="75"/>
        <v>콩코르 
레이드(CQL/CQ)*</v>
      </c>
      <c r="B1927" s="190" t="s">
        <v>4345</v>
      </c>
      <c r="C1927" s="89">
        <v>100</v>
      </c>
      <c r="D1927" s="191" t="s">
        <v>4346</v>
      </c>
      <c r="E1927" s="274"/>
    </row>
    <row r="1928" spans="1:5" s="93" customFormat="1" ht="14.4" customHeight="1">
      <c r="A1928" s="922" t="str">
        <f t="shared" si="75"/>
        <v>콩코르 
레이드(CQL/CQ)*</v>
      </c>
      <c r="B1928" s="190" t="s">
        <v>1752</v>
      </c>
      <c r="C1928" s="89">
        <v>120</v>
      </c>
      <c r="D1928" s="168" t="s">
        <v>4347</v>
      </c>
      <c r="E1928" s="244">
        <v>425000</v>
      </c>
    </row>
    <row r="1929" spans="1:5" s="93" customFormat="1" ht="14.4" customHeight="1">
      <c r="A1929" s="922" t="str">
        <f t="shared" si="75"/>
        <v>콩코르 
레이드(CQL/CQ)*</v>
      </c>
      <c r="B1929" s="848" t="s">
        <v>2019</v>
      </c>
      <c r="C1929" s="853">
        <v>220</v>
      </c>
      <c r="D1929" s="168" t="s">
        <v>4348</v>
      </c>
      <c r="E1929" s="423">
        <v>1000000</v>
      </c>
    </row>
    <row r="1930" spans="1:5" s="93" customFormat="1" ht="14.4" customHeight="1">
      <c r="A1930" s="922" t="str">
        <f t="shared" si="75"/>
        <v>콩코르 
레이드(CQL/CQ)*</v>
      </c>
      <c r="B1930" s="846"/>
      <c r="C1930" s="843"/>
      <c r="D1930" s="167" t="s">
        <v>4349</v>
      </c>
      <c r="E1930" s="423">
        <v>680000</v>
      </c>
    </row>
    <row r="1931" spans="1:5" s="93" customFormat="1" ht="14.4" customHeight="1">
      <c r="A1931" s="922" t="str">
        <f t="shared" si="75"/>
        <v>콩코르 
레이드(CQL/CQ)*</v>
      </c>
      <c r="B1931" s="846"/>
      <c r="C1931" s="843"/>
      <c r="D1931" s="167" t="s">
        <v>1755</v>
      </c>
      <c r="E1931" s="423">
        <v>680000</v>
      </c>
    </row>
    <row r="1932" spans="1:5" s="93" customFormat="1" ht="14.4" customHeight="1">
      <c r="A1932" s="922" t="str">
        <f t="shared" si="75"/>
        <v>콩코르 
레이드(CQL/CQ)*</v>
      </c>
      <c r="B1932" s="851"/>
      <c r="C1932" s="844"/>
      <c r="D1932" s="192" t="s">
        <v>2223</v>
      </c>
      <c r="E1932" s="423">
        <v>1000000</v>
      </c>
    </row>
    <row r="1933" spans="1:5" s="93" customFormat="1" ht="14.4" customHeight="1">
      <c r="A1933" s="922" t="str">
        <f t="shared" si="75"/>
        <v>콩코르 
레이드(CQL/CQ)*</v>
      </c>
      <c r="B1933" s="190" t="s">
        <v>1759</v>
      </c>
      <c r="C1933" s="853">
        <v>220</v>
      </c>
      <c r="D1933" s="168" t="s">
        <v>4350</v>
      </c>
      <c r="E1933" s="241">
        <v>650000</v>
      </c>
    </row>
    <row r="1934" spans="1:5" s="93" customFormat="1" ht="14.4" customHeight="1">
      <c r="A1934" s="922" t="str">
        <f t="shared" si="75"/>
        <v>콩코르 
레이드(CQL/CQ)*</v>
      </c>
      <c r="B1934" s="286" t="s">
        <v>1755</v>
      </c>
      <c r="C1934" s="844"/>
      <c r="D1934" s="322" t="s">
        <v>4351</v>
      </c>
      <c r="E1934" s="289">
        <v>600000</v>
      </c>
    </row>
    <row r="1935" spans="1:5" s="93" customFormat="1" ht="14.4" customHeight="1">
      <c r="A1935" s="922" t="str">
        <f t="shared" si="75"/>
        <v>콩코르 
레이드(CQL/CQ)*</v>
      </c>
      <c r="B1935" s="848" t="s">
        <v>1763</v>
      </c>
      <c r="C1935" s="853">
        <v>300</v>
      </c>
      <c r="D1935" s="167" t="s">
        <v>4352</v>
      </c>
      <c r="E1935" s="423">
        <v>750000</v>
      </c>
    </row>
    <row r="1936" spans="1:5" ht="15" customHeight="1">
      <c r="A1936" s="948" t="str">
        <f t="shared" si="75"/>
        <v>콩코르 
레이드(CQL/CQ)*</v>
      </c>
      <c r="B1936" s="846"/>
      <c r="C1936" s="843"/>
      <c r="D1936" s="167" t="s">
        <v>4353</v>
      </c>
      <c r="E1936" s="423">
        <v>850000</v>
      </c>
    </row>
    <row r="1937" spans="1:5" ht="15" customHeight="1">
      <c r="A1937" s="948" t="str">
        <f t="shared" si="75"/>
        <v>콩코르 
레이드(CQL/CQ)*</v>
      </c>
      <c r="B1937" s="846"/>
      <c r="C1937" s="843"/>
      <c r="D1937" s="167" t="s">
        <v>4354</v>
      </c>
      <c r="E1937" s="423">
        <v>875000</v>
      </c>
    </row>
    <row r="1938" spans="1:5" ht="15" customHeight="1">
      <c r="A1938" s="949" t="str">
        <f t="shared" si="75"/>
        <v>콩코르 
레이드(CQL/CQ)*</v>
      </c>
      <c r="B1938" s="849"/>
      <c r="C1938" s="858"/>
      <c r="D1938" s="179" t="s">
        <v>4355</v>
      </c>
      <c r="E1938" s="243">
        <v>900000</v>
      </c>
    </row>
    <row r="1939" spans="1:5" ht="15" customHeight="1">
      <c r="A1939" s="938" t="s">
        <v>4356</v>
      </c>
      <c r="B1939" s="915" t="s">
        <v>4340</v>
      </c>
      <c r="C1939" s="415">
        <v>100</v>
      </c>
      <c r="D1939" s="167" t="s">
        <v>4357</v>
      </c>
      <c r="E1939" s="423">
        <v>105000</v>
      </c>
    </row>
    <row r="1940" spans="1:5" ht="15" customHeight="1">
      <c r="A1940" s="938" t="str">
        <f t="shared" ref="A1940:A1949" si="76">A1939</f>
        <v>콩코르 
우브(CW)</v>
      </c>
      <c r="B1940" s="851"/>
      <c r="C1940" s="415"/>
      <c r="D1940" s="167" t="s">
        <v>4358</v>
      </c>
      <c r="E1940" s="423">
        <v>160000</v>
      </c>
    </row>
    <row r="1941" spans="1:5" ht="15" customHeight="1">
      <c r="A1941" s="938" t="str">
        <f t="shared" si="76"/>
        <v>콩코르 
우브(CW)</v>
      </c>
      <c r="B1941" s="188" t="s">
        <v>4343</v>
      </c>
      <c r="C1941" s="90">
        <v>100</v>
      </c>
      <c r="D1941" s="189" t="s">
        <v>4359</v>
      </c>
      <c r="E1941" s="244">
        <v>115000</v>
      </c>
    </row>
    <row r="1942" spans="1:5" ht="15" customHeight="1">
      <c r="A1942" s="938" t="str">
        <f t="shared" si="76"/>
        <v>콩코르 
우브(CW)</v>
      </c>
      <c r="B1942" s="190" t="s">
        <v>3791</v>
      </c>
      <c r="C1942" s="89">
        <v>100</v>
      </c>
      <c r="D1942" s="168" t="s">
        <v>4360</v>
      </c>
      <c r="E1942" s="423"/>
    </row>
    <row r="1943" spans="1:5" ht="15" customHeight="1">
      <c r="A1943" s="938" t="str">
        <f t="shared" si="76"/>
        <v>콩코르 
우브(CW)</v>
      </c>
      <c r="B1943" s="194" t="s">
        <v>1752</v>
      </c>
      <c r="C1943" s="89">
        <v>120</v>
      </c>
      <c r="D1943" s="168" t="s">
        <v>4361</v>
      </c>
      <c r="E1943" s="241">
        <v>340000</v>
      </c>
    </row>
    <row r="1944" spans="1:5" ht="15" customHeight="1">
      <c r="A1944" s="938" t="str">
        <f t="shared" si="76"/>
        <v>콩코르 
우브(CW)</v>
      </c>
      <c r="B1944" s="848" t="s">
        <v>1752</v>
      </c>
      <c r="C1944" s="89">
        <v>120</v>
      </c>
      <c r="D1944" s="168" t="s">
        <v>1764</v>
      </c>
      <c r="E1944" s="241">
        <v>590000</v>
      </c>
    </row>
    <row r="1945" spans="1:5" ht="15" customHeight="1">
      <c r="A1945" s="938" t="str">
        <f t="shared" si="76"/>
        <v>콩코르 
우브(CW)</v>
      </c>
      <c r="B1945" s="846"/>
      <c r="C1945" s="415"/>
      <c r="D1945" s="167" t="s">
        <v>4362</v>
      </c>
      <c r="E1945" s="289">
        <v>390000</v>
      </c>
    </row>
    <row r="1946" spans="1:5" ht="15" customHeight="1">
      <c r="A1946" s="938" t="str">
        <f t="shared" si="76"/>
        <v>콩코르 
우브(CW)</v>
      </c>
      <c r="B1946" s="846"/>
      <c r="C1946" s="89">
        <v>220</v>
      </c>
      <c r="D1946" s="168" t="s">
        <v>3810</v>
      </c>
      <c r="E1946" s="423">
        <v>800000</v>
      </c>
    </row>
    <row r="1947" spans="1:5" ht="15" customHeight="1">
      <c r="A1947" s="938" t="str">
        <f t="shared" si="76"/>
        <v>콩코르 
우브(CW)</v>
      </c>
      <c r="B1947" s="846"/>
      <c r="C1947" s="415"/>
      <c r="D1947" s="167" t="s">
        <v>1932</v>
      </c>
      <c r="E1947" s="423">
        <v>650000</v>
      </c>
    </row>
    <row r="1948" spans="1:5" ht="15" customHeight="1">
      <c r="A1948" s="938" t="str">
        <f t="shared" si="76"/>
        <v>콩코르 
우브(CW)</v>
      </c>
      <c r="B1948" s="851"/>
      <c r="C1948" s="415"/>
      <c r="D1948" s="167" t="s">
        <v>4363</v>
      </c>
      <c r="E1948" s="423">
        <v>975000</v>
      </c>
    </row>
    <row r="1949" spans="1:5" ht="15" customHeight="1">
      <c r="A1949" s="938" t="str">
        <f t="shared" si="76"/>
        <v>콩코르 
우브(CW)</v>
      </c>
      <c r="B1949" s="195" t="s">
        <v>1759</v>
      </c>
      <c r="C1949" s="196">
        <v>220</v>
      </c>
      <c r="D1949" s="197" t="s">
        <v>4364</v>
      </c>
      <c r="E1949" s="546">
        <v>530000</v>
      </c>
    </row>
    <row r="1950" spans="1:5" ht="15" customHeight="1">
      <c r="A1950" s="938" t="s">
        <v>4365</v>
      </c>
      <c r="B1950" s="916" t="s">
        <v>4340</v>
      </c>
      <c r="C1950" s="585">
        <v>100</v>
      </c>
      <c r="D1950" s="631" t="s">
        <v>2223</v>
      </c>
      <c r="E1950" s="423">
        <v>170000</v>
      </c>
    </row>
    <row r="1951" spans="1:5" ht="15" customHeight="1">
      <c r="A1951" s="938" t="str">
        <f t="shared" ref="A1951:A1962" si="77">A1950</f>
        <v>콩코르
CX22(CQX)</v>
      </c>
      <c r="B1951" s="846"/>
      <c r="C1951" s="415"/>
      <c r="D1951" s="192" t="s">
        <v>4366</v>
      </c>
      <c r="E1951" s="423">
        <v>140000</v>
      </c>
    </row>
    <row r="1952" spans="1:5" ht="15" customHeight="1">
      <c r="A1952" s="938" t="str">
        <f t="shared" si="77"/>
        <v>콩코르
CX22(CQX)</v>
      </c>
      <c r="B1952" s="846"/>
      <c r="C1952" s="415"/>
      <c r="D1952" s="192" t="s">
        <v>4367</v>
      </c>
      <c r="E1952" s="423">
        <v>95000</v>
      </c>
    </row>
    <row r="1953" spans="1:5" ht="15" customHeight="1">
      <c r="A1953" s="938" t="str">
        <f t="shared" si="77"/>
        <v>콩코르
CX22(CQX)</v>
      </c>
      <c r="B1953" s="851"/>
      <c r="C1953" s="415"/>
      <c r="D1953" s="167" t="s">
        <v>4368</v>
      </c>
      <c r="E1953" s="423">
        <v>110000</v>
      </c>
    </row>
    <row r="1954" spans="1:5" ht="15" customHeight="1">
      <c r="A1954" s="938" t="str">
        <f t="shared" si="77"/>
        <v>콩코르
CX22(CQX)</v>
      </c>
      <c r="B1954" s="188" t="s">
        <v>4343</v>
      </c>
      <c r="C1954" s="90">
        <v>100</v>
      </c>
      <c r="D1954" s="189" t="s">
        <v>4369</v>
      </c>
      <c r="E1954" s="244">
        <v>125000</v>
      </c>
    </row>
    <row r="1955" spans="1:5" ht="15" customHeight="1">
      <c r="A1955" s="938" t="str">
        <f t="shared" si="77"/>
        <v>콩코르
CX22(CQX)</v>
      </c>
      <c r="B1955" s="188" t="s">
        <v>3791</v>
      </c>
      <c r="C1955" s="90">
        <v>100</v>
      </c>
      <c r="D1955" s="168" t="s">
        <v>4360</v>
      </c>
      <c r="E1955" s="244"/>
    </row>
    <row r="1956" spans="1:5" ht="15" customHeight="1">
      <c r="A1956" s="938" t="str">
        <f t="shared" si="77"/>
        <v>콩코르
CX22(CQX)</v>
      </c>
      <c r="B1956" s="848" t="s">
        <v>1752</v>
      </c>
      <c r="C1956" s="89">
        <v>120</v>
      </c>
      <c r="D1956" s="168" t="s">
        <v>4361</v>
      </c>
      <c r="E1956" s="423">
        <v>420000</v>
      </c>
    </row>
    <row r="1957" spans="1:5" ht="15" customHeight="1">
      <c r="A1957" s="938" t="str">
        <f t="shared" si="77"/>
        <v>콩코르
CX22(CQX)</v>
      </c>
      <c r="B1957" s="846"/>
      <c r="C1957" s="415"/>
      <c r="D1957" s="167" t="s">
        <v>2132</v>
      </c>
      <c r="E1957" s="423">
        <v>645000</v>
      </c>
    </row>
    <row r="1958" spans="1:5" ht="15" customHeight="1">
      <c r="A1958" s="938" t="str">
        <f t="shared" si="77"/>
        <v>콩코르
CX22(CQX)</v>
      </c>
      <c r="B1958" s="846"/>
      <c r="C1958" s="415"/>
      <c r="D1958" s="167" t="s">
        <v>4370</v>
      </c>
      <c r="E1958" s="423">
        <v>405000</v>
      </c>
    </row>
    <row r="1959" spans="1:5" ht="15" customHeight="1">
      <c r="A1959" s="938" t="str">
        <f t="shared" si="77"/>
        <v>콩코르
CX22(CQX)</v>
      </c>
      <c r="B1959" s="846"/>
      <c r="C1959" s="89">
        <v>250</v>
      </c>
      <c r="D1959" s="168" t="s">
        <v>1932</v>
      </c>
      <c r="E1959" s="241">
        <v>900000</v>
      </c>
    </row>
    <row r="1960" spans="1:5" ht="15" customHeight="1">
      <c r="A1960" s="938" t="str">
        <f t="shared" si="77"/>
        <v>콩코르
CX22(CQX)</v>
      </c>
      <c r="B1960" s="846"/>
      <c r="C1960" s="415"/>
      <c r="D1960" s="167" t="s">
        <v>4371</v>
      </c>
      <c r="E1960" s="423">
        <v>910000</v>
      </c>
    </row>
    <row r="1961" spans="1:5" ht="15" customHeight="1">
      <c r="A1961" s="938" t="str">
        <f t="shared" si="77"/>
        <v>콩코르
CX22(CQX)</v>
      </c>
      <c r="B1961" s="851"/>
      <c r="C1961" s="287"/>
      <c r="D1961" s="322" t="s">
        <v>1961</v>
      </c>
      <c r="E1961" s="289">
        <v>1330000</v>
      </c>
    </row>
    <row r="1962" spans="1:5" ht="15" customHeight="1">
      <c r="A1962" s="938" t="str">
        <f t="shared" si="77"/>
        <v>콩코르
CX22(CQX)</v>
      </c>
      <c r="B1962" s="170" t="s">
        <v>1759</v>
      </c>
      <c r="C1962" s="171">
        <v>250</v>
      </c>
      <c r="D1962" s="198" t="s">
        <v>4372</v>
      </c>
      <c r="E1962" s="243">
        <v>650000</v>
      </c>
    </row>
    <row r="1963" spans="1:5" ht="15" customHeight="1">
      <c r="A1963" s="969" t="s">
        <v>4373</v>
      </c>
      <c r="B1963" s="916" t="s">
        <v>4374</v>
      </c>
      <c r="C1963" s="585">
        <v>100</v>
      </c>
      <c r="D1963" s="632" t="s">
        <v>4375</v>
      </c>
      <c r="E1963" s="633">
        <v>160000</v>
      </c>
    </row>
    <row r="1964" spans="1:5" ht="15" customHeight="1">
      <c r="A1964" s="922" t="str">
        <f t="shared" ref="A1964:A1971" si="78">A1963</f>
        <v>콩코르
컨셉 이리데슨트
(CON)</v>
      </c>
      <c r="B1964" s="851"/>
      <c r="C1964" s="415"/>
      <c r="D1964" s="367" t="s">
        <v>4376</v>
      </c>
      <c r="E1964" s="341">
        <v>130000</v>
      </c>
    </row>
    <row r="1965" spans="1:5" ht="15" customHeight="1">
      <c r="A1965" s="922" t="str">
        <f t="shared" si="78"/>
        <v>콩코르
컨셉 이리데슨트
(CON)</v>
      </c>
      <c r="B1965" s="190" t="s">
        <v>4377</v>
      </c>
      <c r="C1965" s="89">
        <v>100</v>
      </c>
      <c r="D1965" s="191" t="s">
        <v>4360</v>
      </c>
      <c r="E1965" s="424"/>
    </row>
    <row r="1966" spans="1:5" ht="15" customHeight="1">
      <c r="A1966" s="922" t="str">
        <f t="shared" si="78"/>
        <v>콩코르
컨셉 이리데슨트
(CON)</v>
      </c>
      <c r="B1966" s="848" t="s">
        <v>1752</v>
      </c>
      <c r="C1966" s="89">
        <v>120</v>
      </c>
      <c r="D1966" s="174" t="s">
        <v>3728</v>
      </c>
      <c r="E1966" s="366">
        <v>695000</v>
      </c>
    </row>
    <row r="1967" spans="1:5" ht="15" customHeight="1">
      <c r="A1967" s="922" t="str">
        <f t="shared" si="78"/>
        <v>콩코르
컨셉 이리데슨트
(CON)</v>
      </c>
      <c r="B1967" s="846"/>
      <c r="C1967" s="415" t="s">
        <v>1755</v>
      </c>
      <c r="D1967" s="634" t="s">
        <v>4048</v>
      </c>
      <c r="E1967" s="424">
        <v>465000</v>
      </c>
    </row>
    <row r="1968" spans="1:5" ht="15" customHeight="1">
      <c r="A1968" s="922" t="str">
        <f t="shared" si="78"/>
        <v>콩코르
컨셉 이리데슨트
(CON)</v>
      </c>
      <c r="B1968" s="846"/>
      <c r="C1968" s="89">
        <v>160</v>
      </c>
      <c r="D1968" s="200" t="s">
        <v>4378</v>
      </c>
      <c r="E1968" s="364">
        <v>650000</v>
      </c>
    </row>
    <row r="1969" spans="1:5" ht="15" customHeight="1">
      <c r="A1969" s="922" t="str">
        <f t="shared" si="78"/>
        <v>콩코르
컨셉 이리데슨트
(CON)</v>
      </c>
      <c r="B1969" s="846"/>
      <c r="C1969" s="287" t="s">
        <v>1755</v>
      </c>
      <c r="D1969" s="367" t="s">
        <v>4355</v>
      </c>
      <c r="E1969" s="341">
        <v>615000</v>
      </c>
    </row>
    <row r="1970" spans="1:5" ht="15" customHeight="1">
      <c r="A1970" s="922" t="str">
        <f t="shared" si="78"/>
        <v>콩코르
컨셉 이리데슨트
(CON)</v>
      </c>
      <c r="B1970" s="846"/>
      <c r="C1970" s="415">
        <v>250</v>
      </c>
      <c r="D1970" s="635" t="s">
        <v>4379</v>
      </c>
      <c r="E1970" s="425">
        <v>1450000</v>
      </c>
    </row>
    <row r="1971" spans="1:5" ht="15" customHeight="1">
      <c r="A1971" s="930" t="str">
        <f t="shared" si="78"/>
        <v>콩코르
컨셉 이리데슨트
(CON)</v>
      </c>
      <c r="B1971" s="849"/>
      <c r="C1971" s="154" t="s">
        <v>1755</v>
      </c>
      <c r="D1971" s="201" t="s">
        <v>4380</v>
      </c>
      <c r="E1971" s="370">
        <v>965000</v>
      </c>
    </row>
    <row r="1972" spans="1:5" ht="15" customHeight="1">
      <c r="A1972" s="986" t="s">
        <v>4381</v>
      </c>
      <c r="B1972" s="913" t="s">
        <v>1757</v>
      </c>
      <c r="C1972" s="636">
        <v>120</v>
      </c>
      <c r="D1972" s="176" t="s">
        <v>4382</v>
      </c>
      <c r="E1972" s="266">
        <v>745000</v>
      </c>
    </row>
    <row r="1973" spans="1:5" ht="15" customHeight="1">
      <c r="A1973" s="987" t="str">
        <f>A1972</f>
        <v>큐리어스 터치 
소프트(CTS)*</v>
      </c>
      <c r="B1973" s="914"/>
      <c r="C1973" s="202">
        <v>300</v>
      </c>
      <c r="D1973" s="155" t="s">
        <v>4289</v>
      </c>
      <c r="E1973" s="243">
        <v>1865000</v>
      </c>
    </row>
    <row r="1974" spans="1:5" ht="15" customHeight="1">
      <c r="A1974" s="986" t="s">
        <v>4383</v>
      </c>
      <c r="B1974" s="913" t="s">
        <v>1752</v>
      </c>
      <c r="C1974" s="264">
        <v>150</v>
      </c>
      <c r="D1974" s="176" t="s">
        <v>4384</v>
      </c>
      <c r="E1974" s="266">
        <v>520000</v>
      </c>
    </row>
    <row r="1975" spans="1:5" ht="15" customHeight="1">
      <c r="A1975" s="987" t="str">
        <f>A1974</f>
        <v>큐리어스
 파티클스*(CPT)</v>
      </c>
      <c r="B1975" s="914"/>
      <c r="C1975" s="154">
        <v>250</v>
      </c>
      <c r="D1975" s="155" t="s">
        <v>4385</v>
      </c>
      <c r="E1975" s="243">
        <v>875000</v>
      </c>
    </row>
    <row r="1976" spans="1:5" ht="15" customHeight="1">
      <c r="A1976" s="203" t="s">
        <v>4386</v>
      </c>
      <c r="B1976" s="204" t="s">
        <v>4343</v>
      </c>
      <c r="C1976" s="205">
        <v>100</v>
      </c>
      <c r="D1976" s="206" t="s">
        <v>3237</v>
      </c>
      <c r="E1976" s="619">
        <v>110000</v>
      </c>
    </row>
    <row r="1977" spans="1:5" ht="15" customHeight="1">
      <c r="A1977" s="927" t="s">
        <v>2224</v>
      </c>
      <c r="B1977" s="637" t="s">
        <v>1972</v>
      </c>
      <c r="C1977" s="638">
        <v>120</v>
      </c>
      <c r="D1977" s="639" t="s">
        <v>2225</v>
      </c>
      <c r="E1977" s="610">
        <v>700000</v>
      </c>
    </row>
    <row r="1978" spans="1:5" ht="15" customHeight="1">
      <c r="A1978" s="922" t="e">
        <f>#REF!</f>
        <v>#REF!</v>
      </c>
      <c r="B1978" s="856" t="s">
        <v>1814</v>
      </c>
      <c r="C1978" s="415">
        <v>120</v>
      </c>
      <c r="D1978" s="150" t="s">
        <v>2226</v>
      </c>
      <c r="E1978" s="423">
        <v>735000</v>
      </c>
    </row>
    <row r="1979" spans="1:5" ht="15" customHeight="1">
      <c r="A1979" s="922"/>
      <c r="B1979" s="846"/>
      <c r="C1979" s="415"/>
      <c r="D1979" s="150" t="s">
        <v>3728</v>
      </c>
      <c r="E1979" s="423">
        <v>675000</v>
      </c>
    </row>
    <row r="1980" spans="1:5" ht="15" customHeight="1">
      <c r="A1980" s="922"/>
      <c r="B1980" s="846"/>
      <c r="C1980" s="415"/>
      <c r="D1980" s="150" t="s">
        <v>4387</v>
      </c>
      <c r="E1980" s="423">
        <v>645000</v>
      </c>
    </row>
    <row r="1981" spans="1:5" ht="15" customHeight="1">
      <c r="A1981" s="922" t="e">
        <f>#REF!</f>
        <v>#REF!</v>
      </c>
      <c r="B1981" s="846"/>
      <c r="C1981" s="415"/>
      <c r="D1981" s="150" t="s">
        <v>2227</v>
      </c>
      <c r="E1981" s="423">
        <v>700000</v>
      </c>
    </row>
    <row r="1982" spans="1:5" ht="15" customHeight="1">
      <c r="A1982" s="922" t="e">
        <f>#REF!</f>
        <v>#REF!</v>
      </c>
      <c r="B1982" s="846"/>
      <c r="C1982" s="415"/>
      <c r="D1982" s="150" t="s">
        <v>2228</v>
      </c>
      <c r="E1982" s="423">
        <v>900000</v>
      </c>
    </row>
    <row r="1983" spans="1:5" ht="15" customHeight="1">
      <c r="A1983" s="922"/>
      <c r="B1983" s="846"/>
      <c r="C1983" s="415"/>
      <c r="D1983" s="150" t="s">
        <v>2229</v>
      </c>
      <c r="E1983" s="423">
        <v>835000</v>
      </c>
    </row>
    <row r="1984" spans="1:5" ht="15" customHeight="1">
      <c r="A1984" s="922" t="e">
        <f>#REF!</f>
        <v>#REF!</v>
      </c>
      <c r="B1984" s="846"/>
      <c r="C1984" s="415"/>
      <c r="D1984" s="150" t="s">
        <v>4388</v>
      </c>
      <c r="E1984" s="423">
        <v>435000</v>
      </c>
    </row>
    <row r="1985" spans="1:5" ht="15" customHeight="1">
      <c r="A1985" s="922"/>
      <c r="B1985" s="846"/>
      <c r="C1985" s="415"/>
      <c r="D1985" s="150" t="s">
        <v>3224</v>
      </c>
      <c r="E1985" s="423">
        <v>835000</v>
      </c>
    </row>
    <row r="1986" spans="1:5" ht="15" customHeight="1">
      <c r="A1986" s="922"/>
      <c r="B1986" s="846"/>
      <c r="C1986" s="415"/>
      <c r="D1986" s="150" t="s">
        <v>4389</v>
      </c>
      <c r="E1986" s="423">
        <v>530000</v>
      </c>
    </row>
    <row r="1987" spans="1:5" ht="15" customHeight="1">
      <c r="A1987" s="922" t="e">
        <f>A1984</f>
        <v>#REF!</v>
      </c>
      <c r="B1987" s="846"/>
      <c r="C1987" s="415"/>
      <c r="D1987" s="150" t="s">
        <v>4390</v>
      </c>
      <c r="E1987" s="423">
        <v>570000</v>
      </c>
    </row>
    <row r="1988" spans="1:5" ht="15" customHeight="1">
      <c r="A1988" s="922"/>
      <c r="B1988" s="846"/>
      <c r="C1988" s="89">
        <v>200</v>
      </c>
      <c r="D1988" s="153" t="s">
        <v>4391</v>
      </c>
      <c r="E1988" s="241">
        <v>800000</v>
      </c>
    </row>
    <row r="1989" spans="1:5" ht="15" customHeight="1">
      <c r="A1989" s="922"/>
      <c r="B1989" s="846"/>
      <c r="C1989" s="415" t="s">
        <v>1755</v>
      </c>
      <c r="D1989" s="150" t="s">
        <v>4047</v>
      </c>
      <c r="E1989" s="423">
        <v>690000</v>
      </c>
    </row>
    <row r="1990" spans="1:5" ht="15" customHeight="1">
      <c r="A1990" s="922"/>
      <c r="B1990" s="846"/>
      <c r="C1990" s="415" t="s">
        <v>1755</v>
      </c>
      <c r="D1990" s="150" t="s">
        <v>3797</v>
      </c>
      <c r="E1990" s="423">
        <v>850000</v>
      </c>
    </row>
    <row r="1991" spans="1:5" ht="15" customHeight="1">
      <c r="A1991" s="922"/>
      <c r="B1991" s="846"/>
      <c r="C1991" s="415" t="s">
        <v>1755</v>
      </c>
      <c r="D1991" s="150" t="s">
        <v>4392</v>
      </c>
      <c r="E1991" s="423">
        <v>585000</v>
      </c>
    </row>
    <row r="1992" spans="1:5" ht="15" customHeight="1">
      <c r="A1992" s="922"/>
      <c r="B1992" s="852"/>
      <c r="C1992" s="287" t="s">
        <v>1755</v>
      </c>
      <c r="D1992" s="288" t="s">
        <v>4393</v>
      </c>
      <c r="E1992" s="289">
        <v>950000</v>
      </c>
    </row>
    <row r="1993" spans="1:5" ht="15" customHeight="1">
      <c r="A1993" s="922" t="e">
        <f>#REF!</f>
        <v>#REF!</v>
      </c>
      <c r="B1993" s="303" t="s">
        <v>1972</v>
      </c>
      <c r="C1993" s="306">
        <v>250</v>
      </c>
      <c r="D1993" s="297" t="s">
        <v>2230</v>
      </c>
      <c r="E1993" s="298">
        <v>1400000</v>
      </c>
    </row>
    <row r="1994" spans="1:5" ht="15" customHeight="1">
      <c r="A1994" s="922"/>
      <c r="B1994" s="856" t="s">
        <v>1814</v>
      </c>
      <c r="C1994" s="415">
        <v>250</v>
      </c>
      <c r="D1994" s="150" t="s">
        <v>4289</v>
      </c>
      <c r="E1994" s="423">
        <v>1050000</v>
      </c>
    </row>
    <row r="1995" spans="1:5" ht="15" customHeight="1">
      <c r="A1995" s="922"/>
      <c r="B1995" s="846"/>
      <c r="C1995" s="415"/>
      <c r="D1995" s="150" t="s">
        <v>3729</v>
      </c>
      <c r="E1995" s="423">
        <v>670000</v>
      </c>
    </row>
    <row r="1996" spans="1:5" ht="15" customHeight="1">
      <c r="A1996" s="922"/>
      <c r="B1996" s="846"/>
      <c r="C1996" s="415"/>
      <c r="D1996" s="150" t="s">
        <v>3730</v>
      </c>
      <c r="E1996" s="423">
        <v>1240000</v>
      </c>
    </row>
    <row r="1997" spans="1:5" ht="15" customHeight="1">
      <c r="A1997" s="922"/>
      <c r="B1997" s="846"/>
      <c r="C1997" s="415"/>
      <c r="D1997" s="150" t="s">
        <v>4394</v>
      </c>
      <c r="E1997" s="423">
        <v>1425000</v>
      </c>
    </row>
    <row r="1998" spans="1:5" ht="15" customHeight="1">
      <c r="A1998" s="922"/>
      <c r="B1998" s="846"/>
      <c r="C1998" s="415"/>
      <c r="D1998" s="150" t="s">
        <v>3225</v>
      </c>
      <c r="E1998" s="423">
        <v>1400000</v>
      </c>
    </row>
    <row r="1999" spans="1:5" ht="15" customHeight="1">
      <c r="A1999" s="922"/>
      <c r="B1999" s="846"/>
      <c r="C1999" s="415"/>
      <c r="D1999" s="150" t="s">
        <v>4395</v>
      </c>
      <c r="E1999" s="423">
        <v>925000</v>
      </c>
    </row>
    <row r="2000" spans="1:5" ht="15" customHeight="1">
      <c r="A2000" s="922"/>
      <c r="B2000" s="846"/>
      <c r="C2000" s="415"/>
      <c r="D2000" s="150" t="s">
        <v>4396</v>
      </c>
      <c r="E2000" s="423">
        <v>600000</v>
      </c>
    </row>
    <row r="2001" spans="1:5" ht="15" customHeight="1">
      <c r="A2001" s="922"/>
      <c r="B2001" s="846"/>
      <c r="C2001" s="415"/>
      <c r="D2001" s="150" t="s">
        <v>4397</v>
      </c>
      <c r="E2001" s="423">
        <v>730000</v>
      </c>
    </row>
    <row r="2002" spans="1:5" ht="15" customHeight="1">
      <c r="A2002" s="922"/>
      <c r="B2002" s="846"/>
      <c r="C2002" s="415"/>
      <c r="D2002" s="150" t="s">
        <v>4298</v>
      </c>
      <c r="E2002" s="423">
        <v>1080000</v>
      </c>
    </row>
    <row r="2003" spans="1:5" ht="15" customHeight="1">
      <c r="A2003" s="922"/>
      <c r="B2003" s="846"/>
      <c r="C2003" s="415"/>
      <c r="D2003" s="150" t="s">
        <v>4398</v>
      </c>
      <c r="E2003" s="423">
        <v>900000</v>
      </c>
    </row>
    <row r="2004" spans="1:5" ht="15" customHeight="1">
      <c r="A2004" s="922"/>
      <c r="B2004" s="846"/>
      <c r="C2004" s="415"/>
      <c r="D2004" s="150" t="s">
        <v>4399</v>
      </c>
      <c r="E2004" s="423">
        <v>880000</v>
      </c>
    </row>
    <row r="2005" spans="1:5" ht="15" customHeight="1">
      <c r="A2005" s="922"/>
      <c r="B2005" s="846"/>
      <c r="C2005" s="415"/>
      <c r="D2005" s="150" t="s">
        <v>4400</v>
      </c>
      <c r="E2005" s="423">
        <v>1560000</v>
      </c>
    </row>
    <row r="2006" spans="1:5" ht="15" customHeight="1">
      <c r="A2006" s="922"/>
      <c r="B2006" s="846"/>
      <c r="C2006" s="415"/>
      <c r="D2006" s="150" t="s">
        <v>4401</v>
      </c>
      <c r="E2006" s="423">
        <v>1285000</v>
      </c>
    </row>
    <row r="2007" spans="1:5" ht="15" customHeight="1">
      <c r="A2007" s="922"/>
      <c r="B2007" s="846"/>
      <c r="C2007" s="415"/>
      <c r="D2007" s="150" t="s">
        <v>3808</v>
      </c>
      <c r="E2007" s="423">
        <v>1300000</v>
      </c>
    </row>
    <row r="2008" spans="1:5" ht="15" customHeight="1">
      <c r="A2008" s="922"/>
      <c r="B2008" s="846"/>
      <c r="C2008" s="415"/>
      <c r="D2008" s="150" t="s">
        <v>4402</v>
      </c>
      <c r="E2008" s="423">
        <v>625000</v>
      </c>
    </row>
    <row r="2009" spans="1:5" ht="15" customHeight="1">
      <c r="A2009" s="922"/>
      <c r="B2009" s="846"/>
      <c r="C2009" s="415"/>
      <c r="D2009" s="150" t="s">
        <v>3783</v>
      </c>
      <c r="E2009" s="423">
        <v>840000</v>
      </c>
    </row>
    <row r="2010" spans="1:5" ht="15" customHeight="1">
      <c r="A2010" s="922"/>
      <c r="B2010" s="846"/>
      <c r="C2010" s="415"/>
      <c r="D2010" s="150" t="s">
        <v>4403</v>
      </c>
      <c r="E2010" s="423">
        <v>1030000</v>
      </c>
    </row>
    <row r="2011" spans="1:5" ht="24.6" customHeight="1">
      <c r="A2011" s="922" t="e">
        <f>#REF!</f>
        <v>#REF!</v>
      </c>
      <c r="B2011" s="852"/>
      <c r="C2011" s="415"/>
      <c r="D2011" s="150" t="s">
        <v>4404</v>
      </c>
      <c r="E2011" s="423">
        <v>1300000</v>
      </c>
    </row>
    <row r="2012" spans="1:5" ht="15" customHeight="1">
      <c r="A2012" s="922" t="e">
        <f>#REF!</f>
        <v>#REF!</v>
      </c>
      <c r="B2012" s="303" t="s">
        <v>1972</v>
      </c>
      <c r="C2012" s="306">
        <v>300</v>
      </c>
      <c r="D2012" s="297" t="s">
        <v>2231</v>
      </c>
      <c r="E2012" s="298">
        <v>1690000</v>
      </c>
    </row>
    <row r="2013" spans="1:5" ht="15" customHeight="1">
      <c r="A2013" s="922"/>
      <c r="B2013" s="856" t="s">
        <v>1814</v>
      </c>
      <c r="C2013" s="415">
        <v>300</v>
      </c>
      <c r="D2013" s="150" t="s">
        <v>3744</v>
      </c>
      <c r="E2013" s="423">
        <v>1350000</v>
      </c>
    </row>
    <row r="2014" spans="1:5" ht="15" customHeight="1">
      <c r="A2014" s="922"/>
      <c r="B2014" s="846"/>
      <c r="C2014" s="415"/>
      <c r="D2014" s="150" t="s">
        <v>4405</v>
      </c>
      <c r="E2014" s="423">
        <v>1160000</v>
      </c>
    </row>
    <row r="2015" spans="1:5" ht="15" customHeight="1">
      <c r="A2015" s="922"/>
      <c r="B2015" s="846"/>
      <c r="C2015" s="415"/>
      <c r="D2015" s="150" t="s">
        <v>4406</v>
      </c>
      <c r="E2015" s="423">
        <v>1190000</v>
      </c>
    </row>
    <row r="2016" spans="1:5" ht="15" customHeight="1">
      <c r="A2016" s="922"/>
      <c r="B2016" s="846"/>
      <c r="C2016" s="415"/>
      <c r="D2016" s="150" t="s">
        <v>4407</v>
      </c>
      <c r="E2016" s="423">
        <v>965000</v>
      </c>
    </row>
    <row r="2017" spans="1:5" ht="15" customHeight="1">
      <c r="A2017" s="922"/>
      <c r="B2017" s="846"/>
      <c r="C2017" s="415"/>
      <c r="D2017" s="150" t="s">
        <v>3732</v>
      </c>
      <c r="E2017" s="423">
        <v>1640000</v>
      </c>
    </row>
    <row r="2018" spans="1:5" ht="15" customHeight="1">
      <c r="A2018" s="922"/>
      <c r="B2018" s="846"/>
      <c r="C2018" s="415"/>
      <c r="D2018" s="150" t="s">
        <v>4408</v>
      </c>
      <c r="E2018" s="423">
        <v>1385000</v>
      </c>
    </row>
    <row r="2019" spans="1:5" ht="15" customHeight="1">
      <c r="A2019" s="922"/>
      <c r="B2019" s="846"/>
      <c r="C2019" s="415"/>
      <c r="D2019" s="150" t="s">
        <v>3226</v>
      </c>
      <c r="E2019" s="423">
        <v>1690000</v>
      </c>
    </row>
    <row r="2020" spans="1:5" ht="15" customHeight="1">
      <c r="A2020" s="922"/>
      <c r="B2020" s="846"/>
      <c r="C2020" s="415"/>
      <c r="D2020" s="150" t="s">
        <v>3227</v>
      </c>
      <c r="E2020" s="423">
        <v>1690000</v>
      </c>
    </row>
    <row r="2021" spans="1:5" ht="15" customHeight="1">
      <c r="A2021" s="922"/>
      <c r="B2021" s="852"/>
      <c r="C2021" s="287"/>
      <c r="D2021" s="288" t="s">
        <v>4409</v>
      </c>
      <c r="E2021" s="289">
        <v>1110000</v>
      </c>
    </row>
    <row r="2022" spans="1:5" ht="24" customHeight="1">
      <c r="A2022" s="922"/>
      <c r="B2022" s="856" t="s">
        <v>1754</v>
      </c>
      <c r="C2022" s="89">
        <v>120</v>
      </c>
      <c r="D2022" s="153" t="s">
        <v>4410</v>
      </c>
      <c r="E2022" s="241">
        <v>375000</v>
      </c>
    </row>
    <row r="2023" spans="1:5" ht="15" customHeight="1">
      <c r="A2023" s="922"/>
      <c r="B2023" s="846"/>
      <c r="C2023" s="415"/>
      <c r="D2023" s="150" t="s">
        <v>4411</v>
      </c>
      <c r="E2023" s="423">
        <v>375000</v>
      </c>
    </row>
    <row r="2024" spans="1:5" ht="15" customHeight="1">
      <c r="A2024" s="922"/>
      <c r="B2024" s="846"/>
      <c r="C2024" s="287" t="s">
        <v>1755</v>
      </c>
      <c r="D2024" s="288" t="s">
        <v>4412</v>
      </c>
      <c r="E2024" s="289">
        <v>580000</v>
      </c>
    </row>
    <row r="2025" spans="1:5" ht="15" customHeight="1">
      <c r="A2025" s="922"/>
      <c r="B2025" s="846"/>
      <c r="C2025" s="415">
        <v>200</v>
      </c>
      <c r="D2025" s="150" t="s">
        <v>4413</v>
      </c>
      <c r="E2025" s="423">
        <v>485000</v>
      </c>
    </row>
    <row r="2026" spans="1:5" ht="15" customHeight="1">
      <c r="A2026" s="922"/>
      <c r="B2026" s="846"/>
      <c r="C2026" s="415"/>
      <c r="D2026" s="150" t="s">
        <v>4414</v>
      </c>
      <c r="E2026" s="423">
        <v>1070000</v>
      </c>
    </row>
    <row r="2027" spans="1:5" ht="15" customHeight="1">
      <c r="A2027" s="922"/>
      <c r="B2027" s="846"/>
      <c r="C2027" s="415"/>
      <c r="D2027" s="150" t="s">
        <v>4415</v>
      </c>
      <c r="E2027" s="423">
        <v>405000</v>
      </c>
    </row>
    <row r="2028" spans="1:5" ht="15" customHeight="1">
      <c r="A2028" s="922"/>
      <c r="B2028" s="846"/>
      <c r="C2028" s="287"/>
      <c r="D2028" s="288" t="s">
        <v>4416</v>
      </c>
      <c r="E2028" s="289">
        <v>595000</v>
      </c>
    </row>
    <row r="2029" spans="1:5" ht="15" customHeight="1">
      <c r="A2029" s="922" t="e">
        <f>#REF!</f>
        <v>#REF!</v>
      </c>
      <c r="B2029" s="846"/>
      <c r="C2029" s="415">
        <v>250</v>
      </c>
      <c r="D2029" s="150" t="s">
        <v>2232</v>
      </c>
      <c r="E2029" s="423">
        <v>985000</v>
      </c>
    </row>
    <row r="2030" spans="1:5" ht="15" customHeight="1">
      <c r="A2030" s="922" t="e">
        <f>#REF!</f>
        <v>#REF!</v>
      </c>
      <c r="B2030" s="846"/>
      <c r="C2030" s="415"/>
      <c r="D2030" s="150" t="s">
        <v>3228</v>
      </c>
      <c r="E2030" s="423">
        <v>985000</v>
      </c>
    </row>
    <row r="2031" spans="1:5" ht="45" customHeight="1">
      <c r="A2031" s="922"/>
      <c r="B2031" s="846"/>
      <c r="C2031" s="415" t="s">
        <v>1755</v>
      </c>
      <c r="D2031" s="150" t="s">
        <v>4417</v>
      </c>
      <c r="E2031" s="423">
        <v>800000</v>
      </c>
    </row>
    <row r="2032" spans="1:5" ht="15" customHeight="1">
      <c r="A2032" s="922"/>
      <c r="B2032" s="846"/>
      <c r="C2032" s="415"/>
      <c r="D2032" s="150" t="s">
        <v>4418</v>
      </c>
      <c r="E2032" s="423">
        <v>610000</v>
      </c>
    </row>
    <row r="2033" spans="1:5" ht="27" customHeight="1">
      <c r="A2033" s="922"/>
      <c r="B2033" s="846"/>
      <c r="C2033" s="415"/>
      <c r="D2033" s="150" t="s">
        <v>4419</v>
      </c>
      <c r="E2033" s="423">
        <v>600000</v>
      </c>
    </row>
    <row r="2034" spans="1:5" ht="25.2" customHeight="1">
      <c r="A2034" s="922"/>
      <c r="B2034" s="846"/>
      <c r="C2034" s="415"/>
      <c r="D2034" s="150" t="s">
        <v>4420</v>
      </c>
      <c r="E2034" s="423">
        <v>780000</v>
      </c>
    </row>
    <row r="2035" spans="1:5" ht="15" customHeight="1">
      <c r="A2035" s="922"/>
      <c r="B2035" s="852"/>
      <c r="C2035" s="304"/>
      <c r="D2035" s="164" t="s">
        <v>4421</v>
      </c>
      <c r="E2035" s="294">
        <v>800000</v>
      </c>
    </row>
    <row r="2036" spans="1:5" ht="15" customHeight="1">
      <c r="A2036" s="922"/>
      <c r="B2036" s="856" t="s">
        <v>1788</v>
      </c>
      <c r="C2036" s="415">
        <v>250</v>
      </c>
      <c r="D2036" s="150" t="s">
        <v>3229</v>
      </c>
      <c r="E2036" s="423">
        <v>985000</v>
      </c>
    </row>
    <row r="2037" spans="1:5" ht="15" customHeight="1">
      <c r="A2037" s="922"/>
      <c r="B2037" s="851"/>
      <c r="C2037" s="287" t="s">
        <v>1755</v>
      </c>
      <c r="D2037" s="288" t="s">
        <v>2233</v>
      </c>
      <c r="E2037" s="289">
        <v>985000</v>
      </c>
    </row>
    <row r="2038" spans="1:5" ht="15" customHeight="1">
      <c r="A2038" s="922" t="e">
        <f>#REF!</f>
        <v>#REF!</v>
      </c>
      <c r="B2038" s="275" t="s">
        <v>4422</v>
      </c>
      <c r="C2038" s="306">
        <v>120</v>
      </c>
      <c r="D2038" s="297" t="s">
        <v>4423</v>
      </c>
      <c r="E2038" s="298">
        <v>1050000</v>
      </c>
    </row>
    <row r="2039" spans="1:5" ht="15" customHeight="1">
      <c r="A2039" s="922" t="e">
        <f>A2038</f>
        <v>#REF!</v>
      </c>
      <c r="B2039" s="325" t="s">
        <v>4424</v>
      </c>
      <c r="C2039" s="154">
        <v>120</v>
      </c>
      <c r="D2039" s="155" t="s">
        <v>4425</v>
      </c>
      <c r="E2039" s="243">
        <v>1020000</v>
      </c>
    </row>
    <row r="2040" spans="1:5" ht="15" customHeight="1">
      <c r="A2040" s="989" t="s">
        <v>2234</v>
      </c>
      <c r="B2040" s="915" t="s">
        <v>1756</v>
      </c>
      <c r="C2040" s="415">
        <v>135</v>
      </c>
      <c r="D2040" s="150" t="s">
        <v>2235</v>
      </c>
      <c r="E2040" s="423">
        <v>1160000</v>
      </c>
    </row>
    <row r="2041" spans="1:5" ht="15" customHeight="1">
      <c r="A2041" s="940" t="str">
        <f>A2040</f>
        <v>큐리어스 매터
(CMT)</v>
      </c>
      <c r="B2041" s="846"/>
      <c r="C2041" s="287"/>
      <c r="D2041" s="311" t="s">
        <v>2236</v>
      </c>
      <c r="E2041" s="289">
        <v>1250000</v>
      </c>
    </row>
    <row r="2042" spans="1:5" ht="15" customHeight="1">
      <c r="A2042" s="940" t="e">
        <f>#REF!</f>
        <v>#REF!</v>
      </c>
      <c r="B2042" s="846"/>
      <c r="C2042" s="89">
        <v>270</v>
      </c>
      <c r="D2042" s="150" t="s">
        <v>2237</v>
      </c>
      <c r="E2042" s="423">
        <v>2190000</v>
      </c>
    </row>
    <row r="2043" spans="1:5" ht="15" customHeight="1">
      <c r="A2043" s="940" t="e">
        <f>A2042</f>
        <v>#REF!</v>
      </c>
      <c r="B2043" s="846"/>
      <c r="C2043" s="415"/>
      <c r="D2043" s="288" t="s">
        <v>2238</v>
      </c>
      <c r="E2043" s="289">
        <v>2380000</v>
      </c>
    </row>
    <row r="2044" spans="1:5" ht="15" customHeight="1">
      <c r="A2044" s="940" t="e">
        <f>#REF!</f>
        <v>#REF!</v>
      </c>
      <c r="B2044" s="846"/>
      <c r="C2044" s="89">
        <v>380</v>
      </c>
      <c r="D2044" s="150" t="s">
        <v>2239</v>
      </c>
      <c r="E2044" s="423">
        <v>3075000</v>
      </c>
    </row>
    <row r="2045" spans="1:5" ht="15" customHeight="1">
      <c r="A2045" s="968" t="e">
        <f>A2044</f>
        <v>#REF!</v>
      </c>
      <c r="B2045" s="849"/>
      <c r="C2045" s="154"/>
      <c r="D2045" s="155" t="s">
        <v>2240</v>
      </c>
      <c r="E2045" s="243">
        <v>3350000</v>
      </c>
    </row>
    <row r="2046" spans="1:5" ht="15" customHeight="1">
      <c r="A2046" s="941" t="s">
        <v>2241</v>
      </c>
      <c r="B2046" s="915" t="s">
        <v>1756</v>
      </c>
      <c r="C2046" s="415">
        <v>135</v>
      </c>
      <c r="D2046" s="640" t="s">
        <v>2242</v>
      </c>
      <c r="E2046" s="641">
        <v>1400000</v>
      </c>
    </row>
    <row r="2047" spans="1:5" ht="15" customHeight="1">
      <c r="A2047" s="941"/>
      <c r="B2047" s="846"/>
      <c r="C2047" s="415"/>
      <c r="D2047" s="598" t="s">
        <v>3230</v>
      </c>
      <c r="E2047" s="571">
        <v>1685000</v>
      </c>
    </row>
    <row r="2048" spans="1:5" ht="15" customHeight="1">
      <c r="A2048" s="941" t="e">
        <f>#REF!</f>
        <v>#REF!</v>
      </c>
      <c r="B2048" s="846"/>
      <c r="C2048" s="89">
        <v>270</v>
      </c>
      <c r="D2048" s="222" t="s">
        <v>2237</v>
      </c>
      <c r="E2048" s="425">
        <v>2515000</v>
      </c>
    </row>
    <row r="2049" spans="1:5" ht="15" customHeight="1">
      <c r="A2049" s="941" t="e">
        <f>A2048</f>
        <v>#REF!</v>
      </c>
      <c r="B2049" s="846"/>
      <c r="C2049" s="415"/>
      <c r="D2049" s="599" t="s">
        <v>2243</v>
      </c>
      <c r="E2049" s="571">
        <v>3085000</v>
      </c>
    </row>
    <row r="2050" spans="1:5" ht="15" customHeight="1">
      <c r="A2050" s="941" t="e">
        <f>#REF!</f>
        <v>#REF!</v>
      </c>
      <c r="B2050" s="846"/>
      <c r="C2050" s="89">
        <v>380</v>
      </c>
      <c r="D2050" s="222" t="s">
        <v>2239</v>
      </c>
      <c r="E2050" s="425">
        <v>3500000</v>
      </c>
    </row>
    <row r="2051" spans="1:5" ht="15" customHeight="1">
      <c r="A2051" s="940" t="e">
        <f>A2050</f>
        <v>#REF!</v>
      </c>
      <c r="B2051" s="849"/>
      <c r="C2051" s="154"/>
      <c r="D2051" s="222" t="s">
        <v>2244</v>
      </c>
      <c r="E2051" s="425">
        <v>4300000</v>
      </c>
    </row>
    <row r="2052" spans="1:5" ht="15" customHeight="1">
      <c r="A2052" s="927" t="s">
        <v>2247</v>
      </c>
      <c r="B2052" s="915" t="s">
        <v>1757</v>
      </c>
      <c r="C2052" s="415">
        <v>258</v>
      </c>
      <c r="D2052" s="642" t="s">
        <v>3231</v>
      </c>
      <c r="E2052" s="643">
        <v>340000</v>
      </c>
    </row>
    <row r="2053" spans="1:5" ht="15" customHeight="1">
      <c r="A2053" s="922" t="str">
        <f>A2052</f>
        <v>크라프트팩 EV
(KPAKE)</v>
      </c>
      <c r="B2053" s="846"/>
      <c r="C2053" s="415">
        <v>288</v>
      </c>
      <c r="D2053" s="150" t="s">
        <v>3232</v>
      </c>
      <c r="E2053" s="423">
        <v>370000</v>
      </c>
    </row>
    <row r="2054" spans="1:5" ht="15" customHeight="1">
      <c r="A2054" s="922" t="str">
        <f>A2053</f>
        <v>크라프트팩 EV
(KPAKE)</v>
      </c>
      <c r="B2054" s="846"/>
      <c r="C2054" s="415">
        <v>302</v>
      </c>
      <c r="D2054" s="150" t="s">
        <v>3233</v>
      </c>
      <c r="E2054" s="423">
        <v>392000</v>
      </c>
    </row>
    <row r="2055" spans="1:5" ht="15" customHeight="1">
      <c r="A2055" s="922" t="str">
        <f>A2054</f>
        <v>크라프트팩 EV
(KPAKE)</v>
      </c>
      <c r="B2055" s="846"/>
      <c r="C2055" s="415">
        <v>332</v>
      </c>
      <c r="D2055" s="150" t="s">
        <v>3234</v>
      </c>
      <c r="E2055" s="423">
        <v>430000</v>
      </c>
    </row>
    <row r="2056" spans="1:5" ht="15" customHeight="1">
      <c r="A2056" s="922" t="str">
        <f>A2055</f>
        <v>크라프트팩 EV
(KPAKE)</v>
      </c>
      <c r="B2056" s="846"/>
      <c r="C2056" s="415">
        <v>356</v>
      </c>
      <c r="D2056" s="150" t="s">
        <v>3235</v>
      </c>
      <c r="E2056" s="423">
        <v>455000</v>
      </c>
    </row>
    <row r="2057" spans="1:5" ht="15" customHeight="1">
      <c r="A2057" s="922" t="str">
        <f>A2056</f>
        <v>크라프트팩 EV
(KPAKE)</v>
      </c>
      <c r="B2057" s="846"/>
      <c r="C2057" s="415">
        <v>380</v>
      </c>
      <c r="D2057" s="150" t="s">
        <v>3236</v>
      </c>
      <c r="E2057" s="423">
        <v>490000</v>
      </c>
    </row>
    <row r="2058" spans="1:5" ht="15" customHeight="1">
      <c r="A2058" s="922" t="e">
        <f>#REF!</f>
        <v>#REF!</v>
      </c>
      <c r="B2058" s="851"/>
      <c r="C2058" s="287">
        <v>410</v>
      </c>
      <c r="D2058" s="150" t="s">
        <v>2248</v>
      </c>
      <c r="E2058" s="423">
        <v>525000</v>
      </c>
    </row>
    <row r="2059" spans="1:5" ht="15" customHeight="1">
      <c r="A2059" s="922" t="e">
        <f t="shared" ref="A2059:A2071" si="79">A2058</f>
        <v>#REF!</v>
      </c>
      <c r="B2059" s="848" t="s">
        <v>1754</v>
      </c>
      <c r="C2059" s="415">
        <v>258</v>
      </c>
      <c r="D2059" s="153" t="s">
        <v>2249</v>
      </c>
      <c r="E2059" s="241">
        <v>237000</v>
      </c>
    </row>
    <row r="2060" spans="1:5" ht="15" customHeight="1">
      <c r="A2060" s="922" t="e">
        <f t="shared" si="79"/>
        <v>#REF!</v>
      </c>
      <c r="B2060" s="846"/>
      <c r="C2060" s="415">
        <v>288</v>
      </c>
      <c r="D2060" s="150" t="s">
        <v>2011</v>
      </c>
      <c r="E2060" s="423">
        <v>257000</v>
      </c>
    </row>
    <row r="2061" spans="1:5" ht="15" customHeight="1">
      <c r="A2061" s="922" t="e">
        <f t="shared" si="79"/>
        <v>#REF!</v>
      </c>
      <c r="B2061" s="846"/>
      <c r="C2061" s="415">
        <v>302</v>
      </c>
      <c r="D2061" s="150" t="s">
        <v>3237</v>
      </c>
      <c r="E2061" s="423">
        <v>272000</v>
      </c>
    </row>
    <row r="2062" spans="1:5" ht="15" customHeight="1">
      <c r="A2062" s="922" t="e">
        <f t="shared" si="79"/>
        <v>#REF!</v>
      </c>
      <c r="B2062" s="846"/>
      <c r="C2062" s="415">
        <v>332</v>
      </c>
      <c r="D2062" s="150" t="s">
        <v>2110</v>
      </c>
      <c r="E2062" s="423">
        <v>297500</v>
      </c>
    </row>
    <row r="2063" spans="1:5" ht="15" customHeight="1">
      <c r="A2063" s="922" t="e">
        <f t="shared" si="79"/>
        <v>#REF!</v>
      </c>
      <c r="B2063" s="846"/>
      <c r="C2063" s="415">
        <v>356</v>
      </c>
      <c r="D2063" s="150" t="s">
        <v>2111</v>
      </c>
      <c r="E2063" s="423">
        <v>315000</v>
      </c>
    </row>
    <row r="2064" spans="1:5" ht="15" customHeight="1">
      <c r="A2064" s="922" t="e">
        <f t="shared" si="79"/>
        <v>#REF!</v>
      </c>
      <c r="B2064" s="846"/>
      <c r="C2064" s="415">
        <v>380</v>
      </c>
      <c r="D2064" s="150" t="s">
        <v>3238</v>
      </c>
      <c r="E2064" s="423">
        <v>340000</v>
      </c>
    </row>
    <row r="2065" spans="1:5" ht="15" customHeight="1">
      <c r="A2065" s="922" t="e">
        <f t="shared" si="79"/>
        <v>#REF!</v>
      </c>
      <c r="B2065" s="851"/>
      <c r="C2065" s="415">
        <v>410</v>
      </c>
      <c r="D2065" s="150" t="s">
        <v>3239</v>
      </c>
      <c r="E2065" s="423">
        <v>365000</v>
      </c>
    </row>
    <row r="2066" spans="1:5" ht="15" customHeight="1">
      <c r="A2066" s="922" t="e">
        <f t="shared" si="79"/>
        <v>#REF!</v>
      </c>
      <c r="B2066" s="848" t="s">
        <v>1825</v>
      </c>
      <c r="C2066" s="89">
        <v>258</v>
      </c>
      <c r="D2066" s="153" t="s">
        <v>2250</v>
      </c>
      <c r="E2066" s="241">
        <v>148000</v>
      </c>
    </row>
    <row r="2067" spans="1:5" ht="15" customHeight="1">
      <c r="A2067" s="922" t="e">
        <f t="shared" si="79"/>
        <v>#REF!</v>
      </c>
      <c r="B2067" s="846"/>
      <c r="C2067" s="415">
        <v>288</v>
      </c>
      <c r="D2067" s="150" t="s">
        <v>2251</v>
      </c>
      <c r="E2067" s="423">
        <v>161000</v>
      </c>
    </row>
    <row r="2068" spans="1:5" ht="15" customHeight="1">
      <c r="A2068" s="922" t="e">
        <f t="shared" si="79"/>
        <v>#REF!</v>
      </c>
      <c r="B2068" s="846"/>
      <c r="C2068" s="415">
        <v>302</v>
      </c>
      <c r="D2068" s="150" t="s">
        <v>2252</v>
      </c>
      <c r="E2068" s="423">
        <v>170000</v>
      </c>
    </row>
    <row r="2069" spans="1:5" ht="15" customHeight="1">
      <c r="A2069" s="922" t="e">
        <f t="shared" si="79"/>
        <v>#REF!</v>
      </c>
      <c r="B2069" s="846"/>
      <c r="C2069" s="415">
        <v>332</v>
      </c>
      <c r="D2069" s="150" t="s">
        <v>2253</v>
      </c>
      <c r="E2069" s="423">
        <v>186000</v>
      </c>
    </row>
    <row r="2070" spans="1:5" ht="15" customHeight="1">
      <c r="A2070" s="922" t="e">
        <f t="shared" si="79"/>
        <v>#REF!</v>
      </c>
      <c r="B2070" s="851"/>
      <c r="C2070" s="415">
        <v>356</v>
      </c>
      <c r="D2070" s="150" t="s">
        <v>2254</v>
      </c>
      <c r="E2070" s="423">
        <v>198000</v>
      </c>
    </row>
    <row r="2071" spans="1:5" ht="15" customHeight="1">
      <c r="A2071" s="922" t="e">
        <f t="shared" si="79"/>
        <v>#REF!</v>
      </c>
      <c r="B2071" s="848" t="s">
        <v>1826</v>
      </c>
      <c r="C2071" s="89">
        <v>258</v>
      </c>
      <c r="D2071" s="153" t="s">
        <v>3240</v>
      </c>
      <c r="E2071" s="241"/>
    </row>
    <row r="2072" spans="1:5" ht="15" customHeight="1">
      <c r="A2072" s="923" t="e">
        <f>#REF!</f>
        <v>#REF!</v>
      </c>
      <c r="B2072" s="847"/>
      <c r="C2072" s="171" t="s">
        <v>3241</v>
      </c>
      <c r="D2072" s="237" t="s">
        <v>3242</v>
      </c>
      <c r="E2072" s="238"/>
    </row>
    <row r="2073" spans="1:5" ht="15" customHeight="1">
      <c r="A2073" s="974" t="s">
        <v>2256</v>
      </c>
      <c r="B2073" s="920" t="s">
        <v>4833</v>
      </c>
      <c r="C2073" s="589">
        <v>60</v>
      </c>
      <c r="D2073" s="593" t="s">
        <v>3243</v>
      </c>
      <c r="E2073" s="644">
        <v>213000</v>
      </c>
    </row>
    <row r="2074" spans="1:5" ht="15" customHeight="1">
      <c r="A2074" s="922" t="str">
        <f t="shared" ref="A2074:A2083" si="80">A2073</f>
        <v>크리스탈 트레싱지
(CRS)</v>
      </c>
      <c r="B2074" s="870"/>
      <c r="C2074" s="415">
        <v>70</v>
      </c>
      <c r="D2074" s="222" t="s">
        <v>2259</v>
      </c>
      <c r="E2074" s="534">
        <v>247000</v>
      </c>
    </row>
    <row r="2075" spans="1:5" ht="15" customHeight="1">
      <c r="A2075" s="922" t="str">
        <f t="shared" si="80"/>
        <v>크리스탈 트레싱지
(CRS)</v>
      </c>
      <c r="B2075" s="870"/>
      <c r="C2075" s="415">
        <v>80</v>
      </c>
      <c r="D2075" s="222" t="s">
        <v>1933</v>
      </c>
      <c r="E2075" s="534">
        <v>284000</v>
      </c>
    </row>
    <row r="2076" spans="1:5" ht="15" customHeight="1">
      <c r="A2076" s="922" t="str">
        <f t="shared" si="80"/>
        <v>크리스탈 트레싱지
(CRS)</v>
      </c>
      <c r="B2076" s="870"/>
      <c r="C2076" s="415">
        <v>90</v>
      </c>
      <c r="D2076" s="222" t="s">
        <v>1768</v>
      </c>
      <c r="E2076" s="534">
        <v>320000</v>
      </c>
    </row>
    <row r="2077" spans="1:5" ht="15" customHeight="1">
      <c r="A2077" s="922" t="str">
        <f t="shared" si="80"/>
        <v>크리스탈 트레싱지
(CRS)</v>
      </c>
      <c r="B2077" s="870"/>
      <c r="C2077" s="415">
        <v>100</v>
      </c>
      <c r="D2077" s="222" t="s">
        <v>1961</v>
      </c>
      <c r="E2077" s="534">
        <v>355000</v>
      </c>
    </row>
    <row r="2078" spans="1:5" ht="15" customHeight="1">
      <c r="A2078" s="922" t="str">
        <f t="shared" si="80"/>
        <v>크리스탈 트레싱지
(CRS)</v>
      </c>
      <c r="B2078" s="870"/>
      <c r="C2078" s="415">
        <v>110</v>
      </c>
      <c r="D2078" s="222" t="s">
        <v>3244</v>
      </c>
      <c r="E2078" s="534">
        <v>391000</v>
      </c>
    </row>
    <row r="2079" spans="1:5" ht="15" customHeight="1">
      <c r="A2079" s="922" t="str">
        <f t="shared" si="80"/>
        <v>크리스탈 트레싱지
(CRS)</v>
      </c>
      <c r="B2079" s="870"/>
      <c r="C2079" s="415">
        <v>130</v>
      </c>
      <c r="D2079" s="222" t="s">
        <v>2008</v>
      </c>
      <c r="E2079" s="534">
        <v>464000</v>
      </c>
    </row>
    <row r="2080" spans="1:5" ht="15" customHeight="1">
      <c r="A2080" s="922" t="str">
        <f t="shared" si="80"/>
        <v>크리스탈 트레싱지
(CRS)</v>
      </c>
      <c r="B2080" s="870"/>
      <c r="C2080" s="415">
        <v>150</v>
      </c>
      <c r="D2080" s="222" t="s">
        <v>2257</v>
      </c>
      <c r="E2080" s="534">
        <v>570000</v>
      </c>
    </row>
    <row r="2081" spans="1:5" ht="15" customHeight="1">
      <c r="A2081" s="922" t="str">
        <f t="shared" si="80"/>
        <v>크리스탈 트레싱지
(CRS)</v>
      </c>
      <c r="B2081" s="870"/>
      <c r="C2081" s="415">
        <v>170</v>
      </c>
      <c r="D2081" s="222" t="s">
        <v>1791</v>
      </c>
      <c r="E2081" s="534">
        <v>645000</v>
      </c>
    </row>
    <row r="2082" spans="1:5" ht="15" customHeight="1">
      <c r="A2082" s="922" t="str">
        <f t="shared" si="80"/>
        <v>크리스탈 트레싱지
(CRS)</v>
      </c>
      <c r="B2082" s="870"/>
      <c r="C2082" s="415">
        <v>180</v>
      </c>
      <c r="D2082" s="222" t="s">
        <v>2009</v>
      </c>
      <c r="E2082" s="534">
        <v>680000</v>
      </c>
    </row>
    <row r="2083" spans="1:5" ht="15" customHeight="1">
      <c r="A2083" s="922" t="str">
        <f t="shared" si="80"/>
        <v>크리스탈 트레싱지
(CRS)</v>
      </c>
      <c r="B2083" s="871"/>
      <c r="C2083" s="415">
        <v>200</v>
      </c>
      <c r="D2083" s="224" t="s">
        <v>2258</v>
      </c>
      <c r="E2083" s="409">
        <v>845000</v>
      </c>
    </row>
    <row r="2084" spans="1:5" ht="15" customHeight="1">
      <c r="A2084" s="922"/>
      <c r="B2084" s="645" t="s">
        <v>1895</v>
      </c>
      <c r="C2084" s="646">
        <v>100</v>
      </c>
      <c r="D2084" s="227" t="s">
        <v>3245</v>
      </c>
      <c r="E2084" s="228">
        <v>247000</v>
      </c>
    </row>
    <row r="2085" spans="1:5" ht="15" customHeight="1">
      <c r="A2085" s="922" t="e">
        <f>#REF!</f>
        <v>#REF!</v>
      </c>
      <c r="B2085" s="918" t="s">
        <v>1811</v>
      </c>
      <c r="C2085" s="646">
        <v>70</v>
      </c>
      <c r="D2085" s="227" t="s">
        <v>2259</v>
      </c>
      <c r="E2085" s="228">
        <v>314000</v>
      </c>
    </row>
    <row r="2086" spans="1:5" ht="15" customHeight="1">
      <c r="A2086" s="922" t="e">
        <f>A2085</f>
        <v>#REF!</v>
      </c>
      <c r="B2086" s="885"/>
      <c r="C2086" s="484">
        <v>80</v>
      </c>
      <c r="D2086" s="222" t="s">
        <v>1933</v>
      </c>
      <c r="E2086" s="534">
        <v>357500</v>
      </c>
    </row>
    <row r="2087" spans="1:5" ht="15" customHeight="1">
      <c r="A2087" s="922" t="e">
        <f>A2086</f>
        <v>#REF!</v>
      </c>
      <c r="B2087" s="919"/>
      <c r="C2087" s="484">
        <v>90</v>
      </c>
      <c r="D2087" s="222" t="s">
        <v>1768</v>
      </c>
      <c r="E2087" s="534">
        <v>402000</v>
      </c>
    </row>
    <row r="2088" spans="1:5" ht="15" customHeight="1">
      <c r="A2088" s="922" t="e">
        <f>A2087</f>
        <v>#REF!</v>
      </c>
      <c r="B2088" s="177" t="s">
        <v>4426</v>
      </c>
      <c r="C2088" s="89">
        <v>100</v>
      </c>
      <c r="D2088" s="363" t="s">
        <v>4427</v>
      </c>
      <c r="E2088" s="364"/>
    </row>
    <row r="2089" spans="1:5" ht="15" customHeight="1">
      <c r="A2089" s="922" t="e">
        <f>A2088</f>
        <v>#REF!</v>
      </c>
      <c r="B2089" s="413" t="s">
        <v>4426</v>
      </c>
      <c r="C2089" s="415">
        <v>110</v>
      </c>
      <c r="D2089" s="257"/>
      <c r="E2089" s="424"/>
    </row>
    <row r="2090" spans="1:5" ht="15" customHeight="1">
      <c r="A2090" s="930" t="e">
        <f>A2089</f>
        <v>#REF!</v>
      </c>
      <c r="B2090" s="647" t="s">
        <v>4428</v>
      </c>
      <c r="C2090" s="154">
        <v>70</v>
      </c>
      <c r="D2090" s="426"/>
      <c r="E2090" s="370"/>
    </row>
    <row r="2091" spans="1:5" ht="15" customHeight="1">
      <c r="A2091" s="927" t="s">
        <v>4429</v>
      </c>
      <c r="B2091" s="917" t="s">
        <v>1814</v>
      </c>
      <c r="C2091" s="648">
        <v>63</v>
      </c>
      <c r="D2091" s="649" t="s">
        <v>4427</v>
      </c>
      <c r="E2091" s="650">
        <v>200000</v>
      </c>
    </row>
    <row r="2092" spans="1:5" ht="15" customHeight="1">
      <c r="A2092" s="922" t="str">
        <f t="shared" ref="A2092:A2103" si="81">A2091</f>
        <v>크리스탈 트레싱지 2
(CRS2)</v>
      </c>
      <c r="B2092" s="870"/>
      <c r="C2092" s="415">
        <v>73</v>
      </c>
      <c r="D2092" s="150" t="s">
        <v>3246</v>
      </c>
      <c r="E2092" s="423">
        <v>247000</v>
      </c>
    </row>
    <row r="2093" spans="1:5" ht="15" customHeight="1">
      <c r="A2093" s="922" t="str">
        <f t="shared" si="81"/>
        <v>크리스탈 트레싱지 2
(CRS2)</v>
      </c>
      <c r="B2093" s="870"/>
      <c r="C2093" s="415">
        <v>83</v>
      </c>
      <c r="D2093" s="150" t="s">
        <v>1768</v>
      </c>
      <c r="E2093" s="423">
        <v>284000</v>
      </c>
    </row>
    <row r="2094" spans="1:5" ht="15" customHeight="1">
      <c r="A2094" s="922" t="str">
        <f t="shared" si="81"/>
        <v>크리스탈 트레싱지 2
(CRS2)</v>
      </c>
      <c r="B2094" s="870"/>
      <c r="C2094" s="415">
        <v>93</v>
      </c>
      <c r="D2094" s="257" t="s">
        <v>3320</v>
      </c>
      <c r="E2094" s="424">
        <v>300000</v>
      </c>
    </row>
    <row r="2095" spans="1:5" ht="15" customHeight="1">
      <c r="A2095" s="922" t="str">
        <f t="shared" si="81"/>
        <v>크리스탈 트레싱지 2
(CRS2)</v>
      </c>
      <c r="B2095" s="870"/>
      <c r="C2095" s="415">
        <v>102</v>
      </c>
      <c r="D2095" s="150" t="s">
        <v>2112</v>
      </c>
      <c r="E2095" s="423">
        <v>355000</v>
      </c>
    </row>
    <row r="2096" spans="1:5" ht="15" customHeight="1">
      <c r="A2096" s="922" t="str">
        <f t="shared" si="81"/>
        <v>크리스탈 트레싱지 2
(CRS2)</v>
      </c>
      <c r="B2096" s="870"/>
      <c r="C2096" s="415">
        <v>112</v>
      </c>
      <c r="D2096" s="257" t="s">
        <v>3320</v>
      </c>
      <c r="E2096" s="424">
        <v>360000</v>
      </c>
    </row>
    <row r="2097" spans="1:5" ht="15" customHeight="1">
      <c r="A2097" s="922" t="str">
        <f t="shared" si="81"/>
        <v>크리스탈 트레싱지 2
(CRS2)</v>
      </c>
      <c r="B2097" s="870"/>
      <c r="C2097" s="415">
        <v>130</v>
      </c>
      <c r="D2097" s="150" t="s">
        <v>1769</v>
      </c>
      <c r="E2097" s="423">
        <v>464000</v>
      </c>
    </row>
    <row r="2098" spans="1:5" ht="15" customHeight="1">
      <c r="A2098" s="922" t="str">
        <f t="shared" si="81"/>
        <v>크리스탈 트레싱지 2
(CRS2)</v>
      </c>
      <c r="B2098" s="870"/>
      <c r="C2098" s="415">
        <v>150</v>
      </c>
      <c r="D2098" s="257" t="s">
        <v>3320</v>
      </c>
      <c r="E2098" s="424">
        <v>500000</v>
      </c>
    </row>
    <row r="2099" spans="1:5" ht="15" customHeight="1">
      <c r="A2099" s="922" t="str">
        <f t="shared" si="81"/>
        <v>크리스탈 트레싱지 2
(CRS2)</v>
      </c>
      <c r="B2099" s="870"/>
      <c r="C2099" s="415">
        <v>160</v>
      </c>
      <c r="D2099" s="257" t="s">
        <v>3320</v>
      </c>
      <c r="E2099" s="424">
        <v>535000</v>
      </c>
    </row>
    <row r="2100" spans="1:5" ht="15" customHeight="1">
      <c r="A2100" s="922" t="str">
        <f t="shared" si="81"/>
        <v>크리스탈 트레싱지 2
(CRS2)</v>
      </c>
      <c r="B2100" s="870"/>
      <c r="C2100" s="415">
        <v>180</v>
      </c>
      <c r="D2100" s="257" t="s">
        <v>3320</v>
      </c>
      <c r="E2100" s="424">
        <v>600000</v>
      </c>
    </row>
    <row r="2101" spans="1:5" ht="15" customHeight="1">
      <c r="A2101" s="922" t="str">
        <f t="shared" si="81"/>
        <v>크리스탈 트레싱지 2
(CRS2)</v>
      </c>
      <c r="B2101" s="871"/>
      <c r="C2101" s="415">
        <v>200</v>
      </c>
      <c r="D2101" s="257" t="s">
        <v>3320</v>
      </c>
      <c r="E2101" s="424">
        <v>650000</v>
      </c>
    </row>
    <row r="2102" spans="1:5" ht="15" customHeight="1">
      <c r="A2102" s="922" t="str">
        <f t="shared" si="81"/>
        <v>크리스탈 트레싱지 2
(CRS2)</v>
      </c>
      <c r="B2102" s="869" t="s">
        <v>1839</v>
      </c>
      <c r="C2102" s="89">
        <v>83</v>
      </c>
      <c r="D2102" s="363" t="s">
        <v>4427</v>
      </c>
      <c r="E2102" s="364">
        <v>335000</v>
      </c>
    </row>
    <row r="2103" spans="1:5" ht="15" customHeight="1">
      <c r="A2103" s="930" t="str">
        <f t="shared" si="81"/>
        <v>크리스탈 트레싱지 2
(CRS2)</v>
      </c>
      <c r="B2103" s="874"/>
      <c r="C2103" s="154">
        <v>93</v>
      </c>
      <c r="D2103" s="426" t="s">
        <v>3320</v>
      </c>
      <c r="E2103" s="370">
        <v>375000</v>
      </c>
    </row>
    <row r="2104" spans="1:5" ht="15" customHeight="1">
      <c r="A2104" s="988" t="s">
        <v>4430</v>
      </c>
      <c r="B2104" s="592" t="s">
        <v>4260</v>
      </c>
      <c r="C2104" s="589">
        <v>105</v>
      </c>
      <c r="D2104" s="590" t="s">
        <v>4431</v>
      </c>
      <c r="E2104" s="591">
        <v>695000</v>
      </c>
    </row>
    <row r="2105" spans="1:5" ht="15" customHeight="1">
      <c r="A2105" s="988" t="str">
        <f t="shared" ref="A2105:A2112" si="82">A2104</f>
        <v>크레인(CRA)</v>
      </c>
      <c r="B2105" s="87"/>
      <c r="C2105" s="415">
        <v>120</v>
      </c>
      <c r="D2105" s="150" t="s">
        <v>4432</v>
      </c>
      <c r="E2105" s="423">
        <v>1150000</v>
      </c>
    </row>
    <row r="2106" spans="1:5" ht="15" customHeight="1">
      <c r="A2106" s="988" t="str">
        <f t="shared" si="82"/>
        <v>크레인(CRA)</v>
      </c>
      <c r="B2106" s="286"/>
      <c r="C2106" s="287"/>
      <c r="D2106" s="288" t="s">
        <v>4433</v>
      </c>
      <c r="E2106" s="423">
        <v>1150000</v>
      </c>
    </row>
    <row r="2107" spans="1:5" ht="15" customHeight="1">
      <c r="A2107" s="988" t="str">
        <f t="shared" si="82"/>
        <v>크레인(CRA)</v>
      </c>
      <c r="B2107" s="190" t="s">
        <v>4434</v>
      </c>
      <c r="C2107" s="89">
        <v>300</v>
      </c>
      <c r="D2107" s="153" t="s">
        <v>4435</v>
      </c>
      <c r="E2107" s="241">
        <v>2000000</v>
      </c>
    </row>
    <row r="2108" spans="1:5" ht="15" customHeight="1">
      <c r="A2108" s="988" t="str">
        <f t="shared" si="82"/>
        <v>크레인(CRA)</v>
      </c>
      <c r="B2108" s="286" t="s">
        <v>2260</v>
      </c>
      <c r="C2108" s="287"/>
      <c r="D2108" s="288" t="s">
        <v>4436</v>
      </c>
      <c r="E2108" s="289">
        <v>2450000</v>
      </c>
    </row>
    <row r="2109" spans="1:5" ht="15" customHeight="1">
      <c r="A2109" s="988" t="str">
        <f t="shared" si="82"/>
        <v>크레인(CRA)</v>
      </c>
      <c r="B2109" s="848" t="s">
        <v>4437</v>
      </c>
      <c r="C2109" s="89">
        <v>595</v>
      </c>
      <c r="D2109" s="153" t="s">
        <v>4438</v>
      </c>
      <c r="E2109" s="241">
        <v>4100000</v>
      </c>
    </row>
    <row r="2110" spans="1:5" ht="15" customHeight="1">
      <c r="A2110" s="988" t="str">
        <f t="shared" si="82"/>
        <v>크레인(CRA)</v>
      </c>
      <c r="B2110" s="846"/>
      <c r="C2110" s="287" t="s">
        <v>1755</v>
      </c>
      <c r="D2110" s="288" t="s">
        <v>4439</v>
      </c>
      <c r="E2110" s="289">
        <v>3000000</v>
      </c>
    </row>
    <row r="2111" spans="1:5" ht="15" customHeight="1">
      <c r="A2111" s="988" t="str">
        <f t="shared" si="82"/>
        <v>크레인(CRA)</v>
      </c>
      <c r="B2111" s="846"/>
      <c r="C2111" s="90">
        <v>362</v>
      </c>
      <c r="D2111" s="156" t="s">
        <v>4440</v>
      </c>
      <c r="E2111" s="244">
        <v>3250000</v>
      </c>
    </row>
    <row r="2112" spans="1:5" ht="15" customHeight="1">
      <c r="A2112" s="988" t="str">
        <f t="shared" si="82"/>
        <v>크레인(CRA)</v>
      </c>
      <c r="B2112" s="847"/>
      <c r="C2112" s="196">
        <v>484</v>
      </c>
      <c r="D2112" s="545" t="s">
        <v>4441</v>
      </c>
      <c r="E2112" s="546">
        <v>3750000</v>
      </c>
    </row>
    <row r="2113" spans="1:5" ht="15" customHeight="1">
      <c r="A2113" s="974" t="s">
        <v>2261</v>
      </c>
      <c r="B2113" s="916" t="s">
        <v>1757</v>
      </c>
      <c r="C2113" s="589">
        <v>90</v>
      </c>
      <c r="D2113" s="593" t="s">
        <v>3247</v>
      </c>
      <c r="E2113" s="651">
        <v>355000</v>
      </c>
    </row>
    <row r="2114" spans="1:5" ht="15" customHeight="1">
      <c r="A2114" s="922"/>
      <c r="B2114" s="846"/>
      <c r="C2114" s="287" t="s">
        <v>1755</v>
      </c>
      <c r="D2114" s="288" t="s">
        <v>4442</v>
      </c>
      <c r="E2114" s="289">
        <v>260000</v>
      </c>
    </row>
    <row r="2115" spans="1:5" ht="15" customHeight="1">
      <c r="A2115" s="922" t="str">
        <f>A2113</f>
        <v>클래식 크래스트
(CCL)</v>
      </c>
      <c r="B2115" s="846"/>
      <c r="C2115" s="89">
        <v>118</v>
      </c>
      <c r="D2115" s="153" t="s">
        <v>2262</v>
      </c>
      <c r="E2115" s="241">
        <v>495000</v>
      </c>
    </row>
    <row r="2116" spans="1:5" ht="15" customHeight="1">
      <c r="A2116" s="922" t="str">
        <f t="shared" ref="A2116:A2121" si="83">A2115</f>
        <v>클래식 크래스트
(CCL)</v>
      </c>
      <c r="B2116" s="846"/>
      <c r="C2116" s="415" t="s">
        <v>1755</v>
      </c>
      <c r="D2116" s="150" t="s">
        <v>2263</v>
      </c>
      <c r="E2116" s="423">
        <v>495000</v>
      </c>
    </row>
    <row r="2117" spans="1:5" ht="15" customHeight="1">
      <c r="A2117" s="922" t="str">
        <f t="shared" si="83"/>
        <v>클래식 크래스트
(CCL)</v>
      </c>
      <c r="B2117" s="846"/>
      <c r="C2117" s="415"/>
      <c r="D2117" s="150" t="s">
        <v>2264</v>
      </c>
      <c r="E2117" s="423">
        <v>490000</v>
      </c>
    </row>
    <row r="2118" spans="1:5" ht="15" customHeight="1">
      <c r="A2118" s="922" t="str">
        <f t="shared" si="83"/>
        <v>클래식 크래스트
(CCL)</v>
      </c>
      <c r="B2118" s="846"/>
      <c r="C2118" s="415"/>
      <c r="D2118" s="150" t="s">
        <v>4443</v>
      </c>
      <c r="E2118" s="423">
        <v>365000</v>
      </c>
    </row>
    <row r="2119" spans="1:5" ht="15" customHeight="1">
      <c r="A2119" s="922" t="str">
        <f t="shared" si="83"/>
        <v>클래식 크래스트
(CCL)</v>
      </c>
      <c r="B2119" s="846"/>
      <c r="C2119" s="415"/>
      <c r="D2119" s="150" t="s">
        <v>4444</v>
      </c>
      <c r="E2119" s="423">
        <v>405000</v>
      </c>
    </row>
    <row r="2120" spans="1:5" ht="15" customHeight="1">
      <c r="A2120" s="922" t="str">
        <f t="shared" si="83"/>
        <v>클래식 크래스트
(CCL)</v>
      </c>
      <c r="B2120" s="846"/>
      <c r="C2120" s="415"/>
      <c r="D2120" s="150" t="s">
        <v>4445</v>
      </c>
      <c r="E2120" s="423">
        <v>350000</v>
      </c>
    </row>
    <row r="2121" spans="1:5" ht="15" customHeight="1">
      <c r="A2121" s="922" t="str">
        <f t="shared" si="83"/>
        <v>클래식 크래스트
(CCL)</v>
      </c>
      <c r="B2121" s="846"/>
      <c r="C2121" s="415"/>
      <c r="D2121" s="150" t="s">
        <v>2265</v>
      </c>
      <c r="E2121" s="423">
        <v>495000</v>
      </c>
    </row>
    <row r="2122" spans="1:5" ht="15" customHeight="1">
      <c r="A2122" s="922"/>
      <c r="B2122" s="846"/>
      <c r="C2122" s="415"/>
      <c r="D2122" s="150" t="s">
        <v>3248</v>
      </c>
      <c r="E2122" s="423">
        <v>735000</v>
      </c>
    </row>
    <row r="2123" spans="1:5" ht="15" customHeight="1">
      <c r="A2123" s="922" t="str">
        <f>A2121</f>
        <v>클래식 크래스트
(CCL)</v>
      </c>
      <c r="B2123" s="846"/>
      <c r="C2123" s="415"/>
      <c r="D2123" s="150" t="s">
        <v>3249</v>
      </c>
      <c r="E2123" s="423">
        <v>685000</v>
      </c>
    </row>
    <row r="2124" spans="1:5" ht="15" customHeight="1">
      <c r="A2124" s="922" t="str">
        <f t="shared" ref="A2124:A2129" si="84">A2123</f>
        <v>클래식 크래스트
(CCL)</v>
      </c>
      <c r="B2124" s="897"/>
      <c r="C2124" s="415"/>
      <c r="D2124" s="419" t="s">
        <v>4446</v>
      </c>
      <c r="E2124" s="423">
        <v>535000</v>
      </c>
    </row>
    <row r="2125" spans="1:5" ht="15" customHeight="1">
      <c r="A2125" s="922" t="e">
        <f>#REF!</f>
        <v>#REF!</v>
      </c>
      <c r="B2125" s="652" t="s">
        <v>1972</v>
      </c>
      <c r="C2125" s="653">
        <v>176</v>
      </c>
      <c r="D2125" s="297" t="s">
        <v>3250</v>
      </c>
      <c r="E2125" s="293">
        <v>735000</v>
      </c>
    </row>
    <row r="2126" spans="1:5" ht="15" customHeight="1">
      <c r="A2126" s="922"/>
      <c r="B2126" s="898" t="s">
        <v>1934</v>
      </c>
      <c r="C2126" s="415">
        <v>176</v>
      </c>
      <c r="D2126" s="150" t="s">
        <v>3251</v>
      </c>
      <c r="E2126" s="423">
        <v>1090000</v>
      </c>
    </row>
    <row r="2127" spans="1:5" ht="15" customHeight="1">
      <c r="A2127" s="922" t="e">
        <f>A2125</f>
        <v>#REF!</v>
      </c>
      <c r="B2127" s="897"/>
      <c r="C2127" s="415"/>
      <c r="D2127" s="150" t="s">
        <v>3252</v>
      </c>
      <c r="E2127" s="423">
        <v>725000</v>
      </c>
    </row>
    <row r="2128" spans="1:5" ht="15" customHeight="1">
      <c r="A2128" s="922" t="e">
        <f t="shared" si="84"/>
        <v>#REF!</v>
      </c>
      <c r="B2128" s="898" t="s">
        <v>1814</v>
      </c>
      <c r="C2128" s="89">
        <v>216</v>
      </c>
      <c r="D2128" s="153" t="s">
        <v>3253</v>
      </c>
      <c r="E2128" s="241">
        <v>920000</v>
      </c>
    </row>
    <row r="2129" spans="1:5" ht="15" customHeight="1">
      <c r="A2129" s="922" t="e">
        <f t="shared" si="84"/>
        <v>#REF!</v>
      </c>
      <c r="B2129" s="846"/>
      <c r="C2129" s="415"/>
      <c r="D2129" s="150" t="s">
        <v>3254</v>
      </c>
      <c r="E2129" s="423">
        <v>910000</v>
      </c>
    </row>
    <row r="2130" spans="1:5" ht="15" customHeight="1">
      <c r="A2130" s="922"/>
      <c r="B2130" s="846"/>
      <c r="C2130" s="415"/>
      <c r="D2130" s="150" t="s">
        <v>3255</v>
      </c>
      <c r="E2130" s="423">
        <v>890000</v>
      </c>
    </row>
    <row r="2131" spans="1:5" ht="15" customHeight="1">
      <c r="A2131" s="922"/>
      <c r="B2131" s="846"/>
      <c r="C2131" s="415"/>
      <c r="D2131" s="150" t="s">
        <v>3256</v>
      </c>
      <c r="E2131" s="423">
        <v>1360000</v>
      </c>
    </row>
    <row r="2132" spans="1:5" ht="15" customHeight="1">
      <c r="A2132" s="922" t="e">
        <f>A2129</f>
        <v>#REF!</v>
      </c>
      <c r="B2132" s="846"/>
      <c r="C2132" s="287"/>
      <c r="D2132" s="288" t="s">
        <v>3257</v>
      </c>
      <c r="E2132" s="289">
        <v>1270000</v>
      </c>
    </row>
    <row r="2133" spans="1:5" ht="15" customHeight="1">
      <c r="A2133" s="922" t="e">
        <f t="shared" ref="A2133:A2144" si="85">A2132</f>
        <v>#REF!</v>
      </c>
      <c r="B2133" s="846"/>
      <c r="C2133" s="415">
        <v>270</v>
      </c>
      <c r="D2133" s="150" t="s">
        <v>2011</v>
      </c>
      <c r="E2133" s="241">
        <v>1185000</v>
      </c>
    </row>
    <row r="2134" spans="1:5" ht="15" customHeight="1">
      <c r="A2134" s="922" t="e">
        <f t="shared" si="85"/>
        <v>#REF!</v>
      </c>
      <c r="B2134" s="851"/>
      <c r="C2134" s="415"/>
      <c r="D2134" s="150" t="s">
        <v>2110</v>
      </c>
      <c r="E2134" s="289">
        <v>1140000</v>
      </c>
    </row>
    <row r="2135" spans="1:5" ht="15" customHeight="1">
      <c r="A2135" s="922" t="e">
        <f t="shared" si="85"/>
        <v>#REF!</v>
      </c>
      <c r="B2135" s="848" t="s">
        <v>1754</v>
      </c>
      <c r="C2135" s="89">
        <v>118</v>
      </c>
      <c r="D2135" s="153" t="s">
        <v>2266</v>
      </c>
      <c r="E2135" s="423">
        <v>340000</v>
      </c>
    </row>
    <row r="2136" spans="1:5" ht="15" customHeight="1">
      <c r="A2136" s="922" t="e">
        <f t="shared" si="85"/>
        <v>#REF!</v>
      </c>
      <c r="B2136" s="846"/>
      <c r="C2136" s="415"/>
      <c r="D2136" s="150" t="s">
        <v>2267</v>
      </c>
      <c r="E2136" s="423">
        <v>340000</v>
      </c>
    </row>
    <row r="2137" spans="1:5" ht="15" customHeight="1">
      <c r="A2137" s="922" t="e">
        <f t="shared" si="85"/>
        <v>#REF!</v>
      </c>
      <c r="B2137" s="846"/>
      <c r="C2137" s="415"/>
      <c r="D2137" s="150" t="s">
        <v>4447</v>
      </c>
      <c r="E2137" s="423">
        <v>275000</v>
      </c>
    </row>
    <row r="2138" spans="1:5" ht="15" customHeight="1">
      <c r="A2138" s="922" t="e">
        <f t="shared" si="85"/>
        <v>#REF!</v>
      </c>
      <c r="B2138" s="846"/>
      <c r="C2138" s="415"/>
      <c r="D2138" s="150" t="s">
        <v>4448</v>
      </c>
      <c r="E2138" s="423">
        <v>270000</v>
      </c>
    </row>
    <row r="2139" spans="1:5" ht="15" customHeight="1">
      <c r="A2139" s="922" t="e">
        <f t="shared" si="85"/>
        <v>#REF!</v>
      </c>
      <c r="B2139" s="846"/>
      <c r="C2139" s="415"/>
      <c r="D2139" s="150" t="s">
        <v>4449</v>
      </c>
      <c r="E2139" s="423">
        <v>195000</v>
      </c>
    </row>
    <row r="2140" spans="1:5" ht="15" customHeight="1">
      <c r="A2140" s="922" t="e">
        <f t="shared" si="85"/>
        <v>#REF!</v>
      </c>
      <c r="B2140" s="846"/>
      <c r="C2140" s="89">
        <v>176</v>
      </c>
      <c r="D2140" s="153" t="s">
        <v>2268</v>
      </c>
      <c r="E2140" s="241">
        <v>510000</v>
      </c>
    </row>
    <row r="2141" spans="1:5" ht="15" customHeight="1">
      <c r="A2141" s="922" t="e">
        <f t="shared" si="85"/>
        <v>#REF!</v>
      </c>
      <c r="B2141" s="846"/>
      <c r="C2141" s="287" t="s">
        <v>1755</v>
      </c>
      <c r="D2141" s="288" t="s">
        <v>2269</v>
      </c>
      <c r="E2141" s="289">
        <v>510000</v>
      </c>
    </row>
    <row r="2142" spans="1:5" ht="15" customHeight="1">
      <c r="A2142" s="922" t="e">
        <f t="shared" si="85"/>
        <v>#REF!</v>
      </c>
      <c r="B2142" s="846"/>
      <c r="C2142" s="415">
        <v>216</v>
      </c>
      <c r="D2142" s="150" t="s">
        <v>3258</v>
      </c>
      <c r="E2142" s="423">
        <v>635000</v>
      </c>
    </row>
    <row r="2143" spans="1:5" ht="15" customHeight="1">
      <c r="A2143" s="922" t="e">
        <f t="shared" si="85"/>
        <v>#REF!</v>
      </c>
      <c r="B2143" s="851"/>
      <c r="C2143" s="287" t="s">
        <v>1755</v>
      </c>
      <c r="D2143" s="288" t="s">
        <v>3259</v>
      </c>
      <c r="E2143" s="289">
        <v>620000</v>
      </c>
    </row>
    <row r="2144" spans="1:5" ht="15" customHeight="1">
      <c r="A2144" s="923" t="e">
        <f t="shared" si="85"/>
        <v>#REF!</v>
      </c>
      <c r="B2144" s="87" t="s">
        <v>2157</v>
      </c>
      <c r="C2144" s="415">
        <v>118</v>
      </c>
      <c r="D2144" s="150" t="s">
        <v>2270</v>
      </c>
      <c r="E2144" s="423">
        <v>520000</v>
      </c>
    </row>
    <row r="2145" spans="1:5" ht="15" customHeight="1">
      <c r="A2145" s="974" t="s">
        <v>2271</v>
      </c>
      <c r="B2145" s="916" t="s">
        <v>1757</v>
      </c>
      <c r="C2145" s="589">
        <v>118</v>
      </c>
      <c r="D2145" s="654" t="s">
        <v>2262</v>
      </c>
      <c r="E2145" s="655">
        <v>490000</v>
      </c>
    </row>
    <row r="2146" spans="1:5" ht="15" customHeight="1">
      <c r="A2146" s="922" t="str">
        <f t="shared" ref="A2146:A2152" si="86">A2145</f>
        <v>클래식 크래스트
에그쉘
(CCLE)</v>
      </c>
      <c r="B2146" s="846"/>
      <c r="C2146" s="415"/>
      <c r="D2146" s="150" t="s">
        <v>2272</v>
      </c>
      <c r="E2146" s="423">
        <v>485000</v>
      </c>
    </row>
    <row r="2147" spans="1:5" ht="15" customHeight="1">
      <c r="A2147" s="922" t="str">
        <f t="shared" si="86"/>
        <v>클래식 크래스트
에그쉘
(CCLE)</v>
      </c>
      <c r="B2147" s="846"/>
      <c r="C2147" s="415"/>
      <c r="D2147" s="150" t="s">
        <v>4450</v>
      </c>
      <c r="E2147" s="423">
        <v>300000</v>
      </c>
    </row>
    <row r="2148" spans="1:5" ht="15" customHeight="1">
      <c r="A2148" s="922" t="str">
        <f t="shared" si="86"/>
        <v>클래식 크래스트
에그쉘
(CCLE)</v>
      </c>
      <c r="B2148" s="846"/>
      <c r="C2148" s="415"/>
      <c r="D2148" s="150" t="s">
        <v>2265</v>
      </c>
      <c r="E2148" s="423">
        <v>730000</v>
      </c>
    </row>
    <row r="2149" spans="1:5" ht="15" customHeight="1">
      <c r="A2149" s="922" t="str">
        <f t="shared" si="86"/>
        <v>클래식 크래스트
에그쉘
(CCLE)</v>
      </c>
      <c r="B2149" s="846"/>
      <c r="C2149" s="89">
        <v>216</v>
      </c>
      <c r="D2149" s="153" t="s">
        <v>1768</v>
      </c>
      <c r="E2149" s="241">
        <v>920000</v>
      </c>
    </row>
    <row r="2150" spans="1:5" ht="15" customHeight="1">
      <c r="A2150" s="922" t="str">
        <f t="shared" si="86"/>
        <v>클래식 크래스트
에그쉘
(CCLE)</v>
      </c>
      <c r="B2150" s="846"/>
      <c r="C2150" s="415"/>
      <c r="D2150" s="150" t="s">
        <v>2273</v>
      </c>
      <c r="E2150" s="423">
        <v>910000</v>
      </c>
    </row>
    <row r="2151" spans="1:5" ht="15" customHeight="1">
      <c r="A2151" s="922" t="str">
        <f t="shared" si="86"/>
        <v>클래식 크래스트
에그쉘
(CCLE)</v>
      </c>
      <c r="B2151" s="846"/>
      <c r="C2151" s="415"/>
      <c r="D2151" s="150" t="s">
        <v>2008</v>
      </c>
      <c r="E2151" s="423">
        <v>1020000</v>
      </c>
    </row>
    <row r="2152" spans="1:5" ht="15" customHeight="1">
      <c r="A2152" s="922" t="str">
        <f t="shared" si="86"/>
        <v>클래식 크래스트
에그쉘
(CCLE)</v>
      </c>
      <c r="B2152" s="846"/>
      <c r="C2152" s="415"/>
      <c r="D2152" s="150" t="s">
        <v>1769</v>
      </c>
      <c r="E2152" s="423">
        <v>1100000</v>
      </c>
    </row>
    <row r="2153" spans="1:5" ht="15" customHeight="1">
      <c r="A2153" s="922"/>
      <c r="B2153" s="846"/>
      <c r="C2153" s="415"/>
      <c r="D2153" s="150" t="s">
        <v>2009</v>
      </c>
      <c r="E2153" s="423">
        <v>1125000</v>
      </c>
    </row>
    <row r="2154" spans="1:5" ht="15" customHeight="1">
      <c r="A2154" s="922" t="str">
        <f>A2152</f>
        <v>클래식 크래스트
에그쉘
(CCLE)</v>
      </c>
      <c r="B2154" s="846"/>
      <c r="C2154" s="415"/>
      <c r="D2154" s="150" t="s">
        <v>3260</v>
      </c>
      <c r="E2154" s="423">
        <v>1360000</v>
      </c>
    </row>
    <row r="2155" spans="1:5" ht="15" customHeight="1">
      <c r="A2155" s="922" t="str">
        <f>A2154</f>
        <v>클래식 크래스트
에그쉘
(CCLE)</v>
      </c>
      <c r="B2155" s="846"/>
      <c r="C2155" s="287"/>
      <c r="D2155" s="288" t="s">
        <v>3261</v>
      </c>
      <c r="E2155" s="289">
        <v>1275000</v>
      </c>
    </row>
    <row r="2156" spans="1:5" ht="15" customHeight="1">
      <c r="A2156" s="922" t="str">
        <f>A2155</f>
        <v>클래식 크래스트
에그쉘
(CCLE)</v>
      </c>
      <c r="B2156" s="846"/>
      <c r="C2156" s="415">
        <v>270</v>
      </c>
      <c r="D2156" s="150" t="s">
        <v>2027</v>
      </c>
      <c r="E2156" s="423">
        <v>1185000</v>
      </c>
    </row>
    <row r="2157" spans="1:5" ht="15" customHeight="1">
      <c r="A2157" s="922"/>
      <c r="B2157" s="846"/>
      <c r="C2157" s="415"/>
      <c r="D2157" s="150" t="s">
        <v>1912</v>
      </c>
      <c r="E2157" s="423">
        <v>1175000</v>
      </c>
    </row>
    <row r="2158" spans="1:5" ht="15" customHeight="1">
      <c r="A2158" s="922" t="e">
        <f>#REF!</f>
        <v>#REF!</v>
      </c>
      <c r="B2158" s="846"/>
      <c r="C2158" s="415"/>
      <c r="D2158" s="150" t="s">
        <v>2274</v>
      </c>
      <c r="E2158" s="423">
        <v>1135000</v>
      </c>
    </row>
    <row r="2159" spans="1:5" ht="15" customHeight="1">
      <c r="A2159" s="922"/>
      <c r="B2159" s="846"/>
      <c r="C2159" s="415"/>
      <c r="D2159" s="150" t="s">
        <v>1976</v>
      </c>
      <c r="E2159" s="423">
        <v>1270000</v>
      </c>
    </row>
    <row r="2160" spans="1:5" ht="15" customHeight="1">
      <c r="A2160" s="922"/>
      <c r="B2160" s="846"/>
      <c r="C2160" s="415"/>
      <c r="D2160" s="150" t="s">
        <v>2275</v>
      </c>
      <c r="E2160" s="423">
        <v>1400000</v>
      </c>
    </row>
    <row r="2161" spans="1:5" ht="15" customHeight="1">
      <c r="A2161" s="922" t="e">
        <f>A2158</f>
        <v>#REF!</v>
      </c>
      <c r="B2161" s="846"/>
      <c r="C2161" s="415"/>
      <c r="D2161" s="150" t="s">
        <v>3262</v>
      </c>
      <c r="E2161" s="423">
        <v>1740000</v>
      </c>
    </row>
    <row r="2162" spans="1:5" ht="15" customHeight="1">
      <c r="A2162" s="922" t="e">
        <f>A2161</f>
        <v>#REF!</v>
      </c>
      <c r="B2162" s="846"/>
      <c r="C2162" s="287"/>
      <c r="D2162" s="288" t="s">
        <v>3263</v>
      </c>
      <c r="E2162" s="289">
        <v>1635000</v>
      </c>
    </row>
    <row r="2163" spans="1:5" ht="15" customHeight="1">
      <c r="A2163" s="922" t="e">
        <f>A2162</f>
        <v>#REF!</v>
      </c>
      <c r="B2163" s="846"/>
      <c r="C2163" s="415">
        <v>352</v>
      </c>
      <c r="D2163" s="150" t="s">
        <v>1815</v>
      </c>
      <c r="E2163" s="423">
        <v>1610000</v>
      </c>
    </row>
    <row r="2164" spans="1:5" ht="15" customHeight="1">
      <c r="A2164" s="922" t="e">
        <f>A2163</f>
        <v>#REF!</v>
      </c>
      <c r="B2164" s="846"/>
      <c r="C2164" s="415"/>
      <c r="D2164" s="150" t="s">
        <v>2276</v>
      </c>
      <c r="E2164" s="423">
        <v>1600000</v>
      </c>
    </row>
    <row r="2165" spans="1:5" ht="15" customHeight="1">
      <c r="A2165" s="922"/>
      <c r="B2165" s="846"/>
      <c r="C2165" s="415"/>
      <c r="D2165" s="150" t="s">
        <v>2277</v>
      </c>
      <c r="E2165" s="423">
        <v>1950000</v>
      </c>
    </row>
    <row r="2166" spans="1:5" ht="15" customHeight="1">
      <c r="A2166" s="922" t="e">
        <f>A2164</f>
        <v>#REF!</v>
      </c>
      <c r="B2166" s="846"/>
      <c r="C2166" s="415"/>
      <c r="D2166" s="150" t="s">
        <v>2278</v>
      </c>
      <c r="E2166" s="423">
        <v>2340000</v>
      </c>
    </row>
    <row r="2167" spans="1:5" ht="15" customHeight="1">
      <c r="A2167" s="923" t="e">
        <f>A2166</f>
        <v>#REF!</v>
      </c>
      <c r="B2167" s="847"/>
      <c r="C2167" s="171"/>
      <c r="D2167" s="237" t="s">
        <v>3264</v>
      </c>
      <c r="E2167" s="238">
        <v>2215000</v>
      </c>
    </row>
    <row r="2168" spans="1:5" ht="15" customHeight="1">
      <c r="A2168" s="922" t="s">
        <v>3265</v>
      </c>
      <c r="B2168" s="916" t="s">
        <v>1752</v>
      </c>
      <c r="C2168" s="415">
        <v>176</v>
      </c>
      <c r="D2168" s="656" t="s">
        <v>3266</v>
      </c>
      <c r="E2168" s="289">
        <v>745000</v>
      </c>
    </row>
    <row r="2169" spans="1:5" ht="15" customHeight="1">
      <c r="A2169" s="922" t="str">
        <f>A2168</f>
        <v xml:space="preserve">클래식 린넨 커버
(LC)
 </v>
      </c>
      <c r="B2169" s="846"/>
      <c r="C2169" s="89">
        <v>216</v>
      </c>
      <c r="D2169" s="657">
        <v>201</v>
      </c>
      <c r="E2169" s="423">
        <v>990000</v>
      </c>
    </row>
    <row r="2170" spans="1:5" ht="15" customHeight="1">
      <c r="A2170" s="922"/>
      <c r="B2170" s="846"/>
      <c r="C2170" s="415"/>
      <c r="D2170" s="656">
        <v>205</v>
      </c>
      <c r="E2170" s="423">
        <v>920000</v>
      </c>
    </row>
    <row r="2171" spans="1:5" ht="15" customHeight="1">
      <c r="A2171" s="922"/>
      <c r="B2171" s="846"/>
      <c r="C2171" s="415"/>
      <c r="D2171" s="656">
        <v>207</v>
      </c>
      <c r="E2171" s="423">
        <v>910000</v>
      </c>
    </row>
    <row r="2172" spans="1:5" ht="15" customHeight="1">
      <c r="A2172" s="922"/>
      <c r="B2172" s="846"/>
      <c r="C2172" s="415"/>
      <c r="D2172" s="656">
        <v>208</v>
      </c>
      <c r="E2172" s="423">
        <v>915000</v>
      </c>
    </row>
    <row r="2173" spans="1:5" ht="15" customHeight="1">
      <c r="A2173" s="922" t="e">
        <f>#REF!</f>
        <v>#REF!</v>
      </c>
      <c r="B2173" s="846"/>
      <c r="C2173" s="415"/>
      <c r="D2173" s="656" t="s">
        <v>3267</v>
      </c>
      <c r="E2173" s="423">
        <v>910000</v>
      </c>
    </row>
    <row r="2174" spans="1:5" ht="15" customHeight="1">
      <c r="A2174" s="922" t="e">
        <f>A2173</f>
        <v>#REF!</v>
      </c>
      <c r="B2174" s="846"/>
      <c r="C2174" s="415"/>
      <c r="D2174" s="658" t="s">
        <v>4451</v>
      </c>
      <c r="E2174" s="424">
        <v>660000</v>
      </c>
    </row>
    <row r="2175" spans="1:5" ht="15" customHeight="1">
      <c r="A2175" s="922" t="e">
        <f>#REF!</f>
        <v>#REF!</v>
      </c>
      <c r="B2175" s="846"/>
      <c r="C2175" s="415"/>
      <c r="D2175" s="656" t="s">
        <v>4452</v>
      </c>
      <c r="E2175" s="423">
        <v>625000</v>
      </c>
    </row>
    <row r="2176" spans="1:5" ht="15" customHeight="1">
      <c r="A2176" s="922" t="e">
        <f>A2175</f>
        <v>#REF!</v>
      </c>
      <c r="B2176" s="846"/>
      <c r="C2176" s="415"/>
      <c r="D2176" s="656">
        <v>219</v>
      </c>
      <c r="E2176" s="423">
        <v>1045000</v>
      </c>
    </row>
    <row r="2177" spans="1:5" ht="15" customHeight="1">
      <c r="A2177" s="922" t="e">
        <f>A2176</f>
        <v>#REF!</v>
      </c>
      <c r="B2177" s="846"/>
      <c r="C2177" s="415"/>
      <c r="D2177" s="658" t="s">
        <v>4453</v>
      </c>
      <c r="E2177" s="424">
        <v>725000</v>
      </c>
    </row>
    <row r="2178" spans="1:5" ht="15" customHeight="1">
      <c r="A2178" s="922"/>
      <c r="B2178" s="846"/>
      <c r="C2178" s="415"/>
      <c r="D2178" s="659">
        <v>220</v>
      </c>
      <c r="E2178" s="423">
        <v>1175000</v>
      </c>
    </row>
    <row r="2179" spans="1:5" ht="15" customHeight="1">
      <c r="A2179" s="922" t="e">
        <f>A2177</f>
        <v>#REF!</v>
      </c>
      <c r="B2179" s="846"/>
      <c r="C2179" s="415"/>
      <c r="D2179" s="659" t="s">
        <v>2279</v>
      </c>
      <c r="E2179" s="423">
        <v>1265000</v>
      </c>
    </row>
    <row r="2180" spans="1:5" ht="15" customHeight="1">
      <c r="A2180" s="922" t="e">
        <f t="shared" ref="A2180:A2191" si="87">A2179</f>
        <v>#REF!</v>
      </c>
      <c r="B2180" s="851"/>
      <c r="C2180" s="287"/>
      <c r="D2180" s="660">
        <v>227</v>
      </c>
      <c r="E2180" s="289">
        <v>1000000</v>
      </c>
    </row>
    <row r="2181" spans="1:5" ht="15" customHeight="1">
      <c r="A2181" s="922" t="e">
        <f t="shared" si="87"/>
        <v>#REF!</v>
      </c>
      <c r="B2181" s="194" t="s">
        <v>1752</v>
      </c>
      <c r="C2181" s="89">
        <v>227</v>
      </c>
      <c r="D2181" s="657" t="s">
        <v>4454</v>
      </c>
      <c r="E2181" s="241">
        <v>1420000</v>
      </c>
    </row>
    <row r="2182" spans="1:5" ht="15" customHeight="1">
      <c r="A2182" s="922" t="e">
        <f t="shared" si="87"/>
        <v>#REF!</v>
      </c>
      <c r="B2182" s="325" t="s">
        <v>4455</v>
      </c>
      <c r="C2182" s="287"/>
      <c r="D2182" s="656" t="s">
        <v>4456</v>
      </c>
      <c r="E2182" s="289">
        <v>1490000</v>
      </c>
    </row>
    <row r="2183" spans="1:5" ht="15" customHeight="1">
      <c r="A2183" s="922" t="e">
        <f t="shared" si="87"/>
        <v>#REF!</v>
      </c>
      <c r="B2183" s="87" t="s">
        <v>1752</v>
      </c>
      <c r="C2183" s="89">
        <v>227</v>
      </c>
      <c r="D2183" s="657" t="s">
        <v>4457</v>
      </c>
      <c r="E2183" s="241">
        <v>1790000</v>
      </c>
    </row>
    <row r="2184" spans="1:5" ht="15" customHeight="1">
      <c r="A2184" s="922" t="e">
        <f t="shared" si="87"/>
        <v>#REF!</v>
      </c>
      <c r="B2184" s="87" t="s">
        <v>4458</v>
      </c>
      <c r="C2184" s="287"/>
      <c r="D2184" s="656" t="s">
        <v>4459</v>
      </c>
      <c r="E2184" s="289">
        <v>1880000</v>
      </c>
    </row>
    <row r="2185" spans="1:5" ht="15" customHeight="1">
      <c r="A2185" s="922" t="e">
        <f t="shared" si="87"/>
        <v>#REF!</v>
      </c>
      <c r="B2185" s="848" t="s">
        <v>1757</v>
      </c>
      <c r="C2185" s="89">
        <v>238</v>
      </c>
      <c r="D2185" s="657" t="s">
        <v>2280</v>
      </c>
      <c r="E2185" s="241">
        <v>1000000</v>
      </c>
    </row>
    <row r="2186" spans="1:5" ht="15" customHeight="1">
      <c r="A2186" s="922" t="e">
        <f t="shared" si="87"/>
        <v>#REF!</v>
      </c>
      <c r="B2186" s="846"/>
      <c r="C2186" s="415" t="s">
        <v>1755</v>
      </c>
      <c r="D2186" s="656" t="s">
        <v>2281</v>
      </c>
      <c r="E2186" s="423">
        <v>1000000</v>
      </c>
    </row>
    <row r="2187" spans="1:5" ht="15" customHeight="1">
      <c r="A2187" s="922" t="e">
        <f t="shared" si="87"/>
        <v>#REF!</v>
      </c>
      <c r="B2187" s="846"/>
      <c r="C2187" s="90">
        <v>270</v>
      </c>
      <c r="D2187" s="661" t="s">
        <v>2282</v>
      </c>
      <c r="E2187" s="244">
        <v>1150000</v>
      </c>
    </row>
    <row r="2188" spans="1:5" ht="15" customHeight="1">
      <c r="A2188" s="922" t="e">
        <f t="shared" si="87"/>
        <v>#REF!</v>
      </c>
      <c r="B2188" s="852"/>
      <c r="C2188" s="415">
        <v>352</v>
      </c>
      <c r="D2188" s="656" t="s">
        <v>2283</v>
      </c>
      <c r="E2188" s="423">
        <v>1550000</v>
      </c>
    </row>
    <row r="2189" spans="1:5" ht="15" customHeight="1">
      <c r="A2189" s="922" t="e">
        <f t="shared" si="87"/>
        <v>#REF!</v>
      </c>
      <c r="B2189" s="248" t="s">
        <v>1754</v>
      </c>
      <c r="C2189" s="91">
        <v>216</v>
      </c>
      <c r="D2189" s="662" t="s">
        <v>3268</v>
      </c>
      <c r="E2189" s="283">
        <v>635000</v>
      </c>
    </row>
    <row r="2190" spans="1:5" ht="15" customHeight="1">
      <c r="A2190" s="922" t="e">
        <f t="shared" si="87"/>
        <v>#REF!</v>
      </c>
      <c r="B2190" s="430" t="s">
        <v>1788</v>
      </c>
      <c r="C2190" s="415">
        <v>216</v>
      </c>
      <c r="D2190" s="656" t="s">
        <v>2284</v>
      </c>
      <c r="E2190" s="423">
        <v>635000</v>
      </c>
    </row>
    <row r="2191" spans="1:5" ht="15" customHeight="1">
      <c r="A2191" s="922" t="e">
        <f t="shared" si="87"/>
        <v>#REF!</v>
      </c>
      <c r="B2191" s="188" t="s">
        <v>4460</v>
      </c>
      <c r="C2191" s="90">
        <v>216</v>
      </c>
      <c r="D2191" s="663" t="s">
        <v>4461</v>
      </c>
      <c r="E2191" s="274">
        <v>390000</v>
      </c>
    </row>
    <row r="2192" spans="1:5" ht="15" customHeight="1">
      <c r="A2192" s="922"/>
      <c r="B2192" s="848" t="s">
        <v>2285</v>
      </c>
      <c r="C2192" s="415">
        <v>216</v>
      </c>
      <c r="D2192" s="485" t="s">
        <v>2286</v>
      </c>
      <c r="E2192" s="366">
        <v>795000</v>
      </c>
    </row>
    <row r="2193" spans="1:5" ht="15" customHeight="1">
      <c r="A2193" s="922" t="e">
        <f>A2191</f>
        <v>#REF!</v>
      </c>
      <c r="B2193" s="851"/>
      <c r="C2193" s="415" t="s">
        <v>1755</v>
      </c>
      <c r="D2193" s="656" t="s">
        <v>3269</v>
      </c>
      <c r="E2193" s="289">
        <v>860000</v>
      </c>
    </row>
    <row r="2194" spans="1:5" ht="15" customHeight="1">
      <c r="A2194" s="922"/>
      <c r="B2194" s="188" t="s">
        <v>2260</v>
      </c>
      <c r="C2194" s="90">
        <v>216</v>
      </c>
      <c r="D2194" s="661" t="s">
        <v>3270</v>
      </c>
      <c r="E2194" s="244">
        <v>915000</v>
      </c>
    </row>
    <row r="2195" spans="1:5" ht="15" customHeight="1">
      <c r="A2195" s="922" t="e">
        <f>A2193</f>
        <v>#REF!</v>
      </c>
      <c r="B2195" s="194" t="s">
        <v>1922</v>
      </c>
      <c r="C2195" s="89">
        <v>227</v>
      </c>
      <c r="D2195" s="664" t="s">
        <v>4462</v>
      </c>
      <c r="E2195" s="424">
        <v>1015000</v>
      </c>
    </row>
    <row r="2196" spans="1:5" ht="15" customHeight="1">
      <c r="A2196" s="922" t="e">
        <f t="shared" ref="A2196:A2200" si="88">A2195</f>
        <v>#REF!</v>
      </c>
      <c r="B2196" s="325" t="s">
        <v>4455</v>
      </c>
      <c r="C2196" s="287"/>
      <c r="D2196" s="658" t="s">
        <v>4463</v>
      </c>
      <c r="E2196" s="341">
        <v>1035000</v>
      </c>
    </row>
    <row r="2197" spans="1:5" ht="15" customHeight="1">
      <c r="A2197" s="922" t="e">
        <f t="shared" si="88"/>
        <v>#REF!</v>
      </c>
      <c r="B2197" s="194" t="s">
        <v>1922</v>
      </c>
      <c r="C2197" s="89">
        <v>227</v>
      </c>
      <c r="D2197" s="664" t="s">
        <v>4464</v>
      </c>
      <c r="E2197" s="424">
        <v>1300000</v>
      </c>
    </row>
    <row r="2198" spans="1:5" ht="15" customHeight="1">
      <c r="A2198" s="922" t="e">
        <f t="shared" si="88"/>
        <v>#REF!</v>
      </c>
      <c r="B2198" s="87" t="s">
        <v>4458</v>
      </c>
      <c r="C2198" s="287"/>
      <c r="D2198" s="658" t="s">
        <v>1755</v>
      </c>
      <c r="E2198" s="341" t="s">
        <v>1755</v>
      </c>
    </row>
    <row r="2199" spans="1:5" ht="15" customHeight="1">
      <c r="A2199" s="922" t="e">
        <f t="shared" si="88"/>
        <v>#REF!</v>
      </c>
      <c r="B2199" s="194" t="s">
        <v>1754</v>
      </c>
      <c r="C2199" s="90">
        <v>270</v>
      </c>
      <c r="D2199" s="661" t="s">
        <v>2287</v>
      </c>
      <c r="E2199" s="244">
        <v>800000</v>
      </c>
    </row>
    <row r="2200" spans="1:5" ht="15" customHeight="1">
      <c r="A2200" s="923" t="e">
        <f t="shared" si="88"/>
        <v>#REF!</v>
      </c>
      <c r="B2200" s="170"/>
      <c r="C2200" s="171">
        <v>352</v>
      </c>
      <c r="D2200" s="665" t="s">
        <v>2288</v>
      </c>
      <c r="E2200" s="238">
        <v>1075000</v>
      </c>
    </row>
    <row r="2201" spans="1:5" ht="15" customHeight="1">
      <c r="A2201" s="974" t="s">
        <v>2289</v>
      </c>
      <c r="B2201" s="916" t="s">
        <v>1757</v>
      </c>
      <c r="C2201" s="589">
        <v>118</v>
      </c>
      <c r="D2201" s="666">
        <v>10</v>
      </c>
      <c r="E2201" s="655">
        <v>490000</v>
      </c>
    </row>
    <row r="2202" spans="1:5" ht="15" customHeight="1">
      <c r="A2202" s="922" t="str">
        <f>A2201</f>
        <v>클래식 린넨 텍스트
(LT)</v>
      </c>
      <c r="B2202" s="846"/>
      <c r="C2202" s="415"/>
      <c r="D2202" s="150">
        <v>22</v>
      </c>
      <c r="E2202" s="423">
        <v>495000</v>
      </c>
    </row>
    <row r="2203" spans="1:5" ht="15" customHeight="1">
      <c r="A2203" s="922" t="str">
        <f>A2202</f>
        <v>클래식 린넨 텍스트
(LT)</v>
      </c>
      <c r="B2203" s="846"/>
      <c r="C2203" s="415"/>
      <c r="D2203" s="257" t="s">
        <v>4465</v>
      </c>
      <c r="E2203" s="424">
        <v>335000</v>
      </c>
    </row>
    <row r="2204" spans="1:5" ht="15" customHeight="1">
      <c r="A2204" s="922" t="str">
        <f>A2203</f>
        <v>클래식 린넨 텍스트
(LT)</v>
      </c>
      <c r="B2204" s="851"/>
      <c r="C2204" s="287"/>
      <c r="D2204" s="257" t="s">
        <v>4466</v>
      </c>
      <c r="E2204" s="424">
        <v>350000</v>
      </c>
    </row>
    <row r="2205" spans="1:5" ht="15" customHeight="1">
      <c r="A2205" s="923" t="str">
        <f>A2204</f>
        <v>클래식 린넨 텍스트
(LT)</v>
      </c>
      <c r="B2205" s="667" t="s">
        <v>4467</v>
      </c>
      <c r="C2205" s="196">
        <v>118</v>
      </c>
      <c r="D2205" s="384" t="s">
        <v>4468</v>
      </c>
      <c r="E2205" s="385">
        <v>165000</v>
      </c>
    </row>
    <row r="2206" spans="1:5" ht="15" customHeight="1">
      <c r="A2206" s="974" t="s">
        <v>2290</v>
      </c>
      <c r="B2206" s="916" t="s">
        <v>2245</v>
      </c>
      <c r="C2206" s="589">
        <v>118</v>
      </c>
      <c r="D2206" s="654" t="s">
        <v>2291</v>
      </c>
      <c r="E2206" s="655">
        <v>550000</v>
      </c>
    </row>
    <row r="2207" spans="1:5" ht="15" customHeight="1">
      <c r="A2207" s="922" t="str">
        <f t="shared" ref="A2207:A2217" si="89">A2206</f>
        <v xml:space="preserve">클래식 스티플
(CCLS) </v>
      </c>
      <c r="B2207" s="846"/>
      <c r="C2207" s="415"/>
      <c r="D2207" s="150" t="s">
        <v>2292</v>
      </c>
      <c r="E2207" s="423">
        <v>550000</v>
      </c>
    </row>
    <row r="2208" spans="1:5" ht="15" customHeight="1">
      <c r="A2208" s="922"/>
      <c r="B2208" s="846"/>
      <c r="C2208" s="415"/>
      <c r="D2208" s="150" t="s">
        <v>4469</v>
      </c>
      <c r="E2208" s="423">
        <v>500000</v>
      </c>
    </row>
    <row r="2209" spans="1:5" ht="15" customHeight="1">
      <c r="A2209" s="922"/>
      <c r="B2209" s="846"/>
      <c r="C2209" s="415"/>
      <c r="D2209" s="150" t="s">
        <v>2297</v>
      </c>
      <c r="E2209" s="423">
        <v>700000</v>
      </c>
    </row>
    <row r="2210" spans="1:5" ht="15" customHeight="1">
      <c r="A2210" s="922" t="str">
        <f>A2207</f>
        <v xml:space="preserve">클래식 스티플
(CCLS) </v>
      </c>
      <c r="B2210" s="846"/>
      <c r="C2210" s="415"/>
      <c r="D2210" s="150" t="s">
        <v>4470</v>
      </c>
      <c r="E2210" s="423">
        <v>600000</v>
      </c>
    </row>
    <row r="2211" spans="1:5" ht="15" customHeight="1">
      <c r="A2211" s="922" t="str">
        <f t="shared" si="89"/>
        <v xml:space="preserve">클래식 스티플
(CCLS) </v>
      </c>
      <c r="B2211" s="846"/>
      <c r="C2211" s="415"/>
      <c r="D2211" s="150" t="s">
        <v>2293</v>
      </c>
      <c r="E2211" s="423">
        <v>550000</v>
      </c>
    </row>
    <row r="2212" spans="1:5" ht="15" customHeight="1">
      <c r="A2212" s="922"/>
      <c r="B2212" s="846"/>
      <c r="C2212" s="415"/>
      <c r="D2212" s="150" t="s">
        <v>4471</v>
      </c>
      <c r="E2212" s="423">
        <v>500000</v>
      </c>
    </row>
    <row r="2213" spans="1:5" ht="15" customHeight="1">
      <c r="A2213" s="922" t="str">
        <f>A2211</f>
        <v xml:space="preserve">클래식 스티플
(CCLS) </v>
      </c>
      <c r="B2213" s="846"/>
      <c r="C2213" s="415"/>
      <c r="D2213" s="150" t="s">
        <v>2294</v>
      </c>
      <c r="E2213" s="423">
        <v>550000</v>
      </c>
    </row>
    <row r="2214" spans="1:5" ht="15" customHeight="1">
      <c r="A2214" s="922" t="str">
        <f t="shared" si="89"/>
        <v xml:space="preserve">클래식 스티플
(CCLS) </v>
      </c>
      <c r="B2214" s="846"/>
      <c r="C2214" s="415"/>
      <c r="D2214" s="150" t="s">
        <v>2295</v>
      </c>
      <c r="E2214" s="423">
        <v>750000</v>
      </c>
    </row>
    <row r="2215" spans="1:5" ht="15" customHeight="1">
      <c r="A2215" s="922" t="str">
        <f t="shared" si="89"/>
        <v xml:space="preserve">클래식 스티플
(CCLS) </v>
      </c>
      <c r="B2215" s="846"/>
      <c r="C2215" s="415"/>
      <c r="D2215" s="150" t="s">
        <v>2296</v>
      </c>
      <c r="E2215" s="423">
        <v>620000</v>
      </c>
    </row>
    <row r="2216" spans="1:5" ht="15" customHeight="1">
      <c r="A2216" s="922" t="str">
        <f t="shared" si="89"/>
        <v xml:space="preserve">클래식 스티플
(CCLS) </v>
      </c>
      <c r="B2216" s="846"/>
      <c r="C2216" s="415"/>
      <c r="D2216" s="150" t="s">
        <v>4472</v>
      </c>
      <c r="E2216" s="423">
        <v>390000</v>
      </c>
    </row>
    <row r="2217" spans="1:5" ht="15" customHeight="1">
      <c r="A2217" s="922" t="str">
        <f t="shared" si="89"/>
        <v xml:space="preserve">클래식 스티플
(CCLS) </v>
      </c>
      <c r="B2217" s="846"/>
      <c r="C2217" s="415"/>
      <c r="D2217" s="150" t="s">
        <v>4473</v>
      </c>
      <c r="E2217" s="423">
        <v>465000</v>
      </c>
    </row>
    <row r="2218" spans="1:5" ht="15" customHeight="1">
      <c r="A2218" s="922"/>
      <c r="B2218" s="846"/>
      <c r="C2218" s="415"/>
      <c r="D2218" s="150" t="s">
        <v>4474</v>
      </c>
      <c r="E2218" s="289">
        <v>485000</v>
      </c>
    </row>
    <row r="2219" spans="1:5" ht="15" customHeight="1">
      <c r="A2219" s="922" t="e">
        <f>#REF!</f>
        <v>#REF!</v>
      </c>
      <c r="B2219" s="846"/>
      <c r="C2219" s="89">
        <v>216</v>
      </c>
      <c r="D2219" s="153" t="s">
        <v>2298</v>
      </c>
      <c r="E2219" s="423">
        <v>1035000</v>
      </c>
    </row>
    <row r="2220" spans="1:5" ht="15" customHeight="1">
      <c r="A2220" s="922" t="e">
        <f t="shared" ref="A2220:A2236" si="90">A2219</f>
        <v>#REF!</v>
      </c>
      <c r="B2220" s="846"/>
      <c r="C2220" s="415"/>
      <c r="D2220" s="150" t="s">
        <v>2299</v>
      </c>
      <c r="E2220" s="423">
        <v>1025000</v>
      </c>
    </row>
    <row r="2221" spans="1:5" ht="15" customHeight="1">
      <c r="A2221" s="922" t="e">
        <f t="shared" si="90"/>
        <v>#REF!</v>
      </c>
      <c r="B2221" s="846"/>
      <c r="C2221" s="415"/>
      <c r="D2221" s="150" t="s">
        <v>2300</v>
      </c>
      <c r="E2221" s="423">
        <v>1035000</v>
      </c>
    </row>
    <row r="2222" spans="1:5" ht="15" customHeight="1">
      <c r="A2222" s="922" t="e">
        <f t="shared" si="90"/>
        <v>#REF!</v>
      </c>
      <c r="B2222" s="846"/>
      <c r="C2222" s="415"/>
      <c r="D2222" s="150" t="s">
        <v>3271</v>
      </c>
      <c r="E2222" s="423">
        <v>1400000</v>
      </c>
    </row>
    <row r="2223" spans="1:5" ht="15" customHeight="1">
      <c r="A2223" s="922" t="e">
        <f t="shared" si="90"/>
        <v>#REF!</v>
      </c>
      <c r="B2223" s="846"/>
      <c r="C2223" s="415"/>
      <c r="D2223" s="150" t="s">
        <v>2301</v>
      </c>
      <c r="E2223" s="423">
        <v>1155000</v>
      </c>
    </row>
    <row r="2224" spans="1:5" ht="15" customHeight="1">
      <c r="A2224" s="922" t="e">
        <f t="shared" si="90"/>
        <v>#REF!</v>
      </c>
      <c r="B2224" s="846"/>
      <c r="C2224" s="415"/>
      <c r="D2224" s="150" t="s">
        <v>3272</v>
      </c>
      <c r="E2224" s="423">
        <v>1310000</v>
      </c>
    </row>
    <row r="2225" spans="1:5" ht="15" customHeight="1">
      <c r="A2225" s="922"/>
      <c r="B2225" s="846"/>
      <c r="C2225" s="415"/>
      <c r="D2225" s="419" t="s">
        <v>4475</v>
      </c>
      <c r="E2225" s="423">
        <v>1200000</v>
      </c>
    </row>
    <row r="2226" spans="1:5" ht="15" customHeight="1">
      <c r="A2226" s="922" t="e">
        <f>A2224</f>
        <v>#REF!</v>
      </c>
      <c r="B2226" s="846"/>
      <c r="C2226" s="415"/>
      <c r="D2226" s="419" t="s">
        <v>4476</v>
      </c>
      <c r="E2226" s="423">
        <v>1085000</v>
      </c>
    </row>
    <row r="2227" spans="1:5" ht="15" customHeight="1">
      <c r="A2227" s="922" t="e">
        <f t="shared" si="90"/>
        <v>#REF!</v>
      </c>
      <c r="B2227" s="846"/>
      <c r="C2227" s="415"/>
      <c r="D2227" s="419" t="s">
        <v>4477</v>
      </c>
      <c r="E2227" s="423">
        <v>1010000</v>
      </c>
    </row>
    <row r="2228" spans="1:5" ht="15" customHeight="1">
      <c r="A2228" s="922" t="e">
        <f t="shared" si="90"/>
        <v>#REF!</v>
      </c>
      <c r="B2228" s="846"/>
      <c r="C2228" s="415"/>
      <c r="D2228" s="419" t="s">
        <v>4478</v>
      </c>
      <c r="E2228" s="423">
        <v>830000</v>
      </c>
    </row>
    <row r="2229" spans="1:5" ht="15" customHeight="1">
      <c r="A2229" s="922" t="e">
        <f t="shared" si="90"/>
        <v>#REF!</v>
      </c>
      <c r="B2229" s="846"/>
      <c r="C2229" s="287"/>
      <c r="D2229" s="311" t="s">
        <v>4479</v>
      </c>
      <c r="E2229" s="289">
        <v>650000</v>
      </c>
    </row>
    <row r="2230" spans="1:5" ht="15" customHeight="1">
      <c r="A2230" s="922" t="e">
        <f t="shared" si="90"/>
        <v>#REF!</v>
      </c>
      <c r="B2230" s="846"/>
      <c r="C2230" s="89">
        <v>270</v>
      </c>
      <c r="D2230" s="153" t="s">
        <v>2302</v>
      </c>
      <c r="E2230" s="241">
        <v>1320000</v>
      </c>
    </row>
    <row r="2231" spans="1:5" ht="15" customHeight="1">
      <c r="A2231" s="922" t="e">
        <f t="shared" si="90"/>
        <v>#REF!</v>
      </c>
      <c r="B2231" s="846"/>
      <c r="C2231" s="415"/>
      <c r="D2231" s="419" t="s">
        <v>4480</v>
      </c>
      <c r="E2231" s="423">
        <v>1150000</v>
      </c>
    </row>
    <row r="2232" spans="1:5" ht="15" customHeight="1">
      <c r="A2232" s="922"/>
      <c r="B2232" s="846"/>
      <c r="C2232" s="415"/>
      <c r="D2232" s="150" t="s">
        <v>1894</v>
      </c>
      <c r="E2232" s="423">
        <v>1800000</v>
      </c>
    </row>
    <row r="2233" spans="1:5" ht="15" customHeight="1">
      <c r="A2233" s="922"/>
      <c r="B2233" s="846"/>
      <c r="C2233" s="415"/>
      <c r="D2233" s="150" t="s">
        <v>4481</v>
      </c>
      <c r="E2233" s="423">
        <v>1170000</v>
      </c>
    </row>
    <row r="2234" spans="1:5" ht="15" customHeight="1">
      <c r="A2234" s="922" t="e">
        <f>A2231</f>
        <v>#REF!</v>
      </c>
      <c r="B2234" s="846"/>
      <c r="C2234" s="415"/>
      <c r="D2234" s="150" t="s">
        <v>2303</v>
      </c>
      <c r="E2234" s="423">
        <v>1265000</v>
      </c>
    </row>
    <row r="2235" spans="1:5" ht="15" customHeight="1">
      <c r="A2235" s="922" t="e">
        <f t="shared" si="90"/>
        <v>#REF!</v>
      </c>
      <c r="B2235" s="846"/>
      <c r="C2235" s="415"/>
      <c r="D2235" s="150" t="s">
        <v>4482</v>
      </c>
      <c r="E2235" s="423">
        <v>1130000</v>
      </c>
    </row>
    <row r="2236" spans="1:5" ht="15" customHeight="1">
      <c r="A2236" s="922" t="e">
        <f t="shared" si="90"/>
        <v>#REF!</v>
      </c>
      <c r="B2236" s="846"/>
      <c r="C2236" s="415"/>
      <c r="D2236" s="150" t="s">
        <v>4483</v>
      </c>
      <c r="E2236" s="423">
        <v>965000</v>
      </c>
    </row>
    <row r="2237" spans="1:5" ht="15" customHeight="1">
      <c r="A2237" s="922" t="e">
        <f>#REF!</f>
        <v>#REF!</v>
      </c>
      <c r="B2237" s="846"/>
      <c r="C2237" s="287"/>
      <c r="D2237" s="288" t="s">
        <v>3273</v>
      </c>
      <c r="E2237" s="289">
        <v>1665000</v>
      </c>
    </row>
    <row r="2238" spans="1:5" ht="15" customHeight="1">
      <c r="A2238" s="922" t="e">
        <f t="shared" ref="A2238:A2243" si="91">A2237</f>
        <v>#REF!</v>
      </c>
      <c r="B2238" s="846"/>
      <c r="C2238" s="415">
        <v>352</v>
      </c>
      <c r="D2238" s="150" t="s">
        <v>2304</v>
      </c>
      <c r="E2238" s="423">
        <v>1800000</v>
      </c>
    </row>
    <row r="2239" spans="1:5" ht="15" customHeight="1">
      <c r="A2239" s="922" t="e">
        <f t="shared" si="91"/>
        <v>#REF!</v>
      </c>
      <c r="B2239" s="851"/>
      <c r="C2239" s="415"/>
      <c r="D2239" s="150" t="s">
        <v>2305</v>
      </c>
      <c r="E2239" s="423">
        <v>2420000</v>
      </c>
    </row>
    <row r="2240" spans="1:5" ht="15" customHeight="1">
      <c r="A2240" s="922" t="e">
        <f t="shared" si="91"/>
        <v>#REF!</v>
      </c>
      <c r="B2240" s="848" t="s">
        <v>1863</v>
      </c>
      <c r="C2240" s="89">
        <v>270</v>
      </c>
      <c r="D2240" s="153" t="s">
        <v>2306</v>
      </c>
      <c r="E2240" s="241">
        <v>925000</v>
      </c>
    </row>
    <row r="2241" spans="1:5" ht="15" customHeight="1">
      <c r="A2241" s="922" t="e">
        <f t="shared" si="91"/>
        <v>#REF!</v>
      </c>
      <c r="B2241" s="851"/>
      <c r="C2241" s="287" t="s">
        <v>4484</v>
      </c>
      <c r="D2241" s="288" t="s">
        <v>3319</v>
      </c>
      <c r="E2241" s="289">
        <v>565000</v>
      </c>
    </row>
    <row r="2242" spans="1:5" ht="15" customHeight="1">
      <c r="A2242" s="922" t="e">
        <f t="shared" si="91"/>
        <v>#REF!</v>
      </c>
      <c r="B2242" s="848" t="s">
        <v>4485</v>
      </c>
      <c r="C2242" s="89">
        <v>216</v>
      </c>
      <c r="D2242" s="153" t="s">
        <v>4486</v>
      </c>
      <c r="E2242" s="241">
        <v>525000</v>
      </c>
    </row>
    <row r="2243" spans="1:5" ht="15" customHeight="1">
      <c r="A2243" s="923" t="e">
        <f t="shared" si="91"/>
        <v>#REF!</v>
      </c>
      <c r="B2243" s="847"/>
      <c r="C2243" s="171"/>
      <c r="D2243" s="237" t="s">
        <v>4487</v>
      </c>
      <c r="E2243" s="238">
        <v>700000</v>
      </c>
    </row>
    <row r="2244" spans="1:5" ht="15" customHeight="1">
      <c r="A2244" s="993" t="s">
        <v>2307</v>
      </c>
      <c r="B2244" s="916" t="s">
        <v>2245</v>
      </c>
      <c r="C2244" s="89">
        <v>118</v>
      </c>
      <c r="D2244" s="153" t="s">
        <v>2023</v>
      </c>
      <c r="E2244" s="241">
        <v>525000</v>
      </c>
    </row>
    <row r="2245" spans="1:5" ht="15" customHeight="1">
      <c r="A2245" s="922" t="str">
        <f t="shared" ref="A2245:A2254" si="92">A2244</f>
        <v xml:space="preserve">클래식 테크위브
(CCLT) </v>
      </c>
      <c r="B2245" s="846"/>
      <c r="C2245" s="415"/>
      <c r="D2245" s="150" t="s">
        <v>2145</v>
      </c>
      <c r="E2245" s="423">
        <v>520000</v>
      </c>
    </row>
    <row r="2246" spans="1:5" ht="15" customHeight="1">
      <c r="A2246" s="922" t="str">
        <f t="shared" si="92"/>
        <v xml:space="preserve">클래식 테크위브
(CCLT) </v>
      </c>
      <c r="B2246" s="846"/>
      <c r="C2246" s="415"/>
      <c r="D2246" s="150" t="s">
        <v>2069</v>
      </c>
      <c r="E2246" s="289">
        <v>715000</v>
      </c>
    </row>
    <row r="2247" spans="1:5" ht="15" customHeight="1">
      <c r="A2247" s="922" t="str">
        <f t="shared" si="92"/>
        <v xml:space="preserve">클래식 테크위브
(CCLT) </v>
      </c>
      <c r="B2247" s="846"/>
      <c r="C2247" s="89">
        <v>216</v>
      </c>
      <c r="D2247" s="153" t="s">
        <v>1768</v>
      </c>
      <c r="E2247" s="423">
        <v>980000</v>
      </c>
    </row>
    <row r="2248" spans="1:5" ht="15" customHeight="1">
      <c r="A2248" s="922" t="str">
        <f t="shared" si="92"/>
        <v xml:space="preserve">클래식 테크위브
(CCLT) </v>
      </c>
      <c r="B2248" s="846"/>
      <c r="C2248" s="415"/>
      <c r="D2248" s="150" t="s">
        <v>1961</v>
      </c>
      <c r="E2248" s="423">
        <v>970000</v>
      </c>
    </row>
    <row r="2249" spans="1:5" ht="15" customHeight="1">
      <c r="A2249" s="922" t="str">
        <f t="shared" si="92"/>
        <v xml:space="preserve">클래식 테크위브
(CCLT) </v>
      </c>
      <c r="B2249" s="846"/>
      <c r="C2249" s="415"/>
      <c r="D2249" s="150" t="s">
        <v>2112</v>
      </c>
      <c r="E2249" s="423">
        <v>1110000</v>
      </c>
    </row>
    <row r="2250" spans="1:5" ht="15" customHeight="1">
      <c r="A2250" s="922" t="str">
        <f t="shared" si="92"/>
        <v xml:space="preserve">클래식 테크위브
(CCLT) </v>
      </c>
      <c r="B2250" s="846"/>
      <c r="C2250" s="415"/>
      <c r="D2250" s="150" t="s">
        <v>1769</v>
      </c>
      <c r="E2250" s="423">
        <v>1250000</v>
      </c>
    </row>
    <row r="2251" spans="1:5" ht="15" customHeight="1">
      <c r="A2251" s="922" t="str">
        <f t="shared" si="92"/>
        <v xml:space="preserve">클래식 테크위브
(CCLT) </v>
      </c>
      <c r="B2251" s="846"/>
      <c r="C2251" s="415"/>
      <c r="D2251" s="150" t="s">
        <v>2308</v>
      </c>
      <c r="E2251" s="423">
        <v>1330000</v>
      </c>
    </row>
    <row r="2252" spans="1:5" ht="15" customHeight="1">
      <c r="A2252" s="922" t="str">
        <f t="shared" si="92"/>
        <v xml:space="preserve">클래식 테크위브
(CCLT) </v>
      </c>
      <c r="B2252" s="846"/>
      <c r="C2252" s="89">
        <v>270</v>
      </c>
      <c r="D2252" s="153" t="s">
        <v>2027</v>
      </c>
      <c r="E2252" s="241">
        <v>1255000</v>
      </c>
    </row>
    <row r="2253" spans="1:5" ht="15" customHeight="1">
      <c r="A2253" s="922" t="str">
        <f t="shared" si="92"/>
        <v xml:space="preserve">클래식 테크위브
(CCLT) </v>
      </c>
      <c r="B2253" s="846"/>
      <c r="C2253" s="415"/>
      <c r="D2253" s="150" t="s">
        <v>1912</v>
      </c>
      <c r="E2253" s="423">
        <v>1210000</v>
      </c>
    </row>
    <row r="2254" spans="1:5" ht="15" customHeight="1">
      <c r="A2254" s="922" t="str">
        <f t="shared" si="92"/>
        <v xml:space="preserve">클래식 테크위브
(CCLT) </v>
      </c>
      <c r="B2254" s="846"/>
      <c r="C2254" s="415"/>
      <c r="D2254" s="150" t="s">
        <v>2274</v>
      </c>
      <c r="E2254" s="423">
        <v>1375000</v>
      </c>
    </row>
    <row r="2255" spans="1:5" ht="15" customHeight="1">
      <c r="A2255" s="922"/>
      <c r="B2255" s="846"/>
      <c r="C2255" s="415"/>
      <c r="D2255" s="150" t="s">
        <v>1976</v>
      </c>
      <c r="E2255" s="423">
        <v>1660000</v>
      </c>
    </row>
    <row r="2256" spans="1:5" ht="15" customHeight="1">
      <c r="A2256" s="922" t="str">
        <f>A2254</f>
        <v xml:space="preserve">클래식 테크위브
(CCLT) </v>
      </c>
      <c r="B2256" s="846"/>
      <c r="C2256" s="415"/>
      <c r="D2256" s="150" t="s">
        <v>2153</v>
      </c>
      <c r="E2256" s="423">
        <v>1710000</v>
      </c>
    </row>
    <row r="2257" spans="1:5" ht="15" customHeight="1">
      <c r="A2257" s="922" t="str">
        <f>A2256</f>
        <v xml:space="preserve">클래식 테크위브
(CCLT) </v>
      </c>
      <c r="B2257" s="846"/>
      <c r="C2257" s="287"/>
      <c r="D2257" s="288" t="s">
        <v>1977</v>
      </c>
      <c r="E2257" s="289">
        <v>1600000</v>
      </c>
    </row>
    <row r="2258" spans="1:5" ht="15" customHeight="1">
      <c r="A2258" s="922" t="e">
        <f>#REF!</f>
        <v>#REF!</v>
      </c>
      <c r="B2258" s="846"/>
      <c r="C2258" s="415">
        <v>352</v>
      </c>
      <c r="D2258" s="150" t="s">
        <v>1815</v>
      </c>
      <c r="E2258" s="423">
        <v>1710000</v>
      </c>
    </row>
    <row r="2259" spans="1:5" ht="15" customHeight="1">
      <c r="A2259" s="922" t="e">
        <f>A2258</f>
        <v>#REF!</v>
      </c>
      <c r="B2259" s="846"/>
      <c r="C2259" s="415"/>
      <c r="D2259" s="150" t="s">
        <v>2276</v>
      </c>
      <c r="E2259" s="423">
        <v>1810000</v>
      </c>
    </row>
    <row r="2260" spans="1:5" ht="15" customHeight="1">
      <c r="A2260" s="922" t="e">
        <f>A2259</f>
        <v>#REF!</v>
      </c>
      <c r="B2260" s="849"/>
      <c r="C2260" s="154"/>
      <c r="D2260" s="155" t="s">
        <v>2309</v>
      </c>
      <c r="E2260" s="243">
        <v>2300000</v>
      </c>
    </row>
    <row r="2261" spans="1:5" ht="15" customHeight="1">
      <c r="A2261" s="994" t="s">
        <v>4488</v>
      </c>
      <c r="B2261" s="873" t="s">
        <v>1982</v>
      </c>
      <c r="C2261" s="415">
        <v>120</v>
      </c>
      <c r="D2261" s="167" t="s">
        <v>4489</v>
      </c>
      <c r="E2261" s="423">
        <v>375000</v>
      </c>
    </row>
    <row r="2262" spans="1:5" ht="15" customHeight="1">
      <c r="A2262" s="995" t="e">
        <f>#REF!</f>
        <v>#REF!</v>
      </c>
      <c r="B2262" s="846"/>
      <c r="C2262" s="415"/>
      <c r="D2262" s="167" t="s">
        <v>4490</v>
      </c>
      <c r="E2262" s="423">
        <v>440000</v>
      </c>
    </row>
    <row r="2263" spans="1:5" ht="15" customHeight="1">
      <c r="A2263" s="995" t="e">
        <f t="shared" ref="A2263:A2270" si="93">A2262</f>
        <v>#REF!</v>
      </c>
      <c r="B2263" s="846"/>
      <c r="C2263" s="415"/>
      <c r="D2263" s="167" t="s">
        <v>3106</v>
      </c>
      <c r="E2263" s="423">
        <v>495000</v>
      </c>
    </row>
    <row r="2264" spans="1:5" ht="15" customHeight="1">
      <c r="A2264" s="995" t="e">
        <f t="shared" si="93"/>
        <v>#REF!</v>
      </c>
      <c r="B2264" s="846"/>
      <c r="C2264" s="287"/>
      <c r="D2264" s="322" t="s">
        <v>4491</v>
      </c>
      <c r="E2264" s="289">
        <v>550000</v>
      </c>
    </row>
    <row r="2265" spans="1:5" ht="15" customHeight="1">
      <c r="A2265" s="995" t="e">
        <f t="shared" si="93"/>
        <v>#REF!</v>
      </c>
      <c r="B2265" s="846"/>
      <c r="C2265" s="415">
        <v>300</v>
      </c>
      <c r="D2265" s="207" t="s">
        <v>4492</v>
      </c>
      <c r="E2265" s="423">
        <v>825000</v>
      </c>
    </row>
    <row r="2266" spans="1:5" ht="15" customHeight="1">
      <c r="A2266" s="995" t="e">
        <f t="shared" si="93"/>
        <v>#REF!</v>
      </c>
      <c r="B2266" s="846"/>
      <c r="C2266" s="415"/>
      <c r="D2266" s="207" t="s">
        <v>4493</v>
      </c>
      <c r="E2266" s="423">
        <v>950000</v>
      </c>
    </row>
    <row r="2267" spans="1:5" ht="15" customHeight="1">
      <c r="A2267" s="995" t="e">
        <f t="shared" si="93"/>
        <v>#REF!</v>
      </c>
      <c r="B2267" s="846"/>
      <c r="C2267" s="415"/>
      <c r="D2267" s="207" t="s">
        <v>4494</v>
      </c>
      <c r="E2267" s="423">
        <v>1000000</v>
      </c>
    </row>
    <row r="2268" spans="1:5" ht="15" customHeight="1">
      <c r="A2268" s="995" t="e">
        <f t="shared" si="93"/>
        <v>#REF!</v>
      </c>
      <c r="B2268" s="846"/>
      <c r="C2268" s="415"/>
      <c r="D2268" s="207" t="s">
        <v>4495</v>
      </c>
      <c r="E2268" s="423">
        <v>1125000</v>
      </c>
    </row>
    <row r="2269" spans="1:5" ht="15" customHeight="1">
      <c r="A2269" s="995" t="e">
        <f t="shared" si="93"/>
        <v>#REF!</v>
      </c>
      <c r="B2269" s="846"/>
      <c r="C2269" s="415"/>
      <c r="D2269" s="207" t="s">
        <v>4496</v>
      </c>
      <c r="E2269" s="423">
        <v>1250000</v>
      </c>
    </row>
    <row r="2270" spans="1:5" ht="15" customHeight="1">
      <c r="A2270" s="996" t="e">
        <f t="shared" si="93"/>
        <v>#REF!</v>
      </c>
      <c r="B2270" s="849"/>
      <c r="C2270" s="154"/>
      <c r="D2270" s="208" t="s">
        <v>4497</v>
      </c>
      <c r="E2270" s="243">
        <v>1435000</v>
      </c>
    </row>
    <row r="2271" spans="1:5" ht="15" customHeight="1">
      <c r="A2271" s="927" t="s">
        <v>2310</v>
      </c>
      <c r="B2271" s="430" t="s">
        <v>1889</v>
      </c>
      <c r="C2271" s="415">
        <v>220</v>
      </c>
      <c r="D2271" s="668" t="s">
        <v>2311</v>
      </c>
      <c r="E2271" s="425">
        <v>1000000</v>
      </c>
    </row>
    <row r="2272" spans="1:5" ht="15" customHeight="1">
      <c r="A2272" s="922"/>
      <c r="B2272" s="430" t="s">
        <v>1814</v>
      </c>
      <c r="C2272" s="415">
        <v>120</v>
      </c>
      <c r="D2272" s="668" t="s">
        <v>3274</v>
      </c>
      <c r="E2272" s="423">
        <v>640000</v>
      </c>
    </row>
    <row r="2273" spans="1:5" ht="15" customHeight="1">
      <c r="A2273" s="930" t="str">
        <f>A2271</f>
        <v>킹덤
(KDM)</v>
      </c>
      <c r="B2273" s="430" t="s">
        <v>2312</v>
      </c>
      <c r="C2273" s="415">
        <v>100</v>
      </c>
      <c r="D2273" s="668" t="s">
        <v>2313</v>
      </c>
      <c r="E2273" s="669">
        <v>180000</v>
      </c>
    </row>
    <row r="2274" spans="1:5" ht="15" customHeight="1">
      <c r="A2274" s="954" t="s">
        <v>4498</v>
      </c>
      <c r="B2274" s="670" t="s">
        <v>1826</v>
      </c>
      <c r="C2274" s="671" t="s">
        <v>4499</v>
      </c>
      <c r="D2274" s="654" t="s">
        <v>4500</v>
      </c>
      <c r="E2274" s="655" t="s">
        <v>1755</v>
      </c>
    </row>
    <row r="2275" spans="1:5" ht="15" customHeight="1">
      <c r="A2275" s="925"/>
      <c r="B2275" s="430" t="s">
        <v>4501</v>
      </c>
      <c r="C2275" s="557"/>
      <c r="D2275" s="150" t="s">
        <v>4502</v>
      </c>
      <c r="E2275" s="423" t="s">
        <v>1755</v>
      </c>
    </row>
    <row r="2276" spans="1:5" ht="15" customHeight="1">
      <c r="A2276" s="925"/>
      <c r="B2276" s="430" t="s">
        <v>4503</v>
      </c>
      <c r="C2276" s="557"/>
      <c r="D2276" s="150"/>
      <c r="E2276" s="423" t="s">
        <v>1755</v>
      </c>
    </row>
    <row r="2277" spans="1:5" ht="15" customHeight="1">
      <c r="A2277" s="925"/>
      <c r="B2277" s="430" t="s">
        <v>2094</v>
      </c>
      <c r="C2277" s="557"/>
      <c r="D2277" s="150"/>
      <c r="E2277" s="423">
        <v>565000</v>
      </c>
    </row>
    <row r="2278" spans="1:5" ht="15" customHeight="1">
      <c r="A2278" s="925"/>
      <c r="B2278" s="325" t="s">
        <v>213</v>
      </c>
      <c r="C2278" s="672"/>
      <c r="D2278" s="288"/>
      <c r="E2278" s="289">
        <v>815000</v>
      </c>
    </row>
    <row r="2279" spans="1:5" ht="15" customHeight="1">
      <c r="A2279" s="925"/>
      <c r="B2279" s="430" t="s">
        <v>1826</v>
      </c>
      <c r="C2279" s="557" t="s">
        <v>4504</v>
      </c>
      <c r="D2279" s="150" t="s">
        <v>4505</v>
      </c>
      <c r="E2279" s="423"/>
    </row>
    <row r="2280" spans="1:5" ht="15" customHeight="1">
      <c r="A2280" s="925"/>
      <c r="B2280" s="430" t="s">
        <v>4501</v>
      </c>
      <c r="C2280" s="557"/>
      <c r="D2280" s="150" t="s">
        <v>4502</v>
      </c>
      <c r="E2280" s="423"/>
    </row>
    <row r="2281" spans="1:5" ht="15" customHeight="1">
      <c r="A2281" s="925"/>
      <c r="B2281" s="430" t="s">
        <v>4503</v>
      </c>
      <c r="C2281" s="557"/>
      <c r="D2281" s="150" t="s">
        <v>4506</v>
      </c>
      <c r="E2281" s="423"/>
    </row>
    <row r="2282" spans="1:5" ht="15" customHeight="1">
      <c r="A2282" s="925"/>
      <c r="B2282" s="430" t="s">
        <v>4507</v>
      </c>
      <c r="C2282" s="557" t="s">
        <v>1755</v>
      </c>
      <c r="D2282" s="150" t="s">
        <v>1755</v>
      </c>
      <c r="E2282" s="423">
        <v>495000</v>
      </c>
    </row>
    <row r="2283" spans="1:5" ht="15" customHeight="1">
      <c r="A2283" s="925"/>
      <c r="B2283" s="286" t="s">
        <v>22</v>
      </c>
      <c r="C2283" s="672"/>
      <c r="D2283" s="288"/>
      <c r="E2283" s="289">
        <v>710000</v>
      </c>
    </row>
    <row r="2284" spans="1:5" ht="15" customHeight="1">
      <c r="A2284" s="925"/>
      <c r="B2284" s="430" t="s">
        <v>22</v>
      </c>
      <c r="C2284" s="673" t="s">
        <v>4508</v>
      </c>
      <c r="D2284" s="257" t="s">
        <v>4509</v>
      </c>
      <c r="E2284" s="424">
        <v>680000</v>
      </c>
    </row>
    <row r="2285" spans="1:5" ht="15" customHeight="1">
      <c r="A2285" s="925"/>
      <c r="B2285" s="430" t="s">
        <v>954</v>
      </c>
      <c r="C2285" s="673"/>
      <c r="D2285" s="257"/>
      <c r="E2285" s="424">
        <v>475000</v>
      </c>
    </row>
    <row r="2286" spans="1:5" ht="15" customHeight="1">
      <c r="A2286" s="925"/>
      <c r="B2286" s="286" t="s">
        <v>1448</v>
      </c>
      <c r="C2286" s="674"/>
      <c r="D2286" s="348"/>
      <c r="E2286" s="424">
        <v>855000</v>
      </c>
    </row>
    <row r="2287" spans="1:5" ht="15" customHeight="1">
      <c r="A2287" s="925"/>
      <c r="B2287" s="190" t="s">
        <v>1826</v>
      </c>
      <c r="C2287" s="675" t="s">
        <v>4510</v>
      </c>
      <c r="D2287" s="153" t="s">
        <v>4511</v>
      </c>
      <c r="E2287" s="423"/>
    </row>
    <row r="2288" spans="1:5" ht="15" customHeight="1">
      <c r="A2288" s="925"/>
      <c r="B2288" s="430" t="s">
        <v>4501</v>
      </c>
      <c r="C2288" s="557"/>
      <c r="D2288" s="150" t="s">
        <v>4502</v>
      </c>
      <c r="E2288" s="423"/>
    </row>
    <row r="2289" spans="1:5" ht="15" customHeight="1">
      <c r="A2289" s="925"/>
      <c r="B2289" s="430" t="s">
        <v>4503</v>
      </c>
      <c r="C2289" s="557"/>
      <c r="D2289" s="150" t="s">
        <v>4506</v>
      </c>
      <c r="E2289" s="423"/>
    </row>
    <row r="2290" spans="1:5" ht="15" customHeight="1">
      <c r="A2290" s="925"/>
      <c r="B2290" s="430" t="s">
        <v>4512</v>
      </c>
      <c r="C2290" s="557"/>
      <c r="D2290" s="150"/>
      <c r="E2290" s="423">
        <v>980000</v>
      </c>
    </row>
    <row r="2291" spans="1:5" ht="15" customHeight="1">
      <c r="A2291" s="925"/>
      <c r="B2291" s="286" t="s">
        <v>4147</v>
      </c>
      <c r="C2291" s="672"/>
      <c r="D2291" s="288"/>
      <c r="E2291" s="289">
        <v>680000</v>
      </c>
    </row>
    <row r="2292" spans="1:5" ht="15" customHeight="1">
      <c r="A2292" s="925"/>
      <c r="B2292" s="190" t="s">
        <v>1826</v>
      </c>
      <c r="C2292" s="675" t="s">
        <v>4510</v>
      </c>
      <c r="D2292" s="153" t="s">
        <v>4513</v>
      </c>
      <c r="E2292" s="423"/>
    </row>
    <row r="2293" spans="1:5" ht="15" customHeight="1">
      <c r="A2293" s="925"/>
      <c r="B2293" s="430" t="s">
        <v>4501</v>
      </c>
      <c r="C2293" s="557" t="s">
        <v>1812</v>
      </c>
      <c r="D2293" s="150" t="s">
        <v>4502</v>
      </c>
      <c r="E2293" s="423"/>
    </row>
    <row r="2294" spans="1:5" ht="15" customHeight="1">
      <c r="A2294" s="925"/>
      <c r="B2294" s="430" t="s">
        <v>4503</v>
      </c>
      <c r="C2294" s="557"/>
      <c r="D2294" s="150" t="s">
        <v>4506</v>
      </c>
      <c r="E2294" s="423"/>
    </row>
    <row r="2295" spans="1:5" ht="15" customHeight="1">
      <c r="A2295" s="925"/>
      <c r="B2295" s="430" t="s">
        <v>4512</v>
      </c>
      <c r="C2295" s="557" t="s">
        <v>1755</v>
      </c>
      <c r="D2295" s="150" t="s">
        <v>1755</v>
      </c>
      <c r="E2295" s="423">
        <v>1300000</v>
      </c>
    </row>
    <row r="2296" spans="1:5" ht="15" customHeight="1">
      <c r="A2296" s="925"/>
      <c r="B2296" s="190" t="s">
        <v>1826</v>
      </c>
      <c r="C2296" s="675" t="s">
        <v>4514</v>
      </c>
      <c r="D2296" s="153" t="s">
        <v>4515</v>
      </c>
      <c r="E2296" s="241" t="s">
        <v>1755</v>
      </c>
    </row>
    <row r="2297" spans="1:5" ht="15" customHeight="1">
      <c r="A2297" s="925"/>
      <c r="B2297" s="430" t="s">
        <v>4501</v>
      </c>
      <c r="C2297" s="557"/>
      <c r="D2297" s="150"/>
      <c r="E2297" s="423" t="s">
        <v>1755</v>
      </c>
    </row>
    <row r="2298" spans="1:5" ht="15" customHeight="1">
      <c r="A2298" s="925"/>
      <c r="B2298" s="430" t="s">
        <v>4503</v>
      </c>
      <c r="C2298" s="557"/>
      <c r="D2298" s="150" t="s">
        <v>4506</v>
      </c>
      <c r="E2298" s="423"/>
    </row>
    <row r="2299" spans="1:5" ht="15" customHeight="1">
      <c r="A2299" s="925"/>
      <c r="B2299" s="286" t="s">
        <v>22</v>
      </c>
      <c r="C2299" s="672" t="s">
        <v>1755</v>
      </c>
      <c r="D2299" s="288" t="s">
        <v>1755</v>
      </c>
      <c r="E2299" s="289">
        <v>1695000</v>
      </c>
    </row>
    <row r="2300" spans="1:5" ht="15" customHeight="1">
      <c r="A2300" s="925"/>
      <c r="B2300" s="676" t="s">
        <v>1826</v>
      </c>
      <c r="C2300" s="677" t="s">
        <v>4514</v>
      </c>
      <c r="D2300" s="363" t="s">
        <v>4516</v>
      </c>
      <c r="E2300" s="424"/>
    </row>
    <row r="2301" spans="1:5" ht="15" customHeight="1">
      <c r="A2301" s="925"/>
      <c r="B2301" s="630" t="s">
        <v>4501</v>
      </c>
      <c r="C2301" s="673"/>
      <c r="D2301" s="257" t="s">
        <v>4502</v>
      </c>
      <c r="E2301" s="424"/>
    </row>
    <row r="2302" spans="1:5" ht="15" customHeight="1">
      <c r="A2302" s="925"/>
      <c r="B2302" s="630" t="s">
        <v>4503</v>
      </c>
      <c r="C2302" s="673"/>
      <c r="D2302" s="257" t="s">
        <v>4506</v>
      </c>
      <c r="E2302" s="424"/>
    </row>
    <row r="2303" spans="1:5" ht="15" customHeight="1">
      <c r="A2303" s="925"/>
      <c r="B2303" s="678" t="s">
        <v>22</v>
      </c>
      <c r="C2303" s="674" t="s">
        <v>1755</v>
      </c>
      <c r="D2303" s="348" t="s">
        <v>1755</v>
      </c>
      <c r="E2303" s="341">
        <v>2065000</v>
      </c>
    </row>
    <row r="2304" spans="1:5" ht="15" customHeight="1">
      <c r="A2304" s="925"/>
      <c r="B2304" s="430" t="s">
        <v>1826</v>
      </c>
      <c r="C2304" s="673"/>
      <c r="D2304" s="257" t="s">
        <v>4517</v>
      </c>
      <c r="E2304" s="424" t="s">
        <v>1755</v>
      </c>
    </row>
    <row r="2305" spans="1:5" ht="15" customHeight="1">
      <c r="A2305" s="925"/>
      <c r="B2305" s="430" t="s">
        <v>4501</v>
      </c>
      <c r="C2305" s="673"/>
      <c r="D2305" s="257"/>
      <c r="E2305" s="424" t="s">
        <v>1755</v>
      </c>
    </row>
    <row r="2306" spans="1:5" ht="15" customHeight="1">
      <c r="A2306" s="925"/>
      <c r="B2306" s="430" t="s">
        <v>4512</v>
      </c>
      <c r="C2306" s="673"/>
      <c r="D2306" s="257"/>
      <c r="E2306" s="424">
        <v>1225000</v>
      </c>
    </row>
    <row r="2307" spans="1:5" ht="15" customHeight="1">
      <c r="A2307" s="925"/>
      <c r="B2307" s="430" t="s">
        <v>4518</v>
      </c>
      <c r="C2307" s="673"/>
      <c r="D2307" s="257"/>
      <c r="E2307" s="424">
        <v>310000</v>
      </c>
    </row>
    <row r="2308" spans="1:5" ht="15" customHeight="1">
      <c r="A2308" s="925"/>
      <c r="B2308" s="430" t="s">
        <v>4519</v>
      </c>
      <c r="C2308" s="673"/>
      <c r="D2308" s="257"/>
      <c r="E2308" s="341" t="s">
        <v>1755</v>
      </c>
    </row>
    <row r="2309" spans="1:5" ht="15" customHeight="1">
      <c r="A2309" s="925"/>
      <c r="B2309" s="190" t="s">
        <v>1826</v>
      </c>
      <c r="C2309" s="89" t="s">
        <v>4520</v>
      </c>
      <c r="D2309" s="153" t="s">
        <v>4521</v>
      </c>
      <c r="E2309" s="423"/>
    </row>
    <row r="2310" spans="1:5" ht="15" customHeight="1">
      <c r="A2310" s="925"/>
      <c r="B2310" s="430" t="s">
        <v>4501</v>
      </c>
      <c r="C2310" s="415"/>
      <c r="D2310" s="150" t="s">
        <v>4502</v>
      </c>
      <c r="E2310" s="423"/>
    </row>
    <row r="2311" spans="1:5" ht="15" customHeight="1">
      <c r="A2311" s="925"/>
      <c r="B2311" s="430" t="s">
        <v>4503</v>
      </c>
      <c r="C2311" s="415"/>
      <c r="D2311" s="150" t="s">
        <v>4506</v>
      </c>
      <c r="E2311" s="423"/>
    </row>
    <row r="2312" spans="1:5" ht="15" customHeight="1">
      <c r="A2312" s="925"/>
      <c r="B2312" s="430" t="s">
        <v>4522</v>
      </c>
      <c r="C2312" s="415"/>
      <c r="D2312" s="150"/>
      <c r="E2312" s="289">
        <v>1380000</v>
      </c>
    </row>
    <row r="2313" spans="1:5" ht="15" customHeight="1">
      <c r="A2313" s="925"/>
      <c r="B2313" s="190" t="s">
        <v>1826</v>
      </c>
      <c r="C2313" s="89"/>
      <c r="D2313" s="153" t="s">
        <v>4523</v>
      </c>
      <c r="E2313" s="423"/>
    </row>
    <row r="2314" spans="1:5" ht="15" customHeight="1">
      <c r="A2314" s="925"/>
      <c r="B2314" s="430" t="s">
        <v>4503</v>
      </c>
      <c r="C2314" s="415"/>
      <c r="D2314" s="150"/>
      <c r="E2314" s="423"/>
    </row>
    <row r="2315" spans="1:5" ht="15" customHeight="1">
      <c r="A2315" s="925"/>
      <c r="B2315" s="286" t="s">
        <v>4522</v>
      </c>
      <c r="C2315" s="287"/>
      <c r="D2315" s="288"/>
      <c r="E2315" s="423">
        <v>1380000</v>
      </c>
    </row>
    <row r="2316" spans="1:5" ht="15" customHeight="1">
      <c r="A2316" s="925"/>
      <c r="B2316" s="190" t="s">
        <v>4524</v>
      </c>
      <c r="C2316" s="89"/>
      <c r="D2316" s="153" t="s">
        <v>4525</v>
      </c>
      <c r="E2316" s="241" t="s">
        <v>1755</v>
      </c>
    </row>
    <row r="2317" spans="1:5" ht="15" customHeight="1">
      <c r="A2317" s="925"/>
      <c r="B2317" s="430" t="s">
        <v>4526</v>
      </c>
      <c r="C2317" s="415"/>
      <c r="D2317" s="150"/>
      <c r="E2317" s="423"/>
    </row>
    <row r="2318" spans="1:5" ht="15" customHeight="1">
      <c r="A2318" s="925"/>
      <c r="B2318" s="190" t="s">
        <v>4527</v>
      </c>
      <c r="C2318" s="89"/>
      <c r="D2318" s="153" t="s">
        <v>4528</v>
      </c>
      <c r="E2318" s="241" t="s">
        <v>1755</v>
      </c>
    </row>
    <row r="2319" spans="1:5" ht="15" customHeight="1">
      <c r="A2319" s="925"/>
      <c r="B2319" s="430" t="s">
        <v>4503</v>
      </c>
      <c r="C2319" s="415"/>
      <c r="D2319" s="150"/>
      <c r="E2319" s="423"/>
    </row>
    <row r="2320" spans="1:5" ht="15" customHeight="1">
      <c r="A2320" s="925"/>
      <c r="B2320" s="286" t="s">
        <v>1995</v>
      </c>
      <c r="C2320" s="287"/>
      <c r="D2320" s="288"/>
      <c r="E2320" s="289">
        <v>1440000</v>
      </c>
    </row>
    <row r="2321" spans="1:5" ht="15" customHeight="1">
      <c r="A2321" s="925"/>
      <c r="B2321" s="286" t="s">
        <v>4529</v>
      </c>
      <c r="C2321" s="679"/>
      <c r="D2321" s="348" t="s">
        <v>4530</v>
      </c>
      <c r="E2321" s="341">
        <v>705000</v>
      </c>
    </row>
    <row r="2322" spans="1:5" ht="15" customHeight="1">
      <c r="A2322" s="925"/>
      <c r="B2322" s="190" t="s">
        <v>1826</v>
      </c>
      <c r="C2322" s="89"/>
      <c r="D2322" s="153" t="s">
        <v>4531</v>
      </c>
      <c r="E2322" s="423"/>
    </row>
    <row r="2323" spans="1:5" ht="15" customHeight="1">
      <c r="A2323" s="925"/>
      <c r="B2323" s="430" t="s">
        <v>4503</v>
      </c>
      <c r="C2323" s="415"/>
      <c r="D2323" s="150"/>
      <c r="E2323" s="423"/>
    </row>
    <row r="2324" spans="1:5" ht="15" customHeight="1">
      <c r="A2324" s="925"/>
      <c r="B2324" s="286" t="s">
        <v>4522</v>
      </c>
      <c r="C2324" s="287"/>
      <c r="D2324" s="288"/>
      <c r="E2324" s="289">
        <v>2110000</v>
      </c>
    </row>
    <row r="2325" spans="1:5" ht="15" customHeight="1">
      <c r="A2325" s="925"/>
      <c r="B2325" s="630" t="s">
        <v>1826</v>
      </c>
      <c r="C2325" s="415"/>
      <c r="D2325" s="150" t="s">
        <v>4532</v>
      </c>
      <c r="E2325" s="423" t="s">
        <v>1755</v>
      </c>
    </row>
    <row r="2326" spans="1:5" ht="15" customHeight="1">
      <c r="A2326" s="925"/>
      <c r="B2326" s="680" t="s">
        <v>4533</v>
      </c>
      <c r="C2326" s="154"/>
      <c r="D2326" s="155"/>
      <c r="E2326" s="243" t="s">
        <v>1755</v>
      </c>
    </row>
    <row r="2327" spans="1:5" ht="15" customHeight="1">
      <c r="A2327" s="925"/>
      <c r="B2327" s="190" t="s">
        <v>4534</v>
      </c>
      <c r="C2327" s="681" t="s">
        <v>4535</v>
      </c>
      <c r="D2327" s="257" t="s">
        <v>4536</v>
      </c>
      <c r="E2327" s="424"/>
    </row>
    <row r="2328" spans="1:5" ht="15" customHeight="1">
      <c r="A2328" s="925"/>
      <c r="B2328" s="430" t="s">
        <v>4537</v>
      </c>
      <c r="C2328" s="681"/>
      <c r="D2328" s="257"/>
      <c r="E2328" s="424"/>
    </row>
    <row r="2329" spans="1:5" ht="15" customHeight="1">
      <c r="A2329" s="925"/>
      <c r="B2329" s="430" t="s">
        <v>1995</v>
      </c>
      <c r="C2329" s="681"/>
      <c r="D2329" s="257"/>
      <c r="E2329" s="424"/>
    </row>
    <row r="2330" spans="1:5" ht="15" customHeight="1">
      <c r="A2330" s="989" t="s">
        <v>4538</v>
      </c>
      <c r="B2330" s="873" t="s">
        <v>4539</v>
      </c>
      <c r="C2330" s="648">
        <v>250</v>
      </c>
      <c r="D2330" s="649">
        <v>4</v>
      </c>
      <c r="E2330" s="650">
        <v>390000</v>
      </c>
    </row>
    <row r="2331" spans="1:5" ht="15" customHeight="1">
      <c r="A2331" s="940" t="str">
        <f t="shared" ref="A2331:A2337" si="94">A2330</f>
        <v>파인린넨
(FNL)</v>
      </c>
      <c r="B2331" s="851"/>
      <c r="C2331" s="287"/>
      <c r="D2331" s="348" t="s">
        <v>4540</v>
      </c>
      <c r="E2331" s="341">
        <v>535000</v>
      </c>
    </row>
    <row r="2332" spans="1:5" ht="15" customHeight="1">
      <c r="A2332" s="940" t="str">
        <f t="shared" si="94"/>
        <v>파인린넨
(FNL)</v>
      </c>
      <c r="B2332" s="326" t="s">
        <v>4541</v>
      </c>
      <c r="C2332" s="415">
        <v>230</v>
      </c>
      <c r="D2332" s="257" t="s">
        <v>4542</v>
      </c>
      <c r="E2332" s="424">
        <v>375000</v>
      </c>
    </row>
    <row r="2333" spans="1:5" ht="15" customHeight="1">
      <c r="A2333" s="940" t="str">
        <f t="shared" si="94"/>
        <v>파인린넨
(FNL)</v>
      </c>
      <c r="B2333" s="848" t="s">
        <v>4543</v>
      </c>
      <c r="C2333" s="89">
        <v>250</v>
      </c>
      <c r="D2333" s="363" t="s">
        <v>4544</v>
      </c>
      <c r="E2333" s="364">
        <v>315000</v>
      </c>
    </row>
    <row r="2334" spans="1:5" ht="15" customHeight="1">
      <c r="A2334" s="940" t="str">
        <f t="shared" si="94"/>
        <v>파인린넨
(FNL)</v>
      </c>
      <c r="B2334" s="846"/>
      <c r="C2334" s="415"/>
      <c r="D2334" s="257" t="s">
        <v>4545</v>
      </c>
      <c r="E2334" s="424">
        <v>430000</v>
      </c>
    </row>
    <row r="2335" spans="1:5" ht="15" customHeight="1">
      <c r="A2335" s="940" t="str">
        <f t="shared" si="94"/>
        <v>파인린넨
(FNL)</v>
      </c>
      <c r="B2335" s="846"/>
      <c r="C2335" s="415"/>
      <c r="D2335" s="257" t="s">
        <v>4546</v>
      </c>
      <c r="E2335" s="424">
        <v>475000</v>
      </c>
    </row>
    <row r="2336" spans="1:5" ht="15" customHeight="1">
      <c r="A2336" s="940" t="str">
        <f t="shared" si="94"/>
        <v>파인린넨
(FNL)</v>
      </c>
      <c r="B2336" s="851"/>
      <c r="C2336" s="287">
        <v>230</v>
      </c>
      <c r="D2336" s="599" t="s">
        <v>4547</v>
      </c>
      <c r="E2336" s="571">
        <v>310000</v>
      </c>
    </row>
    <row r="2337" spans="1:5" ht="15" customHeight="1">
      <c r="A2337" s="941" t="str">
        <f t="shared" si="94"/>
        <v>파인린넨
(FNL)</v>
      </c>
      <c r="B2337" s="87" t="s">
        <v>4548</v>
      </c>
      <c r="C2337" s="415">
        <v>250</v>
      </c>
      <c r="D2337" s="257" t="s">
        <v>4549</v>
      </c>
      <c r="E2337" s="424">
        <v>560000</v>
      </c>
    </row>
    <row r="2338" spans="1:5" ht="15" customHeight="1">
      <c r="A2338" s="997" t="s">
        <v>4550</v>
      </c>
      <c r="B2338" s="873" t="s">
        <v>1757</v>
      </c>
      <c r="C2338" s="589">
        <v>120</v>
      </c>
      <c r="D2338" s="590" t="s">
        <v>4551</v>
      </c>
      <c r="E2338" s="591">
        <v>220000</v>
      </c>
    </row>
    <row r="2339" spans="1:5" ht="15" customHeight="1">
      <c r="A2339" s="925"/>
      <c r="B2339" s="846"/>
      <c r="C2339" s="415">
        <v>200</v>
      </c>
      <c r="D2339" s="682" t="s">
        <v>4552</v>
      </c>
      <c r="E2339" s="425">
        <v>560000</v>
      </c>
    </row>
    <row r="2340" spans="1:5" ht="15" customHeight="1">
      <c r="A2340" s="925"/>
      <c r="B2340" s="851"/>
      <c r="C2340" s="287"/>
      <c r="D2340" s="348" t="s">
        <v>4553</v>
      </c>
      <c r="E2340" s="341">
        <v>275000</v>
      </c>
    </row>
    <row r="2341" spans="1:5" ht="15" customHeight="1">
      <c r="A2341" s="925"/>
      <c r="B2341" s="848" t="s">
        <v>4554</v>
      </c>
      <c r="C2341" s="415">
        <v>200</v>
      </c>
      <c r="D2341" s="150" t="s">
        <v>4555</v>
      </c>
      <c r="E2341" s="423">
        <v>330000</v>
      </c>
    </row>
    <row r="2342" spans="1:5" ht="15" customHeight="1">
      <c r="A2342" s="925"/>
      <c r="B2342" s="846"/>
      <c r="C2342" s="415"/>
      <c r="D2342" s="465" t="s">
        <v>4556</v>
      </c>
      <c r="E2342" s="423">
        <v>330000</v>
      </c>
    </row>
    <row r="2343" spans="1:5" ht="15" customHeight="1">
      <c r="A2343" s="925"/>
      <c r="B2343" s="846"/>
      <c r="C2343" s="415"/>
      <c r="D2343" s="150" t="s">
        <v>4557</v>
      </c>
      <c r="E2343" s="423">
        <v>435000</v>
      </c>
    </row>
    <row r="2344" spans="1:5" ht="15" customHeight="1">
      <c r="A2344" s="925"/>
      <c r="B2344" s="852"/>
      <c r="C2344" s="304"/>
      <c r="D2344" s="533" t="s">
        <v>4558</v>
      </c>
      <c r="E2344" s="405">
        <v>375000</v>
      </c>
    </row>
    <row r="2345" spans="1:5" ht="15" customHeight="1">
      <c r="A2345" s="926"/>
      <c r="B2345" s="87" t="s">
        <v>4559</v>
      </c>
      <c r="C2345" s="415"/>
      <c r="D2345" s="150" t="s">
        <v>4560</v>
      </c>
      <c r="E2345" s="423">
        <v>375000</v>
      </c>
    </row>
    <row r="2346" spans="1:5" ht="15" customHeight="1">
      <c r="A2346" s="927" t="s">
        <v>4561</v>
      </c>
      <c r="B2346" s="873" t="s">
        <v>1756</v>
      </c>
      <c r="C2346" s="648">
        <v>90</v>
      </c>
      <c r="D2346" s="683" t="s">
        <v>4562</v>
      </c>
      <c r="E2346" s="684">
        <v>440000</v>
      </c>
    </row>
    <row r="2347" spans="1:5" ht="15" customHeight="1">
      <c r="A2347" s="922"/>
      <c r="B2347" s="846"/>
      <c r="C2347" s="415">
        <v>160</v>
      </c>
      <c r="D2347" s="150" t="s">
        <v>4563</v>
      </c>
      <c r="E2347" s="423">
        <v>735000</v>
      </c>
    </row>
    <row r="2348" spans="1:5" ht="15" customHeight="1">
      <c r="A2348" s="922" t="str">
        <f>A2346</f>
        <v>페르가메나타
(PER)</v>
      </c>
      <c r="B2348" s="846"/>
      <c r="C2348" s="415">
        <v>160</v>
      </c>
      <c r="D2348" s="257" t="s">
        <v>4564</v>
      </c>
      <c r="E2348" s="424">
        <v>565000</v>
      </c>
    </row>
    <row r="2349" spans="1:5" ht="15" customHeight="1">
      <c r="A2349" s="922" t="str">
        <f>A2348</f>
        <v>페르가메나타
(PER)</v>
      </c>
      <c r="B2349" s="846"/>
      <c r="C2349" s="415">
        <v>230</v>
      </c>
      <c r="D2349" s="685" t="s">
        <v>4565</v>
      </c>
      <c r="E2349" s="425">
        <v>1120000</v>
      </c>
    </row>
    <row r="2350" spans="1:5" ht="15" customHeight="1">
      <c r="A2350" s="922" t="str">
        <f>A2349</f>
        <v>페르가메나타
(PER)</v>
      </c>
      <c r="B2350" s="851"/>
      <c r="C2350" s="415">
        <v>230</v>
      </c>
      <c r="D2350" s="686" t="s">
        <v>4566</v>
      </c>
      <c r="E2350" s="424">
        <v>715000</v>
      </c>
    </row>
    <row r="2351" spans="1:5" ht="15" customHeight="1">
      <c r="A2351" s="922" t="str">
        <f>A2350</f>
        <v>페르가메나타
(PER)</v>
      </c>
      <c r="B2351" s="848" t="s">
        <v>4567</v>
      </c>
      <c r="C2351" s="89">
        <v>90</v>
      </c>
      <c r="D2351" s="363" t="s">
        <v>4568</v>
      </c>
      <c r="E2351" s="364">
        <v>320000</v>
      </c>
    </row>
    <row r="2352" spans="1:5" ht="15" customHeight="1">
      <c r="A2352" s="930" t="str">
        <f>A2351</f>
        <v>페르가메나타
(PER)</v>
      </c>
      <c r="B2352" s="847"/>
      <c r="C2352" s="415">
        <v>160</v>
      </c>
      <c r="D2352" s="257" t="s">
        <v>4568</v>
      </c>
      <c r="E2352" s="259">
        <v>550000</v>
      </c>
    </row>
    <row r="2353" spans="1:5" ht="15" customHeight="1">
      <c r="A2353" s="922" t="s">
        <v>4569</v>
      </c>
      <c r="B2353" s="916" t="s">
        <v>1756</v>
      </c>
      <c r="C2353" s="648">
        <v>115</v>
      </c>
      <c r="D2353" s="642" t="s">
        <v>4570</v>
      </c>
      <c r="E2353" s="643">
        <v>680000</v>
      </c>
    </row>
    <row r="2354" spans="1:5" ht="15" customHeight="1">
      <c r="A2354" s="922" t="str">
        <f>A2353</f>
        <v>페르가메나타 펄
(PERP)</v>
      </c>
      <c r="B2354" s="846"/>
      <c r="C2354" s="415">
        <v>165</v>
      </c>
      <c r="D2354" s="150" t="s">
        <v>4571</v>
      </c>
      <c r="E2354" s="423">
        <v>720000</v>
      </c>
    </row>
    <row r="2355" spans="1:5" ht="15" customHeight="1">
      <c r="A2355" s="922" t="str">
        <f>A2354</f>
        <v>페르가메나타 펄
(PERP)</v>
      </c>
      <c r="B2355" s="849"/>
      <c r="C2355" s="415">
        <v>235</v>
      </c>
      <c r="D2355" s="476" t="s">
        <v>4572</v>
      </c>
      <c r="E2355" s="423">
        <v>1390000</v>
      </c>
    </row>
    <row r="2356" spans="1:5" ht="15" customHeight="1">
      <c r="A2356" s="927" t="s">
        <v>4573</v>
      </c>
      <c r="B2356" s="582" t="s">
        <v>4574</v>
      </c>
      <c r="C2356" s="443">
        <v>75</v>
      </c>
      <c r="D2356" s="444" t="s">
        <v>4575</v>
      </c>
      <c r="E2356" s="445">
        <v>350000</v>
      </c>
    </row>
    <row r="2357" spans="1:5" ht="15" customHeight="1">
      <c r="A2357" s="922" t="str">
        <f t="shared" ref="A2357:A2366" si="95">A2356</f>
        <v xml:space="preserve">폴리아트
(PO2)  
</v>
      </c>
      <c r="B2357" s="848" t="s">
        <v>1757</v>
      </c>
      <c r="C2357" s="89">
        <v>75</v>
      </c>
      <c r="D2357" s="153"/>
      <c r="E2357" s="241">
        <v>495000</v>
      </c>
    </row>
    <row r="2358" spans="1:5" ht="15" customHeight="1">
      <c r="A2358" s="922" t="str">
        <f t="shared" si="95"/>
        <v xml:space="preserve">폴리아트
(PO2)  
</v>
      </c>
      <c r="B2358" s="846"/>
      <c r="C2358" s="415">
        <v>90</v>
      </c>
      <c r="D2358" s="150"/>
      <c r="E2358" s="423">
        <v>600000</v>
      </c>
    </row>
    <row r="2359" spans="1:5" ht="15" customHeight="1">
      <c r="A2359" s="922" t="str">
        <f t="shared" si="95"/>
        <v xml:space="preserve">폴리아트
(PO2)  
</v>
      </c>
      <c r="B2359" s="846"/>
      <c r="C2359" s="415">
        <v>110</v>
      </c>
      <c r="D2359" s="150"/>
      <c r="E2359" s="423">
        <v>725000</v>
      </c>
    </row>
    <row r="2360" spans="1:5" ht="15" customHeight="1">
      <c r="A2360" s="922" t="str">
        <f t="shared" si="95"/>
        <v xml:space="preserve">폴리아트
(PO2)  
</v>
      </c>
      <c r="B2360" s="846"/>
      <c r="C2360" s="415">
        <v>140</v>
      </c>
      <c r="D2360" s="150"/>
      <c r="E2360" s="423">
        <v>920000</v>
      </c>
    </row>
    <row r="2361" spans="1:5" ht="15" customHeight="1">
      <c r="A2361" s="922" t="str">
        <f t="shared" si="95"/>
        <v xml:space="preserve">폴리아트
(PO2)  
</v>
      </c>
      <c r="B2361" s="846"/>
      <c r="C2361" s="415">
        <v>170</v>
      </c>
      <c r="D2361" s="150"/>
      <c r="E2361" s="423">
        <v>1120000</v>
      </c>
    </row>
    <row r="2362" spans="1:5" ht="15" customHeight="1">
      <c r="A2362" s="922" t="str">
        <f t="shared" si="95"/>
        <v xml:space="preserve">폴리아트
(PO2)  
</v>
      </c>
      <c r="B2362" s="846"/>
      <c r="C2362" s="415">
        <v>200</v>
      </c>
      <c r="D2362" s="150"/>
      <c r="E2362" s="423">
        <v>1315000</v>
      </c>
    </row>
    <row r="2363" spans="1:5" ht="15" customHeight="1">
      <c r="A2363" s="922" t="str">
        <f t="shared" si="95"/>
        <v xml:space="preserve">폴리아트
(PO2)  
</v>
      </c>
      <c r="B2363" s="851"/>
      <c r="C2363" s="287">
        <v>240</v>
      </c>
      <c r="D2363" s="288"/>
      <c r="E2363" s="289">
        <v>1580000</v>
      </c>
    </row>
    <row r="2364" spans="1:5" ht="15" customHeight="1">
      <c r="A2364" s="922" t="str">
        <f t="shared" si="95"/>
        <v xml:space="preserve">폴리아트
(PO2)  
</v>
      </c>
      <c r="B2364" s="848" t="s">
        <v>1757</v>
      </c>
      <c r="C2364" s="415">
        <v>60</v>
      </c>
      <c r="D2364" s="150" t="s">
        <v>2314</v>
      </c>
      <c r="E2364" s="241">
        <v>665000</v>
      </c>
    </row>
    <row r="2365" spans="1:5" ht="15" customHeight="1">
      <c r="A2365" s="922" t="str">
        <f t="shared" si="95"/>
        <v xml:space="preserve">폴리아트
(PO2)  
</v>
      </c>
      <c r="B2365" s="846"/>
      <c r="C2365" s="415">
        <v>95</v>
      </c>
      <c r="D2365" s="257" t="s">
        <v>4576</v>
      </c>
      <c r="E2365" s="364">
        <v>315000</v>
      </c>
    </row>
    <row r="2366" spans="1:5" ht="15" customHeight="1">
      <c r="A2366" s="922" t="str">
        <f t="shared" si="95"/>
        <v xml:space="preserve">폴리아트
(PO2)  
</v>
      </c>
      <c r="B2366" s="851"/>
      <c r="C2366" s="287">
        <v>150</v>
      </c>
      <c r="D2366" s="348" t="s">
        <v>4577</v>
      </c>
      <c r="E2366" s="341">
        <v>495000</v>
      </c>
    </row>
    <row r="2367" spans="1:5" ht="15" customHeight="1">
      <c r="A2367" s="969" t="s">
        <v>4578</v>
      </c>
      <c r="B2367" s="915" t="s">
        <v>1752</v>
      </c>
      <c r="C2367" s="585">
        <v>100</v>
      </c>
      <c r="D2367" s="586" t="s">
        <v>4579</v>
      </c>
      <c r="E2367" s="687">
        <v>235000</v>
      </c>
    </row>
    <row r="2368" spans="1:5" ht="15" customHeight="1">
      <c r="A2368" s="948" t="str">
        <f t="shared" ref="A2368:A2388" si="96">A2367</f>
        <v>하모니
(HAR)
계약공급</v>
      </c>
      <c r="B2368" s="846"/>
      <c r="C2368" s="415">
        <v>128</v>
      </c>
      <c r="D2368" s="150"/>
      <c r="E2368" s="687">
        <v>310000</v>
      </c>
    </row>
    <row r="2369" spans="1:5" ht="15" customHeight="1">
      <c r="A2369" s="948" t="str">
        <f t="shared" si="96"/>
        <v>하모니
(HAR)
계약공급</v>
      </c>
      <c r="B2369" s="846"/>
      <c r="C2369" s="415">
        <v>157</v>
      </c>
      <c r="D2369" s="150"/>
      <c r="E2369" s="687">
        <v>365000</v>
      </c>
    </row>
    <row r="2370" spans="1:5" ht="15" customHeight="1">
      <c r="A2370" s="948" t="str">
        <f t="shared" si="96"/>
        <v>하모니
(HAR)
계약공급</v>
      </c>
      <c r="B2370" s="846"/>
      <c r="C2370" s="415">
        <v>198</v>
      </c>
      <c r="D2370" s="150"/>
      <c r="E2370" s="687">
        <v>475000</v>
      </c>
    </row>
    <row r="2371" spans="1:5" ht="15" customHeight="1">
      <c r="A2371" s="948" t="str">
        <f t="shared" si="96"/>
        <v>하모니
(HAR)
계약공급</v>
      </c>
      <c r="B2371" s="846"/>
      <c r="C2371" s="415">
        <v>233</v>
      </c>
      <c r="D2371" s="150"/>
      <c r="E2371" s="687">
        <v>560000</v>
      </c>
    </row>
    <row r="2372" spans="1:5" ht="15" customHeight="1">
      <c r="A2372" s="948" t="str">
        <f t="shared" si="96"/>
        <v>하모니
(HAR)
계약공급</v>
      </c>
      <c r="B2372" s="846"/>
      <c r="C2372" s="688">
        <v>100</v>
      </c>
      <c r="D2372" s="363" t="s">
        <v>4580</v>
      </c>
      <c r="E2372" s="364">
        <v>175000</v>
      </c>
    </row>
    <row r="2373" spans="1:5" ht="15" customHeight="1">
      <c r="A2373" s="948" t="str">
        <f t="shared" si="96"/>
        <v>하모니
(HAR)
계약공급</v>
      </c>
      <c r="B2373" s="846"/>
      <c r="C2373" s="681">
        <v>128</v>
      </c>
      <c r="D2373" s="257"/>
      <c r="E2373" s="424">
        <v>265000</v>
      </c>
    </row>
    <row r="2374" spans="1:5" ht="15" customHeight="1">
      <c r="A2374" s="948" t="str">
        <f t="shared" si="96"/>
        <v>하모니
(HAR)
계약공급</v>
      </c>
      <c r="B2374" s="846"/>
      <c r="C2374" s="681">
        <v>128</v>
      </c>
      <c r="D2374" s="257" t="s">
        <v>4581</v>
      </c>
      <c r="E2374" s="424">
        <v>215000</v>
      </c>
    </row>
    <row r="2375" spans="1:5" ht="15" customHeight="1">
      <c r="A2375" s="948" t="str">
        <f t="shared" si="96"/>
        <v>하모니
(HAR)
계약공급</v>
      </c>
      <c r="B2375" s="846"/>
      <c r="C2375" s="681">
        <v>157</v>
      </c>
      <c r="D2375" s="257" t="s">
        <v>4580</v>
      </c>
      <c r="E2375" s="424">
        <v>265000</v>
      </c>
    </row>
    <row r="2376" spans="1:5" ht="15" customHeight="1">
      <c r="A2376" s="948" t="str">
        <f t="shared" si="96"/>
        <v>하모니
(HAR)
계약공급</v>
      </c>
      <c r="B2376" s="846"/>
      <c r="C2376" s="681">
        <v>198</v>
      </c>
      <c r="D2376" s="257"/>
      <c r="E2376" s="424">
        <v>330000</v>
      </c>
    </row>
    <row r="2377" spans="1:5" ht="15" customHeight="1">
      <c r="A2377" s="948" t="str">
        <f t="shared" si="96"/>
        <v>하모니
(HAR)
계약공급</v>
      </c>
      <c r="B2377" s="851"/>
      <c r="C2377" s="681">
        <v>233</v>
      </c>
      <c r="D2377" s="257"/>
      <c r="E2377" s="341">
        <v>390000</v>
      </c>
    </row>
    <row r="2378" spans="1:5" ht="15" customHeight="1">
      <c r="A2378" s="948" t="str">
        <f t="shared" si="96"/>
        <v>하모니
(HAR)
계약공급</v>
      </c>
      <c r="B2378" s="848" t="s">
        <v>1754</v>
      </c>
      <c r="C2378" s="89">
        <v>100</v>
      </c>
      <c r="D2378" s="153" t="s">
        <v>4579</v>
      </c>
      <c r="E2378" s="241">
        <v>162500</v>
      </c>
    </row>
    <row r="2379" spans="1:5" ht="15" customHeight="1">
      <c r="A2379" s="948" t="str">
        <f t="shared" si="96"/>
        <v>하모니
(HAR)
계약공급</v>
      </c>
      <c r="B2379" s="846"/>
      <c r="C2379" s="415">
        <v>128</v>
      </c>
      <c r="D2379" s="150"/>
      <c r="E2379" s="423">
        <v>215000</v>
      </c>
    </row>
    <row r="2380" spans="1:5" ht="15" customHeight="1">
      <c r="A2380" s="948" t="str">
        <f t="shared" si="96"/>
        <v>하모니
(HAR)
계약공급</v>
      </c>
      <c r="B2380" s="846"/>
      <c r="C2380" s="415">
        <v>157</v>
      </c>
      <c r="D2380" s="150"/>
      <c r="E2380" s="423">
        <v>255000</v>
      </c>
    </row>
    <row r="2381" spans="1:5" ht="15" customHeight="1">
      <c r="A2381" s="948" t="str">
        <f t="shared" si="96"/>
        <v>하모니
(HAR)
계약공급</v>
      </c>
      <c r="B2381" s="846"/>
      <c r="C2381" s="415">
        <v>198</v>
      </c>
      <c r="D2381" s="150"/>
      <c r="E2381" s="423">
        <v>330000</v>
      </c>
    </row>
    <row r="2382" spans="1:5" ht="15" customHeight="1">
      <c r="A2382" s="948" t="str">
        <f t="shared" si="96"/>
        <v>하모니
(HAR)
계약공급</v>
      </c>
      <c r="B2382" s="846"/>
      <c r="C2382" s="415">
        <v>233</v>
      </c>
      <c r="D2382" s="150"/>
      <c r="E2382" s="423">
        <v>390000</v>
      </c>
    </row>
    <row r="2383" spans="1:5" ht="15" customHeight="1">
      <c r="A2383" s="948" t="str">
        <f t="shared" si="96"/>
        <v>하모니
(HAR)
계약공급</v>
      </c>
      <c r="B2383" s="846"/>
      <c r="C2383" s="688">
        <v>100</v>
      </c>
      <c r="D2383" s="363" t="s">
        <v>4582</v>
      </c>
      <c r="E2383" s="364">
        <v>120000</v>
      </c>
    </row>
    <row r="2384" spans="1:5" ht="15" customHeight="1">
      <c r="A2384" s="948" t="str">
        <f t="shared" si="96"/>
        <v>하모니
(HAR)
계약공급</v>
      </c>
      <c r="B2384" s="846"/>
      <c r="C2384" s="681">
        <v>130</v>
      </c>
      <c r="D2384" s="257"/>
      <c r="E2384" s="424">
        <v>150000</v>
      </c>
    </row>
    <row r="2385" spans="1:5" ht="15" customHeight="1">
      <c r="A2385" s="948" t="str">
        <f t="shared" si="96"/>
        <v>하모니
(HAR)
계약공급</v>
      </c>
      <c r="B2385" s="846"/>
      <c r="C2385" s="681">
        <v>130</v>
      </c>
      <c r="D2385" s="257" t="s">
        <v>4583</v>
      </c>
      <c r="E2385" s="424">
        <v>150000</v>
      </c>
    </row>
    <row r="2386" spans="1:5" ht="15" customHeight="1">
      <c r="A2386" s="948" t="str">
        <f t="shared" si="96"/>
        <v>하모니
(HAR)
계약공급</v>
      </c>
      <c r="B2386" s="846"/>
      <c r="C2386" s="681">
        <v>157</v>
      </c>
      <c r="D2386" s="257" t="s">
        <v>4580</v>
      </c>
      <c r="E2386" s="424">
        <v>185000</v>
      </c>
    </row>
    <row r="2387" spans="1:5" ht="15" customHeight="1">
      <c r="A2387" s="948" t="str">
        <f t="shared" si="96"/>
        <v>하모니
(HAR)
계약공급</v>
      </c>
      <c r="B2387" s="846"/>
      <c r="C2387" s="681">
        <v>198</v>
      </c>
      <c r="D2387" s="257"/>
      <c r="E2387" s="424">
        <v>230000</v>
      </c>
    </row>
    <row r="2388" spans="1:5" ht="15" customHeight="1">
      <c r="A2388" s="949" t="str">
        <f t="shared" si="96"/>
        <v>하모니
(HAR)
계약공급</v>
      </c>
      <c r="B2388" s="847"/>
      <c r="C2388" s="689">
        <v>233</v>
      </c>
      <c r="D2388" s="258"/>
      <c r="E2388" s="259">
        <v>275000</v>
      </c>
    </row>
    <row r="2389" spans="1:5" ht="15" customHeight="1">
      <c r="A2389" s="940" t="s">
        <v>4584</v>
      </c>
      <c r="B2389" s="1018" t="s">
        <v>4585</v>
      </c>
      <c r="C2389" s="415">
        <v>440</v>
      </c>
      <c r="D2389" s="668" t="s">
        <v>4586</v>
      </c>
      <c r="E2389" s="425">
        <v>900000</v>
      </c>
    </row>
    <row r="2390" spans="1:5" ht="15" customHeight="1">
      <c r="A2390" s="940" t="str">
        <f t="shared" ref="A2390:A2419" si="97">A2389</f>
        <v>하이보드
(HB)</v>
      </c>
      <c r="B2390" s="1019"/>
      <c r="C2390" s="415" t="s">
        <v>1755</v>
      </c>
      <c r="D2390" s="339" t="s">
        <v>4587</v>
      </c>
      <c r="E2390" s="424">
        <v>740000</v>
      </c>
    </row>
    <row r="2391" spans="1:5" ht="15" customHeight="1">
      <c r="A2391" s="940" t="e">
        <f>#REF!</f>
        <v>#REF!</v>
      </c>
      <c r="B2391" s="1019"/>
      <c r="C2391" s="415"/>
      <c r="D2391" s="337">
        <v>43</v>
      </c>
      <c r="E2391" s="423">
        <v>1175000</v>
      </c>
    </row>
    <row r="2392" spans="1:5" ht="15" customHeight="1">
      <c r="A2392" s="940" t="e">
        <f t="shared" si="97"/>
        <v>#REF!</v>
      </c>
      <c r="B2392" s="1019"/>
      <c r="C2392" s="415"/>
      <c r="D2392" s="150" t="s">
        <v>4588</v>
      </c>
      <c r="E2392" s="423">
        <v>575000</v>
      </c>
    </row>
    <row r="2393" spans="1:5" ht="15" customHeight="1">
      <c r="A2393" s="940" t="e">
        <f t="shared" si="97"/>
        <v>#REF!</v>
      </c>
      <c r="B2393" s="1019"/>
      <c r="C2393" s="415"/>
      <c r="D2393" s="337" t="s">
        <v>4589</v>
      </c>
      <c r="E2393" s="423">
        <v>1125000</v>
      </c>
    </row>
    <row r="2394" spans="1:5" ht="15" customHeight="1">
      <c r="A2394" s="940" t="e">
        <f t="shared" si="97"/>
        <v>#REF!</v>
      </c>
      <c r="B2394" s="1019"/>
      <c r="C2394" s="415"/>
      <c r="D2394" s="419" t="s">
        <v>4590</v>
      </c>
      <c r="E2394" s="423">
        <v>1380000</v>
      </c>
    </row>
    <row r="2395" spans="1:5" ht="15" customHeight="1">
      <c r="A2395" s="940" t="e">
        <f t="shared" si="97"/>
        <v>#REF!</v>
      </c>
      <c r="B2395" s="1019"/>
      <c r="C2395" s="415"/>
      <c r="D2395" s="690">
        <v>57</v>
      </c>
      <c r="E2395" s="423">
        <v>1550000</v>
      </c>
    </row>
    <row r="2396" spans="1:5" ht="15" customHeight="1">
      <c r="A2396" s="940" t="e">
        <f t="shared" si="97"/>
        <v>#REF!</v>
      </c>
      <c r="B2396" s="1019"/>
      <c r="C2396" s="415"/>
      <c r="D2396" s="339" t="s">
        <v>4591</v>
      </c>
      <c r="E2396" s="424">
        <v>900000</v>
      </c>
    </row>
    <row r="2397" spans="1:5" ht="15" customHeight="1">
      <c r="A2397" s="940" t="e">
        <f t="shared" si="97"/>
        <v>#REF!</v>
      </c>
      <c r="B2397" s="1019"/>
      <c r="C2397" s="415"/>
      <c r="D2397" s="337">
        <v>63</v>
      </c>
      <c r="E2397" s="423">
        <v>1325000</v>
      </c>
    </row>
    <row r="2398" spans="1:5" ht="15" customHeight="1">
      <c r="A2398" s="940" t="e">
        <f t="shared" si="97"/>
        <v>#REF!</v>
      </c>
      <c r="B2398" s="1019"/>
      <c r="C2398" s="415"/>
      <c r="D2398" s="337" t="s">
        <v>4592</v>
      </c>
      <c r="E2398" s="423">
        <v>1235000</v>
      </c>
    </row>
    <row r="2399" spans="1:5" ht="15" customHeight="1">
      <c r="A2399" s="940" t="e">
        <f t="shared" si="97"/>
        <v>#REF!</v>
      </c>
      <c r="B2399" s="1019"/>
      <c r="C2399" s="89">
        <v>550</v>
      </c>
      <c r="D2399" s="153" t="s">
        <v>4593</v>
      </c>
      <c r="E2399" s="241">
        <v>420000</v>
      </c>
    </row>
    <row r="2400" spans="1:5" ht="15" customHeight="1">
      <c r="A2400" s="940" t="e">
        <f t="shared" si="97"/>
        <v>#REF!</v>
      </c>
      <c r="B2400" s="1019"/>
      <c r="C2400" s="287" t="s">
        <v>1755</v>
      </c>
      <c r="D2400" s="288" t="s">
        <v>4594</v>
      </c>
      <c r="E2400" s="289">
        <v>450000</v>
      </c>
    </row>
    <row r="2401" spans="1:5" ht="15" customHeight="1">
      <c r="A2401" s="940" t="e">
        <f t="shared" si="97"/>
        <v>#REF!</v>
      </c>
      <c r="B2401" s="1019"/>
      <c r="C2401" s="89">
        <v>370</v>
      </c>
      <c r="D2401" s="153" t="s">
        <v>4595</v>
      </c>
      <c r="E2401" s="241">
        <v>650000</v>
      </c>
    </row>
    <row r="2402" spans="1:5" ht="15" customHeight="1">
      <c r="A2402" s="940" t="e">
        <f t="shared" si="97"/>
        <v>#REF!</v>
      </c>
      <c r="B2402" s="1019"/>
      <c r="C2402" s="415"/>
      <c r="D2402" s="150" t="s">
        <v>4596</v>
      </c>
      <c r="E2402" s="423">
        <v>620000</v>
      </c>
    </row>
    <row r="2403" spans="1:5" ht="15" customHeight="1">
      <c r="A2403" s="940" t="e">
        <f t="shared" si="97"/>
        <v>#REF!</v>
      </c>
      <c r="B2403" s="1019"/>
      <c r="C2403" s="415"/>
      <c r="D2403" s="257" t="s">
        <v>4597</v>
      </c>
      <c r="E2403" s="424">
        <v>525000</v>
      </c>
    </row>
    <row r="2404" spans="1:5" ht="15" customHeight="1">
      <c r="A2404" s="940" t="e">
        <f t="shared" si="97"/>
        <v>#REF!</v>
      </c>
      <c r="B2404" s="1019"/>
      <c r="C2404" s="287"/>
      <c r="D2404" s="288" t="s">
        <v>4598</v>
      </c>
      <c r="E2404" s="289">
        <v>450000</v>
      </c>
    </row>
    <row r="2405" spans="1:5" ht="15" customHeight="1">
      <c r="A2405" s="940"/>
      <c r="B2405" s="1019"/>
      <c r="C2405" s="89">
        <v>400</v>
      </c>
      <c r="D2405" s="222" t="s">
        <v>4599</v>
      </c>
      <c r="E2405" s="425">
        <v>1075000</v>
      </c>
    </row>
    <row r="2406" spans="1:5" ht="15" customHeight="1">
      <c r="A2406" s="940"/>
      <c r="B2406" s="1019"/>
      <c r="C2406" s="89">
        <v>420</v>
      </c>
      <c r="D2406" s="555" t="s">
        <v>4600</v>
      </c>
      <c r="E2406" s="691">
        <v>850000</v>
      </c>
    </row>
    <row r="2407" spans="1:5" ht="15" customHeight="1">
      <c r="A2407" s="940"/>
      <c r="B2407" s="1019"/>
      <c r="C2407" s="89">
        <v>540</v>
      </c>
      <c r="D2407" s="692" t="s">
        <v>4601</v>
      </c>
      <c r="E2407" s="366">
        <v>800000</v>
      </c>
    </row>
    <row r="2408" spans="1:5" ht="15" customHeight="1">
      <c r="A2408" s="940"/>
      <c r="B2408" s="1019"/>
      <c r="C2408" s="287" t="s">
        <v>1755</v>
      </c>
      <c r="D2408" s="598" t="s">
        <v>4602</v>
      </c>
      <c r="E2408" s="571">
        <v>825000</v>
      </c>
    </row>
    <row r="2409" spans="1:5" ht="15" customHeight="1">
      <c r="A2409" s="940" t="e">
        <f>A2404</f>
        <v>#REF!</v>
      </c>
      <c r="B2409" s="1022"/>
      <c r="C2409" s="89">
        <v>400</v>
      </c>
      <c r="D2409" s="222" t="s">
        <v>4603</v>
      </c>
      <c r="E2409" s="425">
        <v>750000</v>
      </c>
    </row>
    <row r="2410" spans="1:5" ht="15" customHeight="1">
      <c r="A2410" s="940" t="e">
        <f t="shared" si="97"/>
        <v>#REF!</v>
      </c>
      <c r="B2410" s="277" t="s">
        <v>4604</v>
      </c>
      <c r="C2410" s="90">
        <v>400</v>
      </c>
      <c r="D2410" s="156" t="s">
        <v>4605</v>
      </c>
      <c r="E2410" s="244">
        <v>925000</v>
      </c>
    </row>
    <row r="2411" spans="1:5" ht="15" customHeight="1">
      <c r="A2411" s="940" t="e">
        <f t="shared" si="97"/>
        <v>#REF!</v>
      </c>
      <c r="B2411" s="277" t="s">
        <v>4606</v>
      </c>
      <c r="C2411" s="90">
        <v>370</v>
      </c>
      <c r="D2411" s="273" t="s">
        <v>4607</v>
      </c>
      <c r="E2411" s="274">
        <v>420000</v>
      </c>
    </row>
    <row r="2412" spans="1:5" ht="15" customHeight="1">
      <c r="A2412" s="940" t="e">
        <f t="shared" si="97"/>
        <v>#REF!</v>
      </c>
      <c r="B2412" s="866" t="s">
        <v>4608</v>
      </c>
      <c r="C2412" s="89">
        <v>370</v>
      </c>
      <c r="D2412" s="153" t="s">
        <v>4609</v>
      </c>
      <c r="E2412" s="241">
        <v>305000</v>
      </c>
    </row>
    <row r="2413" spans="1:5" ht="15" customHeight="1">
      <c r="A2413" s="940" t="e">
        <f t="shared" si="97"/>
        <v>#REF!</v>
      </c>
      <c r="B2413" s="867"/>
      <c r="C2413" s="415" t="s">
        <v>1755</v>
      </c>
      <c r="D2413" s="150" t="s">
        <v>4610</v>
      </c>
      <c r="E2413" s="423">
        <v>300000</v>
      </c>
    </row>
    <row r="2414" spans="1:5" ht="15" customHeight="1">
      <c r="A2414" s="940" t="e">
        <f t="shared" si="97"/>
        <v>#REF!</v>
      </c>
      <c r="B2414" s="867"/>
      <c r="C2414" s="90">
        <v>400</v>
      </c>
      <c r="D2414" s="277" t="s">
        <v>4611</v>
      </c>
      <c r="E2414" s="244">
        <v>550000</v>
      </c>
    </row>
    <row r="2415" spans="1:5" ht="15" customHeight="1">
      <c r="A2415" s="940" t="e">
        <f t="shared" si="97"/>
        <v>#REF!</v>
      </c>
      <c r="B2415" s="867"/>
      <c r="C2415" s="415">
        <v>440</v>
      </c>
      <c r="D2415" s="467" t="s">
        <v>4612</v>
      </c>
      <c r="E2415" s="424">
        <v>500000</v>
      </c>
    </row>
    <row r="2416" spans="1:5" ht="15" customHeight="1">
      <c r="A2416" s="940" t="e">
        <f t="shared" si="97"/>
        <v>#REF!</v>
      </c>
      <c r="B2416" s="867"/>
      <c r="C2416" s="415"/>
      <c r="D2416" s="257" t="s">
        <v>4613</v>
      </c>
      <c r="E2416" s="424">
        <v>640000</v>
      </c>
    </row>
    <row r="2417" spans="1:7" ht="15" customHeight="1">
      <c r="A2417" s="940"/>
      <c r="B2417" s="867"/>
      <c r="C2417" s="415" t="s">
        <v>1755</v>
      </c>
      <c r="D2417" s="150" t="s">
        <v>4614</v>
      </c>
      <c r="E2417" s="423">
        <v>1200000</v>
      </c>
      <c r="G2417" s="99"/>
    </row>
    <row r="2418" spans="1:7" ht="15" customHeight="1">
      <c r="A2418" s="940" t="e">
        <f>A2416</f>
        <v>#REF!</v>
      </c>
      <c r="B2418" s="867"/>
      <c r="C2418" s="415" t="s">
        <v>1755</v>
      </c>
      <c r="D2418" s="150">
        <v>25</v>
      </c>
      <c r="E2418" s="423">
        <v>600000</v>
      </c>
      <c r="G2418" s="99"/>
    </row>
    <row r="2419" spans="1:7" ht="15" customHeight="1">
      <c r="A2419" s="940" t="e">
        <f t="shared" si="97"/>
        <v>#REF!</v>
      </c>
      <c r="B2419" s="1021"/>
      <c r="C2419" s="287"/>
      <c r="D2419" s="348" t="s">
        <v>4615</v>
      </c>
      <c r="E2419" s="341">
        <v>450000</v>
      </c>
      <c r="G2419" s="99"/>
    </row>
    <row r="2420" spans="1:7" ht="15" customHeight="1">
      <c r="A2420" s="967" t="s">
        <v>4616</v>
      </c>
      <c r="B2420" s="1018" t="s">
        <v>1752</v>
      </c>
      <c r="C2420" s="585">
        <v>64</v>
      </c>
      <c r="D2420" s="586" t="s">
        <v>4617</v>
      </c>
      <c r="E2420" s="587">
        <v>245000</v>
      </c>
      <c r="G2420" s="99"/>
    </row>
    <row r="2421" spans="1:7" ht="15" customHeight="1">
      <c r="A2421" s="967" t="str">
        <f t="shared" ref="A2421:A2424" si="98">A2420</f>
        <v>하프 에어
(HALF)*</v>
      </c>
      <c r="B2421" s="1019"/>
      <c r="C2421" s="415">
        <v>81.400000000000006</v>
      </c>
      <c r="D2421" s="150"/>
      <c r="E2421" s="423">
        <v>305000</v>
      </c>
      <c r="G2421" s="99"/>
    </row>
    <row r="2422" spans="1:7" ht="15" customHeight="1">
      <c r="A2422" s="967" t="str">
        <f t="shared" si="98"/>
        <v>하프 에어
(HALF)*</v>
      </c>
      <c r="B2422" s="1019"/>
      <c r="C2422" s="415">
        <v>104.7</v>
      </c>
      <c r="D2422" s="150"/>
      <c r="E2422" s="423">
        <v>390000</v>
      </c>
      <c r="G2422" s="99"/>
    </row>
    <row r="2423" spans="1:7" ht="15" customHeight="1">
      <c r="A2423" s="967" t="str">
        <f t="shared" si="98"/>
        <v>하프 에어
(HALF)*</v>
      </c>
      <c r="B2423" s="1019"/>
      <c r="C2423" s="415">
        <v>127.9</v>
      </c>
      <c r="D2423" s="150"/>
      <c r="E2423" s="423">
        <v>480000</v>
      </c>
      <c r="G2423" s="99"/>
    </row>
    <row r="2424" spans="1:7" ht="15" customHeight="1">
      <c r="A2424" s="1009" t="str">
        <f t="shared" si="98"/>
        <v>하프 에어
(HALF)*</v>
      </c>
      <c r="B2424" s="1020"/>
      <c r="C2424" s="154">
        <v>209.4</v>
      </c>
      <c r="D2424" s="487"/>
      <c r="E2424" s="669">
        <v>790000</v>
      </c>
      <c r="G2424" s="99"/>
    </row>
    <row r="2425" spans="1:7" ht="15" customHeight="1">
      <c r="A2425" s="954" t="s">
        <v>4618</v>
      </c>
      <c r="B2425" s="909" t="s">
        <v>4619</v>
      </c>
      <c r="C2425" s="693">
        <v>215</v>
      </c>
      <c r="D2425" s="694" t="s">
        <v>4620</v>
      </c>
      <c r="E2425" s="695">
        <v>215000</v>
      </c>
      <c r="G2425" s="99"/>
    </row>
    <row r="2426" spans="1:7" ht="15" customHeight="1">
      <c r="A2426" s="1010"/>
      <c r="B2426" s="910"/>
      <c r="C2426" s="696">
        <v>250</v>
      </c>
      <c r="D2426" s="240" t="s">
        <v>4621</v>
      </c>
      <c r="E2426" s="687">
        <v>243000</v>
      </c>
      <c r="G2426" s="99"/>
    </row>
    <row r="2427" spans="1:7" ht="15" customHeight="1">
      <c r="A2427" s="1010"/>
      <c r="B2427" s="910"/>
      <c r="C2427" s="696">
        <v>270</v>
      </c>
      <c r="D2427" s="240" t="s">
        <v>4622</v>
      </c>
      <c r="E2427" s="687">
        <v>262000</v>
      </c>
      <c r="G2427" s="99"/>
    </row>
    <row r="2428" spans="1:7" ht="15" customHeight="1">
      <c r="A2428" s="1010"/>
      <c r="B2428" s="910"/>
      <c r="C2428" s="696">
        <v>295</v>
      </c>
      <c r="D2428" s="240" t="s">
        <v>4623</v>
      </c>
      <c r="E2428" s="687">
        <v>286500</v>
      </c>
      <c r="G2428" s="99"/>
    </row>
    <row r="2429" spans="1:7" ht="15" customHeight="1">
      <c r="A2429" s="1010"/>
      <c r="B2429" s="1023"/>
      <c r="C2429" s="696">
        <v>325</v>
      </c>
      <c r="D2429" s="240" t="s">
        <v>4624</v>
      </c>
      <c r="E2429" s="687">
        <v>316000</v>
      </c>
      <c r="G2429" s="99"/>
    </row>
    <row r="2430" spans="1:7" ht="15" customHeight="1">
      <c r="A2430" s="1010"/>
      <c r="B2430" s="248" t="s">
        <v>4625</v>
      </c>
      <c r="C2430" s="697">
        <v>295</v>
      </c>
      <c r="D2430" s="160" t="s">
        <v>4626</v>
      </c>
      <c r="E2430" s="698">
        <v>145000</v>
      </c>
    </row>
    <row r="2431" spans="1:7" ht="15" customHeight="1">
      <c r="A2431" s="1010"/>
      <c r="B2431" s="303" t="s">
        <v>4627</v>
      </c>
      <c r="C2431" s="699">
        <v>295</v>
      </c>
      <c r="D2431" s="700" t="s">
        <v>4628</v>
      </c>
      <c r="E2431" s="701">
        <v>200000</v>
      </c>
    </row>
    <row r="2432" spans="1:7" ht="15" customHeight="1">
      <c r="A2432" s="1010"/>
      <c r="B2432" s="945" t="s">
        <v>4629</v>
      </c>
      <c r="C2432" s="696">
        <v>250</v>
      </c>
      <c r="D2432" s="240" t="s">
        <v>4630</v>
      </c>
      <c r="E2432" s="687">
        <v>169000</v>
      </c>
    </row>
    <row r="2433" spans="1:5" ht="15" customHeight="1">
      <c r="A2433" s="1010"/>
      <c r="B2433" s="911"/>
      <c r="C2433" s="702">
        <v>295</v>
      </c>
      <c r="D2433" s="242" t="s">
        <v>4631</v>
      </c>
      <c r="E2433" s="703">
        <v>200000</v>
      </c>
    </row>
    <row r="2434" spans="1:5" ht="15" customHeight="1">
      <c r="A2434" s="1011" t="s">
        <v>4682</v>
      </c>
      <c r="B2434" s="1013" t="s">
        <v>4683</v>
      </c>
      <c r="C2434" s="705">
        <v>85</v>
      </c>
      <c r="D2434" s="706" t="s">
        <v>4684</v>
      </c>
      <c r="E2434" s="766">
        <v>590</v>
      </c>
    </row>
    <row r="2435" spans="1:5" ht="15" customHeight="1">
      <c r="A2435" s="1007"/>
      <c r="B2435" s="944"/>
      <c r="C2435" s="708">
        <v>85</v>
      </c>
      <c r="D2435" s="151" t="s">
        <v>4685</v>
      </c>
      <c r="E2435" s="767">
        <v>650</v>
      </c>
    </row>
    <row r="2436" spans="1:5" ht="15" customHeight="1">
      <c r="A2436" s="1007"/>
      <c r="B2436" s="707" t="s">
        <v>4686</v>
      </c>
      <c r="C2436" s="709">
        <v>110</v>
      </c>
      <c r="D2436" s="710" t="s">
        <v>4687</v>
      </c>
      <c r="E2436" s="768">
        <v>530</v>
      </c>
    </row>
    <row r="2437" spans="1:5" ht="15" customHeight="1">
      <c r="A2437" s="1007"/>
      <c r="B2437" s="711" t="s">
        <v>4688</v>
      </c>
      <c r="C2437" s="708">
        <v>85</v>
      </c>
      <c r="D2437" s="151" t="s">
        <v>4689</v>
      </c>
      <c r="E2437" s="767">
        <v>510</v>
      </c>
    </row>
    <row r="2438" spans="1:5" ht="15" customHeight="1">
      <c r="A2438" s="1007"/>
      <c r="B2438" s="942" t="s">
        <v>4690</v>
      </c>
      <c r="C2438" s="712">
        <v>85</v>
      </c>
      <c r="D2438" s="713" t="s">
        <v>4691</v>
      </c>
      <c r="E2438" s="769">
        <v>460</v>
      </c>
    </row>
    <row r="2439" spans="1:5" ht="15" customHeight="1">
      <c r="A2439" s="1007"/>
      <c r="B2439" s="943"/>
      <c r="C2439" s="708">
        <v>85</v>
      </c>
      <c r="D2439" s="715" t="s">
        <v>4692</v>
      </c>
      <c r="E2439" s="767">
        <v>460</v>
      </c>
    </row>
    <row r="2440" spans="1:5" ht="15" customHeight="1">
      <c r="A2440" s="1007"/>
      <c r="B2440" s="943"/>
      <c r="C2440" s="708">
        <v>85</v>
      </c>
      <c r="D2440" s="715" t="s">
        <v>4693</v>
      </c>
      <c r="E2440" s="767">
        <v>530</v>
      </c>
    </row>
    <row r="2441" spans="1:5" ht="15" customHeight="1">
      <c r="A2441" s="1007"/>
      <c r="B2441" s="943"/>
      <c r="C2441" s="716">
        <v>75</v>
      </c>
      <c r="D2441" s="717" t="s">
        <v>4694</v>
      </c>
      <c r="E2441" s="770">
        <v>460</v>
      </c>
    </row>
    <row r="2442" spans="1:5" ht="15" customHeight="1">
      <c r="A2442" s="1007"/>
      <c r="B2442" s="943"/>
      <c r="C2442" s="712">
        <v>170</v>
      </c>
      <c r="D2442" s="718" t="s">
        <v>4695</v>
      </c>
      <c r="E2442" s="769">
        <v>1650</v>
      </c>
    </row>
    <row r="2443" spans="1:5" ht="15" customHeight="1">
      <c r="A2443" s="1007"/>
      <c r="B2443" s="944"/>
      <c r="C2443" s="716">
        <v>170</v>
      </c>
      <c r="D2443" s="719" t="s">
        <v>4696</v>
      </c>
      <c r="E2443" s="771">
        <v>1100</v>
      </c>
    </row>
    <row r="2444" spans="1:5" ht="15" customHeight="1">
      <c r="A2444" s="1007"/>
      <c r="B2444" s="942" t="s">
        <v>4832</v>
      </c>
      <c r="C2444" s="708">
        <v>100</v>
      </c>
      <c r="D2444" s="151" t="s">
        <v>4697</v>
      </c>
      <c r="E2444" s="767">
        <v>550</v>
      </c>
    </row>
    <row r="2445" spans="1:5" ht="15" customHeight="1">
      <c r="A2445" s="1007"/>
      <c r="B2445" s="943"/>
      <c r="C2445" s="708">
        <v>200</v>
      </c>
      <c r="D2445" s="151" t="s">
        <v>4698</v>
      </c>
      <c r="E2445" s="767">
        <v>2090</v>
      </c>
    </row>
    <row r="2446" spans="1:5" ht="15" customHeight="1">
      <c r="A2446" s="1007"/>
      <c r="B2446" s="944"/>
      <c r="C2446" s="716">
        <v>270</v>
      </c>
      <c r="D2446" s="717" t="s">
        <v>4699</v>
      </c>
      <c r="E2446" s="770">
        <v>2420</v>
      </c>
    </row>
    <row r="2447" spans="1:5" ht="15" customHeight="1">
      <c r="A2447" s="1007"/>
      <c r="B2447" s="715" t="s">
        <v>4700</v>
      </c>
      <c r="C2447" s="1004">
        <v>75</v>
      </c>
      <c r="D2447" s="151" t="s">
        <v>4701</v>
      </c>
      <c r="E2447" s="767">
        <v>520</v>
      </c>
    </row>
    <row r="2448" spans="1:5" ht="15" customHeight="1">
      <c r="A2448" s="1007"/>
      <c r="B2448" s="720" t="s">
        <v>4702</v>
      </c>
      <c r="C2448" s="1014"/>
      <c r="D2448" s="717" t="s">
        <v>4703</v>
      </c>
      <c r="E2448" s="770">
        <v>520</v>
      </c>
    </row>
    <row r="2449" spans="1:5" ht="15" customHeight="1">
      <c r="A2449" s="1007"/>
      <c r="B2449" s="1015" t="s">
        <v>4704</v>
      </c>
      <c r="C2449" s="712">
        <v>80</v>
      </c>
      <c r="D2449" s="718" t="s">
        <v>4705</v>
      </c>
      <c r="E2449" s="769">
        <v>3150</v>
      </c>
    </row>
    <row r="2450" spans="1:5" ht="15" customHeight="1">
      <c r="A2450" s="1007"/>
      <c r="B2450" s="1015"/>
      <c r="C2450" s="716">
        <v>120</v>
      </c>
      <c r="D2450" s="717" t="s">
        <v>4706</v>
      </c>
      <c r="E2450" s="770">
        <v>4100</v>
      </c>
    </row>
    <row r="2451" spans="1:5" ht="15" customHeight="1">
      <c r="A2451" s="1007"/>
      <c r="B2451" s="942" t="s">
        <v>4707</v>
      </c>
      <c r="C2451" s="708">
        <v>40</v>
      </c>
      <c r="D2451" s="151" t="s">
        <v>4708</v>
      </c>
      <c r="E2451" s="767">
        <v>610</v>
      </c>
    </row>
    <row r="2452" spans="1:5" ht="15" customHeight="1">
      <c r="A2452" s="1007"/>
      <c r="B2452" s="942"/>
      <c r="C2452" s="708">
        <v>40</v>
      </c>
      <c r="D2452" s="151" t="s">
        <v>4709</v>
      </c>
      <c r="E2452" s="767">
        <v>540</v>
      </c>
    </row>
    <row r="2453" spans="1:5" ht="15" customHeight="1">
      <c r="A2453" s="1007"/>
      <c r="B2453" s="1015"/>
      <c r="C2453" s="716">
        <v>80</v>
      </c>
      <c r="D2453" s="717" t="s">
        <v>4710</v>
      </c>
      <c r="E2453" s="770">
        <v>1180</v>
      </c>
    </row>
    <row r="2454" spans="1:5" ht="15" customHeight="1">
      <c r="A2454" s="1007"/>
      <c r="B2454" s="1016" t="s">
        <v>4711</v>
      </c>
      <c r="C2454" s="708">
        <v>60</v>
      </c>
      <c r="D2454" s="151" t="s">
        <v>4712</v>
      </c>
      <c r="E2454" s="767">
        <v>470</v>
      </c>
    </row>
    <row r="2455" spans="1:5" s="93" customFormat="1" ht="14.4" customHeight="1">
      <c r="A2455" s="1007"/>
      <c r="B2455" s="1017"/>
      <c r="C2455" s="716">
        <v>90</v>
      </c>
      <c r="D2455" s="717" t="s">
        <v>4713</v>
      </c>
      <c r="E2455" s="770">
        <v>740</v>
      </c>
    </row>
    <row r="2456" spans="1:5" s="93" customFormat="1" ht="14.4" customHeight="1">
      <c r="A2456" s="1007"/>
      <c r="B2456" s="714" t="s">
        <v>4714</v>
      </c>
      <c r="C2456" s="712">
        <v>80</v>
      </c>
      <c r="D2456" s="718" t="s">
        <v>4715</v>
      </c>
      <c r="E2456" s="768">
        <v>800</v>
      </c>
    </row>
    <row r="2457" spans="1:5" s="93" customFormat="1" ht="14.4" customHeight="1">
      <c r="A2457" s="1007"/>
      <c r="B2457" s="942" t="s">
        <v>4831</v>
      </c>
      <c r="C2457" s="712">
        <v>120</v>
      </c>
      <c r="D2457" s="718" t="s">
        <v>1847</v>
      </c>
      <c r="E2457" s="767">
        <v>1430</v>
      </c>
    </row>
    <row r="2458" spans="1:5" s="93" customFormat="1" ht="14.4" customHeight="1">
      <c r="A2458" s="1007"/>
      <c r="B2458" s="943"/>
      <c r="C2458" s="708">
        <v>150</v>
      </c>
      <c r="D2458" s="151" t="s">
        <v>2961</v>
      </c>
      <c r="E2458" s="767">
        <v>1600</v>
      </c>
    </row>
    <row r="2459" spans="1:5" s="93" customFormat="1" ht="14.4" customHeight="1">
      <c r="A2459" s="1007"/>
      <c r="B2459" s="944"/>
      <c r="C2459" s="708">
        <v>200</v>
      </c>
      <c r="D2459" s="151" t="s">
        <v>4717</v>
      </c>
      <c r="E2459" s="767">
        <v>1900</v>
      </c>
    </row>
    <row r="2460" spans="1:5" s="93" customFormat="1" ht="14.4" customHeight="1">
      <c r="A2460" s="1007"/>
      <c r="B2460" s="942" t="s">
        <v>4830</v>
      </c>
      <c r="C2460" s="712">
        <v>125</v>
      </c>
      <c r="D2460" s="713" t="s">
        <v>4718</v>
      </c>
      <c r="E2460" s="769">
        <v>1460</v>
      </c>
    </row>
    <row r="2461" spans="1:5" s="93" customFormat="1" ht="14.4" customHeight="1">
      <c r="A2461" s="1007"/>
      <c r="B2461" s="943"/>
      <c r="C2461" s="708">
        <v>165</v>
      </c>
      <c r="D2461" s="715" t="s">
        <v>4719</v>
      </c>
      <c r="E2461" s="767">
        <v>1920</v>
      </c>
    </row>
    <row r="2462" spans="1:5" s="93" customFormat="1" ht="14.4" customHeight="1">
      <c r="A2462" s="1007"/>
      <c r="B2462" s="944"/>
      <c r="C2462" s="716">
        <v>165</v>
      </c>
      <c r="D2462" s="720" t="s">
        <v>4720</v>
      </c>
      <c r="E2462" s="770">
        <v>1920</v>
      </c>
    </row>
    <row r="2463" spans="1:5" s="93" customFormat="1" ht="14.4" customHeight="1">
      <c r="A2463" s="1007"/>
      <c r="B2463" s="942" t="s">
        <v>4716</v>
      </c>
      <c r="C2463" s="708">
        <v>180</v>
      </c>
      <c r="D2463" s="151" t="s">
        <v>4721</v>
      </c>
      <c r="E2463" s="767">
        <v>4100</v>
      </c>
    </row>
    <row r="2464" spans="1:5" s="93" customFormat="1" ht="14.4" customHeight="1">
      <c r="A2464" s="1007"/>
      <c r="B2464" s="943"/>
      <c r="C2464" s="709">
        <v>180</v>
      </c>
      <c r="D2464" s="710" t="s">
        <v>4722</v>
      </c>
      <c r="E2464" s="768">
        <v>4000</v>
      </c>
    </row>
    <row r="2465" spans="1:5" s="93" customFormat="1" ht="14.4" customHeight="1">
      <c r="A2465" s="1007"/>
      <c r="B2465" s="944"/>
      <c r="C2465" s="716">
        <v>240</v>
      </c>
      <c r="D2465" s="717" t="s">
        <v>4723</v>
      </c>
      <c r="E2465" s="767">
        <v>2600</v>
      </c>
    </row>
    <row r="2466" spans="1:5" ht="15" customHeight="1">
      <c r="A2466" s="1007"/>
      <c r="B2466" s="942" t="s">
        <v>4829</v>
      </c>
      <c r="C2466" s="708">
        <v>80</v>
      </c>
      <c r="D2466" s="722" t="s">
        <v>4724</v>
      </c>
      <c r="E2466" s="772">
        <v>870</v>
      </c>
    </row>
    <row r="2467" spans="1:5" ht="15" customHeight="1">
      <c r="A2467" s="1007"/>
      <c r="B2467" s="943"/>
      <c r="C2467" s="708">
        <v>100</v>
      </c>
      <c r="D2467" s="722" t="s">
        <v>4725</v>
      </c>
      <c r="E2467" s="772">
        <v>1040</v>
      </c>
    </row>
    <row r="2468" spans="1:5" ht="15" customHeight="1">
      <c r="A2468" s="1007"/>
      <c r="B2468" s="943"/>
      <c r="C2468" s="708">
        <v>160</v>
      </c>
      <c r="D2468" s="722" t="s">
        <v>4726</v>
      </c>
      <c r="E2468" s="772">
        <v>1260</v>
      </c>
    </row>
    <row r="2469" spans="1:5" ht="15" customHeight="1">
      <c r="A2469" s="1007"/>
      <c r="B2469" s="944"/>
      <c r="C2469" s="708">
        <v>240</v>
      </c>
      <c r="D2469" s="722" t="s">
        <v>4727</v>
      </c>
      <c r="E2469" s="772">
        <v>1850</v>
      </c>
    </row>
    <row r="2470" spans="1:5" ht="15" customHeight="1">
      <c r="A2470" s="1007"/>
      <c r="B2470" s="721" t="s">
        <v>4728</v>
      </c>
      <c r="C2470" s="709">
        <v>210</v>
      </c>
      <c r="D2470" s="723" t="s">
        <v>4729</v>
      </c>
      <c r="E2470" s="773">
        <v>3000</v>
      </c>
    </row>
    <row r="2471" spans="1:5" ht="15" customHeight="1">
      <c r="A2471" s="1012"/>
      <c r="B2471" s="724" t="s">
        <v>4730</v>
      </c>
      <c r="C2471" s="725">
        <v>185</v>
      </c>
      <c r="D2471" s="726" t="s">
        <v>4731</v>
      </c>
      <c r="E2471" s="774">
        <v>2620</v>
      </c>
    </row>
    <row r="2472" spans="1:5" ht="15" customHeight="1">
      <c r="A2472" s="1033" t="s">
        <v>4819</v>
      </c>
      <c r="B2472" s="727" t="s">
        <v>4732</v>
      </c>
      <c r="C2472" s="728">
        <v>58</v>
      </c>
      <c r="D2472" s="729" t="s">
        <v>4733</v>
      </c>
      <c r="E2472" s="775">
        <v>360</v>
      </c>
    </row>
    <row r="2473" spans="1:5" ht="15" customHeight="1">
      <c r="A2473" s="1007"/>
      <c r="B2473" s="720"/>
      <c r="C2473" s="708">
        <v>110</v>
      </c>
      <c r="D2473" s="730" t="s">
        <v>4734</v>
      </c>
      <c r="E2473" s="776">
        <v>860</v>
      </c>
    </row>
    <row r="2474" spans="1:5" ht="15" customHeight="1">
      <c r="A2474" s="1007"/>
      <c r="B2474" s="731" t="s">
        <v>4735</v>
      </c>
      <c r="C2474" s="708">
        <v>110</v>
      </c>
      <c r="D2474" s="732" t="s">
        <v>4736</v>
      </c>
      <c r="E2474" s="777">
        <v>1490000</v>
      </c>
    </row>
    <row r="2475" spans="1:5" ht="15" customHeight="1">
      <c r="A2475" s="1033" t="s">
        <v>4820</v>
      </c>
      <c r="B2475" s="727" t="s">
        <v>4737</v>
      </c>
      <c r="C2475" s="728">
        <v>80</v>
      </c>
      <c r="D2475" s="733" t="s">
        <v>4738</v>
      </c>
      <c r="E2475" s="778">
        <v>250</v>
      </c>
    </row>
    <row r="2476" spans="1:5" ht="15" customHeight="1">
      <c r="A2476" s="1007"/>
      <c r="B2476" s="1025" t="s">
        <v>4739</v>
      </c>
      <c r="C2476" s="716"/>
      <c r="D2476" s="151" t="s">
        <v>4740</v>
      </c>
      <c r="E2476" s="767">
        <v>250</v>
      </c>
    </row>
    <row r="2477" spans="1:5" ht="15" customHeight="1">
      <c r="A2477" s="1007"/>
      <c r="B2477" s="1025"/>
      <c r="C2477" s="712">
        <v>120</v>
      </c>
      <c r="D2477" s="718" t="s">
        <v>4741</v>
      </c>
      <c r="E2477" s="769">
        <v>380</v>
      </c>
    </row>
    <row r="2478" spans="1:5" ht="15" customHeight="1">
      <c r="A2478" s="1007"/>
      <c r="B2478" s="1017"/>
      <c r="C2478" s="716"/>
      <c r="D2478" s="717" t="s">
        <v>4742</v>
      </c>
      <c r="E2478" s="770">
        <v>420</v>
      </c>
    </row>
    <row r="2479" spans="1:5" ht="15" customHeight="1">
      <c r="A2479" s="1007"/>
      <c r="B2479" s="715" t="s">
        <v>4743</v>
      </c>
      <c r="C2479" s="708">
        <v>120</v>
      </c>
      <c r="D2479" s="151" t="s">
        <v>4744</v>
      </c>
      <c r="E2479" s="767">
        <v>600</v>
      </c>
    </row>
    <row r="2480" spans="1:5" ht="15" customHeight="1">
      <c r="A2480" s="1034" t="s">
        <v>4821</v>
      </c>
      <c r="B2480" s="1036" t="s">
        <v>4745</v>
      </c>
      <c r="C2480" s="96">
        <v>120</v>
      </c>
      <c r="D2480" s="97" t="s">
        <v>4746</v>
      </c>
      <c r="E2480" s="779">
        <v>428</v>
      </c>
    </row>
    <row r="2481" spans="1:5" ht="15" customHeight="1">
      <c r="A2481" s="1035"/>
      <c r="B2481" s="1037"/>
      <c r="C2481" s="96">
        <v>120</v>
      </c>
      <c r="D2481" s="97" t="s">
        <v>4747</v>
      </c>
      <c r="E2481" s="779">
        <v>410</v>
      </c>
    </row>
    <row r="2482" spans="1:5" ht="15" customHeight="1">
      <c r="A2482" s="1035" t="e">
        <f>#REF!</f>
        <v>#REF!</v>
      </c>
      <c r="B2482" s="734" t="s">
        <v>1982</v>
      </c>
      <c r="C2482" s="735">
        <v>120</v>
      </c>
      <c r="D2482" s="98" t="s">
        <v>4748</v>
      </c>
      <c r="E2482" s="476">
        <v>480</v>
      </c>
    </row>
    <row r="2483" spans="1:5" ht="15" customHeight="1">
      <c r="A2483" s="1011" t="s">
        <v>4822</v>
      </c>
      <c r="B2483" s="1028" t="s">
        <v>4749</v>
      </c>
      <c r="C2483" s="736">
        <v>200</v>
      </c>
      <c r="D2483" s="737" t="s">
        <v>4750</v>
      </c>
      <c r="E2483" s="780">
        <v>1140</v>
      </c>
    </row>
    <row r="2484" spans="1:5" ht="15" customHeight="1">
      <c r="A2484" s="1007"/>
      <c r="B2484" s="1025"/>
      <c r="C2484" s="712">
        <v>180</v>
      </c>
      <c r="D2484" s="732" t="s">
        <v>4751</v>
      </c>
      <c r="E2484" s="777">
        <v>1040</v>
      </c>
    </row>
    <row r="2485" spans="1:5" ht="15" customHeight="1">
      <c r="A2485" s="1007"/>
      <c r="B2485" s="1025"/>
      <c r="C2485" s="708"/>
      <c r="D2485" s="732" t="s">
        <v>4752</v>
      </c>
      <c r="E2485" s="777">
        <v>1040</v>
      </c>
    </row>
    <row r="2486" spans="1:5" ht="15" customHeight="1">
      <c r="A2486" s="1007"/>
      <c r="B2486" s="1025"/>
      <c r="C2486" s="708"/>
      <c r="D2486" s="732" t="s">
        <v>4753</v>
      </c>
      <c r="E2486" s="777">
        <v>1240</v>
      </c>
    </row>
    <row r="2487" spans="1:5" ht="15" customHeight="1">
      <c r="A2487" s="1007"/>
      <c r="B2487" s="1025"/>
      <c r="C2487" s="708"/>
      <c r="D2487" s="732" t="s">
        <v>4754</v>
      </c>
      <c r="E2487" s="777">
        <v>1240</v>
      </c>
    </row>
    <row r="2488" spans="1:5" ht="15" customHeight="1">
      <c r="A2488" s="1007"/>
      <c r="B2488" s="1025"/>
      <c r="C2488" s="708"/>
      <c r="D2488" s="732" t="s">
        <v>4755</v>
      </c>
      <c r="E2488" s="777">
        <v>1340</v>
      </c>
    </row>
    <row r="2489" spans="1:5" ht="15" customHeight="1">
      <c r="A2489" s="1007"/>
      <c r="B2489" s="1025"/>
      <c r="C2489" s="716"/>
      <c r="D2489" s="738" t="s">
        <v>4756</v>
      </c>
      <c r="E2489" s="781">
        <v>1490</v>
      </c>
    </row>
    <row r="2490" spans="1:5" ht="15" customHeight="1">
      <c r="A2490" s="1007"/>
      <c r="B2490" s="1025"/>
      <c r="C2490" s="709">
        <v>250</v>
      </c>
      <c r="D2490" s="739" t="s">
        <v>4757</v>
      </c>
      <c r="E2490" s="782">
        <v>1440</v>
      </c>
    </row>
    <row r="2491" spans="1:5" ht="15" customHeight="1">
      <c r="A2491" s="1007"/>
      <c r="B2491" s="1029"/>
      <c r="C2491" s="716">
        <v>280</v>
      </c>
      <c r="D2491" s="740" t="s">
        <v>4758</v>
      </c>
      <c r="E2491" s="777">
        <v>1610</v>
      </c>
    </row>
    <row r="2492" spans="1:5" ht="15" customHeight="1">
      <c r="A2492" s="1011" t="s">
        <v>4823</v>
      </c>
      <c r="B2492" s="741" t="s">
        <v>4749</v>
      </c>
      <c r="C2492" s="705">
        <v>80</v>
      </c>
      <c r="D2492" s="742" t="s">
        <v>4759</v>
      </c>
      <c r="E2492" s="783">
        <v>442</v>
      </c>
    </row>
    <row r="2493" spans="1:5" ht="15" customHeight="1">
      <c r="A2493" s="1006"/>
      <c r="B2493" s="1038" t="s">
        <v>4760</v>
      </c>
      <c r="C2493" s="712">
        <v>80</v>
      </c>
      <c r="D2493" s="743" t="s">
        <v>4761</v>
      </c>
      <c r="E2493" s="784">
        <v>290</v>
      </c>
    </row>
    <row r="2494" spans="1:5" ht="15" customHeight="1">
      <c r="A2494" s="1006"/>
      <c r="B2494" s="1039"/>
      <c r="C2494" s="716"/>
      <c r="D2494" s="738" t="s">
        <v>4762</v>
      </c>
      <c r="E2494" s="781">
        <v>330</v>
      </c>
    </row>
    <row r="2495" spans="1:5" ht="15" customHeight="1">
      <c r="A2495" s="1006"/>
      <c r="B2495" s="744" t="s">
        <v>4763</v>
      </c>
      <c r="C2495" s="1004">
        <v>80</v>
      </c>
      <c r="D2495" s="745" t="s">
        <v>4764</v>
      </c>
      <c r="E2495" s="785">
        <v>307</v>
      </c>
    </row>
    <row r="2496" spans="1:5" ht="15" customHeight="1">
      <c r="A2496" s="1032"/>
      <c r="B2496" s="746" t="s">
        <v>4765</v>
      </c>
      <c r="C2496" s="1005"/>
      <c r="D2496" s="748" t="s">
        <v>4766</v>
      </c>
      <c r="E2496" s="786">
        <v>307</v>
      </c>
    </row>
    <row r="2497" spans="1:5" ht="15" customHeight="1">
      <c r="A2497" s="1006" t="s">
        <v>4824</v>
      </c>
      <c r="B2497" s="1027" t="s">
        <v>4749</v>
      </c>
      <c r="C2497" s="708">
        <v>120</v>
      </c>
      <c r="D2497" s="749" t="s">
        <v>4767</v>
      </c>
      <c r="E2497" s="787">
        <v>330</v>
      </c>
    </row>
    <row r="2498" spans="1:5" ht="15" customHeight="1">
      <c r="A2498" s="1007"/>
      <c r="B2498" s="1025"/>
      <c r="C2498" s="708"/>
      <c r="D2498" s="750" t="s">
        <v>4768</v>
      </c>
      <c r="E2498" s="788">
        <v>295</v>
      </c>
    </row>
    <row r="2499" spans="1:5" ht="15" customHeight="1">
      <c r="A2499" s="1007"/>
      <c r="B2499" s="1025"/>
      <c r="C2499" s="708"/>
      <c r="D2499" s="751" t="s">
        <v>4769</v>
      </c>
      <c r="E2499" s="785">
        <v>390</v>
      </c>
    </row>
    <row r="2500" spans="1:5" ht="15" customHeight="1">
      <c r="A2500" s="1007"/>
      <c r="B2500" s="1025"/>
      <c r="C2500" s="708"/>
      <c r="D2500" s="750" t="s">
        <v>4770</v>
      </c>
      <c r="E2500" s="788">
        <v>450</v>
      </c>
    </row>
    <row r="2501" spans="1:5" ht="15" customHeight="1">
      <c r="A2501" s="1007"/>
      <c r="B2501" s="1025"/>
      <c r="C2501" s="708"/>
      <c r="D2501" s="750" t="s">
        <v>4589</v>
      </c>
      <c r="E2501" s="788">
        <v>410</v>
      </c>
    </row>
    <row r="2502" spans="1:5" ht="15" customHeight="1">
      <c r="A2502" s="1007"/>
      <c r="B2502" s="1025"/>
      <c r="C2502" s="708"/>
      <c r="D2502" s="749" t="s">
        <v>4771</v>
      </c>
      <c r="E2502" s="787">
        <v>650</v>
      </c>
    </row>
    <row r="2503" spans="1:5" ht="15" customHeight="1">
      <c r="A2503" s="1007"/>
      <c r="B2503" s="1025"/>
      <c r="C2503" s="708"/>
      <c r="D2503" s="730" t="s">
        <v>4772</v>
      </c>
      <c r="E2503" s="776">
        <v>510</v>
      </c>
    </row>
    <row r="2504" spans="1:5" ht="15" customHeight="1">
      <c r="A2504" s="1007"/>
      <c r="B2504" s="1025"/>
      <c r="C2504" s="708"/>
      <c r="D2504" s="730" t="s">
        <v>4773</v>
      </c>
      <c r="E2504" s="776">
        <v>510</v>
      </c>
    </row>
    <row r="2505" spans="1:5" ht="15" customHeight="1">
      <c r="A2505" s="1007"/>
      <c r="B2505" s="1025"/>
      <c r="C2505" s="708"/>
      <c r="D2505" s="732">
        <v>79</v>
      </c>
      <c r="E2505" s="777">
        <v>570</v>
      </c>
    </row>
    <row r="2506" spans="1:5" ht="14.4" customHeight="1">
      <c r="A2506" s="1007"/>
      <c r="B2506" s="1025"/>
      <c r="C2506" s="708"/>
      <c r="D2506" s="752" t="s">
        <v>4774</v>
      </c>
      <c r="E2506" s="782">
        <v>610</v>
      </c>
    </row>
    <row r="2507" spans="1:5" ht="15" customHeight="1">
      <c r="A2507" s="1007"/>
      <c r="B2507" s="1025"/>
      <c r="C2507" s="708"/>
      <c r="D2507" s="752" t="s">
        <v>4775</v>
      </c>
      <c r="E2507" s="782">
        <v>680</v>
      </c>
    </row>
    <row r="2508" spans="1:5" ht="15" customHeight="1">
      <c r="A2508" s="1007"/>
      <c r="B2508" s="1025"/>
      <c r="C2508" s="708"/>
      <c r="D2508" s="750" t="s">
        <v>4776</v>
      </c>
      <c r="E2508" s="788">
        <v>540</v>
      </c>
    </row>
    <row r="2509" spans="1:5" ht="15" customHeight="1">
      <c r="A2509" s="1007"/>
      <c r="B2509" s="1025"/>
      <c r="C2509" s="708"/>
      <c r="D2509" s="751" t="s">
        <v>4777</v>
      </c>
      <c r="E2509" s="785">
        <v>730</v>
      </c>
    </row>
    <row r="2510" spans="1:5" ht="15" customHeight="1">
      <c r="A2510" s="1007"/>
      <c r="B2510" s="1025"/>
      <c r="C2510" s="708"/>
      <c r="D2510" s="730" t="s">
        <v>4778</v>
      </c>
      <c r="E2510" s="776">
        <v>580</v>
      </c>
    </row>
    <row r="2511" spans="1:5" ht="15" customHeight="1">
      <c r="A2511" s="1007"/>
      <c r="B2511" s="1025"/>
      <c r="C2511" s="708"/>
      <c r="D2511" s="730" t="s">
        <v>4779</v>
      </c>
      <c r="E2511" s="776">
        <v>520</v>
      </c>
    </row>
    <row r="2512" spans="1:5" ht="15" customHeight="1">
      <c r="A2512" s="1007"/>
      <c r="B2512" s="1025"/>
      <c r="C2512" s="708"/>
      <c r="D2512" s="751" t="s">
        <v>4780</v>
      </c>
      <c r="E2512" s="785">
        <v>830</v>
      </c>
    </row>
    <row r="2513" spans="1:5" ht="15" customHeight="1">
      <c r="A2513" s="1007"/>
      <c r="B2513" s="1025"/>
      <c r="C2513" s="708"/>
      <c r="D2513" s="750" t="s">
        <v>4781</v>
      </c>
      <c r="E2513" s="788">
        <v>660</v>
      </c>
    </row>
    <row r="2514" spans="1:5" ht="15" customHeight="1">
      <c r="A2514" s="1007"/>
      <c r="B2514" s="1017"/>
      <c r="C2514" s="708"/>
      <c r="D2514" s="753" t="s">
        <v>4782</v>
      </c>
      <c r="E2514" s="776">
        <v>590</v>
      </c>
    </row>
    <row r="2515" spans="1:5" ht="15" customHeight="1">
      <c r="A2515" s="1007"/>
      <c r="B2515" s="1024" t="s">
        <v>4783</v>
      </c>
      <c r="C2515" s="712">
        <v>110</v>
      </c>
      <c r="D2515" s="752" t="s">
        <v>4784</v>
      </c>
      <c r="E2515" s="782">
        <v>280</v>
      </c>
    </row>
    <row r="2516" spans="1:5" ht="15" customHeight="1">
      <c r="A2516" s="1007"/>
      <c r="B2516" s="1025"/>
      <c r="C2516" s="708"/>
      <c r="D2516" s="754" t="s">
        <v>4785</v>
      </c>
      <c r="E2516" s="781">
        <v>320</v>
      </c>
    </row>
    <row r="2517" spans="1:5" ht="15" customHeight="1">
      <c r="A2517" s="1008"/>
      <c r="B2517" s="1026"/>
      <c r="C2517" s="747"/>
      <c r="D2517" s="748" t="s">
        <v>4786</v>
      </c>
      <c r="E2517" s="789">
        <v>360</v>
      </c>
    </row>
    <row r="2518" spans="1:5" ht="15" customHeight="1">
      <c r="A2518" s="1011" t="s">
        <v>4825</v>
      </c>
      <c r="B2518" s="1027" t="s">
        <v>4749</v>
      </c>
      <c r="C2518" s="727">
        <v>160</v>
      </c>
      <c r="D2518" s="756" t="s">
        <v>4787</v>
      </c>
      <c r="E2518" s="790">
        <v>940</v>
      </c>
    </row>
    <row r="2519" spans="1:5" ht="15" customHeight="1">
      <c r="A2519" s="1007"/>
      <c r="B2519" s="1025"/>
      <c r="C2519" s="715"/>
      <c r="D2519" s="757" t="s">
        <v>4788</v>
      </c>
      <c r="E2519" s="791">
        <v>1020</v>
      </c>
    </row>
    <row r="2520" spans="1:5" ht="15" customHeight="1">
      <c r="A2520" s="1007"/>
      <c r="B2520" s="1025"/>
      <c r="C2520" s="715"/>
      <c r="D2520" s="722" t="s">
        <v>4789</v>
      </c>
      <c r="E2520" s="772">
        <v>620</v>
      </c>
    </row>
    <row r="2521" spans="1:5" ht="15" customHeight="1">
      <c r="A2521" s="1007"/>
      <c r="B2521" s="1025"/>
      <c r="C2521" s="715"/>
      <c r="D2521" s="722" t="s">
        <v>4790</v>
      </c>
      <c r="E2521" s="772">
        <v>700</v>
      </c>
    </row>
    <row r="2522" spans="1:5" ht="15" customHeight="1">
      <c r="A2522" s="1007"/>
      <c r="B2522" s="1025"/>
      <c r="C2522" s="715"/>
      <c r="D2522" s="722" t="s">
        <v>4791</v>
      </c>
      <c r="E2522" s="772">
        <v>670</v>
      </c>
    </row>
    <row r="2523" spans="1:5" ht="15" customHeight="1">
      <c r="A2523" s="1007"/>
      <c r="B2523" s="1025"/>
      <c r="C2523" s="715"/>
      <c r="D2523" s="722" t="s">
        <v>4792</v>
      </c>
      <c r="E2523" s="772">
        <v>840</v>
      </c>
    </row>
    <row r="2524" spans="1:5" ht="15" customHeight="1">
      <c r="A2524" s="1007"/>
      <c r="B2524" s="1025"/>
      <c r="C2524" s="715"/>
      <c r="D2524" s="722" t="s">
        <v>4793</v>
      </c>
      <c r="E2524" s="772">
        <v>805</v>
      </c>
    </row>
    <row r="2525" spans="1:5" ht="15" customHeight="1">
      <c r="A2525" s="1007"/>
      <c r="B2525" s="1025"/>
      <c r="C2525" s="715"/>
      <c r="D2525" s="722" t="s">
        <v>4794</v>
      </c>
      <c r="E2525" s="772">
        <v>900</v>
      </c>
    </row>
    <row r="2526" spans="1:5" ht="15" customHeight="1">
      <c r="A2526" s="1007"/>
      <c r="B2526" s="1025"/>
      <c r="C2526" s="720"/>
      <c r="D2526" s="758" t="s">
        <v>4795</v>
      </c>
      <c r="E2526" s="792">
        <v>1300</v>
      </c>
    </row>
    <row r="2527" spans="1:5" ht="15" customHeight="1">
      <c r="A2527" s="1007"/>
      <c r="B2527" s="1025"/>
      <c r="C2527" s="715">
        <v>200</v>
      </c>
      <c r="D2527" s="722" t="s">
        <v>4796</v>
      </c>
      <c r="E2527" s="772">
        <v>760</v>
      </c>
    </row>
    <row r="2528" spans="1:5" ht="15" customHeight="1">
      <c r="A2528" s="1007"/>
      <c r="B2528" s="1025"/>
      <c r="C2528" s="715"/>
      <c r="D2528" s="722" t="s">
        <v>4797</v>
      </c>
      <c r="E2528" s="772">
        <v>930</v>
      </c>
    </row>
    <row r="2529" spans="1:5" ht="15" customHeight="1">
      <c r="A2529" s="1007"/>
      <c r="B2529" s="1025"/>
      <c r="C2529" s="715"/>
      <c r="D2529" s="722" t="s">
        <v>4798</v>
      </c>
      <c r="E2529" s="772">
        <v>1100</v>
      </c>
    </row>
    <row r="2530" spans="1:5" ht="15" customHeight="1">
      <c r="A2530" s="1007"/>
      <c r="B2530" s="1025"/>
      <c r="C2530" s="713">
        <v>250</v>
      </c>
      <c r="D2530" s="759" t="s">
        <v>4799</v>
      </c>
      <c r="E2530" s="793">
        <v>950</v>
      </c>
    </row>
    <row r="2531" spans="1:5" ht="15" customHeight="1">
      <c r="A2531" s="1007"/>
      <c r="B2531" s="1025"/>
      <c r="C2531" s="715"/>
      <c r="D2531" s="722" t="s">
        <v>4800</v>
      </c>
      <c r="E2531" s="772">
        <v>1160</v>
      </c>
    </row>
    <row r="2532" spans="1:5" ht="15" customHeight="1">
      <c r="A2532" s="1008"/>
      <c r="B2532" s="1026"/>
      <c r="C2532" s="755"/>
      <c r="D2532" s="760" t="s">
        <v>4801</v>
      </c>
      <c r="E2532" s="794">
        <v>1380</v>
      </c>
    </row>
    <row r="2533" spans="1:5" ht="15" customHeight="1">
      <c r="A2533" s="1011" t="s">
        <v>4826</v>
      </c>
      <c r="B2533" s="1027" t="s">
        <v>4737</v>
      </c>
      <c r="C2533" s="705">
        <v>80</v>
      </c>
      <c r="D2533" s="706" t="s">
        <v>4802</v>
      </c>
      <c r="E2533" s="766">
        <v>250</v>
      </c>
    </row>
    <row r="2534" spans="1:5" ht="15" customHeight="1">
      <c r="A2534" s="1007"/>
      <c r="B2534" s="1025"/>
      <c r="C2534" s="708"/>
      <c r="D2534" s="151" t="s">
        <v>4803</v>
      </c>
      <c r="E2534" s="767">
        <v>274</v>
      </c>
    </row>
    <row r="2535" spans="1:5" ht="15" customHeight="1">
      <c r="A2535" s="1007"/>
      <c r="B2535" s="1025"/>
      <c r="C2535" s="716"/>
      <c r="D2535" s="151" t="s">
        <v>4804</v>
      </c>
      <c r="E2535" s="767">
        <v>292</v>
      </c>
    </row>
    <row r="2536" spans="1:5" ht="15" customHeight="1">
      <c r="A2536" s="1007"/>
      <c r="B2536" s="1025"/>
      <c r="C2536" s="712">
        <v>120</v>
      </c>
      <c r="D2536" s="718" t="s">
        <v>4805</v>
      </c>
      <c r="E2536" s="769">
        <v>380</v>
      </c>
    </row>
    <row r="2537" spans="1:5" ht="15" customHeight="1">
      <c r="A2537" s="1007"/>
      <c r="B2537" s="1025"/>
      <c r="C2537" s="708"/>
      <c r="D2537" s="151" t="s">
        <v>4806</v>
      </c>
      <c r="E2537" s="767">
        <v>420</v>
      </c>
    </row>
    <row r="2538" spans="1:5" ht="15" customHeight="1">
      <c r="A2538" s="1007"/>
      <c r="B2538" s="1017"/>
      <c r="C2538" s="716"/>
      <c r="D2538" s="717" t="s">
        <v>4807</v>
      </c>
      <c r="E2538" s="770">
        <v>450</v>
      </c>
    </row>
    <row r="2539" spans="1:5" ht="15" customHeight="1">
      <c r="A2539" s="1007"/>
      <c r="B2539" s="1024" t="s">
        <v>4808</v>
      </c>
      <c r="C2539" s="708">
        <v>120</v>
      </c>
      <c r="D2539" s="151" t="s">
        <v>4809</v>
      </c>
      <c r="E2539" s="767">
        <v>572</v>
      </c>
    </row>
    <row r="2540" spans="1:5" ht="15" customHeight="1">
      <c r="A2540" s="1007"/>
      <c r="B2540" s="1025"/>
      <c r="C2540" s="708"/>
      <c r="D2540" s="151" t="s">
        <v>4810</v>
      </c>
      <c r="E2540" s="767">
        <v>672</v>
      </c>
    </row>
    <row r="2541" spans="1:5" ht="15" customHeight="1">
      <c r="A2541" s="1008"/>
      <c r="B2541" s="1026"/>
      <c r="C2541" s="747" t="s">
        <v>1755</v>
      </c>
      <c r="D2541" s="180" t="s">
        <v>4811</v>
      </c>
      <c r="E2541" s="795">
        <v>630</v>
      </c>
    </row>
    <row r="2542" spans="1:5" ht="15" customHeight="1">
      <c r="A2542" s="1011" t="s">
        <v>4827</v>
      </c>
      <c r="B2542" s="1027" t="s">
        <v>4812</v>
      </c>
      <c r="C2542" s="708">
        <v>240</v>
      </c>
      <c r="D2542" s="761" t="s">
        <v>4813</v>
      </c>
      <c r="E2542" s="767">
        <v>500</v>
      </c>
    </row>
    <row r="2543" spans="1:5" ht="15" customHeight="1">
      <c r="A2543" s="1007"/>
      <c r="B2543" s="1025"/>
      <c r="C2543" s="708"/>
      <c r="D2543" s="761" t="s">
        <v>2114</v>
      </c>
      <c r="E2543" s="767">
        <v>470</v>
      </c>
    </row>
    <row r="2544" spans="1:5" ht="15" customHeight="1">
      <c r="A2544" s="1007"/>
      <c r="B2544" s="1025"/>
      <c r="C2544" s="712">
        <v>250</v>
      </c>
      <c r="D2544" s="718" t="s">
        <v>4814</v>
      </c>
      <c r="E2544" s="769">
        <v>500</v>
      </c>
    </row>
    <row r="2545" spans="1:5" ht="15" customHeight="1">
      <c r="A2545" s="1007"/>
      <c r="B2545" s="1025"/>
      <c r="C2545" s="708" t="s">
        <v>1755</v>
      </c>
      <c r="D2545" s="151" t="s">
        <v>4815</v>
      </c>
      <c r="E2545" s="767">
        <v>470</v>
      </c>
    </row>
    <row r="2546" spans="1:5" ht="15" customHeight="1">
      <c r="A2546" s="1007"/>
      <c r="B2546" s="1025"/>
      <c r="C2546" s="708"/>
      <c r="D2546" s="761" t="s">
        <v>4816</v>
      </c>
      <c r="E2546" s="767">
        <v>300</v>
      </c>
    </row>
    <row r="2547" spans="1:5" ht="15" customHeight="1">
      <c r="A2547" s="1007"/>
      <c r="B2547" s="1026"/>
      <c r="C2547" s="708" t="s">
        <v>1755</v>
      </c>
      <c r="D2547" s="151">
        <v>7</v>
      </c>
      <c r="E2547" s="767">
        <v>530</v>
      </c>
    </row>
    <row r="2548" spans="1:5" ht="15" customHeight="1">
      <c r="A2548" s="1030" t="s">
        <v>4828</v>
      </c>
      <c r="B2548" s="1027" t="s">
        <v>4817</v>
      </c>
      <c r="C2548" s="762">
        <v>220</v>
      </c>
      <c r="D2548" s="763" t="s">
        <v>4818</v>
      </c>
      <c r="E2548" s="796">
        <v>3700</v>
      </c>
    </row>
    <row r="2549" spans="1:5" ht="15" customHeight="1">
      <c r="A2549" s="1031"/>
      <c r="B2549" s="1026"/>
      <c r="C2549" s="764" t="s">
        <v>4162</v>
      </c>
      <c r="D2549" s="765" t="s">
        <v>1755</v>
      </c>
      <c r="E2549" s="797" t="s">
        <v>4162</v>
      </c>
    </row>
  </sheetData>
  <mergeCells count="644">
    <mergeCell ref="B2463:B2465"/>
    <mergeCell ref="B2460:B2462"/>
    <mergeCell ref="B2457:B2459"/>
    <mergeCell ref="A2518:A2532"/>
    <mergeCell ref="A2533:A2541"/>
    <mergeCell ref="A2542:A2547"/>
    <mergeCell ref="A2548:A2549"/>
    <mergeCell ref="A2492:A2496"/>
    <mergeCell ref="A2472:A2474"/>
    <mergeCell ref="A2475:A2479"/>
    <mergeCell ref="A2480:A2482"/>
    <mergeCell ref="B2480:B2481"/>
    <mergeCell ref="A2483:A2491"/>
    <mergeCell ref="B2493:B2494"/>
    <mergeCell ref="B2548:B2549"/>
    <mergeCell ref="B2542:B2547"/>
    <mergeCell ref="B2539:B2541"/>
    <mergeCell ref="B2533:B2538"/>
    <mergeCell ref="B2518:B2532"/>
    <mergeCell ref="A890:A906"/>
    <mergeCell ref="A875:A878"/>
    <mergeCell ref="A879:A882"/>
    <mergeCell ref="C2495:C2496"/>
    <mergeCell ref="A2497:A2517"/>
    <mergeCell ref="A2389:A2419"/>
    <mergeCell ref="A2420:A2424"/>
    <mergeCell ref="A2425:A2433"/>
    <mergeCell ref="A2434:A2471"/>
    <mergeCell ref="B2434:B2435"/>
    <mergeCell ref="C2447:C2448"/>
    <mergeCell ref="B2449:B2450"/>
    <mergeCell ref="B2451:B2453"/>
    <mergeCell ref="B2454:B2455"/>
    <mergeCell ref="B2420:B2424"/>
    <mergeCell ref="B2412:B2419"/>
    <mergeCell ref="B2389:B2409"/>
    <mergeCell ref="B2438:B2443"/>
    <mergeCell ref="B2425:B2429"/>
    <mergeCell ref="B2515:B2517"/>
    <mergeCell ref="B2497:B2514"/>
    <mergeCell ref="B2483:B2491"/>
    <mergeCell ref="B2476:B2478"/>
    <mergeCell ref="B2466:B2469"/>
    <mergeCell ref="A776:A793"/>
    <mergeCell ref="A794:A806"/>
    <mergeCell ref="A807:A825"/>
    <mergeCell ref="A826:A844"/>
    <mergeCell ref="A845:A858"/>
    <mergeCell ref="A859:A863"/>
    <mergeCell ref="A864:A870"/>
    <mergeCell ref="A871:A874"/>
    <mergeCell ref="A883:A889"/>
    <mergeCell ref="A2367:A2388"/>
    <mergeCell ref="A1977:A2039"/>
    <mergeCell ref="A2040:A2045"/>
    <mergeCell ref="A2046:A2051"/>
    <mergeCell ref="A2052:A2072"/>
    <mergeCell ref="A2073:A2090"/>
    <mergeCell ref="A2091:A2103"/>
    <mergeCell ref="A2104:A2112"/>
    <mergeCell ref="A2113:A2144"/>
    <mergeCell ref="A2145:A2167"/>
    <mergeCell ref="A2168:A2200"/>
    <mergeCell ref="A2201:A2205"/>
    <mergeCell ref="A2206:A2243"/>
    <mergeCell ref="A2244:A2260"/>
    <mergeCell ref="A2261:A2270"/>
    <mergeCell ref="A2271:A2273"/>
    <mergeCell ref="A2274:A2329"/>
    <mergeCell ref="A2330:A2337"/>
    <mergeCell ref="A2338:A2345"/>
    <mergeCell ref="A2346:A2352"/>
    <mergeCell ref="A2353:A2355"/>
    <mergeCell ref="A1907:A1911"/>
    <mergeCell ref="A1912:A1918"/>
    <mergeCell ref="A1919:A1922"/>
    <mergeCell ref="A1923:A1938"/>
    <mergeCell ref="A1939:A1949"/>
    <mergeCell ref="A1950:A1962"/>
    <mergeCell ref="A1963:A1971"/>
    <mergeCell ref="A1972:A1973"/>
    <mergeCell ref="A2356:A2366"/>
    <mergeCell ref="B1606:B1607"/>
    <mergeCell ref="A1974:A1975"/>
    <mergeCell ref="A1723:A1744"/>
    <mergeCell ref="A1745:A1759"/>
    <mergeCell ref="A1760:A1786"/>
    <mergeCell ref="A1787:A1798"/>
    <mergeCell ref="A1799:A1807"/>
    <mergeCell ref="A1808:A1811"/>
    <mergeCell ref="A1812:A1834"/>
    <mergeCell ref="A1835:A1879"/>
    <mergeCell ref="A1880:A1900"/>
    <mergeCell ref="B1963:B1964"/>
    <mergeCell ref="B1956:B1961"/>
    <mergeCell ref="B1950:B1953"/>
    <mergeCell ref="B1944:B1948"/>
    <mergeCell ref="B1935:B1938"/>
    <mergeCell ref="B1939:B1940"/>
    <mergeCell ref="B1929:B1932"/>
    <mergeCell ref="B1923:B1925"/>
    <mergeCell ref="B1919:B1922"/>
    <mergeCell ref="B1875:B1876"/>
    <mergeCell ref="B1868:B1874"/>
    <mergeCell ref="B1855:B1867"/>
    <mergeCell ref="A1901:A1906"/>
    <mergeCell ref="B1643:B1647"/>
    <mergeCell ref="B1638:B1642"/>
    <mergeCell ref="B1632:B1636"/>
    <mergeCell ref="B1628:B1631"/>
    <mergeCell ref="B1623:B1627"/>
    <mergeCell ref="B1616:B1622"/>
    <mergeCell ref="B1612:B1614"/>
    <mergeCell ref="B1610:B1611"/>
    <mergeCell ref="B1608:B1609"/>
    <mergeCell ref="A1708:A1717"/>
    <mergeCell ref="A1718:A1722"/>
    <mergeCell ref="A1458:A1463"/>
    <mergeCell ref="A1464:A1474"/>
    <mergeCell ref="A1475:A1542"/>
    <mergeCell ref="A1543:A1548"/>
    <mergeCell ref="A1549:A1556"/>
    <mergeCell ref="A1557:A1570"/>
    <mergeCell ref="A1571:A1577"/>
    <mergeCell ref="A1578:A1589"/>
    <mergeCell ref="A1590:A1605"/>
    <mergeCell ref="A1606:A1611"/>
    <mergeCell ref="A1612:A1614"/>
    <mergeCell ref="A1615:A1646"/>
    <mergeCell ref="A1648:A1655"/>
    <mergeCell ref="A1656:A1664"/>
    <mergeCell ref="A1665:A1672"/>
    <mergeCell ref="A1673:A1707"/>
    <mergeCell ref="A1445:A1457"/>
    <mergeCell ref="A1192:A1196"/>
    <mergeCell ref="A1197:A1238"/>
    <mergeCell ref="A1239:A1246"/>
    <mergeCell ref="A1247:A1248"/>
    <mergeCell ref="A1249:A1250"/>
    <mergeCell ref="A1251:A1270"/>
    <mergeCell ref="A1271:A1288"/>
    <mergeCell ref="A1289:A1293"/>
    <mergeCell ref="A1294:A1302"/>
    <mergeCell ref="A1303:A1311"/>
    <mergeCell ref="A1312:A1318"/>
    <mergeCell ref="A1319:A1322"/>
    <mergeCell ref="A1323:A1327"/>
    <mergeCell ref="A1328:A1332"/>
    <mergeCell ref="A1333:A1381"/>
    <mergeCell ref="A1383:A1401"/>
    <mergeCell ref="A1402:A1405"/>
    <mergeCell ref="A1411:A1436"/>
    <mergeCell ref="A1437:A1444"/>
    <mergeCell ref="A2:A21"/>
    <mergeCell ref="A22:A27"/>
    <mergeCell ref="A28:A40"/>
    <mergeCell ref="A41:A44"/>
    <mergeCell ref="A45:A56"/>
    <mergeCell ref="A57:A60"/>
    <mergeCell ref="A61:A71"/>
    <mergeCell ref="A72:A81"/>
    <mergeCell ref="A82:A87"/>
    <mergeCell ref="A88:A98"/>
    <mergeCell ref="A99:A114"/>
    <mergeCell ref="A115:A148"/>
    <mergeCell ref="A149:A174"/>
    <mergeCell ref="A175:A180"/>
    <mergeCell ref="A181:A200"/>
    <mergeCell ref="A201:A437"/>
    <mergeCell ref="A438:A468"/>
    <mergeCell ref="A469:A485"/>
    <mergeCell ref="A907:A916"/>
    <mergeCell ref="A917:A935"/>
    <mergeCell ref="A936:A947"/>
    <mergeCell ref="A497:A509"/>
    <mergeCell ref="A510:A522"/>
    <mergeCell ref="A523:A532"/>
    <mergeCell ref="A533:A555"/>
    <mergeCell ref="A556:A569"/>
    <mergeCell ref="A1180:A1191"/>
    <mergeCell ref="A948:A953"/>
    <mergeCell ref="A954:A960"/>
    <mergeCell ref="A961:A967"/>
    <mergeCell ref="A1131:A1143"/>
    <mergeCell ref="A1144:A1164"/>
    <mergeCell ref="A1165:A1171"/>
    <mergeCell ref="A1172:A1179"/>
    <mergeCell ref="A595:A603"/>
    <mergeCell ref="A604:A623"/>
    <mergeCell ref="A624:A630"/>
    <mergeCell ref="A631:A638"/>
    <mergeCell ref="A639:A651"/>
    <mergeCell ref="A652:A690"/>
    <mergeCell ref="A726:A736"/>
    <mergeCell ref="A737:A775"/>
    <mergeCell ref="B2444:B2446"/>
    <mergeCell ref="B2432:B2433"/>
    <mergeCell ref="B2378:B2388"/>
    <mergeCell ref="B2367:B2377"/>
    <mergeCell ref="B2364:B2366"/>
    <mergeCell ref="B2357:B2363"/>
    <mergeCell ref="B2353:B2355"/>
    <mergeCell ref="B2351:B2352"/>
    <mergeCell ref="B2346:B2350"/>
    <mergeCell ref="B2341:B2344"/>
    <mergeCell ref="A486:A491"/>
    <mergeCell ref="A492:A496"/>
    <mergeCell ref="A570:A577"/>
    <mergeCell ref="A578:A594"/>
    <mergeCell ref="A968:A995"/>
    <mergeCell ref="A996:A1011"/>
    <mergeCell ref="A1012:A1018"/>
    <mergeCell ref="A1019:A1027"/>
    <mergeCell ref="A1028:A1034"/>
    <mergeCell ref="A1035:A1051"/>
    <mergeCell ref="A1052:A1076"/>
    <mergeCell ref="A1077:A1095"/>
    <mergeCell ref="A1096:A1109"/>
    <mergeCell ref="A1110:A1115"/>
    <mergeCell ref="A1116:A1124"/>
    <mergeCell ref="A1125:A1130"/>
    <mergeCell ref="B2338:B2340"/>
    <mergeCell ref="B2333:B2336"/>
    <mergeCell ref="B2330:B2331"/>
    <mergeCell ref="B2261:B2270"/>
    <mergeCell ref="B2244:B2260"/>
    <mergeCell ref="B2242:B2243"/>
    <mergeCell ref="B2240:B2241"/>
    <mergeCell ref="B2206:B2239"/>
    <mergeCell ref="B2201:B2204"/>
    <mergeCell ref="B2192:B2193"/>
    <mergeCell ref="B2185:B2188"/>
    <mergeCell ref="B2168:B2180"/>
    <mergeCell ref="B2145:B2167"/>
    <mergeCell ref="B2135:B2143"/>
    <mergeCell ref="B2128:B2134"/>
    <mergeCell ref="B2126:B2127"/>
    <mergeCell ref="B2113:B2124"/>
    <mergeCell ref="B2109:B2112"/>
    <mergeCell ref="B2102:B2103"/>
    <mergeCell ref="B2091:B2101"/>
    <mergeCell ref="B2085:B2087"/>
    <mergeCell ref="B2073:B2083"/>
    <mergeCell ref="B2071:B2072"/>
    <mergeCell ref="B2066:B2070"/>
    <mergeCell ref="B2059:B2065"/>
    <mergeCell ref="B2052:B2058"/>
    <mergeCell ref="B2046:B2051"/>
    <mergeCell ref="B2040:B2045"/>
    <mergeCell ref="B2036:B2037"/>
    <mergeCell ref="B2022:B2035"/>
    <mergeCell ref="B2013:B2021"/>
    <mergeCell ref="B1994:B2011"/>
    <mergeCell ref="B1978:B1992"/>
    <mergeCell ref="B1974:B1975"/>
    <mergeCell ref="B1972:B1973"/>
    <mergeCell ref="B1966:B1971"/>
    <mergeCell ref="C1923:C1925"/>
    <mergeCell ref="C1929:C1932"/>
    <mergeCell ref="C1933:C1934"/>
    <mergeCell ref="C1935:C1938"/>
    <mergeCell ref="B1912:B1918"/>
    <mergeCell ref="B1907:B1911"/>
    <mergeCell ref="B1901:B1906"/>
    <mergeCell ref="B1880:B1900"/>
    <mergeCell ref="B1877:B1879"/>
    <mergeCell ref="B1846:B1854"/>
    <mergeCell ref="B1835:B1845"/>
    <mergeCell ref="B1812:B1831"/>
    <mergeCell ref="C1812:C1814"/>
    <mergeCell ref="C1816:C1821"/>
    <mergeCell ref="C1822:C1826"/>
    <mergeCell ref="C1827:C1828"/>
    <mergeCell ref="C1829:C1830"/>
    <mergeCell ref="B1808:B1811"/>
    <mergeCell ref="B1799:B1807"/>
    <mergeCell ref="B1797:B1798"/>
    <mergeCell ref="B1793:B1796"/>
    <mergeCell ref="C1797:C1798"/>
    <mergeCell ref="C1788:C1789"/>
    <mergeCell ref="C1791:C1792"/>
    <mergeCell ref="B1788:B1792"/>
    <mergeCell ref="B1784:B1786"/>
    <mergeCell ref="C1780:C1782"/>
    <mergeCell ref="C1776:C1779"/>
    <mergeCell ref="C1772:C1775"/>
    <mergeCell ref="C1766:C1771"/>
    <mergeCell ref="C1761:C1764"/>
    <mergeCell ref="B1760:B1782"/>
    <mergeCell ref="C1758:C1759"/>
    <mergeCell ref="C1755:C1757"/>
    <mergeCell ref="C1752:C1754"/>
    <mergeCell ref="C1750:C1751"/>
    <mergeCell ref="C1748:C1749"/>
    <mergeCell ref="C1745:C1747"/>
    <mergeCell ref="B1752:B1759"/>
    <mergeCell ref="B1745:B1751"/>
    <mergeCell ref="B1735:B1738"/>
    <mergeCell ref="B1739:B1741"/>
    <mergeCell ref="B1725:B1734"/>
    <mergeCell ref="B1723:B1724"/>
    <mergeCell ref="B1718:B1722"/>
    <mergeCell ref="C1720:C1721"/>
    <mergeCell ref="C1718:C1719"/>
    <mergeCell ref="B1715:B1717"/>
    <mergeCell ref="C1716:C1717"/>
    <mergeCell ref="B1708:B1714"/>
    <mergeCell ref="B1687:B1693"/>
    <mergeCell ref="B1665:B1672"/>
    <mergeCell ref="B1656:B1664"/>
    <mergeCell ref="B1653:B1655"/>
    <mergeCell ref="B1651:B1652"/>
    <mergeCell ref="B1648:B1650"/>
    <mergeCell ref="C1656:C1660"/>
    <mergeCell ref="C1661:C1664"/>
    <mergeCell ref="C1665:C1667"/>
    <mergeCell ref="C1669:C1672"/>
    <mergeCell ref="B1673:B1686"/>
    <mergeCell ref="B1694:B1707"/>
    <mergeCell ref="B1602:B1603"/>
    <mergeCell ref="B1597:B1601"/>
    <mergeCell ref="B1590:B1596"/>
    <mergeCell ref="D1592:D1596"/>
    <mergeCell ref="D1597:D1601"/>
    <mergeCell ref="B1587:B1589"/>
    <mergeCell ref="B1585:B1586"/>
    <mergeCell ref="B1582:B1584"/>
    <mergeCell ref="B1579:B1581"/>
    <mergeCell ref="B1571:B1577"/>
    <mergeCell ref="B1564:B1570"/>
    <mergeCell ref="B1557:B1563"/>
    <mergeCell ref="B1549:B1556"/>
    <mergeCell ref="B1545:B1546"/>
    <mergeCell ref="B1543:B1544"/>
    <mergeCell ref="B1536:B1542"/>
    <mergeCell ref="B1529:B1535"/>
    <mergeCell ref="B1523:B1524"/>
    <mergeCell ref="B1518:B1521"/>
    <mergeCell ref="B1512:B1514"/>
    <mergeCell ref="B1507:B1510"/>
    <mergeCell ref="B1505:B1506"/>
    <mergeCell ref="B1503:B1504"/>
    <mergeCell ref="B1496:B1501"/>
    <mergeCell ref="B1485:B1492"/>
    <mergeCell ref="B1483:B1484"/>
    <mergeCell ref="B1479:B1480"/>
    <mergeCell ref="B1464:B1474"/>
    <mergeCell ref="B1458:B1462"/>
    <mergeCell ref="B1452:B1457"/>
    <mergeCell ref="B1445:B1451"/>
    <mergeCell ref="B1442:B1444"/>
    <mergeCell ref="B1437:B1440"/>
    <mergeCell ref="B1431:B1436"/>
    <mergeCell ref="B1422:B1430"/>
    <mergeCell ref="B1419:B1421"/>
    <mergeCell ref="B1411:B1418"/>
    <mergeCell ref="B1409:B1410"/>
    <mergeCell ref="B1407:B1408"/>
    <mergeCell ref="B1404:B1405"/>
    <mergeCell ref="B1402:B1403"/>
    <mergeCell ref="B1400:B1401"/>
    <mergeCell ref="B1392:B1399"/>
    <mergeCell ref="B1385:B1390"/>
    <mergeCell ref="B1383:B1384"/>
    <mergeCell ref="B1337:B1382"/>
    <mergeCell ref="B1333:B1336"/>
    <mergeCell ref="B1329:B1331"/>
    <mergeCell ref="B1323:B1325"/>
    <mergeCell ref="B1319:B1322"/>
    <mergeCell ref="B1312:B1313"/>
    <mergeCell ref="B1314:B1315"/>
    <mergeCell ref="B1317:B1318"/>
    <mergeCell ref="B1303:B1311"/>
    <mergeCell ref="B1297:B1302"/>
    <mergeCell ref="B1294:B1296"/>
    <mergeCell ref="B1289:B1292"/>
    <mergeCell ref="B1283:B1288"/>
    <mergeCell ref="B1271:B1282"/>
    <mergeCell ref="B1261:B1270"/>
    <mergeCell ref="B1256:B1260"/>
    <mergeCell ref="B1251:B1255"/>
    <mergeCell ref="B1249:B1250"/>
    <mergeCell ref="B1239:B1246"/>
    <mergeCell ref="B1232:B1234"/>
    <mergeCell ref="C1235:C1236"/>
    <mergeCell ref="C1237:C1238"/>
    <mergeCell ref="C1232:C1234"/>
    <mergeCell ref="C1229:C1231"/>
    <mergeCell ref="B1229:B1231"/>
    <mergeCell ref="B1227:B1228"/>
    <mergeCell ref="C1227:C1228"/>
    <mergeCell ref="C1224:C1226"/>
    <mergeCell ref="B1224:B1226"/>
    <mergeCell ref="B1221:B1223"/>
    <mergeCell ref="C1221:C1223"/>
    <mergeCell ref="C1219:C1220"/>
    <mergeCell ref="B1219:B1220"/>
    <mergeCell ref="B1216:B1218"/>
    <mergeCell ref="C1216:C1218"/>
    <mergeCell ref="C1213:C1215"/>
    <mergeCell ref="B1213:B1215"/>
    <mergeCell ref="B1210:B1212"/>
    <mergeCell ref="C1210:C1212"/>
    <mergeCell ref="C1208:C1209"/>
    <mergeCell ref="B1208:B1209"/>
    <mergeCell ref="B1206:B1207"/>
    <mergeCell ref="B1204:B1205"/>
    <mergeCell ref="C1204:C1205"/>
    <mergeCell ref="C1206:C1207"/>
    <mergeCell ref="C1202:C1203"/>
    <mergeCell ref="B1202:B1203"/>
    <mergeCell ref="B1199:B1201"/>
    <mergeCell ref="C1199:C1201"/>
    <mergeCell ref="C1197:C1198"/>
    <mergeCell ref="B1197:B1198"/>
    <mergeCell ref="B1192:B1194"/>
    <mergeCell ref="B1185:B1191"/>
    <mergeCell ref="B1180:B1184"/>
    <mergeCell ref="B1172:B1179"/>
    <mergeCell ref="B1165:B1171"/>
    <mergeCell ref="B1163:B1164"/>
    <mergeCell ref="B1158:B1161"/>
    <mergeCell ref="C1158:C1161"/>
    <mergeCell ref="B1156:B1157"/>
    <mergeCell ref="C1156:C1157"/>
    <mergeCell ref="B1144:B1154"/>
    <mergeCell ref="C1149:C1154"/>
    <mergeCell ref="C1145:C1148"/>
    <mergeCell ref="B1136:B1143"/>
    <mergeCell ref="B1131:B1135"/>
    <mergeCell ref="B1126:B1130"/>
    <mergeCell ref="B1116:B1124"/>
    <mergeCell ref="B1110:B1115"/>
    <mergeCell ref="B1107:B1109"/>
    <mergeCell ref="B1104:B1106"/>
    <mergeCell ref="B1101:B1103"/>
    <mergeCell ref="B1096:B1100"/>
    <mergeCell ref="C1088:C1094"/>
    <mergeCell ref="B1077:B1095"/>
    <mergeCell ref="C1084:C1087"/>
    <mergeCell ref="C1077:C1083"/>
    <mergeCell ref="B1070:B1076"/>
    <mergeCell ref="B1063:B1069"/>
    <mergeCell ref="B1058:B1062"/>
    <mergeCell ref="B1052:B1057"/>
    <mergeCell ref="B1049:B1051"/>
    <mergeCell ref="C1050:C1051"/>
    <mergeCell ref="C1045:C1048"/>
    <mergeCell ref="C1040:C1043"/>
    <mergeCell ref="C1035:C1038"/>
    <mergeCell ref="B1035:B1048"/>
    <mergeCell ref="B1028:B1034"/>
    <mergeCell ref="C1033:C1034"/>
    <mergeCell ref="C1030:C1031"/>
    <mergeCell ref="B1019:B1027"/>
    <mergeCell ref="B1014:B1018"/>
    <mergeCell ref="B1012:B1013"/>
    <mergeCell ref="B1008:B1011"/>
    <mergeCell ref="C1005:C1007"/>
    <mergeCell ref="C1002:C1004"/>
    <mergeCell ref="B996:B1007"/>
    <mergeCell ref="C999:C1001"/>
    <mergeCell ref="C996:C997"/>
    <mergeCell ref="C990:C995"/>
    <mergeCell ref="B989:B995"/>
    <mergeCell ref="B982:B988"/>
    <mergeCell ref="C987:C988"/>
    <mergeCell ref="C983:C986"/>
    <mergeCell ref="C975:C980"/>
    <mergeCell ref="B974:B980"/>
    <mergeCell ref="B968:B973"/>
    <mergeCell ref="C969:C972"/>
    <mergeCell ref="B965:B967"/>
    <mergeCell ref="B961:B964"/>
    <mergeCell ref="C954:C958"/>
    <mergeCell ref="B954:B959"/>
    <mergeCell ref="B951:B953"/>
    <mergeCell ref="B948:B950"/>
    <mergeCell ref="B942:B947"/>
    <mergeCell ref="B936:B941"/>
    <mergeCell ref="B932:B933"/>
    <mergeCell ref="B925:B930"/>
    <mergeCell ref="C925:C930"/>
    <mergeCell ref="B917:B923"/>
    <mergeCell ref="C917:C923"/>
    <mergeCell ref="B913:B916"/>
    <mergeCell ref="B907:B912"/>
    <mergeCell ref="B905:B906"/>
    <mergeCell ref="B901:B904"/>
    <mergeCell ref="B890:B900"/>
    <mergeCell ref="B885:B889"/>
    <mergeCell ref="B883:B884"/>
    <mergeCell ref="B879:B882"/>
    <mergeCell ref="B875:B878"/>
    <mergeCell ref="B871:B874"/>
    <mergeCell ref="B864:B869"/>
    <mergeCell ref="B859:B863"/>
    <mergeCell ref="C859:C863"/>
    <mergeCell ref="C864:C866"/>
    <mergeCell ref="C867:C869"/>
    <mergeCell ref="C855:C858"/>
    <mergeCell ref="B855:B858"/>
    <mergeCell ref="B850:B854"/>
    <mergeCell ref="C850:C854"/>
    <mergeCell ref="B845:B849"/>
    <mergeCell ref="C845:C849"/>
    <mergeCell ref="B842:B844"/>
    <mergeCell ref="C842:C844"/>
    <mergeCell ref="B840:B841"/>
    <mergeCell ref="B826:B835"/>
    <mergeCell ref="B819:B825"/>
    <mergeCell ref="B816:B818"/>
    <mergeCell ref="B807:B814"/>
    <mergeCell ref="B805:B806"/>
    <mergeCell ref="B802:B804"/>
    <mergeCell ref="B797:B801"/>
    <mergeCell ref="B794:B796"/>
    <mergeCell ref="B790:B793"/>
    <mergeCell ref="B786:B789"/>
    <mergeCell ref="B782:B785"/>
    <mergeCell ref="B779:B781"/>
    <mergeCell ref="B776:B778"/>
    <mergeCell ref="C772:C775"/>
    <mergeCell ref="B772:B775"/>
    <mergeCell ref="B768:B771"/>
    <mergeCell ref="C768:C771"/>
    <mergeCell ref="C762:C767"/>
    <mergeCell ref="B762:B767"/>
    <mergeCell ref="C758:C761"/>
    <mergeCell ref="B758:B761"/>
    <mergeCell ref="B751:B757"/>
    <mergeCell ref="C751:C757"/>
    <mergeCell ref="B747:B750"/>
    <mergeCell ref="C747:C750"/>
    <mergeCell ref="B742:B746"/>
    <mergeCell ref="C742:C746"/>
    <mergeCell ref="B737:B741"/>
    <mergeCell ref="C737:C741"/>
    <mergeCell ref="B729:B732"/>
    <mergeCell ref="C730:C732"/>
    <mergeCell ref="C726:C728"/>
    <mergeCell ref="B725:B728"/>
    <mergeCell ref="B716:B724"/>
    <mergeCell ref="C716:C724"/>
    <mergeCell ref="A692:A724"/>
    <mergeCell ref="B709:B715"/>
    <mergeCell ref="C709:C715"/>
    <mergeCell ref="B705:B706"/>
    <mergeCell ref="C705:C706"/>
    <mergeCell ref="B699:B704"/>
    <mergeCell ref="C699:C704"/>
    <mergeCell ref="B692:B698"/>
    <mergeCell ref="C692:C698"/>
    <mergeCell ref="B686:B688"/>
    <mergeCell ref="B689:B690"/>
    <mergeCell ref="B678:B685"/>
    <mergeCell ref="B670:B677"/>
    <mergeCell ref="B661:B669"/>
    <mergeCell ref="B652:B660"/>
    <mergeCell ref="B647:B651"/>
    <mergeCell ref="B644:B646"/>
    <mergeCell ref="B639:B643"/>
    <mergeCell ref="B631:B638"/>
    <mergeCell ref="C635:C638"/>
    <mergeCell ref="C633:C634"/>
    <mergeCell ref="C631:C632"/>
    <mergeCell ref="B624:B630"/>
    <mergeCell ref="C619:C622"/>
    <mergeCell ref="C615:C618"/>
    <mergeCell ref="C610:C614"/>
    <mergeCell ref="B610:B622"/>
    <mergeCell ref="B604:B609"/>
    <mergeCell ref="C606:C608"/>
    <mergeCell ref="C604:C605"/>
    <mergeCell ref="B595:B603"/>
    <mergeCell ref="C595:C603"/>
    <mergeCell ref="B593:B594"/>
    <mergeCell ref="B589:B592"/>
    <mergeCell ref="B585:B588"/>
    <mergeCell ref="B578:B584"/>
    <mergeCell ref="C576:C577"/>
    <mergeCell ref="C574:C575"/>
    <mergeCell ref="C572:C573"/>
    <mergeCell ref="C570:C571"/>
    <mergeCell ref="B570:B577"/>
    <mergeCell ref="B563:B568"/>
    <mergeCell ref="B556:B562"/>
    <mergeCell ref="C552:C555"/>
    <mergeCell ref="B552:B555"/>
    <mergeCell ref="B505:B509"/>
    <mergeCell ref="B500:B504"/>
    <mergeCell ref="B497:B499"/>
    <mergeCell ref="B492:B496"/>
    <mergeCell ref="B486:B491"/>
    <mergeCell ref="C490:C491"/>
    <mergeCell ref="C488:C489"/>
    <mergeCell ref="C486:C487"/>
    <mergeCell ref="B533:B549"/>
    <mergeCell ref="C533:C549"/>
    <mergeCell ref="C530:C532"/>
    <mergeCell ref="C527:C529"/>
    <mergeCell ref="C523:C526"/>
    <mergeCell ref="B523:B532"/>
    <mergeCell ref="B513:B521"/>
    <mergeCell ref="C517:C520"/>
    <mergeCell ref="C510:C512"/>
    <mergeCell ref="B511:B512"/>
    <mergeCell ref="B469:B485"/>
    <mergeCell ref="B434:B436"/>
    <mergeCell ref="B430:B433"/>
    <mergeCell ref="B181:B191"/>
    <mergeCell ref="B178:B180"/>
    <mergeCell ref="B175:B177"/>
    <mergeCell ref="B163:B174"/>
    <mergeCell ref="B149:B161"/>
    <mergeCell ref="B134:B138"/>
    <mergeCell ref="B140:B143"/>
    <mergeCell ref="B129:B133"/>
    <mergeCell ref="B115:B128"/>
    <mergeCell ref="B112:B114"/>
    <mergeCell ref="B99:B111"/>
    <mergeCell ref="B89:B97"/>
    <mergeCell ref="B82:B87"/>
    <mergeCell ref="B80:B81"/>
    <mergeCell ref="B78:B79"/>
    <mergeCell ref="B74:B77"/>
    <mergeCell ref="C41:C43"/>
    <mergeCell ref="B41:B44"/>
    <mergeCell ref="B35:B40"/>
    <mergeCell ref="B28:B33"/>
    <mergeCell ref="B22:B27"/>
    <mergeCell ref="B15:B19"/>
    <mergeCell ref="B9:B14"/>
    <mergeCell ref="B2:B8"/>
    <mergeCell ref="B72:B73"/>
    <mergeCell ref="B61:B71"/>
    <mergeCell ref="C66:C71"/>
    <mergeCell ref="C63:C65"/>
    <mergeCell ref="C61:C62"/>
    <mergeCell ref="C57:C60"/>
    <mergeCell ref="B57:B60"/>
    <mergeCell ref="B45:B56"/>
    <mergeCell ref="C50:C56"/>
    <mergeCell ref="C45:C48"/>
  </mergeCells>
  <phoneticPr fontId="3" type="noConversion"/>
  <pageMargins left="0.7" right="0.7" top="0.75" bottom="0.75" header="0.3" footer="0.3"/>
  <pageSetup paperSize="9" scale="5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5B886-F613-43E4-9EDD-EDC404C0DF2D}">
  <dimension ref="A1:K114"/>
  <sheetViews>
    <sheetView topLeftCell="A26" workbookViewId="0">
      <selection activeCell="D33" sqref="D33"/>
    </sheetView>
  </sheetViews>
  <sheetFormatPr defaultRowHeight="17.399999999999999"/>
  <cols>
    <col min="1" max="1" width="23.69921875" style="103" bestFit="1" customWidth="1"/>
    <col min="2" max="2" width="12.59765625" style="103" bestFit="1" customWidth="1"/>
    <col min="5" max="5" width="9.3984375" style="111" bestFit="1" customWidth="1"/>
    <col min="7" max="7" width="9" style="134"/>
  </cols>
  <sheetData>
    <row r="1" spans="1:7" s="86" customFormat="1" ht="15" customHeight="1">
      <c r="A1" s="118" t="s">
        <v>2348</v>
      </c>
      <c r="B1" s="119" t="s">
        <v>2316</v>
      </c>
      <c r="C1" s="120" t="s">
        <v>2351</v>
      </c>
      <c r="D1" s="121" t="s">
        <v>2350</v>
      </c>
      <c r="E1" s="801" t="s">
        <v>1751</v>
      </c>
      <c r="F1" s="802"/>
      <c r="G1" s="133" t="s">
        <v>2747</v>
      </c>
    </row>
    <row r="2" spans="1:7">
      <c r="A2" s="104" t="s">
        <v>2317</v>
      </c>
      <c r="B2" s="100" t="s">
        <v>1752</v>
      </c>
      <c r="C2" s="105">
        <v>60</v>
      </c>
      <c r="D2" s="105"/>
      <c r="E2" s="108">
        <v>57560</v>
      </c>
    </row>
    <row r="3" spans="1:7">
      <c r="A3" s="104" t="s">
        <v>2317</v>
      </c>
      <c r="B3" s="100" t="s">
        <v>1752</v>
      </c>
      <c r="C3">
        <v>70</v>
      </c>
      <c r="E3" s="109">
        <v>56530</v>
      </c>
    </row>
    <row r="4" spans="1:7">
      <c r="A4" s="104" t="s">
        <v>2317</v>
      </c>
      <c r="B4" s="100" t="s">
        <v>1752</v>
      </c>
      <c r="C4">
        <v>75</v>
      </c>
      <c r="E4" s="109">
        <v>59420</v>
      </c>
    </row>
    <row r="5" spans="1:7">
      <c r="A5" s="104" t="s">
        <v>2317</v>
      </c>
      <c r="B5" s="100" t="s">
        <v>2319</v>
      </c>
      <c r="C5">
        <v>80</v>
      </c>
      <c r="E5" s="109">
        <v>62090</v>
      </c>
    </row>
    <row r="6" spans="1:7">
      <c r="A6" s="104" t="s">
        <v>2317</v>
      </c>
      <c r="B6" s="100" t="s">
        <v>2319</v>
      </c>
      <c r="C6">
        <v>90</v>
      </c>
      <c r="E6" s="109">
        <v>69560</v>
      </c>
    </row>
    <row r="7" spans="1:7">
      <c r="A7" s="104" t="s">
        <v>2317</v>
      </c>
      <c r="B7" s="100" t="s">
        <v>2319</v>
      </c>
      <c r="C7">
        <v>100</v>
      </c>
      <c r="E7" s="109">
        <v>76920</v>
      </c>
    </row>
    <row r="8" spans="1:7">
      <c r="A8" s="104" t="s">
        <v>2317</v>
      </c>
      <c r="B8" s="100" t="s">
        <v>2319</v>
      </c>
      <c r="C8">
        <v>120</v>
      </c>
      <c r="E8" s="109">
        <v>92310</v>
      </c>
    </row>
    <row r="9" spans="1:7">
      <c r="A9" s="104" t="s">
        <v>2317</v>
      </c>
      <c r="B9" s="100" t="s">
        <v>2319</v>
      </c>
      <c r="C9">
        <v>150</v>
      </c>
      <c r="E9" s="109">
        <v>115380</v>
      </c>
    </row>
    <row r="10" spans="1:7">
      <c r="A10" s="104" t="s">
        <v>2317</v>
      </c>
      <c r="B10" s="106" t="s">
        <v>2320</v>
      </c>
      <c r="C10">
        <v>60</v>
      </c>
      <c r="E10" s="109">
        <v>39980</v>
      </c>
    </row>
    <row r="11" spans="1:7">
      <c r="A11" s="104" t="s">
        <v>2317</v>
      </c>
      <c r="B11" s="106" t="s">
        <v>2320</v>
      </c>
      <c r="C11">
        <v>70</v>
      </c>
      <c r="E11" s="109">
        <v>39270</v>
      </c>
    </row>
    <row r="12" spans="1:7">
      <c r="A12" s="104" t="s">
        <v>2317</v>
      </c>
      <c r="B12" s="106" t="s">
        <v>2320</v>
      </c>
      <c r="C12">
        <v>75</v>
      </c>
      <c r="E12" s="109">
        <v>41270</v>
      </c>
    </row>
    <row r="13" spans="1:7">
      <c r="A13" s="104" t="s">
        <v>2317</v>
      </c>
      <c r="B13" s="106" t="s">
        <v>2320</v>
      </c>
      <c r="C13">
        <v>80</v>
      </c>
      <c r="E13" s="109">
        <v>43130</v>
      </c>
    </row>
    <row r="14" spans="1:7">
      <c r="A14" s="104" t="s">
        <v>2317</v>
      </c>
      <c r="B14" s="106" t="s">
        <v>2320</v>
      </c>
      <c r="C14">
        <v>90</v>
      </c>
      <c r="E14" s="109">
        <v>48320</v>
      </c>
    </row>
    <row r="15" spans="1:7">
      <c r="A15" s="104" t="s">
        <v>2317</v>
      </c>
      <c r="B15" s="106" t="s">
        <v>2320</v>
      </c>
      <c r="C15">
        <v>100</v>
      </c>
      <c r="E15" s="109">
        <v>53440</v>
      </c>
    </row>
    <row r="16" spans="1:7">
      <c r="A16" s="104" t="s">
        <v>2317</v>
      </c>
      <c r="B16" s="106" t="s">
        <v>2320</v>
      </c>
      <c r="C16">
        <v>120</v>
      </c>
      <c r="E16" s="109">
        <v>64130</v>
      </c>
    </row>
    <row r="17" spans="1:11">
      <c r="A17" s="104" t="s">
        <v>2317</v>
      </c>
      <c r="B17" s="106" t="s">
        <v>2320</v>
      </c>
      <c r="C17" s="112">
        <v>150</v>
      </c>
      <c r="D17" s="107"/>
      <c r="E17" s="110">
        <v>80150</v>
      </c>
    </row>
    <row r="18" spans="1:11">
      <c r="A18" s="103" t="s">
        <v>2318</v>
      </c>
      <c r="B18" s="100" t="s">
        <v>2319</v>
      </c>
      <c r="C18">
        <v>70</v>
      </c>
      <c r="E18" s="111">
        <v>58230</v>
      </c>
    </row>
    <row r="19" spans="1:11">
      <c r="A19" s="103" t="s">
        <v>2318</v>
      </c>
      <c r="B19" s="100" t="s">
        <v>2319</v>
      </c>
      <c r="C19">
        <v>80</v>
      </c>
      <c r="E19" s="111">
        <v>63950</v>
      </c>
    </row>
    <row r="20" spans="1:11">
      <c r="A20" s="103" t="s">
        <v>2318</v>
      </c>
      <c r="B20" s="100" t="s">
        <v>2319</v>
      </c>
      <c r="C20">
        <v>95</v>
      </c>
      <c r="E20" s="111">
        <v>75540</v>
      </c>
    </row>
    <row r="21" spans="1:11">
      <c r="A21" s="103" t="s">
        <v>2318</v>
      </c>
      <c r="B21" s="100" t="s">
        <v>2319</v>
      </c>
      <c r="C21">
        <v>100</v>
      </c>
      <c r="E21" s="111">
        <v>79230</v>
      </c>
    </row>
    <row r="22" spans="1:11">
      <c r="A22" s="103" t="s">
        <v>2318</v>
      </c>
      <c r="B22" s="106" t="s">
        <v>2320</v>
      </c>
      <c r="C22">
        <v>70</v>
      </c>
      <c r="E22" s="111">
        <v>40450</v>
      </c>
    </row>
    <row r="23" spans="1:11">
      <c r="A23" s="103" t="s">
        <v>2318</v>
      </c>
      <c r="B23" s="106" t="s">
        <v>2320</v>
      </c>
      <c r="C23">
        <v>80</v>
      </c>
      <c r="E23" s="111">
        <v>44430</v>
      </c>
    </row>
    <row r="24" spans="1:11">
      <c r="A24" s="103" t="s">
        <v>2318</v>
      </c>
      <c r="B24" s="106" t="s">
        <v>2320</v>
      </c>
      <c r="C24">
        <v>95</v>
      </c>
      <c r="E24" s="111">
        <v>52470</v>
      </c>
    </row>
    <row r="25" spans="1:11">
      <c r="A25" s="103" t="s">
        <v>2318</v>
      </c>
      <c r="B25" s="106" t="s">
        <v>2320</v>
      </c>
      <c r="C25">
        <v>100</v>
      </c>
      <c r="E25" s="111">
        <v>55040</v>
      </c>
    </row>
    <row r="26" spans="1:11">
      <c r="A26" s="103" t="s">
        <v>2321</v>
      </c>
      <c r="B26" s="100" t="s">
        <v>2319</v>
      </c>
      <c r="C26">
        <v>105</v>
      </c>
      <c r="E26" s="111">
        <v>165870</v>
      </c>
      <c r="G26" s="134">
        <v>149</v>
      </c>
      <c r="H26" s="100"/>
      <c r="K26" s="114"/>
    </row>
    <row r="27" spans="1:11">
      <c r="A27" s="103" t="s">
        <v>2321</v>
      </c>
      <c r="B27" s="100" t="s">
        <v>2319</v>
      </c>
      <c r="C27">
        <v>130</v>
      </c>
      <c r="E27" s="111">
        <v>205360</v>
      </c>
      <c r="G27" s="134">
        <v>183</v>
      </c>
      <c r="H27" s="100"/>
      <c r="K27" s="114"/>
    </row>
    <row r="28" spans="1:11">
      <c r="A28" s="103" t="s">
        <v>2321</v>
      </c>
      <c r="B28" s="100" t="s">
        <v>2319</v>
      </c>
      <c r="C28">
        <v>160</v>
      </c>
      <c r="E28" s="111">
        <v>254760</v>
      </c>
      <c r="G28" s="134">
        <v>223</v>
      </c>
      <c r="H28" s="100"/>
      <c r="K28" s="114"/>
    </row>
    <row r="29" spans="1:11">
      <c r="A29" s="103" t="s">
        <v>2321</v>
      </c>
      <c r="B29" s="100" t="s">
        <v>2319</v>
      </c>
      <c r="C29">
        <v>190</v>
      </c>
      <c r="E29" s="111">
        <v>300140</v>
      </c>
      <c r="G29" s="134">
        <v>261</v>
      </c>
      <c r="H29" s="100"/>
      <c r="K29" s="114"/>
    </row>
    <row r="30" spans="1:11">
      <c r="A30" s="103" t="s">
        <v>2321</v>
      </c>
      <c r="B30" s="100" t="s">
        <v>2319</v>
      </c>
      <c r="C30">
        <v>210</v>
      </c>
      <c r="E30" s="111">
        <v>331740</v>
      </c>
      <c r="G30" s="134">
        <v>286</v>
      </c>
      <c r="H30" s="100"/>
      <c r="K30" s="114"/>
    </row>
    <row r="31" spans="1:11">
      <c r="A31" s="103" t="s">
        <v>2321</v>
      </c>
      <c r="B31" s="100" t="s">
        <v>2319</v>
      </c>
      <c r="C31">
        <v>230</v>
      </c>
      <c r="E31" s="111">
        <v>363330</v>
      </c>
      <c r="G31" s="134">
        <v>312</v>
      </c>
      <c r="H31" s="100"/>
      <c r="K31" s="114"/>
    </row>
    <row r="32" spans="1:11" ht="18" thickBot="1">
      <c r="A32" s="103" t="s">
        <v>2321</v>
      </c>
      <c r="B32" s="100" t="s">
        <v>2319</v>
      </c>
      <c r="C32">
        <v>310</v>
      </c>
      <c r="E32" s="111">
        <v>0</v>
      </c>
      <c r="H32" s="100"/>
      <c r="K32" s="114"/>
    </row>
    <row r="33" spans="1:11" ht="18" thickBot="1">
      <c r="A33" s="103" t="s">
        <v>2321</v>
      </c>
      <c r="B33" s="106" t="s">
        <v>2320</v>
      </c>
      <c r="C33">
        <v>105</v>
      </c>
      <c r="E33" s="111">
        <v>115230</v>
      </c>
      <c r="G33" s="134">
        <v>149</v>
      </c>
      <c r="H33" s="102"/>
      <c r="K33" s="113"/>
    </row>
    <row r="34" spans="1:11" ht="18" thickBot="1">
      <c r="A34" s="103" t="s">
        <v>2321</v>
      </c>
      <c r="B34" s="106" t="s">
        <v>2320</v>
      </c>
      <c r="C34">
        <v>130</v>
      </c>
      <c r="E34" s="111">
        <v>142650</v>
      </c>
      <c r="G34" s="134">
        <v>183</v>
      </c>
      <c r="H34" s="102"/>
      <c r="K34" s="113"/>
    </row>
    <row r="35" spans="1:11" ht="18" thickBot="1">
      <c r="A35" s="103" t="s">
        <v>2321</v>
      </c>
      <c r="B35" s="106" t="s">
        <v>2320</v>
      </c>
      <c r="C35">
        <v>160</v>
      </c>
      <c r="E35" s="111">
        <v>175580</v>
      </c>
      <c r="G35" s="134">
        <v>223</v>
      </c>
      <c r="H35" s="102"/>
      <c r="K35" s="113"/>
    </row>
    <row r="36" spans="1:11" ht="18" thickBot="1">
      <c r="A36" s="103" t="s">
        <v>2321</v>
      </c>
      <c r="B36" s="106" t="s">
        <v>2320</v>
      </c>
      <c r="C36">
        <v>190</v>
      </c>
      <c r="E36" s="111">
        <v>208500</v>
      </c>
      <c r="G36" s="134">
        <v>261</v>
      </c>
      <c r="H36" s="102"/>
      <c r="K36" s="113"/>
    </row>
    <row r="37" spans="1:11" ht="18" thickBot="1">
      <c r="A37" s="103" t="s">
        <v>2321</v>
      </c>
      <c r="B37" s="106" t="s">
        <v>2320</v>
      </c>
      <c r="C37">
        <v>210</v>
      </c>
      <c r="E37" s="111">
        <v>230440</v>
      </c>
      <c r="G37" s="134">
        <v>286</v>
      </c>
      <c r="H37" s="102"/>
      <c r="K37" s="113"/>
    </row>
    <row r="38" spans="1:11" ht="18" thickBot="1">
      <c r="A38" s="103" t="s">
        <v>2321</v>
      </c>
      <c r="B38" s="106" t="s">
        <v>2320</v>
      </c>
      <c r="C38">
        <v>230</v>
      </c>
      <c r="E38" s="111">
        <v>252390</v>
      </c>
      <c r="G38" s="134">
        <v>312</v>
      </c>
      <c r="H38" s="102"/>
      <c r="K38" s="113"/>
    </row>
    <row r="39" spans="1:11" ht="18" thickBot="1">
      <c r="A39" s="103" t="s">
        <v>2321</v>
      </c>
      <c r="B39" s="106" t="s">
        <v>2320</v>
      </c>
      <c r="C39">
        <v>310</v>
      </c>
      <c r="E39" s="111">
        <v>340180</v>
      </c>
      <c r="H39" s="100"/>
      <c r="K39" s="113"/>
    </row>
    <row r="40" spans="1:11" ht="18" thickBot="1">
      <c r="A40" s="103" t="s">
        <v>2322</v>
      </c>
      <c r="B40" s="100" t="s">
        <v>2319</v>
      </c>
      <c r="C40">
        <v>105</v>
      </c>
      <c r="E40" s="111">
        <v>165870</v>
      </c>
      <c r="G40" s="134">
        <v>149</v>
      </c>
      <c r="H40" s="100"/>
      <c r="K40" s="113"/>
    </row>
    <row r="41" spans="1:11" ht="18" thickBot="1">
      <c r="A41" s="103" t="s">
        <v>2322</v>
      </c>
      <c r="B41" s="100" t="s">
        <v>2319</v>
      </c>
      <c r="C41">
        <v>130</v>
      </c>
      <c r="E41" s="111">
        <v>205360</v>
      </c>
      <c r="G41" s="134">
        <v>183</v>
      </c>
      <c r="H41" s="100"/>
      <c r="K41" s="113"/>
    </row>
    <row r="42" spans="1:11" ht="18" thickBot="1">
      <c r="A42" s="103" t="s">
        <v>2322</v>
      </c>
      <c r="B42" s="100" t="s">
        <v>2319</v>
      </c>
      <c r="C42">
        <v>160</v>
      </c>
      <c r="E42" s="111">
        <v>252760</v>
      </c>
      <c r="G42" s="134">
        <v>223</v>
      </c>
      <c r="H42" s="100"/>
      <c r="K42" s="113"/>
    </row>
    <row r="43" spans="1:11" ht="18" thickBot="1">
      <c r="A43" s="103" t="s">
        <v>2322</v>
      </c>
      <c r="B43" s="100" t="s">
        <v>2319</v>
      </c>
      <c r="C43">
        <v>190</v>
      </c>
      <c r="E43" s="111">
        <v>300140</v>
      </c>
      <c r="G43" s="134">
        <v>261</v>
      </c>
      <c r="H43" s="100"/>
      <c r="K43" s="113"/>
    </row>
    <row r="44" spans="1:11" ht="18" thickBot="1">
      <c r="A44" s="103" t="s">
        <v>2322</v>
      </c>
      <c r="B44" s="100" t="s">
        <v>2319</v>
      </c>
      <c r="C44">
        <v>210</v>
      </c>
      <c r="E44" s="111">
        <v>331740</v>
      </c>
      <c r="G44" s="134">
        <v>286</v>
      </c>
      <c r="H44" s="100"/>
      <c r="K44" s="113"/>
    </row>
    <row r="45" spans="1:11" ht="18" thickBot="1">
      <c r="A45" s="103" t="s">
        <v>2322</v>
      </c>
      <c r="B45" s="100" t="s">
        <v>2319</v>
      </c>
      <c r="C45">
        <v>230</v>
      </c>
      <c r="E45" s="111">
        <v>363330</v>
      </c>
      <c r="G45" s="134">
        <v>312</v>
      </c>
      <c r="H45" s="102"/>
      <c r="K45" s="113"/>
    </row>
    <row r="46" spans="1:11" ht="18" thickBot="1">
      <c r="A46" s="103" t="s">
        <v>2322</v>
      </c>
      <c r="B46" s="100" t="s">
        <v>2319</v>
      </c>
      <c r="C46">
        <v>310</v>
      </c>
      <c r="E46" s="111">
        <v>0</v>
      </c>
      <c r="H46" s="102"/>
      <c r="K46" s="113"/>
    </row>
    <row r="47" spans="1:11" ht="18" thickBot="1">
      <c r="A47" s="103" t="s">
        <v>2322</v>
      </c>
      <c r="B47" s="106" t="s">
        <v>2320</v>
      </c>
      <c r="C47">
        <v>105</v>
      </c>
      <c r="E47" s="111">
        <v>115230</v>
      </c>
      <c r="G47" s="134">
        <v>149</v>
      </c>
      <c r="H47" s="102"/>
      <c r="K47" s="113"/>
    </row>
    <row r="48" spans="1:11" ht="18" thickBot="1">
      <c r="A48" s="103" t="s">
        <v>2322</v>
      </c>
      <c r="B48" s="106" t="s">
        <v>2320</v>
      </c>
      <c r="C48">
        <v>130</v>
      </c>
      <c r="E48" s="111">
        <v>142650</v>
      </c>
      <c r="G48" s="134">
        <v>183</v>
      </c>
      <c r="H48" s="102"/>
      <c r="K48" s="113"/>
    </row>
    <row r="49" spans="1:11" ht="18" thickBot="1">
      <c r="A49" s="103" t="s">
        <v>2322</v>
      </c>
      <c r="B49" s="106" t="s">
        <v>2320</v>
      </c>
      <c r="C49">
        <v>160</v>
      </c>
      <c r="E49" s="111">
        <v>175580</v>
      </c>
      <c r="G49" s="134">
        <v>223</v>
      </c>
      <c r="H49" s="102"/>
      <c r="K49" s="113"/>
    </row>
    <row r="50" spans="1:11" ht="18" thickBot="1">
      <c r="A50" s="103" t="s">
        <v>2322</v>
      </c>
      <c r="B50" s="106" t="s">
        <v>2320</v>
      </c>
      <c r="C50">
        <v>190</v>
      </c>
      <c r="E50" s="111">
        <v>208500</v>
      </c>
      <c r="G50" s="134">
        <v>261</v>
      </c>
      <c r="H50" s="102"/>
      <c r="K50" s="113"/>
    </row>
    <row r="51" spans="1:11">
      <c r="A51" s="103" t="s">
        <v>2322</v>
      </c>
      <c r="B51" s="106" t="s">
        <v>2320</v>
      </c>
      <c r="C51">
        <v>210</v>
      </c>
      <c r="E51" s="111">
        <v>230440</v>
      </c>
      <c r="G51" s="134">
        <v>286</v>
      </c>
    </row>
    <row r="52" spans="1:11">
      <c r="A52" s="103" t="s">
        <v>2322</v>
      </c>
      <c r="B52" s="106" t="s">
        <v>2320</v>
      </c>
      <c r="C52">
        <v>230</v>
      </c>
      <c r="E52" s="111">
        <v>252390</v>
      </c>
      <c r="G52" s="134">
        <v>312</v>
      </c>
    </row>
    <row r="53" spans="1:11">
      <c r="A53" s="103" t="s">
        <v>2322</v>
      </c>
      <c r="B53" s="106" t="s">
        <v>2320</v>
      </c>
      <c r="C53">
        <v>310</v>
      </c>
      <c r="E53" s="111">
        <v>340180</v>
      </c>
    </row>
    <row r="54" spans="1:11">
      <c r="A54" s="103" t="s">
        <v>2323</v>
      </c>
      <c r="B54" s="100" t="s">
        <v>2319</v>
      </c>
      <c r="C54">
        <v>230</v>
      </c>
      <c r="E54" s="111">
        <v>172180</v>
      </c>
    </row>
    <row r="55" spans="1:11">
      <c r="A55" s="103" t="s">
        <v>2323</v>
      </c>
      <c r="B55" s="100" t="s">
        <v>2319</v>
      </c>
      <c r="C55">
        <v>250</v>
      </c>
      <c r="E55" s="111">
        <v>187150</v>
      </c>
    </row>
    <row r="56" spans="1:11">
      <c r="A56" s="103" t="s">
        <v>2323</v>
      </c>
      <c r="B56" s="100" t="s">
        <v>2319</v>
      </c>
      <c r="C56">
        <v>280</v>
      </c>
      <c r="E56" s="111">
        <v>209610</v>
      </c>
    </row>
    <row r="57" spans="1:11">
      <c r="A57" s="103" t="s">
        <v>2324</v>
      </c>
      <c r="B57" s="100" t="s">
        <v>2319</v>
      </c>
      <c r="C57">
        <v>210</v>
      </c>
      <c r="E57" s="111">
        <v>246435</v>
      </c>
    </row>
    <row r="58" spans="1:11">
      <c r="A58" s="103" t="s">
        <v>2324</v>
      </c>
      <c r="B58" s="100" t="s">
        <v>2319</v>
      </c>
      <c r="C58">
        <v>230</v>
      </c>
      <c r="E58" s="111">
        <v>269905</v>
      </c>
    </row>
    <row r="59" spans="1:11">
      <c r="A59" s="103" t="s">
        <v>2324</v>
      </c>
      <c r="B59" s="100" t="s">
        <v>2319</v>
      </c>
      <c r="C59">
        <v>300</v>
      </c>
      <c r="E59" s="111">
        <v>352050</v>
      </c>
    </row>
    <row r="60" spans="1:11">
      <c r="A60" s="103" t="s">
        <v>2324</v>
      </c>
      <c r="B60" s="100" t="s">
        <v>2319</v>
      </c>
      <c r="C60">
        <v>250</v>
      </c>
      <c r="E60" s="111">
        <v>410720</v>
      </c>
    </row>
    <row r="61" spans="1:11">
      <c r="A61" s="103" t="s">
        <v>2324</v>
      </c>
      <c r="B61" s="100" t="s">
        <v>2319</v>
      </c>
      <c r="C61">
        <v>400</v>
      </c>
      <c r="E61" s="111">
        <v>469400</v>
      </c>
    </row>
    <row r="62" spans="1:11">
      <c r="A62" s="103" t="s">
        <v>2324</v>
      </c>
      <c r="B62" s="106" t="s">
        <v>2320</v>
      </c>
      <c r="C62">
        <v>210</v>
      </c>
      <c r="E62" s="111">
        <v>171189</v>
      </c>
    </row>
    <row r="63" spans="1:11">
      <c r="A63" s="103" t="s">
        <v>2324</v>
      </c>
      <c r="B63" s="106" t="s">
        <v>2320</v>
      </c>
      <c r="C63">
        <v>230</v>
      </c>
      <c r="E63" s="111">
        <v>187492</v>
      </c>
    </row>
    <row r="64" spans="1:11">
      <c r="A64" s="103" t="s">
        <v>2324</v>
      </c>
      <c r="B64" s="106" t="s">
        <v>2320</v>
      </c>
      <c r="C64">
        <v>300</v>
      </c>
      <c r="E64" s="111">
        <v>244560</v>
      </c>
    </row>
    <row r="65" spans="1:5">
      <c r="A65" s="103" t="s">
        <v>2324</v>
      </c>
      <c r="B65" s="106" t="s">
        <v>2320</v>
      </c>
      <c r="C65">
        <v>250</v>
      </c>
      <c r="E65" s="111">
        <v>285310</v>
      </c>
    </row>
    <row r="66" spans="1:5">
      <c r="A66" s="103" t="s">
        <v>2324</v>
      </c>
      <c r="B66" s="106" t="s">
        <v>2320</v>
      </c>
      <c r="C66">
        <v>400</v>
      </c>
      <c r="E66" s="111">
        <v>326070</v>
      </c>
    </row>
    <row r="67" spans="1:5">
      <c r="A67" s="103" t="s">
        <v>2325</v>
      </c>
      <c r="B67" s="100" t="s">
        <v>2319</v>
      </c>
      <c r="C67">
        <v>300</v>
      </c>
      <c r="E67" s="111">
        <v>352050</v>
      </c>
    </row>
    <row r="68" spans="1:5">
      <c r="A68" s="103" t="s">
        <v>2325</v>
      </c>
      <c r="B68" s="100" t="s">
        <v>2319</v>
      </c>
      <c r="C68">
        <v>350</v>
      </c>
      <c r="E68" s="111">
        <v>410720</v>
      </c>
    </row>
    <row r="69" spans="1:5">
      <c r="A69" s="103" t="s">
        <v>2325</v>
      </c>
      <c r="B69" s="100" t="s">
        <v>2319</v>
      </c>
      <c r="C69">
        <v>400</v>
      </c>
      <c r="E69" s="111">
        <v>469400</v>
      </c>
    </row>
    <row r="70" spans="1:5">
      <c r="A70" s="103" t="s">
        <v>2325</v>
      </c>
      <c r="B70" s="100" t="s">
        <v>2319</v>
      </c>
      <c r="C70">
        <v>450</v>
      </c>
      <c r="E70" s="111">
        <v>529070</v>
      </c>
    </row>
    <row r="71" spans="1:5">
      <c r="A71" s="103" t="s">
        <v>2325</v>
      </c>
      <c r="B71" s="106" t="s">
        <v>2320</v>
      </c>
      <c r="C71">
        <v>300</v>
      </c>
      <c r="E71" s="111">
        <v>244560</v>
      </c>
    </row>
    <row r="72" spans="1:5">
      <c r="A72" s="103" t="s">
        <v>2325</v>
      </c>
      <c r="B72" s="106" t="s">
        <v>2320</v>
      </c>
      <c r="C72">
        <v>350</v>
      </c>
      <c r="E72" s="111">
        <v>285310</v>
      </c>
    </row>
    <row r="73" spans="1:5">
      <c r="A73" s="103" t="s">
        <v>2325</v>
      </c>
      <c r="B73" s="106" t="s">
        <v>2320</v>
      </c>
      <c r="C73">
        <v>400</v>
      </c>
      <c r="E73" s="111">
        <v>326070</v>
      </c>
    </row>
    <row r="74" spans="1:5">
      <c r="A74" s="103" t="s">
        <v>2325</v>
      </c>
      <c r="B74" s="106" t="s">
        <v>2320</v>
      </c>
      <c r="C74">
        <v>450</v>
      </c>
      <c r="E74" s="111">
        <v>366935</v>
      </c>
    </row>
    <row r="75" spans="1:5">
      <c r="A75" s="103" t="s">
        <v>2326</v>
      </c>
      <c r="B75" s="100" t="s">
        <v>2319</v>
      </c>
      <c r="C75">
        <v>300</v>
      </c>
      <c r="E75" s="111">
        <v>275950</v>
      </c>
    </row>
    <row r="76" spans="1:5">
      <c r="A76" s="103" t="s">
        <v>2326</v>
      </c>
      <c r="B76" s="100" t="s">
        <v>2319</v>
      </c>
      <c r="C76">
        <v>350</v>
      </c>
      <c r="E76" s="111">
        <v>321950</v>
      </c>
    </row>
    <row r="77" spans="1:5">
      <c r="A77" s="103" t="s">
        <v>2326</v>
      </c>
      <c r="B77" s="100" t="s">
        <v>2319</v>
      </c>
      <c r="C77">
        <v>400</v>
      </c>
      <c r="E77" s="111">
        <v>367940</v>
      </c>
    </row>
    <row r="78" spans="1:5">
      <c r="A78" s="103" t="s">
        <v>2326</v>
      </c>
      <c r="B78" s="106" t="s">
        <v>2320</v>
      </c>
      <c r="C78">
        <v>300</v>
      </c>
      <c r="E78" s="111">
        <v>191700</v>
      </c>
    </row>
    <row r="79" spans="1:5">
      <c r="A79" s="103" t="s">
        <v>2326</v>
      </c>
      <c r="B79" s="106" t="s">
        <v>2320</v>
      </c>
      <c r="C79">
        <v>350</v>
      </c>
      <c r="E79" s="111">
        <v>223640</v>
      </c>
    </row>
    <row r="80" spans="1:5">
      <c r="A80" s="103" t="s">
        <v>2326</v>
      </c>
      <c r="B80" s="106" t="s">
        <v>2320</v>
      </c>
      <c r="C80">
        <v>400</v>
      </c>
      <c r="E80" s="111">
        <v>255590</v>
      </c>
    </row>
    <row r="81" spans="1:5">
      <c r="A81" s="103" t="s">
        <v>2327</v>
      </c>
      <c r="B81" s="100" t="s">
        <v>2319</v>
      </c>
      <c r="C81">
        <v>300</v>
      </c>
      <c r="E81" s="111">
        <v>275950</v>
      </c>
    </row>
    <row r="82" spans="1:5">
      <c r="A82" s="103" t="s">
        <v>2327</v>
      </c>
      <c r="B82" s="100" t="s">
        <v>2319</v>
      </c>
      <c r="C82">
        <v>350</v>
      </c>
      <c r="E82" s="111">
        <v>321950</v>
      </c>
    </row>
    <row r="83" spans="1:5">
      <c r="A83" s="103" t="s">
        <v>2327</v>
      </c>
      <c r="B83" s="100" t="s">
        <v>2319</v>
      </c>
      <c r="C83">
        <v>400</v>
      </c>
      <c r="E83" s="111">
        <v>367940</v>
      </c>
    </row>
    <row r="84" spans="1:5">
      <c r="A84" s="103" t="s">
        <v>2327</v>
      </c>
      <c r="B84" s="106" t="s">
        <v>2320</v>
      </c>
      <c r="C84">
        <v>300</v>
      </c>
      <c r="E84" s="111">
        <v>191700</v>
      </c>
    </row>
    <row r="85" spans="1:5">
      <c r="A85" s="103" t="s">
        <v>2327</v>
      </c>
      <c r="B85" s="106" t="s">
        <v>2320</v>
      </c>
      <c r="C85">
        <v>350</v>
      </c>
      <c r="E85" s="111">
        <v>223640</v>
      </c>
    </row>
    <row r="86" spans="1:5">
      <c r="A86" s="103" t="s">
        <v>2327</v>
      </c>
      <c r="B86" s="106" t="s">
        <v>2320</v>
      </c>
      <c r="C86">
        <v>400</v>
      </c>
      <c r="E86" s="111">
        <v>255590</v>
      </c>
    </row>
    <row r="87" spans="1:5">
      <c r="A87" s="103" t="s">
        <v>2328</v>
      </c>
      <c r="B87" s="100" t="s">
        <v>2319</v>
      </c>
      <c r="C87">
        <v>350</v>
      </c>
      <c r="E87" s="111">
        <v>410720</v>
      </c>
    </row>
    <row r="88" spans="1:5">
      <c r="A88" s="103" t="s">
        <v>2328</v>
      </c>
      <c r="B88" s="100" t="s">
        <v>2319</v>
      </c>
      <c r="C88">
        <v>400</v>
      </c>
      <c r="E88" s="111">
        <v>469400</v>
      </c>
    </row>
    <row r="89" spans="1:5">
      <c r="A89" s="103" t="s">
        <v>2328</v>
      </c>
      <c r="B89" s="106" t="s">
        <v>2320</v>
      </c>
      <c r="C89">
        <v>350</v>
      </c>
      <c r="E89" s="111">
        <v>285310</v>
      </c>
    </row>
    <row r="90" spans="1:5">
      <c r="A90" s="103" t="s">
        <v>2328</v>
      </c>
      <c r="B90" s="106" t="s">
        <v>2320</v>
      </c>
      <c r="C90">
        <v>400</v>
      </c>
      <c r="E90" s="111">
        <v>326070</v>
      </c>
    </row>
    <row r="91" spans="1:5">
      <c r="A91" s="103" t="s">
        <v>2329</v>
      </c>
      <c r="B91" s="100" t="s">
        <v>2319</v>
      </c>
      <c r="C91">
        <v>210</v>
      </c>
      <c r="E91" s="111">
        <v>246435</v>
      </c>
    </row>
    <row r="92" spans="1:5">
      <c r="A92" s="103" t="s">
        <v>2329</v>
      </c>
      <c r="B92" s="100" t="s">
        <v>2319</v>
      </c>
      <c r="C92">
        <v>330</v>
      </c>
      <c r="E92" s="111">
        <v>387260</v>
      </c>
    </row>
    <row r="93" spans="1:5">
      <c r="A93" s="103" t="s">
        <v>2329</v>
      </c>
      <c r="B93" s="106" t="s">
        <v>2320</v>
      </c>
      <c r="C93">
        <v>210</v>
      </c>
      <c r="E93" s="111">
        <v>171189</v>
      </c>
    </row>
    <row r="94" spans="1:5">
      <c r="A94" s="103" t="s">
        <v>2329</v>
      </c>
      <c r="B94" s="106" t="s">
        <v>2320</v>
      </c>
      <c r="C94">
        <v>330</v>
      </c>
      <c r="E94" s="111">
        <v>269010</v>
      </c>
    </row>
    <row r="95" spans="1:5">
      <c r="A95" s="103" t="s">
        <v>2330</v>
      </c>
      <c r="B95" s="106" t="s">
        <v>2320</v>
      </c>
      <c r="C95">
        <v>300</v>
      </c>
      <c r="E95" s="111">
        <v>362690</v>
      </c>
    </row>
    <row r="96" spans="1:5">
      <c r="A96" s="103" t="s">
        <v>2330</v>
      </c>
      <c r="B96" s="106" t="s">
        <v>2320</v>
      </c>
      <c r="C96">
        <v>350</v>
      </c>
      <c r="E96" s="111">
        <v>423140</v>
      </c>
    </row>
    <row r="97" spans="1:5">
      <c r="A97" s="103" t="s">
        <v>2330</v>
      </c>
      <c r="B97" s="106" t="s">
        <v>2320</v>
      </c>
      <c r="C97">
        <v>400</v>
      </c>
      <c r="E97" s="111">
        <v>483590</v>
      </c>
    </row>
    <row r="98" spans="1:5">
      <c r="A98" s="103" t="s">
        <v>2330</v>
      </c>
      <c r="B98" s="100" t="s">
        <v>2319</v>
      </c>
      <c r="C98">
        <v>300</v>
      </c>
      <c r="E98" s="111">
        <v>251950</v>
      </c>
    </row>
    <row r="99" spans="1:5">
      <c r="A99" s="103" t="s">
        <v>2330</v>
      </c>
      <c r="B99" s="100" t="s">
        <v>2319</v>
      </c>
      <c r="C99">
        <v>350</v>
      </c>
      <c r="E99" s="111">
        <v>293940</v>
      </c>
    </row>
    <row r="100" spans="1:5">
      <c r="A100" s="103" t="s">
        <v>2330</v>
      </c>
      <c r="B100" s="100" t="s">
        <v>2319</v>
      </c>
      <c r="C100">
        <v>400</v>
      </c>
      <c r="E100" s="111">
        <v>335930</v>
      </c>
    </row>
    <row r="101" spans="1:5">
      <c r="A101" s="103" t="s">
        <v>2331</v>
      </c>
      <c r="B101" s="100" t="s">
        <v>2319</v>
      </c>
      <c r="C101">
        <v>200</v>
      </c>
      <c r="E101" s="117">
        <v>248850</v>
      </c>
    </row>
    <row r="102" spans="1:5">
      <c r="A102" s="103" t="s">
        <v>2332</v>
      </c>
      <c r="B102" s="100" t="s">
        <v>2319</v>
      </c>
      <c r="C102">
        <v>220</v>
      </c>
      <c r="E102" s="117">
        <v>273740</v>
      </c>
    </row>
    <row r="103" spans="1:5">
      <c r="A103" s="103" t="s">
        <v>2346</v>
      </c>
      <c r="B103" s="100" t="s">
        <v>2319</v>
      </c>
      <c r="C103">
        <v>70</v>
      </c>
      <c r="E103" s="111">
        <v>59100</v>
      </c>
    </row>
    <row r="104" spans="1:5">
      <c r="A104" s="103" t="s">
        <v>2346</v>
      </c>
      <c r="B104" s="100" t="s">
        <v>2319</v>
      </c>
      <c r="C104">
        <v>80</v>
      </c>
      <c r="E104" s="111">
        <v>64910</v>
      </c>
    </row>
    <row r="105" spans="1:5">
      <c r="A105" s="103" t="s">
        <v>2346</v>
      </c>
      <c r="B105" s="106" t="s">
        <v>2320</v>
      </c>
      <c r="C105">
        <v>70</v>
      </c>
      <c r="E105" s="111">
        <v>41060</v>
      </c>
    </row>
    <row r="106" spans="1:5">
      <c r="A106" s="103" t="s">
        <v>2346</v>
      </c>
      <c r="B106" s="106" t="s">
        <v>2320</v>
      </c>
      <c r="C106">
        <v>80</v>
      </c>
      <c r="E106" s="111">
        <v>45090</v>
      </c>
    </row>
    <row r="107" spans="1:5">
      <c r="A107" s="103" t="s">
        <v>2347</v>
      </c>
      <c r="B107" s="100" t="s">
        <v>2319</v>
      </c>
      <c r="C107">
        <v>70</v>
      </c>
      <c r="E107" s="111">
        <v>57910</v>
      </c>
    </row>
    <row r="108" spans="1:5">
      <c r="A108" s="103" t="s">
        <v>2347</v>
      </c>
      <c r="B108" s="100" t="s">
        <v>2319</v>
      </c>
      <c r="C108">
        <v>80</v>
      </c>
      <c r="E108" s="111">
        <v>68670</v>
      </c>
    </row>
    <row r="109" spans="1:5">
      <c r="A109" s="103" t="s">
        <v>2347</v>
      </c>
      <c r="B109" s="106" t="s">
        <v>2320</v>
      </c>
      <c r="C109">
        <v>70</v>
      </c>
      <c r="E109" s="111">
        <v>40220</v>
      </c>
    </row>
    <row r="110" spans="1:5">
      <c r="A110" s="103" t="s">
        <v>2347</v>
      </c>
      <c r="B110" s="106" t="s">
        <v>2320</v>
      </c>
      <c r="C110">
        <v>80</v>
      </c>
      <c r="E110" s="111">
        <v>47700</v>
      </c>
    </row>
    <row r="111" spans="1:5">
      <c r="A111" s="103" t="s">
        <v>2719</v>
      </c>
      <c r="B111" s="100" t="s">
        <v>2319</v>
      </c>
      <c r="C111">
        <v>70</v>
      </c>
      <c r="E111" s="111">
        <v>59640</v>
      </c>
    </row>
    <row r="112" spans="1:5">
      <c r="A112" s="103" t="s">
        <v>2719</v>
      </c>
      <c r="B112" s="100" t="s">
        <v>2319</v>
      </c>
      <c r="C112">
        <v>80</v>
      </c>
      <c r="E112" s="111">
        <v>70730</v>
      </c>
    </row>
    <row r="113" spans="1:5">
      <c r="A113" s="103" t="s">
        <v>2719</v>
      </c>
      <c r="B113" s="106" t="s">
        <v>2320</v>
      </c>
      <c r="C113">
        <v>70</v>
      </c>
      <c r="E113" s="111">
        <v>41430</v>
      </c>
    </row>
    <row r="114" spans="1:5">
      <c r="A114" s="103" t="s">
        <v>2719</v>
      </c>
      <c r="B114" s="106" t="s">
        <v>2320</v>
      </c>
      <c r="C114">
        <v>80</v>
      </c>
      <c r="E114" s="111">
        <v>49130</v>
      </c>
    </row>
  </sheetData>
  <mergeCells count="1">
    <mergeCell ref="E1:F1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1D358-B692-4CA1-A373-620483187D89}">
  <dimension ref="A1:K107"/>
  <sheetViews>
    <sheetView tabSelected="1" workbookViewId="0">
      <selection activeCell="I8" sqref="I8"/>
    </sheetView>
  </sheetViews>
  <sheetFormatPr defaultRowHeight="17.399999999999999"/>
  <cols>
    <col min="1" max="1" width="21.8984375" customWidth="1"/>
    <col min="2" max="2" width="13.69921875" customWidth="1"/>
    <col min="4" max="4" width="13" bestFit="1" customWidth="1"/>
    <col min="5" max="5" width="10.69921875" style="114" bestFit="1" customWidth="1"/>
    <col min="7" max="7" width="9" style="134"/>
    <col min="8" max="8" width="12.796875" bestFit="1" customWidth="1"/>
    <col min="9" max="10" width="10.69921875" bestFit="1" customWidth="1"/>
    <col min="11" max="11" width="0" hidden="1" customWidth="1"/>
  </cols>
  <sheetData>
    <row r="1" spans="1:11" s="86" customFormat="1" ht="15" customHeight="1">
      <c r="A1" s="118" t="s">
        <v>2348</v>
      </c>
      <c r="B1" s="119" t="s">
        <v>2316</v>
      </c>
      <c r="C1" s="120" t="s">
        <v>2351</v>
      </c>
      <c r="D1" s="121" t="s">
        <v>2350</v>
      </c>
      <c r="E1" s="801" t="s">
        <v>1751</v>
      </c>
      <c r="F1" s="802"/>
      <c r="G1" s="133" t="s">
        <v>2747</v>
      </c>
    </row>
    <row r="2" spans="1:11">
      <c r="A2" t="s">
        <v>2333</v>
      </c>
      <c r="B2" s="100" t="s">
        <v>2319</v>
      </c>
      <c r="C2">
        <v>80</v>
      </c>
      <c r="E2" s="114">
        <v>87140</v>
      </c>
      <c r="G2" s="134">
        <v>64</v>
      </c>
      <c r="H2" s="132"/>
      <c r="I2" s="132"/>
      <c r="K2" s="114">
        <v>87140</v>
      </c>
    </row>
    <row r="3" spans="1:11">
      <c r="A3" t="s">
        <v>2333</v>
      </c>
      <c r="B3" s="100" t="s">
        <v>2319</v>
      </c>
      <c r="C3">
        <v>100</v>
      </c>
      <c r="E3" s="114">
        <v>88000</v>
      </c>
      <c r="G3" s="134">
        <v>80</v>
      </c>
      <c r="H3" s="132"/>
      <c r="I3" s="132"/>
      <c r="K3" s="114">
        <v>88000</v>
      </c>
    </row>
    <row r="4" spans="1:11">
      <c r="A4" t="s">
        <v>2333</v>
      </c>
      <c r="B4" s="100" t="s">
        <v>2319</v>
      </c>
      <c r="C4">
        <v>120</v>
      </c>
      <c r="E4" s="114">
        <v>105590</v>
      </c>
      <c r="G4" s="134">
        <v>96</v>
      </c>
      <c r="H4" s="132"/>
      <c r="I4" s="132"/>
      <c r="K4" s="114">
        <v>105590</v>
      </c>
    </row>
    <row r="5" spans="1:11">
      <c r="A5" t="s">
        <v>2333</v>
      </c>
      <c r="B5" s="100" t="s">
        <v>2319</v>
      </c>
      <c r="C5">
        <v>150</v>
      </c>
      <c r="E5" s="114">
        <v>134290</v>
      </c>
      <c r="G5" s="134">
        <v>125</v>
      </c>
      <c r="H5" s="132"/>
      <c r="I5" s="132"/>
      <c r="K5" s="114">
        <v>134290</v>
      </c>
    </row>
    <row r="6" spans="1:11">
      <c r="A6" t="s">
        <v>2333</v>
      </c>
      <c r="B6" s="100" t="s">
        <v>2319</v>
      </c>
      <c r="C6">
        <v>180</v>
      </c>
      <c r="E6" s="114">
        <v>161150</v>
      </c>
      <c r="G6" s="134">
        <v>151</v>
      </c>
      <c r="H6" s="132"/>
      <c r="I6" s="132"/>
      <c r="K6" s="114">
        <v>161150</v>
      </c>
    </row>
    <row r="7" spans="1:11">
      <c r="A7" t="s">
        <v>2333</v>
      </c>
      <c r="B7" s="100" t="s">
        <v>2319</v>
      </c>
      <c r="C7">
        <v>200</v>
      </c>
      <c r="E7" s="114">
        <v>179050</v>
      </c>
      <c r="G7" s="134">
        <v>178</v>
      </c>
      <c r="H7" s="132"/>
      <c r="I7" s="132"/>
      <c r="K7" s="114">
        <v>179050</v>
      </c>
    </row>
    <row r="8" spans="1:11">
      <c r="A8" t="s">
        <v>2333</v>
      </c>
      <c r="B8" s="100" t="s">
        <v>2319</v>
      </c>
      <c r="C8">
        <v>250</v>
      </c>
      <c r="E8" s="114">
        <v>223810</v>
      </c>
      <c r="G8" s="134">
        <v>235</v>
      </c>
      <c r="H8" s="132"/>
      <c r="I8" s="132"/>
      <c r="K8" s="114">
        <v>223810</v>
      </c>
    </row>
    <row r="9" spans="1:11">
      <c r="A9" t="s">
        <v>2333</v>
      </c>
      <c r="B9" s="100" t="s">
        <v>2319</v>
      </c>
      <c r="C9">
        <v>300</v>
      </c>
      <c r="E9" s="114">
        <v>268580</v>
      </c>
      <c r="G9" s="134">
        <v>290</v>
      </c>
      <c r="H9" s="132"/>
      <c r="I9" s="132"/>
      <c r="K9" s="114">
        <v>268580</v>
      </c>
    </row>
    <row r="10" spans="1:11">
      <c r="A10" t="s">
        <v>2333</v>
      </c>
      <c r="B10" s="102" t="s">
        <v>2320</v>
      </c>
      <c r="C10">
        <v>80</v>
      </c>
      <c r="E10" s="114">
        <v>60530</v>
      </c>
      <c r="G10" s="134">
        <v>64</v>
      </c>
      <c r="H10" s="132"/>
      <c r="I10" s="132"/>
      <c r="J10" s="799"/>
      <c r="K10" s="114">
        <v>60530</v>
      </c>
    </row>
    <row r="11" spans="1:11">
      <c r="A11" t="s">
        <v>2333</v>
      </c>
      <c r="B11" s="102" t="s">
        <v>2320</v>
      </c>
      <c r="C11">
        <v>100</v>
      </c>
      <c r="E11" s="114">
        <v>61130</v>
      </c>
      <c r="G11" s="134">
        <v>80</v>
      </c>
      <c r="H11" s="132"/>
      <c r="I11" s="132"/>
      <c r="K11" s="114">
        <v>61130</v>
      </c>
    </row>
    <row r="12" spans="1:11">
      <c r="A12" t="s">
        <v>2333</v>
      </c>
      <c r="B12" s="102" t="s">
        <v>2320</v>
      </c>
      <c r="C12">
        <v>120</v>
      </c>
      <c r="E12" s="114">
        <v>73350</v>
      </c>
      <c r="G12" s="134">
        <v>96</v>
      </c>
      <c r="H12" s="132"/>
      <c r="I12" s="132"/>
      <c r="K12" s="114">
        <v>73350</v>
      </c>
    </row>
    <row r="13" spans="1:11">
      <c r="A13" t="s">
        <v>2333</v>
      </c>
      <c r="B13" s="102" t="s">
        <v>2320</v>
      </c>
      <c r="C13">
        <v>150</v>
      </c>
      <c r="E13" s="114">
        <v>93280</v>
      </c>
      <c r="G13" s="134">
        <v>125</v>
      </c>
      <c r="H13" s="132"/>
      <c r="I13" s="132"/>
      <c r="K13" s="114">
        <v>93280</v>
      </c>
    </row>
    <row r="14" spans="1:11">
      <c r="A14" t="s">
        <v>2333</v>
      </c>
      <c r="B14" s="102" t="s">
        <v>2320</v>
      </c>
      <c r="C14">
        <v>180</v>
      </c>
      <c r="E14" s="114">
        <v>111940</v>
      </c>
      <c r="G14" s="134">
        <v>151</v>
      </c>
      <c r="H14" s="132"/>
      <c r="I14" s="132"/>
      <c r="K14" s="114">
        <v>111940</v>
      </c>
    </row>
    <row r="15" spans="1:11">
      <c r="A15" t="s">
        <v>2333</v>
      </c>
      <c r="B15" s="102" t="s">
        <v>2320</v>
      </c>
      <c r="C15">
        <v>200</v>
      </c>
      <c r="E15" s="114">
        <v>124380</v>
      </c>
      <c r="G15" s="134">
        <v>178</v>
      </c>
      <c r="H15" s="132"/>
      <c r="I15" s="132"/>
      <c r="K15" s="114">
        <v>124380</v>
      </c>
    </row>
    <row r="16" spans="1:11">
      <c r="A16" t="s">
        <v>2333</v>
      </c>
      <c r="B16" s="102" t="s">
        <v>2320</v>
      </c>
      <c r="C16">
        <v>250</v>
      </c>
      <c r="E16" s="114">
        <v>155470</v>
      </c>
      <c r="G16" s="134">
        <v>235</v>
      </c>
      <c r="H16" s="132"/>
      <c r="I16" s="132"/>
      <c r="K16" s="114">
        <v>155470</v>
      </c>
    </row>
    <row r="17" spans="1:11">
      <c r="A17" t="s">
        <v>2333</v>
      </c>
      <c r="B17" s="102" t="s">
        <v>2320</v>
      </c>
      <c r="C17">
        <v>300</v>
      </c>
      <c r="E17" s="114">
        <v>186570</v>
      </c>
      <c r="G17" s="134">
        <v>290</v>
      </c>
      <c r="H17" s="132"/>
      <c r="I17" s="132"/>
      <c r="K17" s="114">
        <v>186570</v>
      </c>
    </row>
    <row r="18" spans="1:11">
      <c r="A18" t="s">
        <v>2334</v>
      </c>
      <c r="B18" s="100" t="s">
        <v>2319</v>
      </c>
      <c r="C18">
        <v>80</v>
      </c>
      <c r="E18" s="114">
        <v>87140</v>
      </c>
      <c r="G18" s="134">
        <v>71</v>
      </c>
      <c r="H18" s="132"/>
      <c r="I18" s="132"/>
      <c r="K18" s="114">
        <v>87140</v>
      </c>
    </row>
    <row r="19" spans="1:11">
      <c r="A19" t="s">
        <v>2334</v>
      </c>
      <c r="B19" s="100" t="s">
        <v>2319</v>
      </c>
      <c r="C19">
        <v>100</v>
      </c>
      <c r="E19" s="114">
        <v>88000</v>
      </c>
      <c r="G19" s="134">
        <v>92</v>
      </c>
      <c r="H19" s="132"/>
      <c r="I19" s="132"/>
      <c r="K19" s="114">
        <v>88000</v>
      </c>
    </row>
    <row r="20" spans="1:11">
      <c r="A20" t="s">
        <v>2334</v>
      </c>
      <c r="B20" s="100" t="s">
        <v>2319</v>
      </c>
      <c r="C20">
        <v>120</v>
      </c>
      <c r="E20" s="114">
        <v>105590</v>
      </c>
      <c r="G20" s="134">
        <v>108</v>
      </c>
      <c r="H20" s="132"/>
      <c r="I20" s="132"/>
      <c r="K20" s="114">
        <v>105590</v>
      </c>
    </row>
    <row r="21" spans="1:11">
      <c r="A21" t="s">
        <v>2334</v>
      </c>
      <c r="B21" s="100" t="s">
        <v>2319</v>
      </c>
      <c r="C21">
        <v>150</v>
      </c>
      <c r="E21" s="114">
        <v>134290</v>
      </c>
      <c r="G21" s="134">
        <v>140</v>
      </c>
      <c r="H21" s="132"/>
      <c r="I21" s="132"/>
      <c r="K21" s="114">
        <v>134290</v>
      </c>
    </row>
    <row r="22" spans="1:11">
      <c r="A22" t="s">
        <v>2334</v>
      </c>
      <c r="B22" s="100" t="s">
        <v>2319</v>
      </c>
      <c r="C22">
        <v>180</v>
      </c>
      <c r="E22" s="114">
        <v>161150</v>
      </c>
      <c r="G22" s="134">
        <v>176</v>
      </c>
      <c r="H22" s="132"/>
      <c r="I22" s="132"/>
      <c r="K22" s="114">
        <v>161150</v>
      </c>
    </row>
    <row r="23" spans="1:11">
      <c r="A23" t="s">
        <v>2334</v>
      </c>
      <c r="B23" s="100" t="s">
        <v>2319</v>
      </c>
      <c r="C23">
        <v>200</v>
      </c>
      <c r="E23" s="114">
        <v>179050</v>
      </c>
      <c r="G23" s="134">
        <v>200</v>
      </c>
      <c r="H23" s="132"/>
      <c r="I23" s="132"/>
      <c r="K23" s="114">
        <v>179050</v>
      </c>
    </row>
    <row r="24" spans="1:11">
      <c r="A24" t="s">
        <v>2334</v>
      </c>
      <c r="B24" s="100" t="s">
        <v>2319</v>
      </c>
      <c r="C24">
        <v>250</v>
      </c>
      <c r="E24" s="114">
        <v>223810</v>
      </c>
      <c r="G24" s="134">
        <v>260</v>
      </c>
      <c r="H24" s="132"/>
      <c r="I24" s="132"/>
      <c r="K24" s="114">
        <v>223810</v>
      </c>
    </row>
    <row r="25" spans="1:11">
      <c r="A25" t="s">
        <v>2334</v>
      </c>
      <c r="B25" s="100" t="s">
        <v>2319</v>
      </c>
      <c r="C25">
        <v>300</v>
      </c>
      <c r="E25" s="114">
        <v>268580</v>
      </c>
      <c r="G25" s="134">
        <v>320</v>
      </c>
      <c r="H25" s="132"/>
      <c r="I25" s="132"/>
      <c r="K25" s="114">
        <v>268580</v>
      </c>
    </row>
    <row r="26" spans="1:11">
      <c r="A26" t="s">
        <v>2334</v>
      </c>
      <c r="B26" s="102" t="s">
        <v>2320</v>
      </c>
      <c r="C26">
        <v>80</v>
      </c>
      <c r="E26" s="114">
        <v>60530</v>
      </c>
      <c r="G26" s="134">
        <v>71</v>
      </c>
      <c r="H26" s="132"/>
      <c r="I26" s="132"/>
      <c r="K26" s="114">
        <v>60530</v>
      </c>
    </row>
    <row r="27" spans="1:11">
      <c r="A27" t="s">
        <v>2334</v>
      </c>
      <c r="B27" s="102" t="s">
        <v>2320</v>
      </c>
      <c r="C27">
        <v>100</v>
      </c>
      <c r="E27" s="114">
        <v>61130</v>
      </c>
      <c r="G27" s="134">
        <v>92</v>
      </c>
      <c r="H27" s="132"/>
      <c r="I27" s="132"/>
      <c r="K27" s="114">
        <v>61130</v>
      </c>
    </row>
    <row r="28" spans="1:11">
      <c r="A28" t="s">
        <v>2334</v>
      </c>
      <c r="B28" s="102" t="s">
        <v>2320</v>
      </c>
      <c r="C28">
        <v>120</v>
      </c>
      <c r="E28" s="114">
        <v>73350</v>
      </c>
      <c r="G28" s="134">
        <v>108</v>
      </c>
      <c r="H28" s="132"/>
      <c r="I28" s="132"/>
      <c r="K28" s="114">
        <v>73350</v>
      </c>
    </row>
    <row r="29" spans="1:11">
      <c r="A29" t="s">
        <v>2334</v>
      </c>
      <c r="B29" s="102" t="s">
        <v>2320</v>
      </c>
      <c r="C29">
        <v>150</v>
      </c>
      <c r="E29" s="114">
        <v>111940</v>
      </c>
      <c r="G29" s="134">
        <v>140</v>
      </c>
      <c r="H29" s="132"/>
      <c r="I29" s="132"/>
      <c r="K29" s="114">
        <v>111940</v>
      </c>
    </row>
    <row r="30" spans="1:11">
      <c r="A30" t="s">
        <v>2334</v>
      </c>
      <c r="B30" s="102" t="s">
        <v>2320</v>
      </c>
      <c r="C30">
        <v>180</v>
      </c>
      <c r="E30" s="114">
        <v>124380</v>
      </c>
      <c r="G30" s="134">
        <v>176</v>
      </c>
      <c r="H30" s="132"/>
      <c r="I30" s="132"/>
      <c r="K30" s="114">
        <v>124380</v>
      </c>
    </row>
    <row r="31" spans="1:11">
      <c r="A31" t="s">
        <v>2334</v>
      </c>
      <c r="B31" s="102" t="s">
        <v>2320</v>
      </c>
      <c r="C31">
        <v>200</v>
      </c>
      <c r="E31" s="114">
        <v>124380</v>
      </c>
      <c r="G31" s="134">
        <v>200</v>
      </c>
      <c r="H31" s="132"/>
      <c r="I31" s="132"/>
      <c r="K31" s="114">
        <v>124380</v>
      </c>
    </row>
    <row r="32" spans="1:11">
      <c r="A32" t="s">
        <v>2334</v>
      </c>
      <c r="B32" s="102" t="s">
        <v>2320</v>
      </c>
      <c r="C32">
        <v>250</v>
      </c>
      <c r="E32" s="114">
        <v>155470</v>
      </c>
      <c r="G32" s="134">
        <v>260</v>
      </c>
      <c r="H32" s="132"/>
      <c r="I32" s="132"/>
      <c r="K32" s="114">
        <v>155470</v>
      </c>
    </row>
    <row r="33" spans="1:11">
      <c r="A33" t="s">
        <v>2334</v>
      </c>
      <c r="B33" s="102" t="s">
        <v>2320</v>
      </c>
      <c r="C33">
        <v>300</v>
      </c>
      <c r="E33" s="114">
        <v>186570</v>
      </c>
      <c r="G33" s="134">
        <v>320</v>
      </c>
      <c r="H33" s="132"/>
      <c r="I33" s="132"/>
      <c r="K33" s="114">
        <v>186570</v>
      </c>
    </row>
    <row r="34" spans="1:11">
      <c r="A34" t="s">
        <v>2335</v>
      </c>
      <c r="B34" s="100" t="s">
        <v>2319</v>
      </c>
      <c r="C34">
        <v>70</v>
      </c>
      <c r="D34" t="s">
        <v>2336</v>
      </c>
      <c r="E34" s="114">
        <v>65010</v>
      </c>
      <c r="G34" s="134">
        <v>87</v>
      </c>
      <c r="H34" s="132"/>
      <c r="I34" s="132"/>
      <c r="K34" s="114">
        <v>65010</v>
      </c>
    </row>
    <row r="35" spans="1:11">
      <c r="A35" t="s">
        <v>2335</v>
      </c>
      <c r="B35" s="100" t="s">
        <v>2319</v>
      </c>
      <c r="C35">
        <v>80</v>
      </c>
      <c r="D35" t="s">
        <v>2336</v>
      </c>
      <c r="E35" s="114">
        <v>71400</v>
      </c>
      <c r="G35" s="134">
        <v>94</v>
      </c>
      <c r="H35" s="132"/>
      <c r="I35" s="132"/>
      <c r="K35" s="114">
        <v>71400</v>
      </c>
    </row>
    <row r="36" spans="1:11">
      <c r="A36" t="s">
        <v>2335</v>
      </c>
      <c r="B36" s="100" t="s">
        <v>2319</v>
      </c>
      <c r="C36">
        <v>100</v>
      </c>
      <c r="D36" t="s">
        <v>2336</v>
      </c>
      <c r="E36" s="114">
        <v>88470</v>
      </c>
      <c r="G36" s="134">
        <v>114</v>
      </c>
      <c r="H36" s="132"/>
      <c r="I36" s="132"/>
      <c r="K36" s="114">
        <v>88470</v>
      </c>
    </row>
    <row r="37" spans="1:11">
      <c r="A37" t="s">
        <v>2335</v>
      </c>
      <c r="B37" s="100" t="s">
        <v>2319</v>
      </c>
      <c r="C37">
        <v>120</v>
      </c>
      <c r="D37" t="s">
        <v>2336</v>
      </c>
      <c r="E37" s="114">
        <v>106160</v>
      </c>
      <c r="G37" s="134">
        <v>135</v>
      </c>
      <c r="H37" s="132"/>
      <c r="I37" s="132"/>
      <c r="K37" s="114">
        <v>106160</v>
      </c>
    </row>
    <row r="38" spans="1:11">
      <c r="A38" t="s">
        <v>2335</v>
      </c>
      <c r="B38" s="100" t="s">
        <v>2319</v>
      </c>
      <c r="C38">
        <v>150</v>
      </c>
      <c r="D38" t="s">
        <v>2336</v>
      </c>
      <c r="E38" s="114">
        <v>132700</v>
      </c>
      <c r="G38" s="134">
        <v>167</v>
      </c>
      <c r="H38" s="132"/>
      <c r="I38" s="132"/>
      <c r="K38" s="114">
        <v>132700</v>
      </c>
    </row>
    <row r="39" spans="1:11">
      <c r="A39" t="s">
        <v>2335</v>
      </c>
      <c r="B39" s="100" t="s">
        <v>2319</v>
      </c>
      <c r="C39">
        <v>180</v>
      </c>
      <c r="D39" t="s">
        <v>2336</v>
      </c>
      <c r="E39" s="114">
        <v>159240</v>
      </c>
      <c r="G39" s="134">
        <v>201</v>
      </c>
      <c r="H39" s="132"/>
      <c r="I39" s="132"/>
      <c r="K39" s="114">
        <v>159240</v>
      </c>
    </row>
    <row r="40" spans="1:11">
      <c r="A40" t="s">
        <v>2335</v>
      </c>
      <c r="B40" s="100" t="s">
        <v>2319</v>
      </c>
      <c r="C40">
        <v>220</v>
      </c>
      <c r="D40" t="s">
        <v>2336</v>
      </c>
      <c r="E40" s="114">
        <v>203370</v>
      </c>
      <c r="G40" s="134">
        <v>244</v>
      </c>
      <c r="H40" s="132"/>
      <c r="I40" s="132"/>
      <c r="K40" s="114">
        <v>203370</v>
      </c>
    </row>
    <row r="41" spans="1:11">
      <c r="A41" t="s">
        <v>2335</v>
      </c>
      <c r="B41" s="100" t="s">
        <v>2319</v>
      </c>
      <c r="C41">
        <v>260</v>
      </c>
      <c r="D41" t="s">
        <v>2336</v>
      </c>
      <c r="E41" s="114">
        <v>240340</v>
      </c>
      <c r="G41" s="134">
        <v>285</v>
      </c>
      <c r="H41" s="132"/>
      <c r="I41" s="132"/>
      <c r="K41" s="114">
        <v>240340</v>
      </c>
    </row>
    <row r="42" spans="1:11">
      <c r="A42" t="s">
        <v>2335</v>
      </c>
      <c r="B42" s="102" t="s">
        <v>2320</v>
      </c>
      <c r="C42">
        <v>70</v>
      </c>
      <c r="D42" t="s">
        <v>2336</v>
      </c>
      <c r="E42" s="114">
        <v>45160</v>
      </c>
      <c r="G42" s="134">
        <v>87</v>
      </c>
      <c r="H42" s="132"/>
      <c r="I42" s="132"/>
      <c r="K42" s="114">
        <v>45160</v>
      </c>
    </row>
    <row r="43" spans="1:11">
      <c r="A43" t="s">
        <v>2335</v>
      </c>
      <c r="B43" s="102" t="s">
        <v>2320</v>
      </c>
      <c r="C43">
        <v>80</v>
      </c>
      <c r="D43" t="s">
        <v>2336</v>
      </c>
      <c r="E43" s="114">
        <v>49600</v>
      </c>
      <c r="G43" s="134">
        <v>94</v>
      </c>
      <c r="H43" s="132"/>
      <c r="I43" s="132"/>
      <c r="K43" s="114">
        <v>49600</v>
      </c>
    </row>
    <row r="44" spans="1:11">
      <c r="A44" t="s">
        <v>2335</v>
      </c>
      <c r="B44" s="102" t="s">
        <v>2320</v>
      </c>
      <c r="C44">
        <v>100</v>
      </c>
      <c r="D44" t="s">
        <v>2336</v>
      </c>
      <c r="E44" s="114">
        <v>61460</v>
      </c>
      <c r="G44" s="134">
        <v>115</v>
      </c>
      <c r="H44" s="132"/>
      <c r="I44" s="132"/>
      <c r="K44" s="114">
        <v>61460</v>
      </c>
    </row>
    <row r="45" spans="1:11">
      <c r="A45" t="s">
        <v>2335</v>
      </c>
      <c r="B45" s="102" t="s">
        <v>2320</v>
      </c>
      <c r="C45">
        <v>120</v>
      </c>
      <c r="D45" t="s">
        <v>2336</v>
      </c>
      <c r="E45" s="114">
        <v>73750</v>
      </c>
      <c r="G45" s="134">
        <v>135</v>
      </c>
      <c r="H45" s="132"/>
      <c r="I45" s="132"/>
      <c r="K45" s="114">
        <v>73750</v>
      </c>
    </row>
    <row r="46" spans="1:11">
      <c r="A46" t="s">
        <v>2335</v>
      </c>
      <c r="B46" s="102" t="s">
        <v>2320</v>
      </c>
      <c r="C46">
        <v>150</v>
      </c>
      <c r="D46" t="s">
        <v>2336</v>
      </c>
      <c r="E46" s="114">
        <v>92180</v>
      </c>
      <c r="G46" s="134">
        <v>167</v>
      </c>
      <c r="H46" s="132"/>
      <c r="I46" s="132"/>
      <c r="K46" s="114">
        <v>92180</v>
      </c>
    </row>
    <row r="47" spans="1:11">
      <c r="A47" t="s">
        <v>2335</v>
      </c>
      <c r="B47" s="102" t="s">
        <v>2320</v>
      </c>
      <c r="C47">
        <v>180</v>
      </c>
      <c r="D47" t="s">
        <v>2336</v>
      </c>
      <c r="E47" s="114">
        <v>110620</v>
      </c>
      <c r="G47" s="134">
        <v>201</v>
      </c>
      <c r="H47" s="132"/>
      <c r="I47" s="132"/>
      <c r="K47" s="114">
        <v>110620</v>
      </c>
    </row>
    <row r="48" spans="1:11">
      <c r="A48" t="s">
        <v>2335</v>
      </c>
      <c r="B48" s="102" t="s">
        <v>2320</v>
      </c>
      <c r="C48">
        <v>220</v>
      </c>
      <c r="D48" t="s">
        <v>2336</v>
      </c>
      <c r="E48" s="114">
        <v>141270</v>
      </c>
      <c r="G48" s="134">
        <v>244</v>
      </c>
      <c r="H48" s="132"/>
      <c r="I48" s="132"/>
      <c r="K48" s="114">
        <v>141270</v>
      </c>
    </row>
    <row r="49" spans="1:11" ht="18" thickBot="1">
      <c r="A49" t="s">
        <v>2335</v>
      </c>
      <c r="B49" s="102" t="s">
        <v>2320</v>
      </c>
      <c r="C49">
        <v>260</v>
      </c>
      <c r="D49" t="s">
        <v>2336</v>
      </c>
      <c r="E49" s="114">
        <v>166960</v>
      </c>
      <c r="G49" s="134">
        <v>285</v>
      </c>
      <c r="H49" s="132"/>
      <c r="I49" s="132"/>
      <c r="K49" s="114">
        <v>166960</v>
      </c>
    </row>
    <row r="50" spans="1:11" ht="18" thickBot="1">
      <c r="A50" t="s">
        <v>2342</v>
      </c>
      <c r="B50" s="100" t="s">
        <v>2319</v>
      </c>
      <c r="C50">
        <v>300</v>
      </c>
      <c r="D50" t="s">
        <v>2343</v>
      </c>
      <c r="E50" s="116">
        <v>358760</v>
      </c>
      <c r="G50" s="134">
        <v>380</v>
      </c>
    </row>
    <row r="51" spans="1:11">
      <c r="A51" t="s">
        <v>2342</v>
      </c>
      <c r="B51" s="100" t="s">
        <v>2319</v>
      </c>
      <c r="C51">
        <v>350</v>
      </c>
      <c r="D51" t="s">
        <v>2343</v>
      </c>
      <c r="E51" s="117">
        <v>418550</v>
      </c>
      <c r="G51" s="134">
        <v>455</v>
      </c>
    </row>
    <row r="52" spans="1:11" ht="18" thickBot="1">
      <c r="A52" t="s">
        <v>2342</v>
      </c>
      <c r="B52" s="100" t="s">
        <v>2319</v>
      </c>
      <c r="C52">
        <v>400</v>
      </c>
      <c r="D52" t="s">
        <v>2343</v>
      </c>
      <c r="E52" s="117">
        <v>478340</v>
      </c>
      <c r="G52" s="134">
        <v>520</v>
      </c>
    </row>
    <row r="53" spans="1:11" ht="18" thickBot="1">
      <c r="A53" t="s">
        <v>2342</v>
      </c>
      <c r="B53" s="102" t="s">
        <v>2320</v>
      </c>
      <c r="C53">
        <v>300</v>
      </c>
      <c r="D53" t="s">
        <v>2343</v>
      </c>
      <c r="E53" s="116">
        <v>249210</v>
      </c>
      <c r="G53" s="134">
        <v>380</v>
      </c>
    </row>
    <row r="54" spans="1:11" ht="18" thickBot="1">
      <c r="A54" t="s">
        <v>2342</v>
      </c>
      <c r="B54" s="102" t="s">
        <v>2320</v>
      </c>
      <c r="C54">
        <v>350</v>
      </c>
      <c r="D54" t="s">
        <v>2343</v>
      </c>
      <c r="E54" s="116">
        <v>290750</v>
      </c>
      <c r="G54" s="134">
        <v>455</v>
      </c>
    </row>
    <row r="55" spans="1:11" ht="18" thickBot="1">
      <c r="A55" t="s">
        <v>2342</v>
      </c>
      <c r="B55" s="102" t="s">
        <v>2320</v>
      </c>
      <c r="C55">
        <v>400</v>
      </c>
      <c r="D55" t="s">
        <v>2343</v>
      </c>
      <c r="E55" s="116">
        <v>332280</v>
      </c>
      <c r="G55" s="134">
        <v>520</v>
      </c>
    </row>
    <row r="56" spans="1:11">
      <c r="A56" t="s">
        <v>2342</v>
      </c>
      <c r="B56" s="100" t="s">
        <v>2319</v>
      </c>
      <c r="C56">
        <v>250</v>
      </c>
      <c r="D56" t="s">
        <v>2344</v>
      </c>
      <c r="E56" s="114">
        <v>311260</v>
      </c>
      <c r="G56" s="134">
        <v>310</v>
      </c>
    </row>
    <row r="57" spans="1:11">
      <c r="A57" t="s">
        <v>2342</v>
      </c>
      <c r="B57" s="100" t="s">
        <v>2319</v>
      </c>
      <c r="C57">
        <v>300</v>
      </c>
      <c r="D57" t="s">
        <v>2344</v>
      </c>
      <c r="E57" s="114">
        <v>364120</v>
      </c>
      <c r="G57" s="134">
        <v>380</v>
      </c>
    </row>
    <row r="58" spans="1:11">
      <c r="A58" t="s">
        <v>2342</v>
      </c>
      <c r="B58" s="100" t="s">
        <v>2319</v>
      </c>
      <c r="C58">
        <v>350</v>
      </c>
      <c r="D58" t="s">
        <v>2344</v>
      </c>
      <c r="E58" s="114">
        <v>424810</v>
      </c>
      <c r="G58" s="134">
        <v>445</v>
      </c>
    </row>
    <row r="59" spans="1:11" ht="18" thickBot="1">
      <c r="A59" t="s">
        <v>2342</v>
      </c>
      <c r="B59" s="100" t="s">
        <v>2319</v>
      </c>
      <c r="C59">
        <v>400</v>
      </c>
      <c r="D59" t="s">
        <v>2344</v>
      </c>
      <c r="E59" s="114">
        <v>485490</v>
      </c>
      <c r="G59" s="134">
        <v>505</v>
      </c>
    </row>
    <row r="60" spans="1:11" ht="18" thickBot="1">
      <c r="A60" t="s">
        <v>2342</v>
      </c>
      <c r="B60" s="102" t="s">
        <v>2320</v>
      </c>
      <c r="C60">
        <v>250</v>
      </c>
      <c r="D60" t="s">
        <v>2344</v>
      </c>
      <c r="E60" s="116">
        <v>216220</v>
      </c>
      <c r="G60" s="134">
        <v>310</v>
      </c>
    </row>
    <row r="61" spans="1:11" ht="18" thickBot="1">
      <c r="A61" t="s">
        <v>2342</v>
      </c>
      <c r="B61" s="102" t="s">
        <v>2320</v>
      </c>
      <c r="C61">
        <v>300</v>
      </c>
      <c r="D61" t="s">
        <v>2344</v>
      </c>
      <c r="E61" s="116">
        <v>252940</v>
      </c>
      <c r="G61" s="134">
        <v>380</v>
      </c>
    </row>
    <row r="62" spans="1:11" ht="18" thickBot="1">
      <c r="A62" t="s">
        <v>2342</v>
      </c>
      <c r="B62" s="102" t="s">
        <v>2320</v>
      </c>
      <c r="C62">
        <v>350</v>
      </c>
      <c r="D62" t="s">
        <v>2344</v>
      </c>
      <c r="E62" s="116">
        <v>295100</v>
      </c>
      <c r="G62" s="134">
        <v>445</v>
      </c>
    </row>
    <row r="63" spans="1:11" ht="18" thickBot="1">
      <c r="A63" t="s">
        <v>2342</v>
      </c>
      <c r="B63" s="102" t="s">
        <v>2320</v>
      </c>
      <c r="C63">
        <v>400</v>
      </c>
      <c r="D63" t="s">
        <v>2344</v>
      </c>
      <c r="E63" s="116">
        <v>337250</v>
      </c>
      <c r="G63" s="134">
        <v>505</v>
      </c>
    </row>
    <row r="64" spans="1:11">
      <c r="A64" t="s">
        <v>2345</v>
      </c>
      <c r="B64" s="100" t="s">
        <v>4851</v>
      </c>
      <c r="C64">
        <v>105</v>
      </c>
      <c r="E64" s="117">
        <v>91370</v>
      </c>
      <c r="G64" s="134">
        <v>170</v>
      </c>
    </row>
    <row r="65" spans="1:9">
      <c r="A65" t="s">
        <v>2345</v>
      </c>
      <c r="B65" s="100" t="s">
        <v>4851</v>
      </c>
      <c r="C65">
        <v>130</v>
      </c>
      <c r="E65" s="117">
        <v>112620</v>
      </c>
      <c r="G65" s="134">
        <v>205</v>
      </c>
    </row>
    <row r="66" spans="1:9">
      <c r="A66" t="s">
        <v>2345</v>
      </c>
      <c r="B66" s="100" t="s">
        <v>4851</v>
      </c>
      <c r="C66">
        <v>170</v>
      </c>
      <c r="E66" s="117">
        <v>147270</v>
      </c>
      <c r="G66" s="134">
        <v>268</v>
      </c>
    </row>
    <row r="67" spans="1:9">
      <c r="A67" t="s">
        <v>2345</v>
      </c>
      <c r="B67" s="100" t="s">
        <v>4851</v>
      </c>
      <c r="C67">
        <v>180</v>
      </c>
      <c r="E67" s="117">
        <v>155930</v>
      </c>
      <c r="G67" s="134">
        <v>275</v>
      </c>
    </row>
    <row r="68" spans="1:9">
      <c r="A68" t="s">
        <v>4852</v>
      </c>
      <c r="B68" s="100" t="s">
        <v>4851</v>
      </c>
      <c r="C68">
        <v>200</v>
      </c>
      <c r="E68" s="117">
        <v>248850</v>
      </c>
    </row>
    <row r="69" spans="1:9">
      <c r="A69" t="s">
        <v>4853</v>
      </c>
      <c r="B69" s="100" t="s">
        <v>4851</v>
      </c>
      <c r="C69">
        <v>220</v>
      </c>
      <c r="E69" s="117">
        <v>273740</v>
      </c>
    </row>
    <row r="70" spans="1:9">
      <c r="A70" t="s">
        <v>2335</v>
      </c>
      <c r="B70" s="100" t="s">
        <v>2319</v>
      </c>
      <c r="C70">
        <v>70</v>
      </c>
      <c r="D70" t="s">
        <v>2337</v>
      </c>
      <c r="E70" s="114">
        <v>66960</v>
      </c>
      <c r="H70" s="114"/>
      <c r="I70" s="132"/>
    </row>
    <row r="71" spans="1:9">
      <c r="A71" t="s">
        <v>2335</v>
      </c>
      <c r="B71" s="100" t="s">
        <v>2319</v>
      </c>
      <c r="C71">
        <v>80</v>
      </c>
      <c r="D71" t="s">
        <v>2337</v>
      </c>
      <c r="E71" s="114">
        <v>73540</v>
      </c>
      <c r="H71" s="114"/>
      <c r="I71" s="132"/>
    </row>
    <row r="72" spans="1:9">
      <c r="A72" t="s">
        <v>2335</v>
      </c>
      <c r="B72" s="100" t="s">
        <v>2319</v>
      </c>
      <c r="C72">
        <v>100</v>
      </c>
      <c r="D72" t="s">
        <v>2337</v>
      </c>
      <c r="E72" s="114">
        <v>91130</v>
      </c>
      <c r="H72" s="114"/>
      <c r="I72" s="132"/>
    </row>
    <row r="73" spans="1:9">
      <c r="A73" t="s">
        <v>2335</v>
      </c>
      <c r="B73" s="100" t="s">
        <v>2319</v>
      </c>
      <c r="C73">
        <v>120</v>
      </c>
      <c r="D73" t="s">
        <v>2337</v>
      </c>
      <c r="E73" s="114">
        <v>109350</v>
      </c>
      <c r="H73" s="114"/>
      <c r="I73" s="132"/>
    </row>
    <row r="74" spans="1:9">
      <c r="A74" t="s">
        <v>2335</v>
      </c>
      <c r="B74" s="102" t="s">
        <v>2320</v>
      </c>
      <c r="C74">
        <v>70</v>
      </c>
      <c r="D74" t="s">
        <v>2337</v>
      </c>
      <c r="E74" s="114">
        <v>46820</v>
      </c>
      <c r="H74" s="114"/>
      <c r="I74" s="132"/>
    </row>
    <row r="75" spans="1:9">
      <c r="A75" t="s">
        <v>2335</v>
      </c>
      <c r="B75" s="102" t="s">
        <v>2320</v>
      </c>
      <c r="C75">
        <v>80</v>
      </c>
      <c r="D75" t="s">
        <v>2337</v>
      </c>
      <c r="E75" s="114">
        <v>51090</v>
      </c>
      <c r="H75" s="114"/>
      <c r="I75" s="132"/>
    </row>
    <row r="76" spans="1:9">
      <c r="A76" t="s">
        <v>2335</v>
      </c>
      <c r="B76" s="102" t="s">
        <v>2320</v>
      </c>
      <c r="C76">
        <v>100</v>
      </c>
      <c r="D76" t="s">
        <v>2337</v>
      </c>
      <c r="E76" s="114">
        <v>63300</v>
      </c>
      <c r="H76" s="114"/>
      <c r="I76" s="132"/>
    </row>
    <row r="77" spans="1:9">
      <c r="A77" t="s">
        <v>2335</v>
      </c>
      <c r="B77" s="102" t="s">
        <v>2320</v>
      </c>
      <c r="C77">
        <v>120</v>
      </c>
      <c r="D77" t="s">
        <v>2337</v>
      </c>
      <c r="E77" s="114">
        <v>75960</v>
      </c>
      <c r="H77" s="114"/>
      <c r="I77" s="132"/>
    </row>
    <row r="78" spans="1:9">
      <c r="A78" t="s">
        <v>4898</v>
      </c>
      <c r="B78" s="100" t="s">
        <v>2319</v>
      </c>
      <c r="C78">
        <v>65</v>
      </c>
      <c r="E78" s="114">
        <v>63420</v>
      </c>
    </row>
    <row r="79" spans="1:9">
      <c r="A79" t="s">
        <v>4898</v>
      </c>
      <c r="B79" s="100" t="s">
        <v>2319</v>
      </c>
      <c r="C79">
        <v>70</v>
      </c>
      <c r="E79" s="114">
        <v>66960</v>
      </c>
    </row>
    <row r="80" spans="1:9">
      <c r="A80" t="s">
        <v>4898</v>
      </c>
      <c r="B80" s="100" t="s">
        <v>2319</v>
      </c>
      <c r="C80">
        <v>75</v>
      </c>
      <c r="E80" s="114">
        <v>70350</v>
      </c>
    </row>
    <row r="81" spans="1:5">
      <c r="A81" t="s">
        <v>4898</v>
      </c>
      <c r="B81" s="100" t="s">
        <v>2319</v>
      </c>
      <c r="C81">
        <v>80</v>
      </c>
      <c r="E81" s="114">
        <v>73540</v>
      </c>
    </row>
    <row r="82" spans="1:5">
      <c r="A82" t="s">
        <v>4898</v>
      </c>
      <c r="B82" s="100" t="s">
        <v>2319</v>
      </c>
      <c r="C82">
        <v>100</v>
      </c>
      <c r="E82" s="114">
        <v>91120</v>
      </c>
    </row>
    <row r="83" spans="1:5">
      <c r="A83" t="s">
        <v>4898</v>
      </c>
      <c r="B83" s="102" t="s">
        <v>2320</v>
      </c>
      <c r="C83">
        <v>65</v>
      </c>
      <c r="E83" s="114">
        <v>44050</v>
      </c>
    </row>
    <row r="84" spans="1:5">
      <c r="A84" t="s">
        <v>4898</v>
      </c>
      <c r="B84" s="102" t="s">
        <v>2320</v>
      </c>
      <c r="C84">
        <v>70</v>
      </c>
      <c r="E84" s="114">
        <v>46520</v>
      </c>
    </row>
    <row r="85" spans="1:5">
      <c r="A85" t="s">
        <v>4898</v>
      </c>
      <c r="B85" s="102" t="s">
        <v>2320</v>
      </c>
      <c r="C85">
        <v>75</v>
      </c>
      <c r="E85" s="114">
        <v>48870</v>
      </c>
    </row>
    <row r="86" spans="1:5">
      <c r="A86" t="s">
        <v>4898</v>
      </c>
      <c r="B86" s="102" t="s">
        <v>2320</v>
      </c>
      <c r="C86">
        <v>80</v>
      </c>
      <c r="E86" s="114">
        <v>51090</v>
      </c>
    </row>
    <row r="87" spans="1:5">
      <c r="A87" t="s">
        <v>4898</v>
      </c>
      <c r="B87" s="102" t="s">
        <v>2320</v>
      </c>
      <c r="C87">
        <v>100</v>
      </c>
      <c r="E87" s="114">
        <v>63290</v>
      </c>
    </row>
    <row r="88" spans="1:5">
      <c r="A88" t="s">
        <v>4899</v>
      </c>
      <c r="B88" s="100" t="s">
        <v>2319</v>
      </c>
      <c r="C88">
        <v>65</v>
      </c>
      <c r="E88" s="114">
        <v>65320</v>
      </c>
    </row>
    <row r="89" spans="1:5">
      <c r="A89" t="s">
        <v>4899</v>
      </c>
      <c r="B89" s="100" t="s">
        <v>2319</v>
      </c>
      <c r="C89">
        <v>70</v>
      </c>
      <c r="E89" s="114">
        <v>68970</v>
      </c>
    </row>
    <row r="90" spans="1:5">
      <c r="A90" t="s">
        <v>4899</v>
      </c>
      <c r="B90" s="100" t="s">
        <v>2319</v>
      </c>
      <c r="C90">
        <v>80</v>
      </c>
      <c r="E90" s="114">
        <v>75750</v>
      </c>
    </row>
    <row r="91" spans="1:5">
      <c r="A91" t="s">
        <v>4899</v>
      </c>
      <c r="B91" s="100" t="s">
        <v>2319</v>
      </c>
      <c r="C91">
        <v>100</v>
      </c>
      <c r="E91" s="114">
        <v>93850</v>
      </c>
    </row>
    <row r="92" spans="1:5">
      <c r="A92" t="s">
        <v>4899</v>
      </c>
      <c r="B92" s="102" t="s">
        <v>2320</v>
      </c>
      <c r="C92">
        <v>65</v>
      </c>
      <c r="E92" s="114">
        <v>45380</v>
      </c>
    </row>
    <row r="93" spans="1:5">
      <c r="A93" t="s">
        <v>4899</v>
      </c>
      <c r="B93" s="102" t="s">
        <v>2320</v>
      </c>
      <c r="C93">
        <v>70</v>
      </c>
      <c r="E93" s="114">
        <v>47910</v>
      </c>
    </row>
    <row r="94" spans="1:5">
      <c r="A94" t="s">
        <v>4899</v>
      </c>
      <c r="B94" s="102" t="s">
        <v>2320</v>
      </c>
      <c r="C94">
        <v>80</v>
      </c>
      <c r="E94" s="114">
        <v>52620</v>
      </c>
    </row>
    <row r="95" spans="1:5">
      <c r="A95" t="s">
        <v>4899</v>
      </c>
      <c r="B95" s="102" t="s">
        <v>2320</v>
      </c>
      <c r="C95">
        <v>100</v>
      </c>
      <c r="E95" s="114">
        <v>65190</v>
      </c>
    </row>
    <row r="96" spans="1:5">
      <c r="A96" t="s">
        <v>4900</v>
      </c>
      <c r="B96" s="100" t="s">
        <v>2319</v>
      </c>
      <c r="C96">
        <v>75</v>
      </c>
      <c r="E96" s="114">
        <v>71070</v>
      </c>
    </row>
    <row r="97" spans="1:7">
      <c r="A97" t="s">
        <v>4900</v>
      </c>
      <c r="B97" s="102" t="s">
        <v>2320</v>
      </c>
      <c r="C97">
        <v>75</v>
      </c>
      <c r="E97" s="114">
        <v>49370</v>
      </c>
    </row>
    <row r="98" spans="1:7">
      <c r="A98" t="s">
        <v>2341</v>
      </c>
      <c r="B98" s="100" t="s">
        <v>2319</v>
      </c>
      <c r="C98">
        <v>200</v>
      </c>
      <c r="E98" s="114">
        <v>260000</v>
      </c>
      <c r="G98" s="134">
        <v>235</v>
      </c>
    </row>
    <row r="99" spans="1:7">
      <c r="A99" t="s">
        <v>2341</v>
      </c>
      <c r="B99" s="100" t="s">
        <v>2319</v>
      </c>
      <c r="C99">
        <v>250</v>
      </c>
      <c r="E99" s="114">
        <v>321890</v>
      </c>
      <c r="G99" s="134">
        <v>295</v>
      </c>
    </row>
    <row r="100" spans="1:7">
      <c r="A100" t="s">
        <v>2341</v>
      </c>
      <c r="B100" s="100" t="s">
        <v>2319</v>
      </c>
      <c r="C100">
        <v>300</v>
      </c>
      <c r="E100" s="114">
        <v>386260</v>
      </c>
      <c r="G100" s="134">
        <v>355</v>
      </c>
    </row>
    <row r="101" spans="1:7">
      <c r="A101" t="s">
        <v>2341</v>
      </c>
      <c r="B101" s="100" t="s">
        <v>2319</v>
      </c>
      <c r="C101">
        <v>350</v>
      </c>
      <c r="E101" s="114">
        <v>450640</v>
      </c>
      <c r="G101" s="134">
        <v>415</v>
      </c>
    </row>
    <row r="102" spans="1:7">
      <c r="A102" t="s">
        <v>2341</v>
      </c>
      <c r="B102" s="100" t="s">
        <v>2319</v>
      </c>
      <c r="C102">
        <v>400</v>
      </c>
      <c r="E102" s="114">
        <v>515020</v>
      </c>
      <c r="G102" s="134">
        <v>480</v>
      </c>
    </row>
    <row r="103" spans="1:7">
      <c r="A103" t="s">
        <v>2341</v>
      </c>
      <c r="B103" s="102" t="s">
        <v>2320</v>
      </c>
      <c r="C103">
        <v>200</v>
      </c>
      <c r="E103" s="114">
        <v>180610</v>
      </c>
      <c r="G103" s="134">
        <v>235</v>
      </c>
    </row>
    <row r="104" spans="1:7">
      <c r="A104" t="s">
        <v>2341</v>
      </c>
      <c r="B104" s="102" t="s">
        <v>2320</v>
      </c>
      <c r="C104">
        <v>250</v>
      </c>
      <c r="E104" s="114">
        <v>223600</v>
      </c>
      <c r="G104" s="134">
        <v>295</v>
      </c>
    </row>
    <row r="105" spans="1:7">
      <c r="A105" t="s">
        <v>2341</v>
      </c>
      <c r="B105" s="102" t="s">
        <v>2320</v>
      </c>
      <c r="C105">
        <v>300</v>
      </c>
      <c r="E105" s="114">
        <v>268320</v>
      </c>
      <c r="G105" s="134">
        <v>355</v>
      </c>
    </row>
    <row r="106" spans="1:7">
      <c r="A106" t="s">
        <v>2341</v>
      </c>
      <c r="B106" s="102" t="s">
        <v>2320</v>
      </c>
      <c r="C106">
        <v>350</v>
      </c>
      <c r="E106" s="114">
        <v>313040</v>
      </c>
      <c r="G106" s="134">
        <v>415</v>
      </c>
    </row>
    <row r="107" spans="1:7">
      <c r="A107" t="s">
        <v>2341</v>
      </c>
      <c r="B107" s="102" t="s">
        <v>2320</v>
      </c>
      <c r="C107">
        <v>400</v>
      </c>
      <c r="E107" s="114">
        <v>357760</v>
      </c>
      <c r="G107" s="134">
        <v>480</v>
      </c>
    </row>
  </sheetData>
  <mergeCells count="1">
    <mergeCell ref="E1:F1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70AD4-0192-4BF1-9953-41C879113668}">
  <dimension ref="A1:K180"/>
  <sheetViews>
    <sheetView topLeftCell="A154" workbookViewId="0">
      <selection activeCell="D160" sqref="D160"/>
    </sheetView>
  </sheetViews>
  <sheetFormatPr defaultRowHeight="17.399999999999999"/>
  <cols>
    <col min="1" max="1" width="13.69921875" style="103" bestFit="1" customWidth="1"/>
    <col min="2" max="2" width="12" customWidth="1"/>
    <col min="4" max="4" width="46.3984375" bestFit="1" customWidth="1"/>
    <col min="5" max="5" width="13.59765625" style="128" customWidth="1"/>
    <col min="7" max="7" width="9" style="134"/>
  </cols>
  <sheetData>
    <row r="1" spans="1:7" s="86" customFormat="1" ht="15" customHeight="1">
      <c r="A1" s="118" t="s">
        <v>2348</v>
      </c>
      <c r="B1" s="119" t="s">
        <v>2316</v>
      </c>
      <c r="C1" s="120" t="s">
        <v>2351</v>
      </c>
      <c r="D1" s="121" t="s">
        <v>2350</v>
      </c>
      <c r="E1" s="127" t="s">
        <v>1751</v>
      </c>
      <c r="F1" s="124"/>
      <c r="G1" s="133" t="s">
        <v>2747</v>
      </c>
    </row>
    <row r="2" spans="1:7" ht="40.5" customHeight="1">
      <c r="A2" s="1044" t="s">
        <v>2355</v>
      </c>
      <c r="B2" s="1045" t="s">
        <v>2353</v>
      </c>
      <c r="C2">
        <v>70</v>
      </c>
      <c r="D2" s="1044" t="s">
        <v>2354</v>
      </c>
      <c r="E2" s="128">
        <v>148770</v>
      </c>
    </row>
    <row r="3" spans="1:7">
      <c r="A3" s="1043"/>
      <c r="B3" s="1040"/>
      <c r="C3">
        <v>75</v>
      </c>
      <c r="D3" s="1043"/>
      <c r="E3" s="128">
        <v>159390</v>
      </c>
    </row>
    <row r="4" spans="1:7">
      <c r="A4" s="1043"/>
      <c r="B4" s="1040"/>
      <c r="C4">
        <v>90</v>
      </c>
      <c r="D4" s="1043"/>
      <c r="E4" s="128">
        <v>180680</v>
      </c>
    </row>
    <row r="5" spans="1:7">
      <c r="A5" s="1043"/>
      <c r="B5" s="1040"/>
      <c r="C5">
        <v>100</v>
      </c>
      <c r="D5" s="1043"/>
      <c r="E5" s="128">
        <v>188740</v>
      </c>
    </row>
    <row r="6" spans="1:7">
      <c r="A6" s="1043"/>
      <c r="B6" s="1040"/>
      <c r="C6">
        <v>110</v>
      </c>
      <c r="D6" s="1043"/>
      <c r="E6" s="128">
        <v>207610</v>
      </c>
    </row>
    <row r="7" spans="1:7">
      <c r="A7" s="1043"/>
      <c r="B7" s="1040"/>
      <c r="C7">
        <v>120</v>
      </c>
      <c r="D7" s="1043"/>
      <c r="E7" s="128">
        <v>226480</v>
      </c>
    </row>
    <row r="8" spans="1:7">
      <c r="A8" s="1043"/>
      <c r="B8" s="1040"/>
      <c r="C8">
        <v>140</v>
      </c>
      <c r="D8" s="1043"/>
      <c r="E8" s="128">
        <v>256370</v>
      </c>
    </row>
    <row r="9" spans="1:7">
      <c r="A9" s="1043"/>
      <c r="B9" s="1040"/>
      <c r="C9">
        <v>150</v>
      </c>
      <c r="D9" s="1043"/>
      <c r="E9" s="128">
        <v>274680</v>
      </c>
    </row>
    <row r="10" spans="1:7">
      <c r="A10" s="1043"/>
      <c r="B10" s="1040"/>
      <c r="C10">
        <v>200</v>
      </c>
      <c r="D10" s="1043"/>
      <c r="E10" s="128">
        <v>366320</v>
      </c>
    </row>
    <row r="11" spans="1:7">
      <c r="A11" s="1043"/>
      <c r="B11" s="1040"/>
      <c r="C11">
        <v>220</v>
      </c>
      <c r="D11" s="1043"/>
      <c r="E11" s="128">
        <v>402960</v>
      </c>
    </row>
    <row r="12" spans="1:7">
      <c r="A12" s="1043"/>
      <c r="B12" s="1040"/>
      <c r="C12">
        <v>350</v>
      </c>
      <c r="D12" t="s">
        <v>2356</v>
      </c>
      <c r="E12" s="128">
        <v>641070</v>
      </c>
    </row>
    <row r="13" spans="1:7" ht="16.5" customHeight="1">
      <c r="A13" s="1043" t="s">
        <v>2358</v>
      </c>
      <c r="B13" s="1040"/>
      <c r="C13">
        <v>110</v>
      </c>
      <c r="D13" s="1043" t="s">
        <v>2357</v>
      </c>
      <c r="E13" s="128">
        <v>223650</v>
      </c>
    </row>
    <row r="14" spans="1:7">
      <c r="A14" s="1043"/>
      <c r="B14" s="1040"/>
      <c r="C14">
        <v>120</v>
      </c>
      <c r="D14" s="1040"/>
      <c r="E14" s="128">
        <v>243980</v>
      </c>
    </row>
    <row r="15" spans="1:7">
      <c r="A15" s="1043"/>
      <c r="B15" s="1040"/>
      <c r="C15">
        <v>150</v>
      </c>
      <c r="D15" s="1040"/>
      <c r="E15" s="128">
        <v>290180</v>
      </c>
    </row>
    <row r="16" spans="1:7">
      <c r="A16" s="1043"/>
      <c r="B16" s="1040"/>
      <c r="C16">
        <v>200</v>
      </c>
      <c r="D16" s="1040"/>
      <c r="E16" s="128">
        <v>389600</v>
      </c>
    </row>
    <row r="17" spans="1:11" ht="33" customHeight="1">
      <c r="A17" s="1043" t="s">
        <v>2359</v>
      </c>
      <c r="B17" s="1040"/>
      <c r="C17">
        <v>110</v>
      </c>
      <c r="D17" s="1043" t="s">
        <v>2361</v>
      </c>
      <c r="E17" s="128">
        <v>240740</v>
      </c>
      <c r="K17" s="125"/>
    </row>
    <row r="18" spans="1:11">
      <c r="A18" s="1043"/>
      <c r="B18" s="1040"/>
      <c r="C18">
        <v>120</v>
      </c>
      <c r="D18" s="1040"/>
      <c r="E18" s="128">
        <v>262630</v>
      </c>
    </row>
    <row r="19" spans="1:11">
      <c r="A19" s="1043"/>
      <c r="B19" s="1040"/>
      <c r="C19">
        <v>200</v>
      </c>
      <c r="D19" s="1040"/>
      <c r="E19" s="128">
        <v>424470</v>
      </c>
    </row>
    <row r="20" spans="1:11" ht="33" customHeight="1">
      <c r="A20" s="1043" t="s">
        <v>2360</v>
      </c>
      <c r="B20" s="1040"/>
      <c r="C20">
        <v>110</v>
      </c>
      <c r="D20" s="1043" t="s">
        <v>2362</v>
      </c>
      <c r="E20" s="128">
        <v>274550</v>
      </c>
    </row>
    <row r="21" spans="1:11">
      <c r="A21" s="1043"/>
      <c r="B21" s="1040"/>
      <c r="C21">
        <v>120</v>
      </c>
      <c r="D21" s="1040"/>
      <c r="E21" s="128">
        <v>299510</v>
      </c>
    </row>
    <row r="22" spans="1:11">
      <c r="A22" s="1043"/>
      <c r="B22" s="1040"/>
      <c r="C22">
        <v>200</v>
      </c>
      <c r="D22" s="1040"/>
      <c r="E22" s="128">
        <v>486240</v>
      </c>
    </row>
    <row r="23" spans="1:11" ht="69.599999999999994">
      <c r="A23" s="1043" t="s">
        <v>2363</v>
      </c>
      <c r="B23" s="1040"/>
      <c r="C23">
        <v>180</v>
      </c>
      <c r="D23" s="125" t="s">
        <v>2364</v>
      </c>
      <c r="E23" s="128">
        <v>420110</v>
      </c>
    </row>
    <row r="24" spans="1:11">
      <c r="A24" s="1043"/>
      <c r="B24" s="1040"/>
      <c r="C24">
        <v>200</v>
      </c>
      <c r="D24" s="1040" t="s">
        <v>2365</v>
      </c>
      <c r="E24" s="128">
        <v>466790</v>
      </c>
    </row>
    <row r="25" spans="1:11">
      <c r="A25" s="1043"/>
      <c r="B25" s="1040"/>
      <c r="C25">
        <v>250</v>
      </c>
      <c r="D25" s="1040"/>
      <c r="E25" s="128">
        <v>583490</v>
      </c>
    </row>
    <row r="26" spans="1:11">
      <c r="A26" s="1043"/>
      <c r="B26" s="1040"/>
      <c r="C26">
        <v>300</v>
      </c>
      <c r="D26" s="1040"/>
      <c r="E26" s="128">
        <v>560150</v>
      </c>
    </row>
    <row r="27" spans="1:11">
      <c r="A27" s="1043"/>
      <c r="B27" s="1040"/>
      <c r="C27">
        <v>350</v>
      </c>
      <c r="D27" s="1040"/>
      <c r="E27" s="128">
        <v>653510</v>
      </c>
    </row>
    <row r="28" spans="1:11" ht="34.799999999999997">
      <c r="A28" s="126" t="s">
        <v>2366</v>
      </c>
      <c r="B28" s="1040"/>
      <c r="C28">
        <v>180</v>
      </c>
      <c r="D28" t="s">
        <v>2367</v>
      </c>
      <c r="E28" s="128">
        <v>505930</v>
      </c>
    </row>
    <row r="29" spans="1:11" ht="34.799999999999997">
      <c r="A29" s="126" t="s">
        <v>2368</v>
      </c>
      <c r="B29" s="1040"/>
      <c r="C29">
        <v>180</v>
      </c>
      <c r="D29" t="s">
        <v>2369</v>
      </c>
      <c r="E29" s="128">
        <v>544650</v>
      </c>
    </row>
    <row r="30" spans="1:11" ht="33" customHeight="1">
      <c r="A30" s="1043" t="s">
        <v>2370</v>
      </c>
      <c r="B30" s="1040"/>
      <c r="C30">
        <v>180</v>
      </c>
      <c r="D30" t="s">
        <v>2371</v>
      </c>
      <c r="E30" s="128">
        <v>589900</v>
      </c>
    </row>
    <row r="31" spans="1:11">
      <c r="A31" s="1043"/>
      <c r="B31" s="1040"/>
      <c r="C31">
        <v>200</v>
      </c>
      <c r="D31" t="s">
        <v>2372</v>
      </c>
      <c r="E31" s="128">
        <v>655440</v>
      </c>
    </row>
    <row r="32" spans="1:11">
      <c r="A32" s="1040" t="s">
        <v>2373</v>
      </c>
      <c r="B32" s="1040"/>
      <c r="C32">
        <v>90</v>
      </c>
      <c r="D32" s="1043" t="s">
        <v>2374</v>
      </c>
      <c r="E32" s="128">
        <v>200240</v>
      </c>
    </row>
    <row r="33" spans="1:5">
      <c r="A33" s="1040"/>
      <c r="B33" s="1040"/>
      <c r="C33">
        <v>120</v>
      </c>
      <c r="D33" s="1040"/>
      <c r="E33" s="128">
        <v>246750</v>
      </c>
    </row>
    <row r="34" spans="1:5">
      <c r="A34" s="1040"/>
      <c r="B34" s="1040"/>
      <c r="C34">
        <v>180</v>
      </c>
      <c r="D34" s="1040"/>
      <c r="E34" s="128">
        <v>370120</v>
      </c>
    </row>
    <row r="35" spans="1:5" ht="33" customHeight="1">
      <c r="A35" s="1043" t="s">
        <v>2375</v>
      </c>
      <c r="B35" s="1040"/>
      <c r="C35">
        <v>220</v>
      </c>
      <c r="D35" t="s">
        <v>2376</v>
      </c>
      <c r="E35" s="128">
        <v>490130</v>
      </c>
    </row>
    <row r="36" spans="1:5">
      <c r="A36" s="1043"/>
      <c r="B36" s="1040"/>
      <c r="C36">
        <v>200</v>
      </c>
      <c r="D36" s="1040" t="s">
        <v>2336</v>
      </c>
      <c r="E36" s="128">
        <v>455580</v>
      </c>
    </row>
    <row r="37" spans="1:5">
      <c r="A37" s="1043"/>
      <c r="B37" s="1040"/>
      <c r="C37">
        <v>350</v>
      </c>
      <c r="D37" s="1040"/>
      <c r="E37" s="128">
        <v>779760</v>
      </c>
    </row>
    <row r="38" spans="1:5" ht="34.799999999999997">
      <c r="A38" s="126" t="s">
        <v>2378</v>
      </c>
      <c r="B38" s="1040"/>
      <c r="C38">
        <v>180</v>
      </c>
      <c r="D38" t="s">
        <v>2377</v>
      </c>
      <c r="E38" s="128">
        <v>619400</v>
      </c>
    </row>
    <row r="39" spans="1:5">
      <c r="A39" s="1040" t="s">
        <v>2379</v>
      </c>
      <c r="B39" s="1040"/>
      <c r="C39">
        <v>120</v>
      </c>
      <c r="D39" t="s">
        <v>2336</v>
      </c>
      <c r="E39" s="128">
        <v>243930</v>
      </c>
    </row>
    <row r="40" spans="1:5">
      <c r="A40" s="1040"/>
      <c r="B40" s="1040"/>
      <c r="C40">
        <v>200</v>
      </c>
      <c r="E40" s="128">
        <v>406550</v>
      </c>
    </row>
    <row r="41" spans="1:5">
      <c r="A41" s="1040"/>
      <c r="B41" s="1040"/>
      <c r="C41">
        <v>300</v>
      </c>
      <c r="E41" s="128">
        <v>609820</v>
      </c>
    </row>
    <row r="42" spans="1:5">
      <c r="A42" s="1040" t="s">
        <v>2380</v>
      </c>
      <c r="B42" s="1040"/>
      <c r="C42">
        <v>120</v>
      </c>
      <c r="D42" t="s">
        <v>2336</v>
      </c>
      <c r="E42" s="128">
        <v>237020</v>
      </c>
    </row>
    <row r="43" spans="1:5">
      <c r="A43" s="1040"/>
      <c r="B43" s="1040"/>
      <c r="C43">
        <v>220</v>
      </c>
      <c r="E43" s="128">
        <v>434530</v>
      </c>
    </row>
    <row r="44" spans="1:5">
      <c r="A44" s="1040" t="s">
        <v>2381</v>
      </c>
      <c r="B44" s="1040"/>
      <c r="C44">
        <v>200</v>
      </c>
      <c r="D44" s="1040" t="s">
        <v>2382</v>
      </c>
      <c r="E44" s="128">
        <v>261080</v>
      </c>
    </row>
    <row r="45" spans="1:5">
      <c r="A45" s="1040"/>
      <c r="B45" s="1040"/>
      <c r="C45">
        <v>230</v>
      </c>
      <c r="D45" s="1040"/>
      <c r="E45" s="128">
        <v>300240</v>
      </c>
    </row>
    <row r="46" spans="1:5">
      <c r="A46" s="1040" t="s">
        <v>2383</v>
      </c>
      <c r="B46" s="1040"/>
      <c r="C46">
        <v>300</v>
      </c>
      <c r="D46" s="1040" t="s">
        <v>2336</v>
      </c>
      <c r="E46" s="128">
        <v>379170</v>
      </c>
    </row>
    <row r="47" spans="1:5">
      <c r="A47" s="1040"/>
      <c r="B47" s="1040"/>
      <c r="C47">
        <v>350</v>
      </c>
      <c r="D47" s="1040"/>
      <c r="E47" s="128">
        <v>442360</v>
      </c>
    </row>
    <row r="48" spans="1:5">
      <c r="A48" s="1040"/>
      <c r="B48" t="s">
        <v>2320</v>
      </c>
      <c r="C48">
        <v>300</v>
      </c>
      <c r="D48" s="1040"/>
      <c r="E48" s="128">
        <v>263390</v>
      </c>
    </row>
    <row r="49" spans="1:5">
      <c r="A49" s="1040"/>
      <c r="B49" t="s">
        <v>2320</v>
      </c>
      <c r="C49">
        <v>350</v>
      </c>
      <c r="D49" s="1040"/>
      <c r="E49" s="128">
        <v>307290</v>
      </c>
    </row>
    <row r="50" spans="1:5" ht="27" customHeight="1">
      <c r="A50" s="1041" t="s">
        <v>2384</v>
      </c>
      <c r="B50" s="1040" t="s">
        <v>2353</v>
      </c>
      <c r="C50">
        <v>90</v>
      </c>
      <c r="E50" s="128">
        <v>118770</v>
      </c>
    </row>
    <row r="51" spans="1:5">
      <c r="A51" s="1041"/>
      <c r="B51" s="1040"/>
      <c r="C51">
        <v>130</v>
      </c>
      <c r="E51" s="128">
        <v>171550</v>
      </c>
    </row>
    <row r="52" spans="1:5">
      <c r="A52" s="1041"/>
      <c r="B52" s="1040"/>
      <c r="C52">
        <v>160</v>
      </c>
      <c r="E52" s="128">
        <v>211140</v>
      </c>
    </row>
    <row r="53" spans="1:5">
      <c r="A53" s="1041"/>
      <c r="B53" s="1040"/>
      <c r="C53">
        <v>220</v>
      </c>
      <c r="E53" s="128">
        <v>290320</v>
      </c>
    </row>
    <row r="54" spans="1:5">
      <c r="A54" s="1041"/>
      <c r="B54" s="1040"/>
      <c r="C54">
        <v>300</v>
      </c>
      <c r="E54" s="128">
        <v>395900</v>
      </c>
    </row>
    <row r="55" spans="1:5">
      <c r="A55" s="1041"/>
      <c r="B55" s="1040"/>
      <c r="C55">
        <v>350</v>
      </c>
      <c r="E55" s="128">
        <v>461880</v>
      </c>
    </row>
    <row r="56" spans="1:5">
      <c r="A56" s="1041"/>
      <c r="B56" s="1040" t="s">
        <v>2320</v>
      </c>
      <c r="C56">
        <v>90</v>
      </c>
      <c r="E56" s="128">
        <v>82500</v>
      </c>
    </row>
    <row r="57" spans="1:5">
      <c r="A57" s="1041"/>
      <c r="B57" s="1040"/>
      <c r="C57">
        <v>130</v>
      </c>
      <c r="E57" s="128">
        <v>119170</v>
      </c>
    </row>
    <row r="58" spans="1:5">
      <c r="A58" s="1041"/>
      <c r="B58" s="1040"/>
      <c r="C58">
        <v>160</v>
      </c>
      <c r="E58" s="128">
        <v>146670</v>
      </c>
    </row>
    <row r="59" spans="1:5">
      <c r="A59" s="1041"/>
      <c r="B59" s="1040"/>
      <c r="C59">
        <v>220</v>
      </c>
      <c r="E59" s="128">
        <v>201680</v>
      </c>
    </row>
    <row r="60" spans="1:5">
      <c r="A60" s="1041"/>
      <c r="B60" s="1040"/>
      <c r="C60">
        <v>300</v>
      </c>
      <c r="E60" s="128">
        <v>275010</v>
      </c>
    </row>
    <row r="61" spans="1:5">
      <c r="A61" s="1041"/>
      <c r="B61" s="1040"/>
      <c r="C61">
        <v>350</v>
      </c>
      <c r="E61" s="128">
        <v>320850</v>
      </c>
    </row>
    <row r="62" spans="1:5" ht="34.799999999999997">
      <c r="A62" s="103" t="s">
        <v>2385</v>
      </c>
      <c r="B62" s="1040" t="s">
        <v>2352</v>
      </c>
      <c r="C62">
        <v>200</v>
      </c>
      <c r="D62" s="125" t="s">
        <v>2386</v>
      </c>
      <c r="E62" s="128">
        <v>546140</v>
      </c>
    </row>
    <row r="63" spans="1:5">
      <c r="A63" s="103" t="s">
        <v>2387</v>
      </c>
      <c r="B63" s="1040"/>
      <c r="C63">
        <v>200</v>
      </c>
      <c r="D63" t="s">
        <v>2389</v>
      </c>
      <c r="E63" s="128">
        <v>641460</v>
      </c>
    </row>
    <row r="64" spans="1:5">
      <c r="A64" s="103" t="s">
        <v>2388</v>
      </c>
      <c r="B64" s="1040"/>
      <c r="C64">
        <v>200</v>
      </c>
      <c r="D64" t="s">
        <v>2390</v>
      </c>
      <c r="E64" s="128">
        <v>688220</v>
      </c>
    </row>
    <row r="65" spans="1:5" ht="121.8">
      <c r="A65" s="1040" t="s">
        <v>2391</v>
      </c>
      <c r="B65" t="s">
        <v>2353</v>
      </c>
      <c r="C65">
        <v>120</v>
      </c>
      <c r="D65" s="125" t="s">
        <v>2392</v>
      </c>
      <c r="E65" s="128">
        <v>219940</v>
      </c>
    </row>
    <row r="66" spans="1:5" ht="52.2">
      <c r="A66" s="1040"/>
      <c r="B66" t="s">
        <v>2353</v>
      </c>
      <c r="C66">
        <v>350</v>
      </c>
      <c r="D66" s="125" t="s">
        <v>2399</v>
      </c>
      <c r="E66" s="128">
        <v>641500</v>
      </c>
    </row>
    <row r="67" spans="1:5" ht="34.799999999999997">
      <c r="A67" s="1040" t="s">
        <v>2393</v>
      </c>
      <c r="B67" s="1040" t="s">
        <v>2353</v>
      </c>
      <c r="C67">
        <v>120</v>
      </c>
      <c r="D67" s="125" t="s">
        <v>2394</v>
      </c>
      <c r="E67" s="128">
        <v>236480</v>
      </c>
    </row>
    <row r="68" spans="1:5">
      <c r="A68" s="1040"/>
      <c r="B68" s="1040"/>
      <c r="C68">
        <v>350</v>
      </c>
      <c r="D68" s="125" t="s">
        <v>2400</v>
      </c>
      <c r="E68" s="128">
        <v>689740</v>
      </c>
    </row>
    <row r="69" spans="1:5" ht="52.2">
      <c r="A69" s="1040" t="s">
        <v>2395</v>
      </c>
      <c r="B69" s="1040" t="s">
        <v>2353</v>
      </c>
      <c r="C69">
        <v>120</v>
      </c>
      <c r="D69" s="125" t="s">
        <v>2396</v>
      </c>
      <c r="E69" s="128">
        <v>254810</v>
      </c>
    </row>
    <row r="70" spans="1:5" ht="34.799999999999997">
      <c r="A70" s="1040"/>
      <c r="B70" s="1040"/>
      <c r="C70">
        <v>350</v>
      </c>
      <c r="D70" s="125" t="s">
        <v>2401</v>
      </c>
      <c r="E70" s="128">
        <v>743200</v>
      </c>
    </row>
    <row r="71" spans="1:5" ht="52.2">
      <c r="A71" s="1040" t="s">
        <v>2397</v>
      </c>
      <c r="B71" s="1040" t="s">
        <v>2353</v>
      </c>
      <c r="C71">
        <v>120</v>
      </c>
      <c r="D71" s="125" t="s">
        <v>2398</v>
      </c>
      <c r="E71" s="128">
        <v>291470</v>
      </c>
    </row>
    <row r="72" spans="1:5" ht="34.799999999999997">
      <c r="A72" s="1040"/>
      <c r="B72" s="1040"/>
      <c r="C72">
        <v>350</v>
      </c>
      <c r="D72" s="125" t="s">
        <v>2402</v>
      </c>
      <c r="E72" s="128">
        <v>850110</v>
      </c>
    </row>
    <row r="73" spans="1:5">
      <c r="A73" s="1040" t="s">
        <v>2403</v>
      </c>
      <c r="B73" s="1040"/>
      <c r="C73">
        <v>110</v>
      </c>
      <c r="D73" s="125" t="s">
        <v>2404</v>
      </c>
      <c r="E73" s="128">
        <v>237730</v>
      </c>
    </row>
    <row r="74" spans="1:5">
      <c r="A74" s="1040"/>
      <c r="B74" s="1040"/>
      <c r="C74">
        <v>120</v>
      </c>
      <c r="E74" s="128">
        <v>259340</v>
      </c>
    </row>
    <row r="75" spans="1:5">
      <c r="A75" s="1040"/>
      <c r="B75" s="1040"/>
      <c r="C75">
        <v>150</v>
      </c>
      <c r="E75" s="128">
        <v>324170</v>
      </c>
    </row>
    <row r="76" spans="1:5">
      <c r="A76" s="1040"/>
      <c r="B76" s="1040"/>
      <c r="C76">
        <v>180</v>
      </c>
      <c r="E76" s="128">
        <v>389010</v>
      </c>
    </row>
    <row r="77" spans="1:5">
      <c r="A77" s="1040"/>
      <c r="B77" s="1040"/>
      <c r="C77">
        <v>200</v>
      </c>
      <c r="E77" s="128">
        <v>432230</v>
      </c>
    </row>
    <row r="78" spans="1:5">
      <c r="A78" s="1040"/>
      <c r="B78" s="1040"/>
      <c r="C78">
        <v>250</v>
      </c>
      <c r="E78" s="128">
        <v>540290</v>
      </c>
    </row>
    <row r="79" spans="1:5">
      <c r="A79" s="1040"/>
      <c r="B79" s="1040"/>
      <c r="C79">
        <v>300</v>
      </c>
      <c r="E79" s="128">
        <v>648350</v>
      </c>
    </row>
    <row r="80" spans="1:5">
      <c r="A80" s="103" t="s">
        <v>2406</v>
      </c>
      <c r="B80" s="1040"/>
      <c r="C80">
        <v>300</v>
      </c>
      <c r="D80" t="s">
        <v>2405</v>
      </c>
      <c r="E80" s="128">
        <v>562600</v>
      </c>
    </row>
    <row r="81" spans="1:5">
      <c r="B81" s="1040"/>
      <c r="C81">
        <v>350</v>
      </c>
      <c r="E81" s="128">
        <v>656360</v>
      </c>
    </row>
    <row r="82" spans="1:5">
      <c r="B82" s="1040"/>
      <c r="C82">
        <v>400</v>
      </c>
      <c r="E82" s="128">
        <v>750130</v>
      </c>
    </row>
    <row r="83" spans="1:5">
      <c r="A83" s="103" t="s">
        <v>2407</v>
      </c>
      <c r="B83" s="1040"/>
      <c r="C83">
        <v>120</v>
      </c>
      <c r="D83" t="s">
        <v>2408</v>
      </c>
      <c r="E83" s="128">
        <v>294080</v>
      </c>
    </row>
    <row r="84" spans="1:5">
      <c r="B84" s="1040"/>
      <c r="C84">
        <v>200</v>
      </c>
      <c r="D84" t="s">
        <v>2409</v>
      </c>
      <c r="E84" s="128">
        <v>490130</v>
      </c>
    </row>
    <row r="85" spans="1:5">
      <c r="B85" s="1040"/>
      <c r="C85">
        <v>250</v>
      </c>
      <c r="D85" t="s">
        <v>2376</v>
      </c>
      <c r="E85" s="128">
        <v>612670</v>
      </c>
    </row>
    <row r="86" spans="1:5">
      <c r="B86" s="1040"/>
      <c r="C86">
        <v>120</v>
      </c>
      <c r="D86" t="s">
        <v>2410</v>
      </c>
      <c r="E86" s="128">
        <v>354150</v>
      </c>
    </row>
    <row r="87" spans="1:5">
      <c r="B87" s="1040"/>
      <c r="C87">
        <v>120</v>
      </c>
      <c r="D87" t="s">
        <v>2411</v>
      </c>
      <c r="E87" s="128">
        <v>381250</v>
      </c>
    </row>
    <row r="88" spans="1:5">
      <c r="B88" s="1040"/>
      <c r="C88">
        <v>120</v>
      </c>
      <c r="D88" t="s">
        <v>2412</v>
      </c>
      <c r="E88" s="128">
        <v>412930</v>
      </c>
    </row>
    <row r="89" spans="1:5">
      <c r="A89" s="103" t="s">
        <v>2413</v>
      </c>
      <c r="B89" s="1040"/>
      <c r="C89">
        <v>70</v>
      </c>
      <c r="D89" t="s">
        <v>2414</v>
      </c>
      <c r="E89" s="128">
        <v>122350</v>
      </c>
    </row>
    <row r="90" spans="1:5">
      <c r="B90" s="1040"/>
      <c r="C90">
        <v>90</v>
      </c>
      <c r="E90" s="128">
        <v>146050</v>
      </c>
    </row>
    <row r="91" spans="1:5">
      <c r="A91" s="103" t="s">
        <v>2383</v>
      </c>
      <c r="B91" s="1040"/>
      <c r="C91">
        <v>300</v>
      </c>
      <c r="D91" t="s">
        <v>2336</v>
      </c>
      <c r="E91" s="111">
        <v>379170</v>
      </c>
    </row>
    <row r="92" spans="1:5">
      <c r="B92" t="s">
        <v>2320</v>
      </c>
      <c r="C92">
        <v>300</v>
      </c>
      <c r="E92" s="128">
        <v>263390</v>
      </c>
    </row>
    <row r="93" spans="1:5">
      <c r="B93" t="s">
        <v>2353</v>
      </c>
      <c r="C93">
        <v>350</v>
      </c>
      <c r="E93" s="128">
        <v>442360</v>
      </c>
    </row>
    <row r="94" spans="1:5">
      <c r="B94" t="s">
        <v>2320</v>
      </c>
      <c r="C94">
        <v>350</v>
      </c>
      <c r="E94" s="128">
        <v>307290</v>
      </c>
    </row>
    <row r="95" spans="1:5" ht="52.2">
      <c r="A95" s="103" t="s">
        <v>2415</v>
      </c>
      <c r="B95" t="s">
        <v>2417</v>
      </c>
      <c r="C95">
        <v>140</v>
      </c>
      <c r="D95" s="125" t="s">
        <v>2419</v>
      </c>
      <c r="E95" s="128">
        <v>208050</v>
      </c>
    </row>
    <row r="96" spans="1:5">
      <c r="B96" t="s">
        <v>2418</v>
      </c>
      <c r="C96">
        <f>C95</f>
        <v>140</v>
      </c>
      <c r="E96" s="128">
        <v>144520</v>
      </c>
    </row>
    <row r="97" spans="1:5">
      <c r="B97" t="s">
        <v>2421</v>
      </c>
      <c r="C97">
        <f>C96</f>
        <v>140</v>
      </c>
      <c r="E97" s="128" t="s">
        <v>2416</v>
      </c>
    </row>
    <row r="98" spans="1:5">
      <c r="B98" t="s">
        <v>2417</v>
      </c>
      <c r="C98">
        <v>160</v>
      </c>
      <c r="E98" s="128">
        <v>237770</v>
      </c>
    </row>
    <row r="99" spans="1:5">
      <c r="B99" t="s">
        <v>2418</v>
      </c>
      <c r="C99">
        <f>C98</f>
        <v>160</v>
      </c>
      <c r="E99" s="128" t="s">
        <v>2420</v>
      </c>
    </row>
    <row r="100" spans="1:5">
      <c r="B100" t="s">
        <v>2421</v>
      </c>
      <c r="C100">
        <f>C99</f>
        <v>160</v>
      </c>
      <c r="E100" s="128">
        <v>298700</v>
      </c>
    </row>
    <row r="101" spans="1:5">
      <c r="B101" t="s">
        <v>2417</v>
      </c>
      <c r="C101">
        <v>180</v>
      </c>
      <c r="E101" s="128">
        <v>267490</v>
      </c>
    </row>
    <row r="102" spans="1:5">
      <c r="B102" t="s">
        <v>2418</v>
      </c>
      <c r="C102">
        <f>C101</f>
        <v>180</v>
      </c>
      <c r="E102" s="128">
        <v>185820</v>
      </c>
    </row>
    <row r="103" spans="1:5">
      <c r="B103" t="s">
        <v>2421</v>
      </c>
      <c r="C103">
        <f>C102</f>
        <v>180</v>
      </c>
      <c r="E103" s="128">
        <v>336030</v>
      </c>
    </row>
    <row r="104" spans="1:5">
      <c r="B104" t="s">
        <v>2417</v>
      </c>
      <c r="C104">
        <v>200</v>
      </c>
      <c r="E104" s="128">
        <v>297210</v>
      </c>
    </row>
    <row r="105" spans="1:5">
      <c r="B105" t="s">
        <v>2418</v>
      </c>
      <c r="C105">
        <f>C104</f>
        <v>200</v>
      </c>
      <c r="E105" s="128">
        <v>206460</v>
      </c>
    </row>
    <row r="106" spans="1:5">
      <c r="B106" t="s">
        <v>2421</v>
      </c>
      <c r="C106">
        <f>C105</f>
        <v>200</v>
      </c>
      <c r="E106" s="128">
        <v>373370</v>
      </c>
    </row>
    <row r="107" spans="1:5">
      <c r="A107" s="1040" t="s">
        <v>2426</v>
      </c>
      <c r="B107" s="1042" t="s">
        <v>2422</v>
      </c>
      <c r="C107">
        <v>120</v>
      </c>
      <c r="D107" t="s">
        <v>2423</v>
      </c>
      <c r="E107" s="128">
        <v>491520</v>
      </c>
    </row>
    <row r="108" spans="1:5">
      <c r="A108" s="1040"/>
      <c r="B108" s="1042"/>
      <c r="C108">
        <v>200</v>
      </c>
      <c r="E108" s="128">
        <v>738370</v>
      </c>
    </row>
    <row r="109" spans="1:5">
      <c r="A109" s="1040"/>
      <c r="B109" s="1042"/>
      <c r="C109">
        <v>250</v>
      </c>
      <c r="E109" s="128">
        <v>891560</v>
      </c>
    </row>
    <row r="110" spans="1:5">
      <c r="A110" s="1040"/>
      <c r="B110" s="1042"/>
      <c r="C110">
        <v>120</v>
      </c>
      <c r="D110" t="s">
        <v>2424</v>
      </c>
      <c r="E110" s="128">
        <v>543940</v>
      </c>
    </row>
    <row r="111" spans="1:5">
      <c r="A111" s="1040"/>
      <c r="B111" s="1042"/>
      <c r="C111">
        <v>200</v>
      </c>
      <c r="E111" s="128">
        <v>800630</v>
      </c>
    </row>
    <row r="112" spans="1:5">
      <c r="A112" s="1040"/>
      <c r="B112" s="1042"/>
      <c r="C112">
        <v>250</v>
      </c>
      <c r="E112" s="128">
        <v>959820</v>
      </c>
    </row>
    <row r="113" spans="1:5">
      <c r="A113" s="1040"/>
      <c r="B113" s="1042"/>
      <c r="C113">
        <v>120</v>
      </c>
      <c r="D113" t="s">
        <v>2425</v>
      </c>
      <c r="E113" s="128">
        <v>596370</v>
      </c>
    </row>
    <row r="114" spans="1:5">
      <c r="A114" s="1040"/>
      <c r="B114" s="1042"/>
      <c r="C114">
        <v>200</v>
      </c>
      <c r="E114" s="128">
        <v>890190</v>
      </c>
    </row>
    <row r="115" spans="1:5">
      <c r="A115" s="1040"/>
      <c r="B115" s="1042"/>
      <c r="C115">
        <v>250</v>
      </c>
      <c r="E115" s="128">
        <v>1071780</v>
      </c>
    </row>
    <row r="116" spans="1:5">
      <c r="A116" s="103" t="s">
        <v>2427</v>
      </c>
      <c r="B116" s="1042"/>
      <c r="C116">
        <v>120</v>
      </c>
      <c r="D116" t="s">
        <v>2428</v>
      </c>
      <c r="E116" s="128">
        <v>511180</v>
      </c>
    </row>
    <row r="117" spans="1:5">
      <c r="B117" s="1042"/>
      <c r="C117">
        <v>200</v>
      </c>
      <c r="E117" s="128">
        <v>771130</v>
      </c>
    </row>
    <row r="118" spans="1:5">
      <c r="B118" s="1042"/>
      <c r="C118">
        <v>250</v>
      </c>
      <c r="E118" s="128">
        <v>932520</v>
      </c>
    </row>
    <row r="119" spans="1:5">
      <c r="B119" s="1042"/>
      <c r="C119">
        <v>120</v>
      </c>
      <c r="D119" t="s">
        <v>2429</v>
      </c>
      <c r="E119" s="128">
        <v>616030</v>
      </c>
    </row>
    <row r="120" spans="1:5">
      <c r="B120" s="1042"/>
      <c r="C120">
        <v>200</v>
      </c>
      <c r="E120" s="128">
        <v>922960</v>
      </c>
    </row>
    <row r="121" spans="1:5">
      <c r="B121" s="1042"/>
      <c r="C121">
        <v>250</v>
      </c>
      <c r="E121" s="128">
        <v>1112740</v>
      </c>
    </row>
    <row r="122" spans="1:5" ht="34.799999999999997">
      <c r="A122" s="1040" t="s">
        <v>2430</v>
      </c>
      <c r="B122" s="1042"/>
      <c r="C122">
        <v>125</v>
      </c>
      <c r="D122" s="125" t="s">
        <v>2431</v>
      </c>
      <c r="E122" s="128">
        <v>171460</v>
      </c>
    </row>
    <row r="123" spans="1:5">
      <c r="A123" s="1040"/>
      <c r="B123" s="1042"/>
      <c r="C123">
        <v>155</v>
      </c>
      <c r="E123" s="128">
        <v>212610</v>
      </c>
    </row>
    <row r="124" spans="1:5">
      <c r="A124" s="1040"/>
      <c r="B124" s="1042"/>
      <c r="C124">
        <v>185</v>
      </c>
      <c r="E124" s="128">
        <v>253770</v>
      </c>
    </row>
    <row r="125" spans="1:5">
      <c r="A125" s="1040"/>
      <c r="B125" s="1042"/>
      <c r="C125">
        <v>205</v>
      </c>
      <c r="E125" s="128">
        <v>281200</v>
      </c>
    </row>
    <row r="126" spans="1:5">
      <c r="A126" s="1040"/>
      <c r="B126" s="1042"/>
      <c r="C126">
        <v>230</v>
      </c>
      <c r="E126" s="128">
        <v>315490</v>
      </c>
    </row>
    <row r="127" spans="1:5">
      <c r="A127" s="1040"/>
      <c r="B127" s="1042"/>
      <c r="C127">
        <v>300</v>
      </c>
      <c r="E127" s="128">
        <v>411510</v>
      </c>
    </row>
    <row r="128" spans="1:5">
      <c r="A128" s="1040"/>
      <c r="B128" s="1042"/>
      <c r="C128">
        <v>350</v>
      </c>
      <c r="E128" s="128">
        <v>480100</v>
      </c>
    </row>
    <row r="129" spans="1:5">
      <c r="A129" s="1040"/>
      <c r="B129" s="1042"/>
      <c r="C129">
        <v>400</v>
      </c>
      <c r="E129" s="128">
        <v>548680</v>
      </c>
    </row>
    <row r="130" spans="1:5">
      <c r="A130" s="1040"/>
      <c r="B130" s="1040" t="s">
        <v>2320</v>
      </c>
      <c r="C130">
        <v>125</v>
      </c>
      <c r="E130" s="128">
        <v>119110</v>
      </c>
    </row>
    <row r="131" spans="1:5">
      <c r="A131" s="1040"/>
      <c r="B131" s="1040"/>
      <c r="C131">
        <v>155</v>
      </c>
      <c r="E131" s="128">
        <v>147690</v>
      </c>
    </row>
    <row r="132" spans="1:5">
      <c r="A132" s="1040"/>
      <c r="B132" s="1040"/>
      <c r="C132">
        <v>185</v>
      </c>
      <c r="E132" s="128">
        <v>176280</v>
      </c>
    </row>
    <row r="133" spans="1:5">
      <c r="A133" s="1040"/>
      <c r="B133" s="1040"/>
      <c r="C133">
        <v>205</v>
      </c>
      <c r="E133" s="128">
        <v>195340</v>
      </c>
    </row>
    <row r="134" spans="1:5">
      <c r="A134" s="1040"/>
      <c r="B134" s="1040"/>
      <c r="C134">
        <v>230</v>
      </c>
      <c r="E134" s="128">
        <v>219160</v>
      </c>
    </row>
    <row r="135" spans="1:5">
      <c r="A135" s="1040"/>
      <c r="B135" s="1040"/>
      <c r="C135">
        <v>300</v>
      </c>
      <c r="E135" s="128">
        <v>285860</v>
      </c>
    </row>
    <row r="136" spans="1:5">
      <c r="A136" s="1040"/>
      <c r="B136" s="1040"/>
      <c r="C136">
        <v>350</v>
      </c>
      <c r="E136" s="128">
        <v>333500</v>
      </c>
    </row>
    <row r="137" spans="1:5">
      <c r="A137" s="1040"/>
      <c r="B137" s="1040"/>
      <c r="C137">
        <v>400</v>
      </c>
      <c r="E137" s="128">
        <v>381150</v>
      </c>
    </row>
    <row r="138" spans="1:5" ht="34.799999999999997">
      <c r="B138" s="1040" t="s">
        <v>2417</v>
      </c>
      <c r="C138">
        <v>300</v>
      </c>
      <c r="D138" s="125" t="s">
        <v>2432</v>
      </c>
      <c r="E138" s="128">
        <v>499770</v>
      </c>
    </row>
    <row r="139" spans="1:5">
      <c r="B139" s="1040"/>
      <c r="C139">
        <v>350</v>
      </c>
      <c r="E139" s="128">
        <v>583060</v>
      </c>
    </row>
    <row r="140" spans="1:5">
      <c r="B140" s="1040"/>
      <c r="C140">
        <v>400</v>
      </c>
      <c r="E140" s="128">
        <v>666360</v>
      </c>
    </row>
    <row r="141" spans="1:5">
      <c r="B141" s="1040" t="s">
        <v>2320</v>
      </c>
      <c r="C141">
        <v>300</v>
      </c>
      <c r="E141" s="128">
        <v>347170</v>
      </c>
    </row>
    <row r="142" spans="1:5">
      <c r="B142" s="1040"/>
      <c r="C142">
        <v>350</v>
      </c>
      <c r="E142" s="128">
        <v>405030</v>
      </c>
    </row>
    <row r="143" spans="1:5">
      <c r="B143" s="1040"/>
      <c r="C143">
        <v>400</v>
      </c>
      <c r="E143" s="128">
        <v>462980</v>
      </c>
    </row>
    <row r="144" spans="1:5">
      <c r="A144" s="1040" t="s">
        <v>2433</v>
      </c>
      <c r="B144" t="s">
        <v>2417</v>
      </c>
      <c r="C144">
        <v>90</v>
      </c>
      <c r="D144" t="s">
        <v>2434</v>
      </c>
      <c r="E144" s="128">
        <v>118770</v>
      </c>
    </row>
    <row r="145" spans="1:7">
      <c r="A145" s="1040"/>
      <c r="C145">
        <v>130</v>
      </c>
      <c r="E145" s="128">
        <v>171550</v>
      </c>
    </row>
    <row r="146" spans="1:7">
      <c r="A146" s="1040"/>
      <c r="C146">
        <v>160</v>
      </c>
      <c r="E146" s="128">
        <v>211140</v>
      </c>
    </row>
    <row r="147" spans="1:7">
      <c r="A147" s="1040"/>
      <c r="C147">
        <v>220</v>
      </c>
      <c r="E147" s="128">
        <v>290320</v>
      </c>
    </row>
    <row r="148" spans="1:7">
      <c r="A148" s="1040"/>
      <c r="C148">
        <v>300</v>
      </c>
      <c r="E148" s="128">
        <v>395900</v>
      </c>
    </row>
    <row r="149" spans="1:7">
      <c r="A149" s="1040"/>
      <c r="C149">
        <v>350</v>
      </c>
      <c r="E149" s="128">
        <v>461880</v>
      </c>
    </row>
    <row r="150" spans="1:7">
      <c r="A150" s="1040"/>
      <c r="B150" t="s">
        <v>2320</v>
      </c>
      <c r="C150">
        <v>90</v>
      </c>
      <c r="E150" s="128">
        <v>82500</v>
      </c>
    </row>
    <row r="151" spans="1:7">
      <c r="A151" s="1040"/>
      <c r="C151">
        <v>130</v>
      </c>
      <c r="E151" s="128">
        <v>119170</v>
      </c>
    </row>
    <row r="152" spans="1:7">
      <c r="A152" s="1040"/>
      <c r="C152">
        <v>160</v>
      </c>
      <c r="E152" s="128">
        <v>211140</v>
      </c>
    </row>
    <row r="153" spans="1:7">
      <c r="A153" s="1040"/>
      <c r="C153">
        <v>220</v>
      </c>
      <c r="E153" s="128">
        <v>201680</v>
      </c>
    </row>
    <row r="154" spans="1:7">
      <c r="A154" s="1040"/>
      <c r="C154">
        <v>300</v>
      </c>
      <c r="E154" s="128">
        <v>275010</v>
      </c>
    </row>
    <row r="155" spans="1:7" ht="18" thickBot="1">
      <c r="A155" s="1040"/>
      <c r="C155">
        <v>350</v>
      </c>
      <c r="E155" s="128">
        <v>320850</v>
      </c>
    </row>
    <row r="156" spans="1:7" ht="18.600000000000001" customHeight="1" thickBot="1">
      <c r="A156" t="s">
        <v>2339</v>
      </c>
      <c r="B156" s="100" t="s">
        <v>2319</v>
      </c>
      <c r="C156">
        <v>105</v>
      </c>
      <c r="D156" t="s">
        <v>2338</v>
      </c>
      <c r="E156" s="115">
        <v>197010</v>
      </c>
      <c r="G156" s="134">
        <v>140</v>
      </c>
    </row>
    <row r="157" spans="1:7" ht="18" thickBot="1">
      <c r="A157" t="s">
        <v>2339</v>
      </c>
      <c r="B157" s="100" t="s">
        <v>2319</v>
      </c>
      <c r="C157">
        <v>130</v>
      </c>
      <c r="D157" t="s">
        <v>2338</v>
      </c>
      <c r="E157" s="115">
        <v>243920</v>
      </c>
      <c r="G157" s="134">
        <v>170</v>
      </c>
    </row>
    <row r="158" spans="1:7" ht="18" thickBot="1">
      <c r="A158" t="s">
        <v>2339</v>
      </c>
      <c r="B158" s="100" t="s">
        <v>2319</v>
      </c>
      <c r="C158">
        <v>160</v>
      </c>
      <c r="D158" t="s">
        <v>2338</v>
      </c>
      <c r="E158" s="115">
        <v>300210</v>
      </c>
      <c r="G158" s="134">
        <v>210</v>
      </c>
    </row>
    <row r="159" spans="1:7" ht="18" thickBot="1">
      <c r="A159" t="s">
        <v>2339</v>
      </c>
      <c r="B159" s="100" t="s">
        <v>2319</v>
      </c>
      <c r="C159">
        <v>190</v>
      </c>
      <c r="D159" t="s">
        <v>2338</v>
      </c>
      <c r="E159" s="115">
        <v>356500</v>
      </c>
      <c r="G159" s="134">
        <v>260</v>
      </c>
    </row>
    <row r="160" spans="1:7" ht="18" thickBot="1">
      <c r="A160" t="s">
        <v>2339</v>
      </c>
      <c r="B160" s="100" t="s">
        <v>2319</v>
      </c>
      <c r="C160">
        <v>210</v>
      </c>
      <c r="D160" t="s">
        <v>2338</v>
      </c>
      <c r="E160" s="115">
        <v>394030</v>
      </c>
      <c r="G160" s="134">
        <v>300</v>
      </c>
    </row>
    <row r="161" spans="1:7" ht="18" thickBot="1">
      <c r="A161" t="s">
        <v>2339</v>
      </c>
      <c r="B161" s="100" t="s">
        <v>2319</v>
      </c>
      <c r="C161">
        <v>240</v>
      </c>
      <c r="D161" t="s">
        <v>2338</v>
      </c>
      <c r="E161" s="115">
        <v>450320</v>
      </c>
      <c r="G161" s="134">
        <v>330</v>
      </c>
    </row>
    <row r="162" spans="1:7">
      <c r="A162" t="s">
        <v>2339</v>
      </c>
      <c r="B162" s="102" t="s">
        <v>2320</v>
      </c>
      <c r="C162">
        <v>105</v>
      </c>
      <c r="D162" t="s">
        <v>2338</v>
      </c>
      <c r="E162" s="114">
        <v>136860</v>
      </c>
      <c r="G162" s="134">
        <v>140</v>
      </c>
    </row>
    <row r="163" spans="1:7">
      <c r="A163" t="s">
        <v>2339</v>
      </c>
      <c r="B163" s="102" t="s">
        <v>2320</v>
      </c>
      <c r="C163">
        <v>130</v>
      </c>
      <c r="D163" t="s">
        <v>2338</v>
      </c>
      <c r="E163" s="114">
        <v>169440</v>
      </c>
      <c r="G163" s="134">
        <v>170</v>
      </c>
    </row>
    <row r="164" spans="1:7">
      <c r="A164" t="s">
        <v>2339</v>
      </c>
      <c r="B164" s="102" t="s">
        <v>2320</v>
      </c>
      <c r="C164">
        <v>160</v>
      </c>
      <c r="D164" t="s">
        <v>2338</v>
      </c>
      <c r="E164" s="114">
        <v>208540</v>
      </c>
      <c r="G164" s="134">
        <v>210</v>
      </c>
    </row>
    <row r="165" spans="1:7">
      <c r="A165" t="s">
        <v>2339</v>
      </c>
      <c r="B165" s="102" t="s">
        <v>2320</v>
      </c>
      <c r="C165">
        <v>190</v>
      </c>
      <c r="D165" t="s">
        <v>2338</v>
      </c>
      <c r="E165" s="114">
        <v>247650</v>
      </c>
      <c r="G165" s="134">
        <v>260</v>
      </c>
    </row>
    <row r="166" spans="1:7">
      <c r="A166" t="s">
        <v>2339</v>
      </c>
      <c r="B166" s="102" t="s">
        <v>2320</v>
      </c>
      <c r="C166">
        <v>210</v>
      </c>
      <c r="D166" t="s">
        <v>2338</v>
      </c>
      <c r="E166" s="114">
        <v>273710</v>
      </c>
      <c r="G166" s="134">
        <v>300</v>
      </c>
    </row>
    <row r="167" spans="1:7">
      <c r="A167" t="s">
        <v>2339</v>
      </c>
      <c r="B167" s="102" t="s">
        <v>2320</v>
      </c>
      <c r="C167">
        <v>240</v>
      </c>
      <c r="D167" t="s">
        <v>2338</v>
      </c>
      <c r="E167" s="114">
        <v>312820</v>
      </c>
      <c r="G167" s="134">
        <v>330</v>
      </c>
    </row>
    <row r="168" spans="1:7">
      <c r="A168" t="s">
        <v>2339</v>
      </c>
      <c r="B168" s="100" t="s">
        <v>2319</v>
      </c>
      <c r="C168">
        <v>105</v>
      </c>
      <c r="D168" t="s">
        <v>2340</v>
      </c>
      <c r="E168" s="114">
        <v>197010</v>
      </c>
      <c r="G168" s="134">
        <v>140</v>
      </c>
    </row>
    <row r="169" spans="1:7">
      <c r="A169" t="s">
        <v>2339</v>
      </c>
      <c r="B169" s="100" t="s">
        <v>2319</v>
      </c>
      <c r="C169">
        <v>130</v>
      </c>
      <c r="D169" t="s">
        <v>2340</v>
      </c>
      <c r="E169" s="114">
        <v>243920</v>
      </c>
      <c r="G169" s="134">
        <v>170</v>
      </c>
    </row>
    <row r="170" spans="1:7">
      <c r="A170" t="s">
        <v>2339</v>
      </c>
      <c r="B170" s="100" t="s">
        <v>2319</v>
      </c>
      <c r="C170">
        <v>160</v>
      </c>
      <c r="D170" t="s">
        <v>2340</v>
      </c>
      <c r="E170" s="114">
        <v>300210</v>
      </c>
      <c r="G170" s="134">
        <v>210</v>
      </c>
    </row>
    <row r="171" spans="1:7">
      <c r="A171" t="s">
        <v>2339</v>
      </c>
      <c r="B171" s="100" t="s">
        <v>2319</v>
      </c>
      <c r="C171">
        <v>190</v>
      </c>
      <c r="D171" t="s">
        <v>2340</v>
      </c>
      <c r="E171" s="114">
        <v>356500</v>
      </c>
      <c r="G171" s="134">
        <v>260</v>
      </c>
    </row>
    <row r="172" spans="1:7">
      <c r="A172" t="s">
        <v>2339</v>
      </c>
      <c r="B172" s="100" t="s">
        <v>2319</v>
      </c>
      <c r="C172">
        <v>210</v>
      </c>
      <c r="D172" t="s">
        <v>2340</v>
      </c>
      <c r="E172" s="114">
        <v>394030</v>
      </c>
      <c r="G172" s="134">
        <v>300</v>
      </c>
    </row>
    <row r="173" spans="1:7">
      <c r="A173" t="s">
        <v>2339</v>
      </c>
      <c r="B173" s="102" t="s">
        <v>2320</v>
      </c>
      <c r="C173">
        <v>240</v>
      </c>
      <c r="D173" t="s">
        <v>2340</v>
      </c>
      <c r="E173" s="114">
        <v>450320</v>
      </c>
      <c r="G173" s="134">
        <v>330</v>
      </c>
    </row>
    <row r="174" spans="1:7">
      <c r="A174" t="s">
        <v>2339</v>
      </c>
      <c r="B174" s="102" t="s">
        <v>2320</v>
      </c>
      <c r="C174">
        <v>105</v>
      </c>
      <c r="D174" t="s">
        <v>2340</v>
      </c>
      <c r="E174" s="114">
        <v>136860</v>
      </c>
      <c r="G174" s="134">
        <v>140</v>
      </c>
    </row>
    <row r="175" spans="1:7">
      <c r="A175" t="s">
        <v>2339</v>
      </c>
      <c r="B175" s="102" t="s">
        <v>2320</v>
      </c>
      <c r="C175">
        <v>130</v>
      </c>
      <c r="D175" t="s">
        <v>2340</v>
      </c>
      <c r="E175" s="114">
        <v>169440</v>
      </c>
      <c r="G175" s="134">
        <v>170</v>
      </c>
    </row>
    <row r="176" spans="1:7">
      <c r="A176" t="s">
        <v>2339</v>
      </c>
      <c r="B176" s="102" t="s">
        <v>2320</v>
      </c>
      <c r="C176">
        <v>160</v>
      </c>
      <c r="D176" t="s">
        <v>2340</v>
      </c>
      <c r="E176" s="114">
        <v>208540</v>
      </c>
      <c r="G176" s="134">
        <v>210</v>
      </c>
    </row>
    <row r="177" spans="1:7">
      <c r="A177" t="s">
        <v>2339</v>
      </c>
      <c r="B177" s="102" t="s">
        <v>2320</v>
      </c>
      <c r="C177">
        <v>190</v>
      </c>
      <c r="D177" t="s">
        <v>2340</v>
      </c>
      <c r="E177" s="114">
        <v>247650</v>
      </c>
      <c r="G177" s="134">
        <v>260</v>
      </c>
    </row>
    <row r="178" spans="1:7">
      <c r="A178" t="s">
        <v>2339</v>
      </c>
      <c r="B178" s="102" t="s">
        <v>2320</v>
      </c>
      <c r="C178">
        <v>210</v>
      </c>
      <c r="D178" t="s">
        <v>2340</v>
      </c>
      <c r="E178" s="114">
        <v>273710</v>
      </c>
      <c r="G178" s="134">
        <v>300</v>
      </c>
    </row>
    <row r="179" spans="1:7">
      <c r="A179" t="s">
        <v>2339</v>
      </c>
      <c r="B179" s="102" t="s">
        <v>2320</v>
      </c>
      <c r="C179">
        <v>240</v>
      </c>
      <c r="D179" t="s">
        <v>2340</v>
      </c>
      <c r="E179" s="114">
        <v>312820</v>
      </c>
      <c r="G179" s="134">
        <v>330</v>
      </c>
    </row>
    <row r="180" spans="1:7">
      <c r="A180" t="s">
        <v>2339</v>
      </c>
      <c r="B180" s="102" t="s">
        <v>2320</v>
      </c>
      <c r="C180">
        <v>310</v>
      </c>
      <c r="E180" s="114">
        <v>404050</v>
      </c>
    </row>
  </sheetData>
  <mergeCells count="41">
    <mergeCell ref="D2:D11"/>
    <mergeCell ref="A2:A12"/>
    <mergeCell ref="D44:D45"/>
    <mergeCell ref="A44:A45"/>
    <mergeCell ref="B2:B47"/>
    <mergeCell ref="A46:A49"/>
    <mergeCell ref="D46:D49"/>
    <mergeCell ref="D24:D27"/>
    <mergeCell ref="A30:A31"/>
    <mergeCell ref="A32:A34"/>
    <mergeCell ref="D32:D34"/>
    <mergeCell ref="D36:D37"/>
    <mergeCell ref="A35:A37"/>
    <mergeCell ref="D13:D16"/>
    <mergeCell ref="D17:D19"/>
    <mergeCell ref="D20:D22"/>
    <mergeCell ref="A13:A16"/>
    <mergeCell ref="A17:A19"/>
    <mergeCell ref="B141:B143"/>
    <mergeCell ref="A122:A137"/>
    <mergeCell ref="B71:B91"/>
    <mergeCell ref="A20:A22"/>
    <mergeCell ref="A23:A27"/>
    <mergeCell ref="B130:B137"/>
    <mergeCell ref="A39:A41"/>
    <mergeCell ref="A42:A43"/>
    <mergeCell ref="A144:A155"/>
    <mergeCell ref="B50:B55"/>
    <mergeCell ref="B56:B61"/>
    <mergeCell ref="A50:A61"/>
    <mergeCell ref="B62:B64"/>
    <mergeCell ref="A65:A66"/>
    <mergeCell ref="A73:A79"/>
    <mergeCell ref="A107:A115"/>
    <mergeCell ref="A67:A68"/>
    <mergeCell ref="B67:B68"/>
    <mergeCell ref="B69:B70"/>
    <mergeCell ref="A69:A70"/>
    <mergeCell ref="A71:A72"/>
    <mergeCell ref="B107:B129"/>
    <mergeCell ref="B138:B140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65B07-20D4-4D0C-AFEB-7DDDB69C8D7C}">
  <dimension ref="A1:P294"/>
  <sheetViews>
    <sheetView topLeftCell="A140" workbookViewId="0">
      <selection activeCell="D147" sqref="D147"/>
    </sheetView>
  </sheetViews>
  <sheetFormatPr defaultRowHeight="17.399999999999999"/>
  <cols>
    <col min="1" max="1" width="17.8984375" bestFit="1" customWidth="1"/>
    <col min="2" max="2" width="25.59765625" bestFit="1" customWidth="1"/>
    <col min="3" max="3" width="15.5" bestFit="1" customWidth="1"/>
    <col min="4" max="4" width="31.09765625" bestFit="1" customWidth="1"/>
    <col min="5" max="5" width="18.3984375" customWidth="1"/>
    <col min="7" max="7" width="9" style="134"/>
    <col min="9" max="9" width="11.8984375" bestFit="1" customWidth="1"/>
    <col min="12" max="12" width="9.5" bestFit="1" customWidth="1"/>
    <col min="16" max="16" width="10.8984375" bestFit="1" customWidth="1"/>
  </cols>
  <sheetData>
    <row r="1" spans="1:15" s="86" customFormat="1" ht="15" customHeight="1">
      <c r="A1" s="118" t="s">
        <v>2348</v>
      </c>
      <c r="B1" s="119" t="s">
        <v>2316</v>
      </c>
      <c r="C1" s="120" t="s">
        <v>2351</v>
      </c>
      <c r="D1" s="121" t="s">
        <v>2350</v>
      </c>
      <c r="E1" s="127" t="s">
        <v>1751</v>
      </c>
      <c r="F1" s="124"/>
      <c r="G1" s="133" t="s">
        <v>2747</v>
      </c>
    </row>
    <row r="2" spans="1:15">
      <c r="A2" t="s">
        <v>2435</v>
      </c>
      <c r="B2" t="s">
        <v>2436</v>
      </c>
      <c r="C2">
        <v>125</v>
      </c>
      <c r="D2" s="1046" t="s">
        <v>2437</v>
      </c>
      <c r="E2" s="130">
        <v>1940000</v>
      </c>
    </row>
    <row r="3" spans="1:15">
      <c r="C3">
        <v>355</v>
      </c>
      <c r="D3" s="1040"/>
      <c r="E3" s="130">
        <v>3300000</v>
      </c>
      <c r="M3" s="129"/>
      <c r="N3" s="130"/>
      <c r="O3" s="130"/>
    </row>
    <row r="4" spans="1:15" ht="34.799999999999997" customHeight="1">
      <c r="B4" t="s">
        <v>2438</v>
      </c>
      <c r="C4">
        <v>125</v>
      </c>
      <c r="D4" s="1043" t="s">
        <v>2439</v>
      </c>
      <c r="E4" s="131">
        <v>1940000</v>
      </c>
      <c r="M4" s="129"/>
      <c r="N4" s="130"/>
      <c r="O4" s="130"/>
    </row>
    <row r="5" spans="1:15">
      <c r="C5">
        <v>355</v>
      </c>
      <c r="D5" s="1043"/>
      <c r="E5" s="130">
        <v>3300000</v>
      </c>
    </row>
    <row r="6" spans="1:15">
      <c r="C6">
        <v>125</v>
      </c>
      <c r="D6" s="1040" t="s">
        <v>2440</v>
      </c>
      <c r="E6" s="130">
        <v>2060000</v>
      </c>
    </row>
    <row r="7" spans="1:15">
      <c r="C7">
        <v>355</v>
      </c>
      <c r="D7" s="1040"/>
      <c r="E7" s="130">
        <v>3610000</v>
      </c>
    </row>
    <row r="8" spans="1:15" ht="34.799999999999997">
      <c r="C8">
        <v>125</v>
      </c>
      <c r="D8" s="125" t="s">
        <v>2441</v>
      </c>
      <c r="E8" s="130">
        <v>2240000</v>
      </c>
    </row>
    <row r="9" spans="1:15">
      <c r="C9">
        <v>355</v>
      </c>
      <c r="E9" s="130">
        <v>4100000</v>
      </c>
    </row>
    <row r="10" spans="1:15">
      <c r="A10" t="s">
        <v>2442</v>
      </c>
      <c r="B10" t="s">
        <v>2443</v>
      </c>
      <c r="C10">
        <v>120</v>
      </c>
      <c r="D10" s="1040" t="s">
        <v>2803</v>
      </c>
      <c r="E10" s="130">
        <v>397000</v>
      </c>
    </row>
    <row r="11" spans="1:15">
      <c r="C11">
        <v>160</v>
      </c>
      <c r="D11" s="1040"/>
      <c r="E11" s="130">
        <v>587000</v>
      </c>
    </row>
    <row r="12" spans="1:15">
      <c r="C12">
        <v>250</v>
      </c>
      <c r="D12" s="1040"/>
      <c r="E12" s="130">
        <v>897000</v>
      </c>
    </row>
    <row r="13" spans="1:15">
      <c r="C13">
        <v>300</v>
      </c>
      <c r="D13" s="1040"/>
      <c r="E13" s="130">
        <v>1100000</v>
      </c>
    </row>
    <row r="14" spans="1:15">
      <c r="C14">
        <v>350</v>
      </c>
      <c r="D14" s="1040"/>
      <c r="E14" s="130">
        <v>1520000</v>
      </c>
    </row>
    <row r="15" spans="1:15">
      <c r="C15">
        <v>120</v>
      </c>
      <c r="D15" s="1040" t="s">
        <v>2444</v>
      </c>
      <c r="E15" s="130">
        <v>690000</v>
      </c>
    </row>
    <row r="16" spans="1:15">
      <c r="C16">
        <v>250</v>
      </c>
      <c r="D16" s="1040"/>
      <c r="E16" s="130">
        <v>1350000</v>
      </c>
    </row>
    <row r="17" spans="1:5">
      <c r="C17">
        <v>300</v>
      </c>
      <c r="D17" s="1040"/>
      <c r="E17" s="130">
        <v>1590000</v>
      </c>
    </row>
    <row r="18" spans="1:5">
      <c r="C18">
        <v>350</v>
      </c>
      <c r="D18" s="1040"/>
      <c r="E18" s="130">
        <v>1900000</v>
      </c>
    </row>
    <row r="19" spans="1:5">
      <c r="A19" t="s">
        <v>2445</v>
      </c>
      <c r="B19" t="s">
        <v>2438</v>
      </c>
      <c r="C19">
        <v>135</v>
      </c>
      <c r="D19" s="1040" t="s">
        <v>2446</v>
      </c>
      <c r="E19" s="130">
        <v>760000</v>
      </c>
    </row>
    <row r="20" spans="1:5">
      <c r="C20">
        <v>300</v>
      </c>
      <c r="D20" s="1040"/>
      <c r="E20" s="130">
        <v>1590000</v>
      </c>
    </row>
    <row r="21" spans="1:5">
      <c r="C21">
        <v>135</v>
      </c>
      <c r="D21" s="1040" t="s">
        <v>2447</v>
      </c>
      <c r="E21" s="130">
        <v>930000</v>
      </c>
    </row>
    <row r="22" spans="1:5">
      <c r="C22">
        <v>300</v>
      </c>
      <c r="D22" s="1040"/>
      <c r="E22" s="130">
        <v>1920000</v>
      </c>
    </row>
    <row r="23" spans="1:5">
      <c r="C23">
        <v>300</v>
      </c>
      <c r="D23" t="s">
        <v>2448</v>
      </c>
      <c r="E23" s="130">
        <v>1920000</v>
      </c>
    </row>
    <row r="24" spans="1:5">
      <c r="A24" t="s">
        <v>2449</v>
      </c>
      <c r="B24" t="s">
        <v>2438</v>
      </c>
      <c r="C24">
        <v>120</v>
      </c>
      <c r="D24" t="s">
        <v>2450</v>
      </c>
      <c r="E24" s="130">
        <v>710000</v>
      </c>
    </row>
    <row r="25" spans="1:5">
      <c r="C25">
        <v>300</v>
      </c>
      <c r="E25" s="130">
        <v>1590000</v>
      </c>
    </row>
    <row r="26" spans="1:5">
      <c r="B26" t="s">
        <v>2418</v>
      </c>
      <c r="C26">
        <v>90</v>
      </c>
      <c r="D26" t="s">
        <v>2451</v>
      </c>
      <c r="E26" s="130">
        <v>440000</v>
      </c>
    </row>
    <row r="27" spans="1:5">
      <c r="B27" t="s">
        <v>2438</v>
      </c>
      <c r="C27">
        <v>120</v>
      </c>
      <c r="E27" s="130">
        <v>710000</v>
      </c>
    </row>
    <row r="28" spans="1:5">
      <c r="C28">
        <v>300</v>
      </c>
      <c r="E28" s="130">
        <v>1590000</v>
      </c>
    </row>
    <row r="29" spans="1:5">
      <c r="C29">
        <v>120</v>
      </c>
      <c r="D29" t="s">
        <v>2452</v>
      </c>
      <c r="E29" s="130">
        <v>710000</v>
      </c>
    </row>
    <row r="30" spans="1:5">
      <c r="C30">
        <v>300</v>
      </c>
      <c r="E30" s="130">
        <v>1590000</v>
      </c>
    </row>
    <row r="31" spans="1:5">
      <c r="C31">
        <v>120</v>
      </c>
      <c r="D31" t="s">
        <v>2453</v>
      </c>
      <c r="E31" s="130">
        <v>760000</v>
      </c>
    </row>
    <row r="32" spans="1:5">
      <c r="C32">
        <v>320</v>
      </c>
      <c r="E32" s="131">
        <v>1820000</v>
      </c>
    </row>
    <row r="33" spans="1:5">
      <c r="C33">
        <v>120</v>
      </c>
      <c r="D33" t="s">
        <v>2454</v>
      </c>
      <c r="E33" s="130">
        <v>1060000</v>
      </c>
    </row>
    <row r="34" spans="1:5">
      <c r="C34">
        <v>320</v>
      </c>
      <c r="E34" s="130">
        <v>2710000</v>
      </c>
    </row>
    <row r="35" spans="1:5">
      <c r="C35">
        <v>120</v>
      </c>
      <c r="D35" t="s">
        <v>2455</v>
      </c>
      <c r="E35" s="130">
        <v>1230000</v>
      </c>
    </row>
    <row r="36" spans="1:5">
      <c r="C36">
        <v>320</v>
      </c>
      <c r="E36" s="130">
        <v>3070000</v>
      </c>
    </row>
    <row r="37" spans="1:5">
      <c r="A37" t="s">
        <v>2456</v>
      </c>
      <c r="B37" t="s">
        <v>2457</v>
      </c>
      <c r="C37">
        <v>120</v>
      </c>
      <c r="D37" s="130" t="s">
        <v>2458</v>
      </c>
      <c r="E37" s="130">
        <v>700000</v>
      </c>
    </row>
    <row r="38" spans="1:5">
      <c r="C38">
        <v>120</v>
      </c>
      <c r="D38" t="s">
        <v>2448</v>
      </c>
      <c r="E38" s="130">
        <v>930000</v>
      </c>
    </row>
    <row r="39" spans="1:5">
      <c r="B39" t="s">
        <v>2438</v>
      </c>
      <c r="C39">
        <v>300</v>
      </c>
      <c r="D39">
        <v>50</v>
      </c>
      <c r="E39" s="130">
        <v>1520000</v>
      </c>
    </row>
    <row r="40" spans="1:5">
      <c r="C40">
        <v>300</v>
      </c>
      <c r="D40" t="s">
        <v>2448</v>
      </c>
      <c r="E40" s="130">
        <v>1890000</v>
      </c>
    </row>
    <row r="41" spans="1:5">
      <c r="A41" t="s">
        <v>2459</v>
      </c>
      <c r="B41" t="s">
        <v>2460</v>
      </c>
      <c r="C41">
        <v>100</v>
      </c>
      <c r="D41">
        <v>50</v>
      </c>
      <c r="E41" s="130">
        <v>760000</v>
      </c>
    </row>
    <row r="42" spans="1:5">
      <c r="B42" t="s">
        <v>2438</v>
      </c>
      <c r="C42">
        <v>200</v>
      </c>
      <c r="D42">
        <v>50</v>
      </c>
      <c r="E42" s="130">
        <v>1820000</v>
      </c>
    </row>
    <row r="43" spans="1:5">
      <c r="B43" t="s">
        <v>2460</v>
      </c>
      <c r="C43">
        <v>100</v>
      </c>
      <c r="D43">
        <v>10</v>
      </c>
      <c r="E43" s="130">
        <v>2580000</v>
      </c>
    </row>
    <row r="44" spans="1:5">
      <c r="B44" t="s">
        <v>2438</v>
      </c>
      <c r="C44">
        <v>200</v>
      </c>
      <c r="E44" s="130">
        <v>1160000</v>
      </c>
    </row>
    <row r="45" spans="1:5">
      <c r="B45" t="s">
        <v>2438</v>
      </c>
      <c r="C45">
        <v>100</v>
      </c>
      <c r="D45" t="s">
        <v>2448</v>
      </c>
      <c r="E45" s="130">
        <v>1050000</v>
      </c>
    </row>
    <row r="46" spans="1:5">
      <c r="A46" t="s">
        <v>2461</v>
      </c>
      <c r="B46" t="s">
        <v>2436</v>
      </c>
      <c r="C46">
        <v>170</v>
      </c>
      <c r="D46" t="s">
        <v>2462</v>
      </c>
      <c r="E46" s="130">
        <v>990000</v>
      </c>
    </row>
    <row r="47" spans="1:5">
      <c r="C47">
        <v>240</v>
      </c>
      <c r="E47" s="130">
        <v>1390000</v>
      </c>
    </row>
    <row r="48" spans="1:5">
      <c r="C48">
        <v>320</v>
      </c>
      <c r="E48" s="130">
        <v>1890000</v>
      </c>
    </row>
    <row r="49" spans="1:5" ht="52.2">
      <c r="C49">
        <v>240</v>
      </c>
      <c r="D49" s="125" t="s">
        <v>2463</v>
      </c>
      <c r="E49" s="130">
        <v>1460000</v>
      </c>
    </row>
    <row r="50" spans="1:5">
      <c r="C50">
        <v>320</v>
      </c>
      <c r="E50" s="130">
        <v>1980000</v>
      </c>
    </row>
    <row r="51" spans="1:5" ht="34.799999999999997">
      <c r="C51">
        <v>240</v>
      </c>
      <c r="D51" s="125" t="s">
        <v>2464</v>
      </c>
      <c r="E51" s="130">
        <v>1720000</v>
      </c>
    </row>
    <row r="52" spans="1:5">
      <c r="C52">
        <v>320</v>
      </c>
      <c r="E52" s="130">
        <v>2280000</v>
      </c>
    </row>
    <row r="53" spans="1:5">
      <c r="C53">
        <v>320</v>
      </c>
      <c r="D53" t="s">
        <v>2465</v>
      </c>
      <c r="E53" s="130">
        <v>2280000</v>
      </c>
    </row>
    <row r="54" spans="1:5" ht="34.799999999999997">
      <c r="A54" t="s">
        <v>2466</v>
      </c>
      <c r="C54">
        <v>120</v>
      </c>
      <c r="D54" s="125" t="s">
        <v>2467</v>
      </c>
      <c r="E54" s="130">
        <v>660000</v>
      </c>
    </row>
    <row r="55" spans="1:5">
      <c r="C55">
        <v>300</v>
      </c>
      <c r="E55" s="130">
        <v>1460000</v>
      </c>
    </row>
    <row r="56" spans="1:5" ht="34.799999999999997">
      <c r="C56">
        <v>120</v>
      </c>
      <c r="D56" s="125" t="s">
        <v>2468</v>
      </c>
      <c r="E56" s="130">
        <v>660000</v>
      </c>
    </row>
    <row r="57" spans="1:5">
      <c r="C57">
        <v>300</v>
      </c>
      <c r="E57" s="130">
        <v>1460000</v>
      </c>
    </row>
    <row r="58" spans="1:5">
      <c r="B58" t="s">
        <v>2469</v>
      </c>
      <c r="C58">
        <v>600</v>
      </c>
      <c r="E58" s="130">
        <v>2970000</v>
      </c>
    </row>
    <row r="59" spans="1:5" ht="34.799999999999997">
      <c r="A59" t="s">
        <v>2470</v>
      </c>
      <c r="B59" t="s">
        <v>2438</v>
      </c>
      <c r="C59">
        <v>135</v>
      </c>
      <c r="D59" s="125" t="s">
        <v>2471</v>
      </c>
      <c r="E59" s="130">
        <v>800000</v>
      </c>
    </row>
    <row r="60" spans="1:5">
      <c r="C60">
        <v>240</v>
      </c>
      <c r="E60" s="130">
        <v>1320000</v>
      </c>
    </row>
    <row r="61" spans="1:5">
      <c r="C61">
        <v>350</v>
      </c>
      <c r="E61" s="130">
        <v>1890000</v>
      </c>
    </row>
    <row r="62" spans="1:5">
      <c r="C62">
        <v>135</v>
      </c>
      <c r="D62" t="s">
        <v>2472</v>
      </c>
      <c r="E62" s="130">
        <v>990000</v>
      </c>
    </row>
    <row r="63" spans="1:5">
      <c r="C63">
        <v>240</v>
      </c>
      <c r="E63" s="130">
        <v>1690000</v>
      </c>
    </row>
    <row r="64" spans="1:5">
      <c r="C64">
        <v>350</v>
      </c>
      <c r="E64" s="130">
        <v>2410000</v>
      </c>
    </row>
    <row r="65" spans="1:5">
      <c r="C65">
        <v>135</v>
      </c>
      <c r="D65" t="s">
        <v>2473</v>
      </c>
      <c r="E65" s="130">
        <v>1060000</v>
      </c>
    </row>
    <row r="66" spans="1:5">
      <c r="C66">
        <v>240</v>
      </c>
      <c r="E66" s="130">
        <v>1820000</v>
      </c>
    </row>
    <row r="67" spans="1:5">
      <c r="C67">
        <v>350</v>
      </c>
      <c r="E67" s="130">
        <v>2610000</v>
      </c>
    </row>
    <row r="68" spans="1:5">
      <c r="A68" t="s">
        <v>2474</v>
      </c>
      <c r="B68" t="s">
        <v>2436</v>
      </c>
      <c r="C68">
        <v>120</v>
      </c>
      <c r="D68" t="s">
        <v>2475</v>
      </c>
      <c r="E68" s="130">
        <v>660000</v>
      </c>
    </row>
    <row r="69" spans="1:5">
      <c r="C69">
        <v>240</v>
      </c>
      <c r="E69" s="130">
        <v>1320000</v>
      </c>
    </row>
    <row r="70" spans="1:5">
      <c r="C70">
        <v>300</v>
      </c>
      <c r="E70" s="111">
        <v>1500000</v>
      </c>
    </row>
    <row r="71" spans="1:5">
      <c r="B71" t="s">
        <v>2418</v>
      </c>
      <c r="C71">
        <v>300</v>
      </c>
      <c r="E71" s="130">
        <v>1420000</v>
      </c>
    </row>
    <row r="72" spans="1:5">
      <c r="C72">
        <v>90</v>
      </c>
      <c r="D72" t="s">
        <v>2476</v>
      </c>
      <c r="E72" s="130">
        <v>470000</v>
      </c>
    </row>
    <row r="73" spans="1:5">
      <c r="B73" t="s">
        <v>2436</v>
      </c>
      <c r="C73">
        <v>120</v>
      </c>
      <c r="E73" s="130">
        <v>660000</v>
      </c>
    </row>
    <row r="74" spans="1:5">
      <c r="C74">
        <v>240</v>
      </c>
      <c r="E74" s="130">
        <v>1320000</v>
      </c>
    </row>
    <row r="75" spans="1:5">
      <c r="A75" t="s">
        <v>2477</v>
      </c>
      <c r="B75" t="s">
        <v>2438</v>
      </c>
      <c r="C75">
        <v>100</v>
      </c>
      <c r="D75" t="s">
        <v>2478</v>
      </c>
      <c r="E75" s="130">
        <v>700000</v>
      </c>
    </row>
    <row r="76" spans="1:5">
      <c r="C76">
        <v>200</v>
      </c>
      <c r="E76" s="130">
        <v>1090000</v>
      </c>
    </row>
    <row r="77" spans="1:5">
      <c r="C77">
        <v>300</v>
      </c>
      <c r="E77" s="130">
        <v>1560000</v>
      </c>
    </row>
    <row r="78" spans="1:5">
      <c r="C78">
        <v>100</v>
      </c>
      <c r="D78" t="s">
        <v>2479</v>
      </c>
      <c r="E78" s="130">
        <v>760000</v>
      </c>
    </row>
    <row r="79" spans="1:5">
      <c r="C79">
        <v>200</v>
      </c>
      <c r="E79" s="130">
        <v>1260000</v>
      </c>
    </row>
    <row r="80" spans="1:5">
      <c r="C80">
        <v>300</v>
      </c>
      <c r="E80" s="130">
        <v>1820000</v>
      </c>
    </row>
    <row r="81" spans="1:5">
      <c r="C81">
        <v>100</v>
      </c>
      <c r="D81" t="s">
        <v>2448</v>
      </c>
      <c r="E81" s="130">
        <v>830000</v>
      </c>
    </row>
    <row r="82" spans="1:5">
      <c r="C82">
        <v>200</v>
      </c>
      <c r="E82" s="130">
        <v>1320000</v>
      </c>
    </row>
    <row r="83" spans="1:5">
      <c r="C83">
        <v>300</v>
      </c>
      <c r="E83" s="130">
        <v>1920000</v>
      </c>
    </row>
    <row r="84" spans="1:5">
      <c r="A84" t="s">
        <v>2480</v>
      </c>
      <c r="B84" t="s">
        <v>2438</v>
      </c>
      <c r="C84">
        <v>110</v>
      </c>
      <c r="D84" t="s">
        <v>2804</v>
      </c>
      <c r="E84" s="130">
        <v>1650000</v>
      </c>
    </row>
    <row r="85" spans="1:5">
      <c r="B85" t="s">
        <v>2417</v>
      </c>
      <c r="C85">
        <v>240</v>
      </c>
      <c r="E85" s="130">
        <v>2380000</v>
      </c>
    </row>
    <row r="86" spans="1:5">
      <c r="B86" t="s">
        <v>2438</v>
      </c>
      <c r="C86">
        <v>310</v>
      </c>
      <c r="E86" s="130">
        <v>2780000</v>
      </c>
    </row>
    <row r="87" spans="1:5">
      <c r="C87">
        <v>110</v>
      </c>
      <c r="D87" t="s">
        <v>2805</v>
      </c>
      <c r="E87" s="130">
        <v>1820000</v>
      </c>
    </row>
    <row r="88" spans="1:5">
      <c r="C88">
        <v>310</v>
      </c>
      <c r="E88" s="130">
        <v>3100000</v>
      </c>
    </row>
    <row r="89" spans="1:5" ht="34.799999999999997">
      <c r="C89">
        <v>130</v>
      </c>
      <c r="D89" s="125" t="s">
        <v>2806</v>
      </c>
      <c r="E89" s="130">
        <v>1820000</v>
      </c>
    </row>
    <row r="90" spans="1:5">
      <c r="C90">
        <v>310</v>
      </c>
      <c r="E90" s="130">
        <v>3100000</v>
      </c>
    </row>
    <row r="91" spans="1:5">
      <c r="C91">
        <v>110</v>
      </c>
      <c r="D91" t="s">
        <v>2807</v>
      </c>
      <c r="E91" s="130">
        <v>1920000</v>
      </c>
    </row>
    <row r="92" spans="1:5">
      <c r="C92">
        <v>310</v>
      </c>
      <c r="E92" s="130">
        <v>3370000</v>
      </c>
    </row>
    <row r="93" spans="1:5" ht="52.2">
      <c r="C93">
        <v>110</v>
      </c>
      <c r="D93" s="125" t="s">
        <v>2808</v>
      </c>
      <c r="E93" s="130">
        <v>2120000</v>
      </c>
    </row>
    <row r="94" spans="1:5">
      <c r="C94">
        <v>310</v>
      </c>
      <c r="E94" s="130">
        <v>3870000</v>
      </c>
    </row>
    <row r="95" spans="1:5">
      <c r="A95" t="s">
        <v>2481</v>
      </c>
      <c r="B95" t="s">
        <v>2417</v>
      </c>
      <c r="C95">
        <v>135</v>
      </c>
      <c r="D95" t="s">
        <v>2478</v>
      </c>
      <c r="E95" s="130">
        <v>930000</v>
      </c>
    </row>
    <row r="96" spans="1:5">
      <c r="C96">
        <v>250</v>
      </c>
      <c r="E96" s="130">
        <v>1590000</v>
      </c>
    </row>
    <row r="97" spans="1:5">
      <c r="C97">
        <v>350</v>
      </c>
      <c r="E97" s="130">
        <v>2280000</v>
      </c>
    </row>
    <row r="98" spans="1:5">
      <c r="A98" t="s">
        <v>2809</v>
      </c>
      <c r="C98">
        <v>135</v>
      </c>
      <c r="E98" s="130">
        <v>863000</v>
      </c>
    </row>
    <row r="99" spans="1:5">
      <c r="C99">
        <v>250</v>
      </c>
      <c r="E99" s="130">
        <v>1520000</v>
      </c>
    </row>
    <row r="100" spans="1:5">
      <c r="B100" t="s">
        <v>2810</v>
      </c>
      <c r="C100">
        <v>350</v>
      </c>
      <c r="E100" s="130">
        <v>1060000</v>
      </c>
    </row>
    <row r="101" spans="1:5">
      <c r="B101" t="s">
        <v>2436</v>
      </c>
      <c r="C101">
        <v>350</v>
      </c>
      <c r="E101" s="130">
        <v>1800000</v>
      </c>
    </row>
    <row r="102" spans="1:5">
      <c r="A102" t="s">
        <v>2482</v>
      </c>
      <c r="B102" t="s">
        <v>2417</v>
      </c>
      <c r="C102">
        <v>135</v>
      </c>
      <c r="E102" s="130">
        <v>630000</v>
      </c>
    </row>
    <row r="103" spans="1:5">
      <c r="C103">
        <v>200</v>
      </c>
      <c r="E103" s="130">
        <v>900000</v>
      </c>
    </row>
    <row r="104" spans="1:5">
      <c r="B104" t="s">
        <v>2320</v>
      </c>
      <c r="C104">
        <v>135</v>
      </c>
      <c r="D104" t="s">
        <v>2763</v>
      </c>
      <c r="E104" s="130">
        <v>300000</v>
      </c>
    </row>
    <row r="105" spans="1:5">
      <c r="C105">
        <v>200</v>
      </c>
      <c r="D105" t="s">
        <v>2763</v>
      </c>
      <c r="E105" s="130">
        <v>420000</v>
      </c>
    </row>
    <row r="106" spans="1:5">
      <c r="B106" t="s">
        <v>2764</v>
      </c>
      <c r="C106">
        <v>250</v>
      </c>
      <c r="E106" s="130">
        <v>820000</v>
      </c>
    </row>
    <row r="107" spans="1:5">
      <c r="B107" t="s">
        <v>2810</v>
      </c>
      <c r="C107">
        <v>350</v>
      </c>
      <c r="E107" s="130">
        <v>828000</v>
      </c>
    </row>
    <row r="108" spans="1:5">
      <c r="B108" t="s">
        <v>2811</v>
      </c>
      <c r="C108">
        <v>350</v>
      </c>
      <c r="E108" s="130">
        <v>1140000</v>
      </c>
    </row>
    <row r="109" spans="1:5">
      <c r="A109" t="s">
        <v>2483</v>
      </c>
      <c r="B109" t="s">
        <v>2417</v>
      </c>
      <c r="C109">
        <v>250</v>
      </c>
      <c r="E109" s="130">
        <v>1590000</v>
      </c>
    </row>
    <row r="110" spans="1:5">
      <c r="C110">
        <v>350</v>
      </c>
      <c r="E110" s="130">
        <v>2280000</v>
      </c>
    </row>
    <row r="111" spans="1:5">
      <c r="A111" t="s">
        <v>2484</v>
      </c>
      <c r="B111" t="s">
        <v>2486</v>
      </c>
      <c r="C111">
        <v>300</v>
      </c>
      <c r="D111" t="s">
        <v>2485</v>
      </c>
      <c r="E111" s="130">
        <v>2050000</v>
      </c>
    </row>
    <row r="112" spans="1:5">
      <c r="B112" t="s">
        <v>2438</v>
      </c>
      <c r="C112">
        <v>480</v>
      </c>
      <c r="E112" s="130">
        <v>3770000</v>
      </c>
    </row>
    <row r="113" spans="1:5">
      <c r="C113">
        <v>600</v>
      </c>
      <c r="E113" s="130">
        <v>4760000</v>
      </c>
    </row>
    <row r="114" spans="1:5">
      <c r="C114">
        <v>900</v>
      </c>
      <c r="E114" s="130">
        <v>7920000</v>
      </c>
    </row>
    <row r="115" spans="1:5">
      <c r="B115" t="s">
        <v>2486</v>
      </c>
      <c r="C115">
        <v>300</v>
      </c>
      <c r="D115" t="s">
        <v>2487</v>
      </c>
      <c r="E115" s="130">
        <v>2050000</v>
      </c>
    </row>
    <row r="116" spans="1:5">
      <c r="C116">
        <v>600</v>
      </c>
      <c r="E116" s="130">
        <v>4760000</v>
      </c>
    </row>
    <row r="117" spans="1:5">
      <c r="A117" t="s">
        <v>2488</v>
      </c>
      <c r="B117" t="s">
        <v>2417</v>
      </c>
      <c r="C117">
        <v>135</v>
      </c>
      <c r="D117" t="s">
        <v>2478</v>
      </c>
      <c r="E117" s="130">
        <v>620000</v>
      </c>
    </row>
    <row r="118" spans="1:5">
      <c r="C118">
        <v>160</v>
      </c>
      <c r="E118" s="130">
        <v>7250000</v>
      </c>
    </row>
    <row r="119" spans="1:5">
      <c r="C119">
        <v>200</v>
      </c>
      <c r="E119" s="130">
        <v>900000</v>
      </c>
    </row>
    <row r="120" spans="1:5">
      <c r="C120">
        <v>250</v>
      </c>
      <c r="E120" s="130">
        <v>990000</v>
      </c>
    </row>
    <row r="121" spans="1:5">
      <c r="B121" t="s">
        <v>2810</v>
      </c>
      <c r="C121">
        <v>350</v>
      </c>
      <c r="E121" s="130">
        <v>830000</v>
      </c>
    </row>
    <row r="122" spans="1:5">
      <c r="B122" t="s">
        <v>2320</v>
      </c>
      <c r="C122">
        <v>135</v>
      </c>
      <c r="D122" t="s">
        <v>2763</v>
      </c>
      <c r="E122" s="130">
        <v>330000</v>
      </c>
    </row>
    <row r="123" spans="1:5">
      <c r="C123">
        <v>160</v>
      </c>
      <c r="D123" t="s">
        <v>2763</v>
      </c>
      <c r="E123" s="130">
        <v>390000</v>
      </c>
    </row>
    <row r="124" spans="1:5">
      <c r="C124">
        <v>200</v>
      </c>
      <c r="D124" t="s">
        <v>2763</v>
      </c>
      <c r="E124" s="130">
        <v>450000</v>
      </c>
    </row>
    <row r="125" spans="1:5">
      <c r="C125">
        <v>250</v>
      </c>
      <c r="E125" s="130">
        <v>690000</v>
      </c>
    </row>
    <row r="126" spans="1:5">
      <c r="C126">
        <v>350</v>
      </c>
      <c r="E126" s="130">
        <v>1140000</v>
      </c>
    </row>
    <row r="127" spans="1:5">
      <c r="A127" t="s">
        <v>2489</v>
      </c>
      <c r="B127" t="s">
        <v>2417</v>
      </c>
      <c r="C127">
        <v>135</v>
      </c>
      <c r="D127" t="s">
        <v>2478</v>
      </c>
      <c r="E127" s="130">
        <v>870000</v>
      </c>
    </row>
    <row r="128" spans="1:5">
      <c r="C128">
        <v>250</v>
      </c>
      <c r="E128" s="130">
        <v>1520000</v>
      </c>
    </row>
    <row r="129" spans="1:5">
      <c r="C129">
        <v>350</v>
      </c>
      <c r="E129" s="130">
        <v>2110000</v>
      </c>
    </row>
    <row r="130" spans="1:5">
      <c r="B130" t="s">
        <v>2320</v>
      </c>
      <c r="C130">
        <v>250</v>
      </c>
      <c r="D130" t="s">
        <v>2763</v>
      </c>
      <c r="E130" s="130">
        <v>870000</v>
      </c>
    </row>
    <row r="131" spans="1:5">
      <c r="A131" t="s">
        <v>2490</v>
      </c>
      <c r="B131" t="s">
        <v>2491</v>
      </c>
      <c r="C131">
        <v>120</v>
      </c>
      <c r="D131" t="s">
        <v>2492</v>
      </c>
      <c r="E131" s="130">
        <v>630000</v>
      </c>
    </row>
    <row r="132" spans="1:5">
      <c r="B132" t="s">
        <v>2417</v>
      </c>
      <c r="C132">
        <v>240</v>
      </c>
      <c r="E132" s="130">
        <v>1230000</v>
      </c>
    </row>
    <row r="133" spans="1:5">
      <c r="C133">
        <v>300</v>
      </c>
      <c r="E133" s="130">
        <v>1460000</v>
      </c>
    </row>
    <row r="134" spans="1:5" ht="69.599999999999994">
      <c r="B134" t="s">
        <v>2491</v>
      </c>
      <c r="C134">
        <v>120</v>
      </c>
      <c r="D134" s="125" t="s">
        <v>2812</v>
      </c>
      <c r="E134" s="130">
        <v>680000</v>
      </c>
    </row>
    <row r="135" spans="1:5">
      <c r="B135" t="s">
        <v>2417</v>
      </c>
      <c r="C135">
        <v>240</v>
      </c>
      <c r="E135" s="130">
        <v>1320000</v>
      </c>
    </row>
    <row r="136" spans="1:5">
      <c r="C136">
        <v>300</v>
      </c>
      <c r="E136" s="130">
        <v>1590000</v>
      </c>
    </row>
    <row r="137" spans="1:5" ht="34.799999999999997">
      <c r="B137" t="s">
        <v>2491</v>
      </c>
      <c r="C137">
        <v>120</v>
      </c>
      <c r="D137" s="125" t="s">
        <v>2813</v>
      </c>
      <c r="E137" s="130">
        <v>680000</v>
      </c>
    </row>
    <row r="138" spans="1:5">
      <c r="B138" t="s">
        <v>2417</v>
      </c>
      <c r="C138">
        <v>300</v>
      </c>
      <c r="E138" s="130">
        <v>1590000</v>
      </c>
    </row>
    <row r="139" spans="1:5" ht="69.599999999999994">
      <c r="B139" t="s">
        <v>2491</v>
      </c>
      <c r="C139">
        <v>120</v>
      </c>
      <c r="D139" s="125" t="s">
        <v>2814</v>
      </c>
      <c r="E139" s="130">
        <v>960000</v>
      </c>
    </row>
    <row r="140" spans="1:5">
      <c r="B140" t="s">
        <v>2417</v>
      </c>
      <c r="C140">
        <v>240</v>
      </c>
      <c r="E140" s="130">
        <v>1890000</v>
      </c>
    </row>
    <row r="141" spans="1:5">
      <c r="C141">
        <v>300</v>
      </c>
      <c r="E141" s="130">
        <v>2010000</v>
      </c>
    </row>
    <row r="142" spans="1:5" ht="34.799999999999997">
      <c r="B142" t="s">
        <v>2491</v>
      </c>
      <c r="C142">
        <v>120</v>
      </c>
      <c r="D142" s="125" t="s">
        <v>2815</v>
      </c>
      <c r="E142" s="130">
        <v>960000</v>
      </c>
    </row>
    <row r="143" spans="1:5">
      <c r="B143" t="s">
        <v>2417</v>
      </c>
      <c r="C143">
        <v>300</v>
      </c>
      <c r="E143" s="130">
        <v>2210000</v>
      </c>
    </row>
    <row r="144" spans="1:5">
      <c r="A144" t="s">
        <v>2493</v>
      </c>
      <c r="B144" t="s">
        <v>2438</v>
      </c>
      <c r="C144">
        <v>130</v>
      </c>
      <c r="D144" t="s">
        <v>2494</v>
      </c>
      <c r="E144" s="130">
        <v>1950000</v>
      </c>
    </row>
    <row r="145" spans="1:5">
      <c r="B145" t="s">
        <v>2353</v>
      </c>
      <c r="C145">
        <v>240</v>
      </c>
      <c r="E145" s="130">
        <v>2580000</v>
      </c>
    </row>
    <row r="146" spans="1:5">
      <c r="B146" t="s">
        <v>2438</v>
      </c>
      <c r="C146">
        <v>310</v>
      </c>
      <c r="E146" s="130">
        <v>2810000</v>
      </c>
    </row>
    <row r="147" spans="1:5" ht="34.799999999999997">
      <c r="B147" t="s">
        <v>2438</v>
      </c>
      <c r="C147">
        <v>130</v>
      </c>
      <c r="D147" s="125" t="s">
        <v>2495</v>
      </c>
      <c r="E147" s="130">
        <v>1690000</v>
      </c>
    </row>
    <row r="148" spans="1:5">
      <c r="B148" t="s">
        <v>2353</v>
      </c>
      <c r="C148">
        <v>240</v>
      </c>
      <c r="E148" s="130">
        <v>2710000</v>
      </c>
    </row>
    <row r="149" spans="1:5">
      <c r="B149" t="s">
        <v>2438</v>
      </c>
      <c r="C149">
        <v>310</v>
      </c>
      <c r="E149" s="130">
        <v>2970000</v>
      </c>
    </row>
    <row r="150" spans="1:5">
      <c r="C150">
        <v>130</v>
      </c>
      <c r="D150" t="s">
        <v>2496</v>
      </c>
      <c r="E150" s="130">
        <v>1690000</v>
      </c>
    </row>
    <row r="151" spans="1:5">
      <c r="C151">
        <v>310</v>
      </c>
      <c r="E151" s="130">
        <v>2970000</v>
      </c>
    </row>
    <row r="152" spans="1:5">
      <c r="C152">
        <v>110</v>
      </c>
      <c r="D152" t="s">
        <v>2497</v>
      </c>
      <c r="E152" s="130">
        <v>1920000</v>
      </c>
    </row>
    <row r="153" spans="1:5">
      <c r="B153" t="s">
        <v>2417</v>
      </c>
      <c r="C153">
        <v>240</v>
      </c>
      <c r="E153" s="130">
        <v>3520000</v>
      </c>
    </row>
    <row r="154" spans="1:5">
      <c r="B154" t="s">
        <v>2438</v>
      </c>
      <c r="C154">
        <v>310</v>
      </c>
      <c r="E154" s="130">
        <v>3900000</v>
      </c>
    </row>
    <row r="155" spans="1:5" ht="34.799999999999997">
      <c r="C155">
        <v>130</v>
      </c>
      <c r="D155" s="125" t="s">
        <v>2498</v>
      </c>
      <c r="E155" s="130">
        <v>1920000</v>
      </c>
    </row>
    <row r="156" spans="1:5">
      <c r="C156">
        <v>310</v>
      </c>
      <c r="E156" s="130">
        <v>3900000</v>
      </c>
    </row>
    <row r="157" spans="1:5">
      <c r="A157" t="s">
        <v>2499</v>
      </c>
      <c r="B157" t="s">
        <v>2457</v>
      </c>
      <c r="C157">
        <v>120</v>
      </c>
      <c r="D157" t="s">
        <v>2500</v>
      </c>
      <c r="E157" s="130">
        <v>700000</v>
      </c>
    </row>
    <row r="158" spans="1:5">
      <c r="B158" t="s">
        <v>2457</v>
      </c>
      <c r="C158">
        <v>120</v>
      </c>
      <c r="D158" t="s">
        <v>2448</v>
      </c>
      <c r="E158" s="130">
        <v>960000</v>
      </c>
    </row>
    <row r="159" spans="1:5" ht="34.799999999999997">
      <c r="A159" t="s">
        <v>2501</v>
      </c>
      <c r="B159" t="s">
        <v>2438</v>
      </c>
      <c r="C159">
        <v>110</v>
      </c>
      <c r="D159" s="125" t="s">
        <v>2502</v>
      </c>
      <c r="E159" s="130">
        <v>1650000</v>
      </c>
    </row>
    <row r="160" spans="1:5">
      <c r="B160" t="s">
        <v>2417</v>
      </c>
      <c r="C160">
        <v>240</v>
      </c>
      <c r="E160" s="130">
        <v>2320000</v>
      </c>
    </row>
    <row r="161" spans="1:5">
      <c r="B161" t="s">
        <v>2438</v>
      </c>
      <c r="C161">
        <v>310</v>
      </c>
      <c r="E161" s="130">
        <v>2810000</v>
      </c>
    </row>
    <row r="162" spans="1:5">
      <c r="B162" t="s">
        <v>2417</v>
      </c>
      <c r="C162">
        <v>240</v>
      </c>
      <c r="D162" t="s">
        <v>2765</v>
      </c>
      <c r="E162" s="130">
        <v>3000000</v>
      </c>
    </row>
    <row r="163" spans="1:5" ht="34.799999999999997">
      <c r="A163" t="s">
        <v>2503</v>
      </c>
      <c r="B163" t="s">
        <v>2438</v>
      </c>
      <c r="C163">
        <v>120</v>
      </c>
      <c r="D163" s="125" t="s">
        <v>2504</v>
      </c>
      <c r="E163" s="130">
        <v>1590000</v>
      </c>
    </row>
    <row r="164" spans="1:5">
      <c r="C164">
        <v>300</v>
      </c>
      <c r="E164" s="130">
        <v>2310000</v>
      </c>
    </row>
    <row r="165" spans="1:5">
      <c r="C165">
        <v>310</v>
      </c>
      <c r="D165" t="s">
        <v>2505</v>
      </c>
      <c r="E165" s="130">
        <v>3040000</v>
      </c>
    </row>
    <row r="166" spans="1:5">
      <c r="C166">
        <v>100</v>
      </c>
      <c r="D166" t="s">
        <v>2506</v>
      </c>
      <c r="E166" s="130">
        <v>1820000</v>
      </c>
    </row>
    <row r="167" spans="1:5">
      <c r="C167">
        <v>300</v>
      </c>
      <c r="E167" s="130">
        <v>3040000</v>
      </c>
    </row>
    <row r="168" spans="1:5">
      <c r="C168">
        <v>120</v>
      </c>
      <c r="D168" t="s">
        <v>2507</v>
      </c>
      <c r="E168" s="130">
        <v>1820000</v>
      </c>
    </row>
    <row r="169" spans="1:5">
      <c r="C169">
        <v>300</v>
      </c>
      <c r="E169" s="130">
        <v>3040000</v>
      </c>
    </row>
    <row r="170" spans="1:5">
      <c r="A170" t="s">
        <v>2508</v>
      </c>
      <c r="C170">
        <v>330</v>
      </c>
      <c r="D170" t="s">
        <v>2509</v>
      </c>
      <c r="E170" s="130">
        <v>1980000</v>
      </c>
    </row>
    <row r="171" spans="1:5">
      <c r="C171">
        <v>530</v>
      </c>
      <c r="E171" s="130">
        <v>3100000</v>
      </c>
    </row>
    <row r="172" spans="1:5">
      <c r="C172">
        <v>330</v>
      </c>
      <c r="D172" t="s">
        <v>2444</v>
      </c>
      <c r="E172" s="130">
        <v>2350000</v>
      </c>
    </row>
    <row r="173" spans="1:5">
      <c r="C173">
        <v>530</v>
      </c>
      <c r="E173" s="130">
        <v>3570000</v>
      </c>
    </row>
    <row r="174" spans="1:5">
      <c r="A174" t="s">
        <v>2510</v>
      </c>
      <c r="C174">
        <v>120</v>
      </c>
      <c r="D174" t="s">
        <v>2511</v>
      </c>
      <c r="E174" s="130">
        <v>600000</v>
      </c>
    </row>
    <row r="175" spans="1:5">
      <c r="C175">
        <v>240</v>
      </c>
      <c r="E175" s="130">
        <v>1290000</v>
      </c>
    </row>
    <row r="176" spans="1:5">
      <c r="C176">
        <v>300</v>
      </c>
      <c r="E176" s="130">
        <v>1560000</v>
      </c>
    </row>
    <row r="177" spans="1:5" ht="52.2">
      <c r="C177">
        <v>120</v>
      </c>
      <c r="D177" s="125" t="s">
        <v>2512</v>
      </c>
      <c r="E177" s="130">
        <v>700000</v>
      </c>
    </row>
    <row r="178" spans="1:5">
      <c r="C178">
        <v>240</v>
      </c>
      <c r="E178" s="130">
        <v>1320000</v>
      </c>
    </row>
    <row r="179" spans="1:5">
      <c r="C179">
        <v>300</v>
      </c>
      <c r="E179" s="130">
        <v>1620000</v>
      </c>
    </row>
    <row r="180" spans="1:5">
      <c r="C180">
        <v>120</v>
      </c>
      <c r="D180" t="s">
        <v>2513</v>
      </c>
      <c r="E180" s="130">
        <v>840000</v>
      </c>
    </row>
    <row r="181" spans="1:5">
      <c r="C181">
        <v>240</v>
      </c>
      <c r="E181" s="130">
        <v>1530000</v>
      </c>
    </row>
    <row r="182" spans="1:5">
      <c r="C182">
        <v>300</v>
      </c>
      <c r="E182" s="130">
        <v>1950000</v>
      </c>
    </row>
    <row r="183" spans="1:5">
      <c r="A183" t="s">
        <v>2514</v>
      </c>
      <c r="B183" t="s">
        <v>2750</v>
      </c>
      <c r="C183">
        <v>150</v>
      </c>
      <c r="D183" t="s">
        <v>2515</v>
      </c>
      <c r="E183" t="s">
        <v>2816</v>
      </c>
    </row>
    <row r="184" spans="1:5">
      <c r="A184" t="s">
        <v>2514</v>
      </c>
      <c r="B184" t="s">
        <v>2469</v>
      </c>
      <c r="C184">
        <v>150</v>
      </c>
      <c r="E184" s="130">
        <v>4250000</v>
      </c>
    </row>
    <row r="185" spans="1:5">
      <c r="A185" t="s">
        <v>2516</v>
      </c>
      <c r="B185" t="s">
        <v>2750</v>
      </c>
      <c r="C185">
        <v>160</v>
      </c>
      <c r="E185" s="130" t="s">
        <v>2817</v>
      </c>
    </row>
    <row r="186" spans="1:5">
      <c r="A186" t="s">
        <v>2516</v>
      </c>
      <c r="B186" t="s">
        <v>2469</v>
      </c>
      <c r="C186">
        <v>160</v>
      </c>
      <c r="E186" s="130">
        <v>4750000</v>
      </c>
    </row>
    <row r="187" spans="1:5">
      <c r="A187" t="s">
        <v>2517</v>
      </c>
      <c r="B187" t="s">
        <v>2750</v>
      </c>
      <c r="C187">
        <v>160</v>
      </c>
      <c r="E187" s="130" t="s">
        <v>2751</v>
      </c>
    </row>
    <row r="188" spans="1:5">
      <c r="A188" t="s">
        <v>2517</v>
      </c>
      <c r="B188" t="s">
        <v>2469</v>
      </c>
      <c r="C188">
        <v>160</v>
      </c>
      <c r="E188" s="130">
        <v>5250000</v>
      </c>
    </row>
    <row r="189" spans="1:5">
      <c r="A189" t="s">
        <v>2518</v>
      </c>
      <c r="B189" t="s">
        <v>2750</v>
      </c>
      <c r="C189">
        <v>185</v>
      </c>
      <c r="E189" s="130" t="s">
        <v>2816</v>
      </c>
    </row>
    <row r="190" spans="1:5">
      <c r="A190" t="s">
        <v>2518</v>
      </c>
      <c r="B190" t="s">
        <v>2469</v>
      </c>
      <c r="C190">
        <v>185</v>
      </c>
      <c r="E190" s="130">
        <v>4250000</v>
      </c>
    </row>
    <row r="191" spans="1:5">
      <c r="A191" t="s">
        <v>2519</v>
      </c>
      <c r="B191" t="s">
        <v>2750</v>
      </c>
      <c r="C191">
        <v>150</v>
      </c>
      <c r="E191" s="130" t="s">
        <v>2816</v>
      </c>
    </row>
    <row r="192" spans="1:5">
      <c r="A192" t="s">
        <v>2519</v>
      </c>
      <c r="B192" t="s">
        <v>2469</v>
      </c>
      <c r="C192">
        <v>150</v>
      </c>
      <c r="E192" s="130">
        <v>4250000</v>
      </c>
    </row>
    <row r="193" spans="1:5">
      <c r="A193" t="s">
        <v>2520</v>
      </c>
      <c r="B193" t="s">
        <v>2750</v>
      </c>
      <c r="C193">
        <v>140</v>
      </c>
      <c r="D193" t="s">
        <v>2521</v>
      </c>
      <c r="E193" s="130" t="s">
        <v>2818</v>
      </c>
    </row>
    <row r="194" spans="1:5">
      <c r="B194" t="s">
        <v>2469</v>
      </c>
      <c r="C194">
        <v>140</v>
      </c>
      <c r="D194" t="s">
        <v>2521</v>
      </c>
      <c r="E194" s="130">
        <v>2250000</v>
      </c>
    </row>
    <row r="195" spans="1:5">
      <c r="B195" t="s">
        <v>2750</v>
      </c>
      <c r="C195">
        <v>140</v>
      </c>
      <c r="D195" t="s">
        <v>2448</v>
      </c>
      <c r="E195" s="130" t="s">
        <v>2819</v>
      </c>
    </row>
    <row r="196" spans="1:5">
      <c r="B196" t="s">
        <v>2469</v>
      </c>
      <c r="C196">
        <v>140</v>
      </c>
      <c r="D196" t="s">
        <v>2448</v>
      </c>
      <c r="E196" s="130">
        <v>2750000</v>
      </c>
    </row>
    <row r="197" spans="1:5">
      <c r="A197" t="s">
        <v>2522</v>
      </c>
      <c r="B197" t="s">
        <v>2523</v>
      </c>
      <c r="C197">
        <v>300</v>
      </c>
      <c r="D197" t="s">
        <v>2524</v>
      </c>
      <c r="E197" s="130">
        <v>3435000</v>
      </c>
    </row>
    <row r="198" spans="1:5">
      <c r="C198">
        <v>300</v>
      </c>
      <c r="D198" t="s">
        <v>2525</v>
      </c>
      <c r="E198" s="130">
        <v>3865000</v>
      </c>
    </row>
    <row r="199" spans="1:5">
      <c r="A199" t="s">
        <v>2526</v>
      </c>
      <c r="B199" t="s">
        <v>2750</v>
      </c>
      <c r="C199">
        <v>185</v>
      </c>
      <c r="D199" t="s">
        <v>2515</v>
      </c>
      <c r="E199" s="130" t="s">
        <v>2820</v>
      </c>
    </row>
    <row r="200" spans="1:5">
      <c r="A200" t="s">
        <v>2526</v>
      </c>
      <c r="B200" t="s">
        <v>2469</v>
      </c>
      <c r="C200">
        <v>185</v>
      </c>
      <c r="D200" t="s">
        <v>2515</v>
      </c>
      <c r="E200" s="130">
        <v>6000000</v>
      </c>
    </row>
    <row r="201" spans="1:5">
      <c r="A201" t="s">
        <v>2527</v>
      </c>
      <c r="B201" t="s">
        <v>2750</v>
      </c>
      <c r="C201">
        <v>140</v>
      </c>
      <c r="E201" s="130" t="s">
        <v>2819</v>
      </c>
    </row>
    <row r="202" spans="1:5">
      <c r="A202" t="s">
        <v>2527</v>
      </c>
      <c r="B202" t="s">
        <v>2469</v>
      </c>
      <c r="C202">
        <v>140</v>
      </c>
      <c r="E202" s="130">
        <v>2750000</v>
      </c>
    </row>
    <row r="203" spans="1:5">
      <c r="A203" t="s">
        <v>2528</v>
      </c>
      <c r="B203" t="s">
        <v>2752</v>
      </c>
      <c r="C203" t="s">
        <v>2529</v>
      </c>
      <c r="E203" s="130" t="s">
        <v>2821</v>
      </c>
    </row>
    <row r="204" spans="1:5">
      <c r="A204" t="s">
        <v>2528</v>
      </c>
      <c r="B204" t="s">
        <v>2469</v>
      </c>
      <c r="C204" t="s">
        <v>2529</v>
      </c>
      <c r="E204" s="130">
        <f>11000*500</f>
        <v>5500000</v>
      </c>
    </row>
    <row r="205" spans="1:5">
      <c r="A205" t="s">
        <v>2530</v>
      </c>
      <c r="C205" t="s">
        <v>2531</v>
      </c>
      <c r="E205" s="130" t="s">
        <v>2822</v>
      </c>
    </row>
    <row r="206" spans="1:5">
      <c r="A206" t="s">
        <v>2530</v>
      </c>
      <c r="C206" t="s">
        <v>2531</v>
      </c>
      <c r="E206" s="130">
        <f>12500*500</f>
        <v>6250000</v>
      </c>
    </row>
    <row r="207" spans="1:5">
      <c r="A207" t="s">
        <v>2532</v>
      </c>
      <c r="B207" t="s">
        <v>2752</v>
      </c>
      <c r="C207" t="s">
        <v>2533</v>
      </c>
      <c r="D207" t="s">
        <v>2534</v>
      </c>
      <c r="E207" s="130" t="s">
        <v>2753</v>
      </c>
    </row>
    <row r="208" spans="1:5">
      <c r="A208" t="s">
        <v>2532</v>
      </c>
      <c r="B208" t="s">
        <v>2469</v>
      </c>
      <c r="C208" t="s">
        <v>2533</v>
      </c>
      <c r="E208" s="130">
        <v>4500000</v>
      </c>
    </row>
    <row r="209" spans="1:5">
      <c r="A209" t="s">
        <v>2532</v>
      </c>
      <c r="B209" t="s">
        <v>2752</v>
      </c>
      <c r="C209" t="s">
        <v>2533</v>
      </c>
      <c r="D209" t="s">
        <v>2448</v>
      </c>
      <c r="E209" s="130" t="s">
        <v>2823</v>
      </c>
    </row>
    <row r="210" spans="1:5">
      <c r="A210" t="s">
        <v>2532</v>
      </c>
      <c r="B210" t="s">
        <v>2469</v>
      </c>
      <c r="C210" t="s">
        <v>2533</v>
      </c>
      <c r="D210" t="s">
        <v>2448</v>
      </c>
      <c r="E210" s="130">
        <v>5000000</v>
      </c>
    </row>
    <row r="211" spans="1:5">
      <c r="A211" t="s">
        <v>2535</v>
      </c>
      <c r="B211" t="s">
        <v>2754</v>
      </c>
      <c r="C211" t="s">
        <v>2536</v>
      </c>
      <c r="D211" t="s">
        <v>2515</v>
      </c>
      <c r="E211" s="130" t="s">
        <v>2824</v>
      </c>
    </row>
    <row r="212" spans="1:5">
      <c r="A212" t="s">
        <v>2535</v>
      </c>
      <c r="B212" t="s">
        <v>2469</v>
      </c>
      <c r="C212" t="s">
        <v>2536</v>
      </c>
      <c r="D212" t="s">
        <v>2515</v>
      </c>
      <c r="E212" s="130">
        <f>12500*500</f>
        <v>6250000</v>
      </c>
    </row>
    <row r="213" spans="1:5">
      <c r="A213" t="s">
        <v>2537</v>
      </c>
      <c r="B213" t="s">
        <v>2752</v>
      </c>
      <c r="C213" t="s">
        <v>2538</v>
      </c>
      <c r="D213" t="s">
        <v>2539</v>
      </c>
      <c r="E213" s="130" t="s">
        <v>2753</v>
      </c>
    </row>
    <row r="214" spans="1:5">
      <c r="A214" t="s">
        <v>2537</v>
      </c>
      <c r="B214" t="s">
        <v>2469</v>
      </c>
      <c r="C214" t="s">
        <v>2538</v>
      </c>
      <c r="E214" s="130">
        <v>4500000</v>
      </c>
    </row>
    <row r="215" spans="1:5">
      <c r="A215" t="s">
        <v>2537</v>
      </c>
      <c r="B215" t="s">
        <v>2752</v>
      </c>
      <c r="C215" t="s">
        <v>2538</v>
      </c>
      <c r="D215" t="s">
        <v>2448</v>
      </c>
      <c r="E215" s="130" t="s">
        <v>2823</v>
      </c>
    </row>
    <row r="216" spans="1:5">
      <c r="A216" t="s">
        <v>2537</v>
      </c>
      <c r="B216" t="s">
        <v>2469</v>
      </c>
      <c r="C216" t="s">
        <v>2538</v>
      </c>
      <c r="D216" t="s">
        <v>2448</v>
      </c>
      <c r="E216" s="130">
        <v>5000000</v>
      </c>
    </row>
    <row r="217" spans="1:5">
      <c r="A217" t="s">
        <v>2540</v>
      </c>
      <c r="B217" t="s">
        <v>2752</v>
      </c>
      <c r="C217" t="s">
        <v>2533</v>
      </c>
      <c r="D217" t="s">
        <v>2541</v>
      </c>
      <c r="E217" s="130" t="s">
        <v>2753</v>
      </c>
    </row>
    <row r="218" spans="1:5">
      <c r="A218" t="s">
        <v>2540</v>
      </c>
      <c r="B218" t="s">
        <v>2469</v>
      </c>
      <c r="C218" t="s">
        <v>2533</v>
      </c>
      <c r="D218" t="s">
        <v>2541</v>
      </c>
      <c r="E218" s="130">
        <v>4500000</v>
      </c>
    </row>
    <row r="219" spans="1:5">
      <c r="A219" t="s">
        <v>2540</v>
      </c>
      <c r="B219" t="s">
        <v>2752</v>
      </c>
      <c r="C219" t="s">
        <v>2533</v>
      </c>
      <c r="D219" t="s">
        <v>2448</v>
      </c>
      <c r="E219" s="130" t="s">
        <v>2753</v>
      </c>
    </row>
    <row r="220" spans="1:5">
      <c r="A220" t="s">
        <v>2540</v>
      </c>
      <c r="B220" t="s">
        <v>2469</v>
      </c>
      <c r="C220" t="s">
        <v>2533</v>
      </c>
      <c r="D220" t="s">
        <v>2448</v>
      </c>
      <c r="E220" s="130">
        <v>4500000</v>
      </c>
    </row>
    <row r="221" spans="1:5">
      <c r="A221" t="s">
        <v>2542</v>
      </c>
      <c r="B221" t="s">
        <v>2752</v>
      </c>
      <c r="C221" t="s">
        <v>2529</v>
      </c>
      <c r="D221" t="s">
        <v>2515</v>
      </c>
      <c r="E221" s="130" t="s">
        <v>2822</v>
      </c>
    </row>
    <row r="222" spans="1:5">
      <c r="A222" t="s">
        <v>2542</v>
      </c>
      <c r="B222" t="s">
        <v>2469</v>
      </c>
      <c r="C222" t="s">
        <v>2529</v>
      </c>
      <c r="D222" t="s">
        <v>2515</v>
      </c>
      <c r="E222" s="130">
        <v>6250000</v>
      </c>
    </row>
    <row r="223" spans="1:5">
      <c r="A223" t="s">
        <v>2543</v>
      </c>
      <c r="B223" t="s">
        <v>2752</v>
      </c>
      <c r="C223" t="s">
        <v>2533</v>
      </c>
      <c r="E223" s="130" t="s">
        <v>2822</v>
      </c>
    </row>
    <row r="224" spans="1:5">
      <c r="A224" t="s">
        <v>2543</v>
      </c>
      <c r="B224" t="s">
        <v>2469</v>
      </c>
      <c r="C224" t="s">
        <v>2533</v>
      </c>
      <c r="E224" s="130">
        <v>6250000</v>
      </c>
    </row>
    <row r="225" spans="1:5">
      <c r="A225" t="s">
        <v>2544</v>
      </c>
      <c r="B225" t="s">
        <v>2752</v>
      </c>
      <c r="C225" t="s">
        <v>2533</v>
      </c>
      <c r="E225" s="130" t="s">
        <v>2822</v>
      </c>
    </row>
    <row r="226" spans="1:5">
      <c r="A226" t="s">
        <v>2544</v>
      </c>
      <c r="B226" t="s">
        <v>2469</v>
      </c>
      <c r="C226" t="s">
        <v>2533</v>
      </c>
      <c r="E226" s="130">
        <f>12500*500</f>
        <v>6250000</v>
      </c>
    </row>
    <row r="227" spans="1:5">
      <c r="A227" t="s">
        <v>2545</v>
      </c>
      <c r="B227" t="s">
        <v>2754</v>
      </c>
      <c r="C227" t="s">
        <v>2536</v>
      </c>
      <c r="E227" s="130" t="s">
        <v>2824</v>
      </c>
    </row>
    <row r="228" spans="1:5">
      <c r="A228" t="s">
        <v>2545</v>
      </c>
      <c r="B228" t="s">
        <v>2469</v>
      </c>
      <c r="C228" t="s">
        <v>2536</v>
      </c>
      <c r="E228" s="130">
        <f>500*12500</f>
        <v>6250000</v>
      </c>
    </row>
    <row r="229" spans="1:5">
      <c r="A229" t="s">
        <v>2546</v>
      </c>
      <c r="B229" t="s">
        <v>2752</v>
      </c>
      <c r="C229" t="s">
        <v>2531</v>
      </c>
      <c r="E229" s="130" t="s">
        <v>2822</v>
      </c>
    </row>
    <row r="230" spans="1:5">
      <c r="A230" t="s">
        <v>2546</v>
      </c>
      <c r="B230" t="s">
        <v>2469</v>
      </c>
      <c r="C230" t="s">
        <v>2531</v>
      </c>
      <c r="E230" s="130">
        <f>500*12500</f>
        <v>6250000</v>
      </c>
    </row>
    <row r="231" spans="1:5">
      <c r="A231" t="s">
        <v>2547</v>
      </c>
      <c r="B231" t="s">
        <v>2752</v>
      </c>
      <c r="C231" t="s">
        <v>2529</v>
      </c>
      <c r="E231" s="130" t="s">
        <v>2822</v>
      </c>
    </row>
    <row r="232" spans="1:5">
      <c r="A232" t="s">
        <v>2547</v>
      </c>
      <c r="B232" t="s">
        <v>2469</v>
      </c>
      <c r="C232" t="s">
        <v>2529</v>
      </c>
      <c r="E232" s="130">
        <f>500*12500</f>
        <v>6250000</v>
      </c>
    </row>
    <row r="233" spans="1:5">
      <c r="A233" t="s">
        <v>2548</v>
      </c>
      <c r="B233" t="s">
        <v>2752</v>
      </c>
      <c r="C233" t="s">
        <v>2531</v>
      </c>
      <c r="E233" s="130" t="s">
        <v>2822</v>
      </c>
    </row>
    <row r="234" spans="1:5">
      <c r="A234" t="s">
        <v>2548</v>
      </c>
      <c r="B234" t="s">
        <v>2469</v>
      </c>
      <c r="C234" t="s">
        <v>2531</v>
      </c>
      <c r="E234" s="130">
        <f>500*12500</f>
        <v>6250000</v>
      </c>
    </row>
    <row r="235" spans="1:5">
      <c r="A235" t="s">
        <v>2549</v>
      </c>
      <c r="B235" t="s">
        <v>2752</v>
      </c>
      <c r="C235" t="s">
        <v>2533</v>
      </c>
      <c r="E235" s="130" t="s">
        <v>2825</v>
      </c>
    </row>
    <row r="236" spans="1:5">
      <c r="A236" t="s">
        <v>2549</v>
      </c>
      <c r="B236" t="s">
        <v>2469</v>
      </c>
      <c r="C236" t="s">
        <v>2533</v>
      </c>
      <c r="E236" s="130">
        <f>11000*500</f>
        <v>5500000</v>
      </c>
    </row>
    <row r="237" spans="1:5">
      <c r="A237" t="s">
        <v>2550</v>
      </c>
      <c r="B237" t="s">
        <v>2752</v>
      </c>
      <c r="C237" t="s">
        <v>2529</v>
      </c>
      <c r="E237" s="130" t="s">
        <v>2825</v>
      </c>
    </row>
    <row r="238" spans="1:5">
      <c r="A238" t="s">
        <v>2550</v>
      </c>
      <c r="B238" t="s">
        <v>2469</v>
      </c>
      <c r="C238" t="s">
        <v>2529</v>
      </c>
      <c r="E238" s="130">
        <f>11000*500</f>
        <v>5500000</v>
      </c>
    </row>
    <row r="239" spans="1:5">
      <c r="A239" t="s">
        <v>2551</v>
      </c>
      <c r="B239" t="s">
        <v>2752</v>
      </c>
      <c r="C239" t="s">
        <v>2529</v>
      </c>
      <c r="E239" s="130" t="s">
        <v>2825</v>
      </c>
    </row>
    <row r="240" spans="1:5">
      <c r="A240" t="s">
        <v>2551</v>
      </c>
      <c r="B240" t="s">
        <v>2469</v>
      </c>
      <c r="C240" t="s">
        <v>2529</v>
      </c>
      <c r="E240" s="130">
        <f>11000*500</f>
        <v>5500000</v>
      </c>
    </row>
    <row r="241" spans="1:16">
      <c r="A241" t="s">
        <v>2552</v>
      </c>
      <c r="B241" t="s">
        <v>2752</v>
      </c>
      <c r="C241" t="s">
        <v>2529</v>
      </c>
      <c r="E241" s="130" t="s">
        <v>2822</v>
      </c>
    </row>
    <row r="242" spans="1:16">
      <c r="A242" t="s">
        <v>2552</v>
      </c>
      <c r="B242" t="s">
        <v>2469</v>
      </c>
      <c r="C242" t="s">
        <v>2529</v>
      </c>
      <c r="E242" s="130">
        <f>12500*500</f>
        <v>6250000</v>
      </c>
    </row>
    <row r="243" spans="1:16">
      <c r="A243" t="s">
        <v>2553</v>
      </c>
      <c r="B243" t="s">
        <v>2754</v>
      </c>
      <c r="C243" t="s">
        <v>2536</v>
      </c>
      <c r="E243" s="130" t="s">
        <v>2824</v>
      </c>
    </row>
    <row r="244" spans="1:16">
      <c r="A244" t="s">
        <v>2553</v>
      </c>
      <c r="B244" t="s">
        <v>2469</v>
      </c>
      <c r="C244" t="s">
        <v>2536</v>
      </c>
      <c r="E244" s="130">
        <f>12500*500</f>
        <v>6250000</v>
      </c>
    </row>
    <row r="245" spans="1:16" ht="34.799999999999997">
      <c r="A245" t="s">
        <v>2554</v>
      </c>
      <c r="C245" t="s">
        <v>2555</v>
      </c>
      <c r="D245" s="125" t="s">
        <v>2558</v>
      </c>
      <c r="E245" s="130" t="s">
        <v>2755</v>
      </c>
      <c r="H245" s="146"/>
    </row>
    <row r="246" spans="1:16" ht="34.799999999999997">
      <c r="A246" t="s">
        <v>2554</v>
      </c>
      <c r="C246" t="s">
        <v>2555</v>
      </c>
      <c r="D246" s="125" t="s">
        <v>2558</v>
      </c>
      <c r="E246" s="130">
        <f>10500*500</f>
        <v>5250000</v>
      </c>
    </row>
    <row r="247" spans="1:16">
      <c r="A247" t="s">
        <v>2556</v>
      </c>
      <c r="C247" t="s">
        <v>2560</v>
      </c>
      <c r="D247" t="s">
        <v>2557</v>
      </c>
      <c r="E247" s="130" t="s">
        <v>2756</v>
      </c>
    </row>
    <row r="248" spans="1:16">
      <c r="A248" t="s">
        <v>2556</v>
      </c>
      <c r="C248" t="s">
        <v>2560</v>
      </c>
      <c r="E248" s="130">
        <f>16500*500</f>
        <v>8250000</v>
      </c>
    </row>
    <row r="249" spans="1:16" ht="34.799999999999997">
      <c r="A249" t="s">
        <v>2559</v>
      </c>
      <c r="C249" t="s">
        <v>2561</v>
      </c>
      <c r="D249" s="125" t="s">
        <v>2826</v>
      </c>
      <c r="E249" s="130" t="s">
        <v>2756</v>
      </c>
    </row>
    <row r="250" spans="1:16" ht="34.799999999999997">
      <c r="A250" t="s">
        <v>2559</v>
      </c>
      <c r="C250" t="s">
        <v>2561</v>
      </c>
      <c r="D250" s="125" t="s">
        <v>2826</v>
      </c>
      <c r="E250" s="130">
        <v>6250000</v>
      </c>
      <c r="P250" s="111"/>
    </row>
    <row r="251" spans="1:16" ht="34.799999999999997">
      <c r="C251" t="s">
        <v>2562</v>
      </c>
      <c r="D251" s="125" t="s">
        <v>2563</v>
      </c>
      <c r="E251" s="130" t="s">
        <v>2756</v>
      </c>
    </row>
    <row r="252" spans="1:16" ht="34.799999999999997">
      <c r="C252" t="s">
        <v>2562</v>
      </c>
      <c r="D252" s="125" t="s">
        <v>2563</v>
      </c>
      <c r="E252" s="130">
        <v>8250000</v>
      </c>
    </row>
    <row r="253" spans="1:16">
      <c r="A253" t="s">
        <v>2564</v>
      </c>
      <c r="B253" t="s">
        <v>2565</v>
      </c>
      <c r="C253" t="s">
        <v>2566</v>
      </c>
      <c r="D253" s="125" t="s">
        <v>2827</v>
      </c>
      <c r="E253" s="130">
        <v>8500</v>
      </c>
    </row>
    <row r="254" spans="1:16" ht="34.799999999999997">
      <c r="B254" t="s">
        <v>2757</v>
      </c>
      <c r="C254" t="s">
        <v>2566</v>
      </c>
      <c r="D254" s="125" t="s">
        <v>2829</v>
      </c>
      <c r="E254" s="130" t="s">
        <v>2761</v>
      </c>
    </row>
    <row r="255" spans="1:16" ht="34.799999999999997">
      <c r="B255" t="s">
        <v>2758</v>
      </c>
      <c r="C255" t="s">
        <v>2566</v>
      </c>
      <c r="D255" s="125" t="s">
        <v>2828</v>
      </c>
      <c r="E255" s="130" t="s">
        <v>2762</v>
      </c>
    </row>
    <row r="256" spans="1:16" ht="34.799999999999997">
      <c r="B256" t="s">
        <v>2565</v>
      </c>
      <c r="C256" t="s">
        <v>2566</v>
      </c>
      <c r="D256" s="125" t="s">
        <v>2828</v>
      </c>
      <c r="E256" s="130">
        <f>9500*500</f>
        <v>4750000</v>
      </c>
    </row>
    <row r="257" spans="1:9" ht="34.799999999999997">
      <c r="B257" t="s">
        <v>2757</v>
      </c>
      <c r="C257" t="s">
        <v>2566</v>
      </c>
      <c r="D257" s="125" t="s">
        <v>2568</v>
      </c>
      <c r="E257" s="130" t="s">
        <v>2759</v>
      </c>
    </row>
    <row r="258" spans="1:9" ht="34.799999999999997">
      <c r="B258" t="s">
        <v>2758</v>
      </c>
      <c r="C258" t="s">
        <v>2566</v>
      </c>
      <c r="D258" s="125" t="s">
        <v>2568</v>
      </c>
      <c r="E258" s="130" t="s">
        <v>2760</v>
      </c>
    </row>
    <row r="259" spans="1:9" ht="34.799999999999997">
      <c r="B259" t="s">
        <v>2565</v>
      </c>
      <c r="C259" t="s">
        <v>2566</v>
      </c>
      <c r="D259" s="125" t="s">
        <v>2568</v>
      </c>
      <c r="E259" s="130">
        <v>4250000</v>
      </c>
    </row>
    <row r="260" spans="1:9" ht="52.2">
      <c r="B260" t="s">
        <v>2757</v>
      </c>
      <c r="C260" t="s">
        <v>2566</v>
      </c>
      <c r="D260" s="125" t="s">
        <v>2830</v>
      </c>
      <c r="E260" s="130" t="s">
        <v>2761</v>
      </c>
    </row>
    <row r="261" spans="1:9" ht="52.2">
      <c r="B261" t="s">
        <v>2758</v>
      </c>
      <c r="C261" t="s">
        <v>2566</v>
      </c>
      <c r="D261" s="125" t="s">
        <v>2830</v>
      </c>
      <c r="E261" s="130" t="s">
        <v>2762</v>
      </c>
    </row>
    <row r="262" spans="1:9" ht="52.2">
      <c r="B262" t="s">
        <v>2565</v>
      </c>
      <c r="C262" t="s">
        <v>2566</v>
      </c>
      <c r="D262" s="125" t="s">
        <v>2830</v>
      </c>
      <c r="E262" s="130">
        <v>4750000</v>
      </c>
    </row>
    <row r="263" spans="1:9">
      <c r="A263" t="s">
        <v>2567</v>
      </c>
      <c r="B263" t="s">
        <v>2754</v>
      </c>
      <c r="C263" t="s">
        <v>2570</v>
      </c>
      <c r="D263" s="125" t="s">
        <v>2569</v>
      </c>
      <c r="E263" s="130" t="s">
        <v>2832</v>
      </c>
    </row>
    <row r="264" spans="1:9">
      <c r="A264" t="s">
        <v>2567</v>
      </c>
      <c r="B264" t="s">
        <v>2565</v>
      </c>
      <c r="C264" t="s">
        <v>2570</v>
      </c>
      <c r="D264" s="125" t="s">
        <v>2569</v>
      </c>
      <c r="E264" s="130">
        <f>500*33000</f>
        <v>16500000</v>
      </c>
      <c r="I264" s="111"/>
    </row>
    <row r="265" spans="1:9">
      <c r="A265" t="s">
        <v>2567</v>
      </c>
      <c r="B265" t="s">
        <v>2754</v>
      </c>
      <c r="C265" t="s">
        <v>2570</v>
      </c>
      <c r="D265" s="125" t="s">
        <v>2448</v>
      </c>
      <c r="E265" s="130" t="s">
        <v>2831</v>
      </c>
      <c r="I265" s="111"/>
    </row>
    <row r="266" spans="1:9">
      <c r="A266" t="s">
        <v>2567</v>
      </c>
      <c r="B266" t="s">
        <v>2565</v>
      </c>
      <c r="C266" t="s">
        <v>2570</v>
      </c>
      <c r="D266" s="125" t="s">
        <v>2448</v>
      </c>
      <c r="E266" s="130">
        <f>500*44000</f>
        <v>22000000</v>
      </c>
    </row>
    <row r="267" spans="1:9">
      <c r="A267" t="s">
        <v>2571</v>
      </c>
      <c r="B267" t="s">
        <v>2572</v>
      </c>
      <c r="C267" t="s">
        <v>2573</v>
      </c>
      <c r="D267" s="125" t="s">
        <v>2580</v>
      </c>
      <c r="E267" s="130">
        <v>1120000</v>
      </c>
    </row>
    <row r="268" spans="1:9">
      <c r="B268" t="s">
        <v>2833</v>
      </c>
      <c r="C268" t="s">
        <v>2574</v>
      </c>
      <c r="E268" s="130">
        <v>1330000</v>
      </c>
    </row>
    <row r="269" spans="1:9">
      <c r="B269" t="s">
        <v>2572</v>
      </c>
      <c r="C269" t="s">
        <v>2575</v>
      </c>
      <c r="E269" s="130">
        <v>1450000</v>
      </c>
    </row>
    <row r="270" spans="1:9">
      <c r="B270" t="s">
        <v>2833</v>
      </c>
      <c r="C270" t="s">
        <v>2576</v>
      </c>
      <c r="E270" s="130">
        <v>1720000</v>
      </c>
    </row>
    <row r="271" spans="1:9">
      <c r="B271" t="s">
        <v>2572</v>
      </c>
      <c r="C271" t="s">
        <v>2577</v>
      </c>
      <c r="E271" s="130">
        <v>1980000</v>
      </c>
    </row>
    <row r="272" spans="1:9">
      <c r="C272" t="s">
        <v>2578</v>
      </c>
      <c r="E272" s="130">
        <v>2410000</v>
      </c>
    </row>
    <row r="273" spans="1:5">
      <c r="C273" t="s">
        <v>2579</v>
      </c>
      <c r="D273" t="s">
        <v>2581</v>
      </c>
      <c r="E273" s="130">
        <v>2020000</v>
      </c>
    </row>
    <row r="274" spans="1:5">
      <c r="A274" t="s">
        <v>2582</v>
      </c>
      <c r="B274" t="s">
        <v>2583</v>
      </c>
      <c r="C274" t="s">
        <v>2584</v>
      </c>
      <c r="D274" t="s">
        <v>2444</v>
      </c>
      <c r="E274" s="130">
        <v>2780000</v>
      </c>
    </row>
    <row r="275" spans="1:5">
      <c r="C275" t="s">
        <v>2585</v>
      </c>
      <c r="E275" s="130">
        <v>4000000</v>
      </c>
    </row>
    <row r="276" spans="1:5">
      <c r="C276" t="s">
        <v>2586</v>
      </c>
      <c r="E276" s="130">
        <v>5350000</v>
      </c>
    </row>
    <row r="277" spans="1:5">
      <c r="B277" t="s">
        <v>2572</v>
      </c>
      <c r="C277" t="s">
        <v>2584</v>
      </c>
      <c r="E277" s="130">
        <v>2780000</v>
      </c>
    </row>
    <row r="278" spans="1:5">
      <c r="C278" t="s">
        <v>2587</v>
      </c>
      <c r="E278" s="130">
        <v>5350000</v>
      </c>
    </row>
    <row r="279" spans="1:5">
      <c r="B279" t="s">
        <v>2583</v>
      </c>
      <c r="C279" t="s">
        <v>2588</v>
      </c>
      <c r="D279" t="s">
        <v>2478</v>
      </c>
      <c r="E279" s="130">
        <v>3370000</v>
      </c>
    </row>
    <row r="280" spans="1:5">
      <c r="C280" t="s">
        <v>2588</v>
      </c>
      <c r="D280" t="s">
        <v>2448</v>
      </c>
      <c r="E280" s="130">
        <v>4720000</v>
      </c>
    </row>
    <row r="281" spans="1:5">
      <c r="A281" t="s">
        <v>2589</v>
      </c>
      <c r="B281" t="s">
        <v>2417</v>
      </c>
      <c r="C281" t="s">
        <v>2590</v>
      </c>
      <c r="D281" t="s">
        <v>2593</v>
      </c>
      <c r="E281" s="130">
        <v>1620000</v>
      </c>
    </row>
    <row r="282" spans="1:5">
      <c r="C282" t="s">
        <v>2591</v>
      </c>
      <c r="E282" s="111">
        <v>1850000</v>
      </c>
    </row>
    <row r="283" spans="1:5">
      <c r="C283" t="s">
        <v>2592</v>
      </c>
      <c r="E283" s="130">
        <v>2050000</v>
      </c>
    </row>
    <row r="284" spans="1:5" ht="34.799999999999997">
      <c r="A284" s="125" t="s">
        <v>2594</v>
      </c>
      <c r="B284" t="s">
        <v>2598</v>
      </c>
      <c r="C284">
        <v>350</v>
      </c>
      <c r="D284" t="s">
        <v>2515</v>
      </c>
      <c r="E284" t="s">
        <v>2834</v>
      </c>
    </row>
    <row r="285" spans="1:5">
      <c r="B285" t="s">
        <v>2595</v>
      </c>
      <c r="C285">
        <v>350</v>
      </c>
      <c r="E285" t="s">
        <v>2835</v>
      </c>
    </row>
    <row r="286" spans="1:5">
      <c r="B286" t="s">
        <v>2596</v>
      </c>
      <c r="C286">
        <v>350</v>
      </c>
      <c r="E286" t="s">
        <v>2599</v>
      </c>
    </row>
    <row r="287" spans="1:5">
      <c r="B287" t="s">
        <v>2597</v>
      </c>
      <c r="C287">
        <v>350</v>
      </c>
      <c r="E287" t="s">
        <v>2836</v>
      </c>
    </row>
    <row r="288" spans="1:5">
      <c r="A288" t="s">
        <v>2600</v>
      </c>
      <c r="B288" t="s">
        <v>2417</v>
      </c>
      <c r="C288">
        <v>250</v>
      </c>
      <c r="D288" t="s">
        <v>2601</v>
      </c>
      <c r="E288" s="130">
        <v>600000</v>
      </c>
    </row>
    <row r="289" spans="2:5">
      <c r="C289">
        <v>300</v>
      </c>
      <c r="E289" s="130">
        <v>700000</v>
      </c>
    </row>
    <row r="290" spans="2:5">
      <c r="C290">
        <v>350</v>
      </c>
      <c r="E290" s="130">
        <v>850000</v>
      </c>
    </row>
    <row r="291" spans="2:5">
      <c r="B291" t="s">
        <v>2602</v>
      </c>
      <c r="C291">
        <v>128</v>
      </c>
      <c r="D291" t="s">
        <v>2444</v>
      </c>
      <c r="E291" s="130">
        <v>380000</v>
      </c>
    </row>
    <row r="292" spans="2:5">
      <c r="C292">
        <v>245</v>
      </c>
      <c r="E292" s="130">
        <v>750000</v>
      </c>
    </row>
    <row r="293" spans="2:5">
      <c r="C293">
        <v>295</v>
      </c>
      <c r="E293" s="130">
        <v>900000</v>
      </c>
    </row>
    <row r="294" spans="2:5">
      <c r="C294">
        <v>395</v>
      </c>
      <c r="E294" s="130">
        <v>1190000</v>
      </c>
    </row>
  </sheetData>
  <mergeCells count="7">
    <mergeCell ref="D21:D22"/>
    <mergeCell ref="D10:D14"/>
    <mergeCell ref="D2:D3"/>
    <mergeCell ref="D4:D5"/>
    <mergeCell ref="D6:D7"/>
    <mergeCell ref="D15:D18"/>
    <mergeCell ref="D19:D20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39E97-B1CB-4D2D-B9F4-39AE44049E73}">
  <dimension ref="A1:I500"/>
  <sheetViews>
    <sheetView zoomScale="85" zoomScaleNormal="85" workbookViewId="0">
      <selection activeCell="K10" sqref="K10"/>
    </sheetView>
  </sheetViews>
  <sheetFormatPr defaultRowHeight="17.399999999999999"/>
  <cols>
    <col min="1" max="1" width="32.8984375" bestFit="1" customWidth="1"/>
    <col min="4" max="4" width="41.8984375" customWidth="1"/>
    <col min="5" max="5" width="12.09765625" bestFit="1" customWidth="1"/>
    <col min="6" max="6" width="13.5" bestFit="1" customWidth="1"/>
    <col min="7" max="7" width="13.5" style="134" bestFit="1" customWidth="1"/>
  </cols>
  <sheetData>
    <row r="1" spans="1:7" s="86" customFormat="1" ht="15" customHeight="1">
      <c r="A1" s="118" t="s">
        <v>2348</v>
      </c>
      <c r="B1" s="119" t="s">
        <v>2316</v>
      </c>
      <c r="C1" s="120" t="s">
        <v>2351</v>
      </c>
      <c r="D1" s="121" t="s">
        <v>2350</v>
      </c>
      <c r="E1" s="127" t="s">
        <v>1751</v>
      </c>
      <c r="F1" s="124"/>
      <c r="G1" s="135" t="s">
        <v>2747</v>
      </c>
    </row>
    <row r="2" spans="1:7">
      <c r="A2" t="s">
        <v>2748</v>
      </c>
      <c r="B2" t="s">
        <v>2320</v>
      </c>
      <c r="C2">
        <v>83</v>
      </c>
      <c r="D2" s="1046" t="s">
        <v>2606</v>
      </c>
      <c r="E2" s="130">
        <v>98350</v>
      </c>
    </row>
    <row r="3" spans="1:7">
      <c r="C3">
        <v>90</v>
      </c>
      <c r="D3" s="1040"/>
      <c r="E3" s="130">
        <v>106650</v>
      </c>
      <c r="G3" s="134">
        <v>119</v>
      </c>
    </row>
    <row r="4" spans="1:7">
      <c r="C4">
        <v>100</v>
      </c>
      <c r="D4" s="1040"/>
      <c r="E4" s="130">
        <v>118500</v>
      </c>
      <c r="G4" s="134">
        <v>142</v>
      </c>
    </row>
    <row r="5" spans="1:7">
      <c r="C5">
        <v>130</v>
      </c>
      <c r="D5" s="1040"/>
      <c r="E5" s="130">
        <v>154050</v>
      </c>
      <c r="G5" s="134">
        <v>184</v>
      </c>
    </row>
    <row r="6" spans="1:7">
      <c r="C6">
        <v>160</v>
      </c>
      <c r="D6" s="1040"/>
      <c r="E6" s="111">
        <v>189600</v>
      </c>
      <c r="G6" s="134">
        <v>229</v>
      </c>
    </row>
    <row r="7" spans="1:7">
      <c r="C7">
        <v>190</v>
      </c>
      <c r="D7" s="1040"/>
      <c r="E7" s="130">
        <v>225150</v>
      </c>
      <c r="G7" s="134">
        <v>267</v>
      </c>
    </row>
    <row r="8" spans="1:7">
      <c r="C8">
        <v>210</v>
      </c>
      <c r="D8" s="1040"/>
      <c r="E8" s="130">
        <v>248850</v>
      </c>
      <c r="G8" s="134">
        <v>289</v>
      </c>
    </row>
    <row r="9" spans="1:7">
      <c r="C9">
        <v>240</v>
      </c>
      <c r="D9" s="1040"/>
      <c r="E9" s="130">
        <v>284400</v>
      </c>
      <c r="G9" s="134">
        <v>323</v>
      </c>
    </row>
    <row r="10" spans="1:7">
      <c r="B10" t="s">
        <v>2417</v>
      </c>
      <c r="C10">
        <v>83</v>
      </c>
      <c r="D10" s="1040"/>
      <c r="E10" s="130">
        <v>141590</v>
      </c>
    </row>
    <row r="11" spans="1:7">
      <c r="C11">
        <v>90</v>
      </c>
      <c r="D11" s="1040"/>
      <c r="E11" s="130">
        <v>153530</v>
      </c>
      <c r="G11" s="134">
        <v>119</v>
      </c>
    </row>
    <row r="12" spans="1:7">
      <c r="C12">
        <v>100</v>
      </c>
      <c r="D12" s="1040"/>
      <c r="E12" s="130">
        <v>170590</v>
      </c>
      <c r="G12" s="134">
        <v>142</v>
      </c>
    </row>
    <row r="13" spans="1:7">
      <c r="C13">
        <v>130</v>
      </c>
      <c r="D13" s="1040"/>
      <c r="E13" s="130">
        <v>221760</v>
      </c>
      <c r="G13" s="134">
        <v>184</v>
      </c>
    </row>
    <row r="14" spans="1:7">
      <c r="C14">
        <v>160</v>
      </c>
      <c r="D14" s="1040"/>
      <c r="E14" s="130">
        <v>272940</v>
      </c>
      <c r="G14" s="134">
        <v>229</v>
      </c>
    </row>
    <row r="15" spans="1:7">
      <c r="C15">
        <v>190</v>
      </c>
      <c r="D15" s="1040"/>
      <c r="E15" s="130">
        <v>324120</v>
      </c>
      <c r="G15" s="134">
        <v>267</v>
      </c>
    </row>
    <row r="16" spans="1:7">
      <c r="C16">
        <v>210</v>
      </c>
      <c r="D16" s="1040"/>
      <c r="E16" s="111">
        <v>358240</v>
      </c>
      <c r="G16" s="134">
        <v>289</v>
      </c>
    </row>
    <row r="17" spans="1:7">
      <c r="C17">
        <v>240</v>
      </c>
      <c r="D17" s="1040"/>
      <c r="E17" s="111">
        <v>409420</v>
      </c>
      <c r="G17" s="134">
        <v>323</v>
      </c>
    </row>
    <row r="18" spans="1:7">
      <c r="A18" t="s">
        <v>2604</v>
      </c>
      <c r="B18" t="s">
        <v>2320</v>
      </c>
      <c r="C18">
        <v>85</v>
      </c>
      <c r="D18" s="1040" t="s">
        <v>2603</v>
      </c>
      <c r="E18" s="130">
        <v>87560</v>
      </c>
    </row>
    <row r="19" spans="1:7">
      <c r="C19">
        <v>105</v>
      </c>
      <c r="D19" s="1040"/>
      <c r="E19" s="130">
        <v>108160</v>
      </c>
      <c r="G19" s="134">
        <v>118</v>
      </c>
    </row>
    <row r="20" spans="1:7">
      <c r="C20">
        <v>128</v>
      </c>
      <c r="D20" s="1040"/>
      <c r="E20" s="111">
        <v>131860</v>
      </c>
      <c r="G20" s="134">
        <v>141</v>
      </c>
    </row>
    <row r="21" spans="1:7">
      <c r="C21">
        <v>157</v>
      </c>
      <c r="D21" s="1040"/>
      <c r="E21" s="130">
        <v>161730</v>
      </c>
      <c r="G21" s="134">
        <v>170</v>
      </c>
    </row>
    <row r="22" spans="1:7">
      <c r="C22">
        <v>209</v>
      </c>
      <c r="D22" s="1040"/>
      <c r="E22" s="130">
        <v>215300</v>
      </c>
      <c r="G22" s="134">
        <v>224</v>
      </c>
    </row>
    <row r="23" spans="1:7">
      <c r="C23">
        <v>233</v>
      </c>
      <c r="D23" s="1040"/>
      <c r="E23" s="130">
        <v>240030</v>
      </c>
      <c r="G23" s="134">
        <v>249</v>
      </c>
    </row>
    <row r="24" spans="1:7">
      <c r="C24">
        <v>262</v>
      </c>
      <c r="D24" s="1040"/>
      <c r="E24" s="130">
        <v>269900</v>
      </c>
      <c r="G24" s="134">
        <v>280</v>
      </c>
    </row>
    <row r="25" spans="1:7">
      <c r="C25">
        <v>300</v>
      </c>
      <c r="D25" s="1040"/>
      <c r="E25" s="130">
        <v>309050</v>
      </c>
      <c r="G25" s="134">
        <v>330</v>
      </c>
    </row>
    <row r="26" spans="1:7">
      <c r="C26">
        <v>350</v>
      </c>
      <c r="D26" s="1040"/>
      <c r="E26" s="130">
        <v>360560</v>
      </c>
      <c r="G26" s="134">
        <v>385</v>
      </c>
    </row>
    <row r="27" spans="1:7">
      <c r="C27">
        <v>400</v>
      </c>
      <c r="D27" s="1040"/>
      <c r="E27" s="130">
        <v>412070</v>
      </c>
      <c r="G27" s="134">
        <v>440</v>
      </c>
    </row>
    <row r="28" spans="1:7">
      <c r="B28" t="s">
        <v>2417</v>
      </c>
      <c r="C28">
        <v>85</v>
      </c>
      <c r="D28" s="1040"/>
      <c r="E28" s="130">
        <v>126050</v>
      </c>
    </row>
    <row r="29" spans="1:7">
      <c r="C29">
        <v>105</v>
      </c>
      <c r="D29" s="1040"/>
      <c r="E29" s="130">
        <v>155710</v>
      </c>
      <c r="G29" s="134">
        <v>118</v>
      </c>
    </row>
    <row r="30" spans="1:7">
      <c r="C30">
        <v>128</v>
      </c>
      <c r="D30" s="1040"/>
      <c r="E30" s="130">
        <v>189820</v>
      </c>
      <c r="G30" s="134">
        <v>141</v>
      </c>
    </row>
    <row r="31" spans="1:7">
      <c r="C31">
        <v>157</v>
      </c>
      <c r="D31" s="1040"/>
      <c r="E31" s="130">
        <v>232830</v>
      </c>
      <c r="G31" s="134">
        <v>170</v>
      </c>
    </row>
    <row r="32" spans="1:7">
      <c r="C32">
        <v>209</v>
      </c>
      <c r="D32" s="1040"/>
      <c r="E32" s="130">
        <v>309940</v>
      </c>
      <c r="G32" s="134">
        <v>224</v>
      </c>
    </row>
    <row r="33" spans="1:7">
      <c r="C33">
        <v>233</v>
      </c>
      <c r="D33" s="1040"/>
      <c r="E33" s="130">
        <v>345530</v>
      </c>
      <c r="G33" s="134">
        <v>249</v>
      </c>
    </row>
    <row r="34" spans="1:7">
      <c r="C34">
        <v>262</v>
      </c>
      <c r="D34" s="1040"/>
      <c r="E34" s="130">
        <v>388540</v>
      </c>
      <c r="G34" s="134">
        <v>280</v>
      </c>
    </row>
    <row r="35" spans="1:7">
      <c r="C35">
        <v>300</v>
      </c>
      <c r="D35" s="1040"/>
      <c r="E35" s="130">
        <v>444890</v>
      </c>
      <c r="G35" s="134">
        <v>330</v>
      </c>
    </row>
    <row r="36" spans="1:7">
      <c r="C36">
        <v>350</v>
      </c>
      <c r="D36" s="1040"/>
      <c r="E36" s="130">
        <v>519040</v>
      </c>
      <c r="G36" s="134">
        <v>385</v>
      </c>
    </row>
    <row r="37" spans="1:7">
      <c r="C37">
        <v>400</v>
      </c>
      <c r="D37" s="1040"/>
      <c r="E37" s="130">
        <v>593190</v>
      </c>
      <c r="G37" s="134">
        <v>440</v>
      </c>
    </row>
    <row r="38" spans="1:7">
      <c r="A38" t="s">
        <v>2605</v>
      </c>
      <c r="B38" t="s">
        <v>2320</v>
      </c>
      <c r="C38">
        <v>128</v>
      </c>
      <c r="D38" s="1040"/>
      <c r="E38" s="130">
        <v>131860</v>
      </c>
      <c r="G38" s="134">
        <v>155</v>
      </c>
    </row>
    <row r="39" spans="1:7">
      <c r="C39">
        <v>157</v>
      </c>
      <c r="D39" s="1040"/>
      <c r="E39" s="130">
        <v>161730</v>
      </c>
    </row>
    <row r="40" spans="1:7">
      <c r="C40">
        <v>186</v>
      </c>
      <c r="D40" s="1040"/>
      <c r="E40" s="130">
        <v>191610</v>
      </c>
    </row>
    <row r="41" spans="1:7">
      <c r="C41">
        <v>233</v>
      </c>
      <c r="D41" s="1040"/>
      <c r="E41" s="130">
        <v>240030</v>
      </c>
    </row>
    <row r="42" spans="1:7">
      <c r="B42" t="s">
        <v>2417</v>
      </c>
      <c r="C42">
        <v>128</v>
      </c>
      <c r="D42" s="1040"/>
      <c r="E42" s="130">
        <v>189820</v>
      </c>
    </row>
    <row r="43" spans="1:7">
      <c r="C43">
        <v>157</v>
      </c>
      <c r="D43" s="1040"/>
      <c r="E43" s="130">
        <v>232830</v>
      </c>
    </row>
    <row r="44" spans="1:7">
      <c r="C44">
        <v>186</v>
      </c>
      <c r="D44" s="1040"/>
      <c r="E44" s="130">
        <v>275830</v>
      </c>
    </row>
    <row r="45" spans="1:7">
      <c r="C45">
        <v>233</v>
      </c>
      <c r="D45" s="1040"/>
      <c r="E45" s="130">
        <v>345530</v>
      </c>
    </row>
    <row r="46" spans="1:7">
      <c r="A46" t="s">
        <v>2607</v>
      </c>
      <c r="B46" t="s">
        <v>2320</v>
      </c>
      <c r="C46">
        <v>112</v>
      </c>
      <c r="D46" s="1040" t="s">
        <v>2606</v>
      </c>
      <c r="E46" s="130">
        <v>132720</v>
      </c>
    </row>
    <row r="47" spans="1:7">
      <c r="C47">
        <v>122</v>
      </c>
      <c r="D47" s="1040"/>
      <c r="E47" s="130">
        <v>144570</v>
      </c>
    </row>
    <row r="48" spans="1:7">
      <c r="C48">
        <v>145</v>
      </c>
      <c r="D48" s="1040"/>
      <c r="E48" s="130">
        <v>171820</v>
      </c>
    </row>
    <row r="49" spans="1:5">
      <c r="C49">
        <v>174</v>
      </c>
      <c r="D49" s="1040"/>
      <c r="E49" s="130">
        <v>206190</v>
      </c>
    </row>
    <row r="50" spans="1:5">
      <c r="C50">
        <v>203</v>
      </c>
      <c r="D50" s="1040"/>
      <c r="E50" s="130">
        <v>240560</v>
      </c>
    </row>
    <row r="51" spans="1:5">
      <c r="C51">
        <v>222</v>
      </c>
      <c r="D51" s="1040"/>
      <c r="E51" s="130">
        <v>263070</v>
      </c>
    </row>
    <row r="52" spans="1:5">
      <c r="C52">
        <v>251</v>
      </c>
      <c r="D52" s="1040"/>
      <c r="E52" s="130">
        <v>297440</v>
      </c>
    </row>
    <row r="53" spans="1:5">
      <c r="B53" t="s">
        <v>2417</v>
      </c>
      <c r="C53">
        <v>112</v>
      </c>
      <c r="D53" s="1040"/>
      <c r="E53" s="130">
        <v>191060</v>
      </c>
    </row>
    <row r="54" spans="1:5">
      <c r="C54">
        <v>122</v>
      </c>
      <c r="D54" s="1040"/>
      <c r="E54" s="130">
        <v>208120</v>
      </c>
    </row>
    <row r="55" spans="1:5">
      <c r="C55">
        <v>145</v>
      </c>
      <c r="D55" s="1040"/>
      <c r="E55" s="130">
        <v>247350</v>
      </c>
    </row>
    <row r="56" spans="1:5">
      <c r="C56">
        <v>174</v>
      </c>
      <c r="D56" s="1040"/>
      <c r="E56" s="130">
        <v>296820</v>
      </c>
    </row>
    <row r="57" spans="1:5">
      <c r="C57">
        <v>203</v>
      </c>
      <c r="D57" s="1040"/>
      <c r="E57" s="130">
        <v>346300</v>
      </c>
    </row>
    <row r="58" spans="1:5">
      <c r="C58">
        <v>222</v>
      </c>
      <c r="D58" s="1040"/>
      <c r="E58" s="130">
        <v>378710</v>
      </c>
    </row>
    <row r="59" spans="1:5">
      <c r="C59">
        <v>251</v>
      </c>
      <c r="D59" s="1040"/>
      <c r="E59" s="130">
        <v>428180</v>
      </c>
    </row>
    <row r="60" spans="1:5">
      <c r="A60" t="s">
        <v>2608</v>
      </c>
      <c r="B60" t="s">
        <v>2320</v>
      </c>
      <c r="C60">
        <v>90</v>
      </c>
      <c r="D60" s="1040"/>
      <c r="E60" s="130">
        <v>106650</v>
      </c>
    </row>
    <row r="61" spans="1:5">
      <c r="C61">
        <v>100</v>
      </c>
      <c r="D61" s="1040"/>
      <c r="E61" s="130">
        <v>118500</v>
      </c>
    </row>
    <row r="62" spans="1:5">
      <c r="C62">
        <v>130</v>
      </c>
      <c r="D62" s="1040"/>
      <c r="E62" s="130">
        <v>154050</v>
      </c>
    </row>
    <row r="63" spans="1:5">
      <c r="C63">
        <v>160</v>
      </c>
      <c r="D63" s="1040"/>
      <c r="E63" s="130">
        <v>189600</v>
      </c>
    </row>
    <row r="64" spans="1:5">
      <c r="C64">
        <v>190</v>
      </c>
      <c r="D64" s="1040"/>
      <c r="E64" s="130">
        <v>225150</v>
      </c>
    </row>
    <row r="65" spans="1:5">
      <c r="C65">
        <v>210</v>
      </c>
      <c r="D65" s="1040"/>
      <c r="E65" s="130">
        <v>248850</v>
      </c>
    </row>
    <row r="66" spans="1:5">
      <c r="C66">
        <v>230</v>
      </c>
      <c r="D66" s="1040"/>
      <c r="E66" s="130">
        <v>272550</v>
      </c>
    </row>
    <row r="67" spans="1:5">
      <c r="C67">
        <v>260</v>
      </c>
      <c r="D67" s="1040"/>
      <c r="E67" s="130">
        <v>308100</v>
      </c>
    </row>
    <row r="68" spans="1:5">
      <c r="B68" t="s">
        <v>2417</v>
      </c>
      <c r="C68">
        <v>90</v>
      </c>
      <c r="D68" s="1040"/>
      <c r="E68" s="130">
        <v>153530</v>
      </c>
    </row>
    <row r="69" spans="1:5">
      <c r="C69">
        <v>100</v>
      </c>
      <c r="D69" s="1040"/>
      <c r="E69" s="130">
        <v>170590</v>
      </c>
    </row>
    <row r="70" spans="1:5">
      <c r="C70">
        <v>130</v>
      </c>
      <c r="D70" s="1040"/>
      <c r="E70" s="130">
        <v>221760</v>
      </c>
    </row>
    <row r="71" spans="1:5">
      <c r="C71">
        <v>160</v>
      </c>
      <c r="D71" s="1040"/>
      <c r="E71" s="130">
        <v>272940</v>
      </c>
    </row>
    <row r="72" spans="1:5">
      <c r="C72">
        <v>190</v>
      </c>
      <c r="D72" s="1040"/>
      <c r="E72" s="130">
        <v>324120</v>
      </c>
    </row>
    <row r="73" spans="1:5">
      <c r="C73">
        <v>210</v>
      </c>
      <c r="D73" s="1040"/>
      <c r="E73" s="130">
        <v>358240</v>
      </c>
    </row>
    <row r="74" spans="1:5">
      <c r="C74">
        <v>230</v>
      </c>
      <c r="D74" s="1040"/>
      <c r="E74" s="130">
        <v>392360</v>
      </c>
    </row>
    <row r="75" spans="1:5">
      <c r="C75">
        <v>260</v>
      </c>
      <c r="D75" s="1040"/>
      <c r="E75" s="130">
        <v>443530</v>
      </c>
    </row>
    <row r="76" spans="1:5">
      <c r="A76" t="s">
        <v>2609</v>
      </c>
      <c r="B76" t="s">
        <v>2320</v>
      </c>
      <c r="C76">
        <v>300</v>
      </c>
      <c r="D76" s="1040" t="s">
        <v>2603</v>
      </c>
      <c r="E76" s="130">
        <v>283290</v>
      </c>
    </row>
    <row r="77" spans="1:5">
      <c r="C77">
        <v>350</v>
      </c>
      <c r="D77" s="1040"/>
      <c r="E77" s="130">
        <v>330510</v>
      </c>
    </row>
    <row r="78" spans="1:5">
      <c r="C78">
        <v>400</v>
      </c>
      <c r="D78" s="1040"/>
      <c r="E78" s="130">
        <v>377730</v>
      </c>
    </row>
    <row r="79" spans="1:5">
      <c r="B79" t="s">
        <v>2417</v>
      </c>
      <c r="C79">
        <v>300</v>
      </c>
      <c r="D79" s="1040"/>
      <c r="E79" s="130">
        <v>407820</v>
      </c>
    </row>
    <row r="80" spans="1:5">
      <c r="C80">
        <v>350</v>
      </c>
      <c r="D80" s="1040"/>
      <c r="E80" s="130">
        <v>475790</v>
      </c>
    </row>
    <row r="81" spans="1:7">
      <c r="C81">
        <v>400</v>
      </c>
      <c r="D81" s="1040"/>
      <c r="E81" s="130">
        <v>543760</v>
      </c>
    </row>
    <row r="82" spans="1:7">
      <c r="A82" t="s">
        <v>2610</v>
      </c>
      <c r="B82" t="s">
        <v>2320</v>
      </c>
      <c r="C82">
        <v>300</v>
      </c>
      <c r="D82" s="1040"/>
      <c r="E82" s="130">
        <v>321050</v>
      </c>
    </row>
    <row r="83" spans="1:7">
      <c r="C83">
        <v>350</v>
      </c>
      <c r="D83" s="1040"/>
      <c r="E83" s="130">
        <v>374560</v>
      </c>
    </row>
    <row r="84" spans="1:7">
      <c r="C84">
        <v>400</v>
      </c>
      <c r="D84" s="1040"/>
      <c r="E84" s="130">
        <v>428070</v>
      </c>
    </row>
    <row r="85" spans="1:7">
      <c r="B85" t="s">
        <v>2417</v>
      </c>
      <c r="C85">
        <v>300</v>
      </c>
      <c r="D85" s="1040"/>
      <c r="E85" s="130">
        <v>462170</v>
      </c>
    </row>
    <row r="86" spans="1:7">
      <c r="C86">
        <v>350</v>
      </c>
      <c r="D86" s="1040"/>
      <c r="E86" s="130">
        <v>539200</v>
      </c>
    </row>
    <row r="87" spans="1:7">
      <c r="C87">
        <v>400</v>
      </c>
      <c r="D87" s="1040"/>
      <c r="E87" s="111">
        <v>616230</v>
      </c>
    </row>
    <row r="88" spans="1:7">
      <c r="A88" t="s">
        <v>2614</v>
      </c>
      <c r="C88">
        <v>45</v>
      </c>
      <c r="D88" t="s">
        <v>2336</v>
      </c>
      <c r="E88" s="130">
        <v>81780</v>
      </c>
    </row>
    <row r="89" spans="1:7">
      <c r="C89">
        <v>75</v>
      </c>
      <c r="D89" t="s">
        <v>2611</v>
      </c>
      <c r="E89" s="130">
        <v>130910</v>
      </c>
    </row>
    <row r="90" spans="1:7">
      <c r="C90">
        <v>90</v>
      </c>
      <c r="D90" t="s">
        <v>2612</v>
      </c>
      <c r="E90" s="130">
        <v>145860</v>
      </c>
    </row>
    <row r="91" spans="1:7" ht="87" customHeight="1">
      <c r="C91">
        <v>120</v>
      </c>
      <c r="D91" s="1043" t="s">
        <v>2613</v>
      </c>
      <c r="E91" s="130">
        <v>219700</v>
      </c>
      <c r="G91" s="134">
        <v>120</v>
      </c>
    </row>
    <row r="92" spans="1:7">
      <c r="C92">
        <v>150</v>
      </c>
      <c r="D92" s="1043"/>
      <c r="E92" s="130">
        <v>274630</v>
      </c>
    </row>
    <row r="93" spans="1:7">
      <c r="C93">
        <v>200</v>
      </c>
      <c r="D93" s="1043"/>
      <c r="E93" s="130">
        <v>366170</v>
      </c>
    </row>
    <row r="94" spans="1:7" ht="34.799999999999997" customHeight="1">
      <c r="A94" t="s">
        <v>2615</v>
      </c>
      <c r="C94">
        <v>120</v>
      </c>
      <c r="D94" s="1043" t="s">
        <v>2616</v>
      </c>
      <c r="E94" s="130">
        <v>236210</v>
      </c>
      <c r="G94" s="134">
        <v>120</v>
      </c>
    </row>
    <row r="95" spans="1:7">
      <c r="C95">
        <v>150</v>
      </c>
      <c r="D95" s="1043"/>
      <c r="E95" s="130">
        <v>295260</v>
      </c>
    </row>
    <row r="96" spans="1:7">
      <c r="C96">
        <v>200</v>
      </c>
      <c r="D96" s="1043"/>
      <c r="E96" s="130">
        <v>393680</v>
      </c>
    </row>
    <row r="97" spans="1:7" ht="87" customHeight="1">
      <c r="A97" t="s">
        <v>2617</v>
      </c>
      <c r="C97">
        <v>120</v>
      </c>
      <c r="D97" s="1043" t="s">
        <v>2618</v>
      </c>
      <c r="E97" s="130">
        <v>254520</v>
      </c>
      <c r="G97" s="134">
        <v>120</v>
      </c>
    </row>
    <row r="98" spans="1:7">
      <c r="C98">
        <v>150</v>
      </c>
      <c r="D98" s="1043"/>
      <c r="E98" s="130">
        <v>318160</v>
      </c>
    </row>
    <row r="99" spans="1:7">
      <c r="C99">
        <v>200</v>
      </c>
      <c r="D99" s="1043"/>
      <c r="E99" s="130">
        <v>424210</v>
      </c>
    </row>
    <row r="100" spans="1:7" ht="87" customHeight="1">
      <c r="A100" t="s">
        <v>2619</v>
      </c>
      <c r="C100">
        <v>120</v>
      </c>
      <c r="D100" s="1043" t="s">
        <v>2620</v>
      </c>
      <c r="E100" s="130">
        <v>289090</v>
      </c>
      <c r="G100" s="134">
        <v>120</v>
      </c>
    </row>
    <row r="101" spans="1:7">
      <c r="C101">
        <v>150</v>
      </c>
      <c r="D101" s="1043"/>
      <c r="E101" s="130">
        <v>361370</v>
      </c>
    </row>
    <row r="102" spans="1:7">
      <c r="C102">
        <v>200</v>
      </c>
      <c r="D102" s="1043"/>
      <c r="E102" s="130">
        <v>481830</v>
      </c>
    </row>
    <row r="103" spans="1:7">
      <c r="A103" t="s">
        <v>2621</v>
      </c>
      <c r="C103">
        <v>80</v>
      </c>
      <c r="D103" s="1040" t="s">
        <v>2622</v>
      </c>
      <c r="E103" s="130">
        <v>172710</v>
      </c>
    </row>
    <row r="104" spans="1:7">
      <c r="C104">
        <v>100</v>
      </c>
      <c r="D104" s="1040"/>
      <c r="E104" s="130">
        <v>215880</v>
      </c>
    </row>
    <row r="105" spans="1:7">
      <c r="C105">
        <v>120</v>
      </c>
      <c r="D105" s="1040"/>
      <c r="E105" s="130">
        <v>259060</v>
      </c>
      <c r="G105" s="134">
        <v>120</v>
      </c>
    </row>
    <row r="106" spans="1:7">
      <c r="C106">
        <v>150</v>
      </c>
      <c r="D106" s="1040"/>
      <c r="E106" s="130">
        <v>323830</v>
      </c>
    </row>
    <row r="107" spans="1:7">
      <c r="C107">
        <v>200</v>
      </c>
      <c r="D107" s="1040"/>
      <c r="E107" s="130">
        <v>431770</v>
      </c>
    </row>
    <row r="108" spans="1:7">
      <c r="C108">
        <v>250</v>
      </c>
      <c r="D108" s="1040"/>
      <c r="E108" s="130">
        <v>540060</v>
      </c>
    </row>
    <row r="109" spans="1:7">
      <c r="C109">
        <v>300</v>
      </c>
      <c r="D109" s="1040"/>
      <c r="E109" s="130">
        <v>648080</v>
      </c>
    </row>
    <row r="110" spans="1:7">
      <c r="C110">
        <v>350</v>
      </c>
      <c r="D110" s="1040"/>
      <c r="E110" s="130">
        <v>756090</v>
      </c>
    </row>
    <row r="111" spans="1:7">
      <c r="A111" t="s">
        <v>2623</v>
      </c>
      <c r="C111">
        <v>120</v>
      </c>
      <c r="D111" s="1040" t="s">
        <v>2624</v>
      </c>
      <c r="E111" s="131">
        <v>205690</v>
      </c>
    </row>
    <row r="112" spans="1:7">
      <c r="C112">
        <v>140</v>
      </c>
      <c r="D112" s="1040"/>
      <c r="E112" s="131">
        <v>232800</v>
      </c>
    </row>
    <row r="113" spans="1:5">
      <c r="C113">
        <v>150</v>
      </c>
      <c r="D113" s="1040"/>
      <c r="E113" s="131">
        <v>249430</v>
      </c>
    </row>
    <row r="114" spans="1:5">
      <c r="C114">
        <v>180</v>
      </c>
      <c r="D114" s="1040"/>
      <c r="E114" s="131">
        <v>299320</v>
      </c>
    </row>
    <row r="115" spans="1:5">
      <c r="C115">
        <v>210</v>
      </c>
      <c r="D115" s="1040"/>
      <c r="E115" s="131">
        <v>349200</v>
      </c>
    </row>
    <row r="116" spans="1:5">
      <c r="C116">
        <v>240</v>
      </c>
      <c r="D116" s="1040"/>
      <c r="E116" s="131">
        <v>399090</v>
      </c>
    </row>
    <row r="117" spans="1:5">
      <c r="C117">
        <v>300</v>
      </c>
      <c r="D117" s="1040"/>
      <c r="E117" s="131">
        <v>498860</v>
      </c>
    </row>
    <row r="118" spans="1:5" ht="104.4" customHeight="1">
      <c r="A118" t="s">
        <v>2625</v>
      </c>
      <c r="C118">
        <v>75</v>
      </c>
      <c r="D118" s="1043" t="s">
        <v>2626</v>
      </c>
      <c r="E118" s="131">
        <v>159270</v>
      </c>
    </row>
    <row r="119" spans="1:5">
      <c r="C119">
        <v>110</v>
      </c>
      <c r="D119" s="1043"/>
      <c r="E119" s="131">
        <v>207420</v>
      </c>
    </row>
    <row r="120" spans="1:5">
      <c r="C120">
        <v>120</v>
      </c>
      <c r="D120" s="1043"/>
      <c r="E120" s="131">
        <v>226240</v>
      </c>
    </row>
    <row r="121" spans="1:5">
      <c r="C121">
        <v>150</v>
      </c>
      <c r="D121" s="1043"/>
      <c r="E121" s="131">
        <v>274380</v>
      </c>
    </row>
    <row r="122" spans="1:5">
      <c r="C122">
        <v>180</v>
      </c>
      <c r="D122" s="1043"/>
      <c r="E122" s="131">
        <v>329250</v>
      </c>
    </row>
    <row r="123" spans="1:5">
      <c r="C123">
        <v>200</v>
      </c>
      <c r="D123" s="1043"/>
      <c r="E123" s="131">
        <v>366040</v>
      </c>
    </row>
    <row r="124" spans="1:5">
      <c r="C124">
        <v>250</v>
      </c>
      <c r="D124" s="1043"/>
      <c r="E124" s="131">
        <v>457550</v>
      </c>
    </row>
    <row r="125" spans="1:5">
      <c r="C125">
        <v>300</v>
      </c>
      <c r="D125" s="1043"/>
      <c r="E125" s="131">
        <v>549060</v>
      </c>
    </row>
    <row r="126" spans="1:5">
      <c r="C126">
        <v>350</v>
      </c>
      <c r="D126" s="1043"/>
      <c r="E126" s="131">
        <v>640580</v>
      </c>
    </row>
    <row r="127" spans="1:5">
      <c r="C127">
        <v>420</v>
      </c>
      <c r="D127" s="1043"/>
      <c r="E127" s="131">
        <v>768690</v>
      </c>
    </row>
    <row r="128" spans="1:5">
      <c r="A128" t="s">
        <v>2627</v>
      </c>
      <c r="C128">
        <v>75</v>
      </c>
      <c r="D128" s="1040" t="s">
        <v>2628</v>
      </c>
      <c r="E128" s="131">
        <v>171060</v>
      </c>
    </row>
    <row r="129" spans="1:5">
      <c r="C129">
        <v>110</v>
      </c>
      <c r="D129" s="1040"/>
      <c r="E129" s="131">
        <v>222930</v>
      </c>
    </row>
    <row r="130" spans="1:5">
      <c r="C130">
        <v>120</v>
      </c>
      <c r="D130" s="1040"/>
      <c r="E130" s="131">
        <v>243720</v>
      </c>
    </row>
    <row r="131" spans="1:5">
      <c r="C131">
        <v>150</v>
      </c>
      <c r="D131" s="1040"/>
      <c r="E131" s="131">
        <v>289870</v>
      </c>
    </row>
    <row r="132" spans="1:5">
      <c r="C132">
        <v>180</v>
      </c>
      <c r="D132" s="1040"/>
      <c r="E132" s="131">
        <v>347840</v>
      </c>
    </row>
    <row r="133" spans="1:5">
      <c r="C133">
        <v>200</v>
      </c>
      <c r="D133" s="1040"/>
      <c r="E133" s="131">
        <v>389210</v>
      </c>
    </row>
    <row r="134" spans="1:5">
      <c r="C134">
        <v>250</v>
      </c>
      <c r="D134" s="1040"/>
      <c r="E134" s="131">
        <v>486510</v>
      </c>
    </row>
    <row r="135" spans="1:5">
      <c r="C135">
        <v>300</v>
      </c>
      <c r="D135" s="1040"/>
      <c r="E135" s="131">
        <v>583820</v>
      </c>
    </row>
    <row r="136" spans="1:5">
      <c r="C136">
        <v>350</v>
      </c>
      <c r="D136" s="1040"/>
      <c r="E136" s="131">
        <v>681120</v>
      </c>
    </row>
    <row r="137" spans="1:5">
      <c r="C137">
        <v>420</v>
      </c>
      <c r="D137" s="1040"/>
      <c r="E137" s="131">
        <v>817350</v>
      </c>
    </row>
    <row r="138" spans="1:5" ht="52.2" customHeight="1">
      <c r="A138" t="s">
        <v>2629</v>
      </c>
      <c r="C138">
        <v>75</v>
      </c>
      <c r="D138" s="1043" t="s">
        <v>2630</v>
      </c>
      <c r="E138" s="130">
        <v>181520</v>
      </c>
    </row>
    <row r="139" spans="1:5">
      <c r="C139">
        <v>110</v>
      </c>
      <c r="D139" s="1043"/>
      <c r="E139" s="130">
        <v>236220</v>
      </c>
    </row>
    <row r="140" spans="1:5">
      <c r="C140">
        <v>120</v>
      </c>
      <c r="D140" s="1043"/>
      <c r="E140" s="130">
        <v>257340</v>
      </c>
    </row>
    <row r="141" spans="1:5">
      <c r="C141">
        <v>150</v>
      </c>
      <c r="D141" s="1043"/>
      <c r="E141" s="130">
        <v>309300</v>
      </c>
    </row>
    <row r="142" spans="1:5">
      <c r="C142">
        <v>180</v>
      </c>
      <c r="D142" s="1043"/>
      <c r="E142" s="130">
        <v>371160</v>
      </c>
    </row>
    <row r="143" spans="1:5">
      <c r="C143">
        <v>200</v>
      </c>
      <c r="D143" s="1043"/>
      <c r="E143" s="130">
        <v>416340</v>
      </c>
    </row>
    <row r="144" spans="1:5">
      <c r="C144">
        <v>250</v>
      </c>
      <c r="D144" s="1043"/>
      <c r="E144" s="130">
        <v>520430</v>
      </c>
    </row>
    <row r="145" spans="1:5">
      <c r="C145">
        <v>300</v>
      </c>
      <c r="D145" s="1043"/>
      <c r="E145" s="130">
        <v>624520</v>
      </c>
    </row>
    <row r="146" spans="1:5">
      <c r="C146">
        <v>350</v>
      </c>
      <c r="D146" s="1043"/>
      <c r="E146" s="130">
        <v>728600</v>
      </c>
    </row>
    <row r="147" spans="1:5">
      <c r="C147">
        <v>420</v>
      </c>
      <c r="D147" s="1043"/>
      <c r="E147" s="130">
        <v>874330</v>
      </c>
    </row>
    <row r="148" spans="1:5" ht="52.2" customHeight="1">
      <c r="A148" t="s">
        <v>2631</v>
      </c>
      <c r="C148">
        <v>75</v>
      </c>
      <c r="D148" s="1043" t="s">
        <v>2632</v>
      </c>
      <c r="E148" s="130">
        <v>221720</v>
      </c>
    </row>
    <row r="149" spans="1:5">
      <c r="C149">
        <v>110</v>
      </c>
      <c r="D149" s="1043"/>
      <c r="E149" s="130">
        <v>274080</v>
      </c>
    </row>
    <row r="150" spans="1:5">
      <c r="C150">
        <v>120</v>
      </c>
      <c r="D150" s="1043"/>
      <c r="E150" s="130">
        <v>298780</v>
      </c>
    </row>
    <row r="151" spans="1:5">
      <c r="C151">
        <v>150</v>
      </c>
      <c r="D151" s="1043"/>
      <c r="E151" s="130">
        <v>357220</v>
      </c>
    </row>
    <row r="152" spans="1:5">
      <c r="C152">
        <v>180</v>
      </c>
      <c r="D152" s="1043"/>
      <c r="E152" s="130">
        <v>428670</v>
      </c>
    </row>
    <row r="153" spans="1:5">
      <c r="C153">
        <v>200</v>
      </c>
      <c r="D153" s="1043"/>
      <c r="E153" s="130">
        <v>484820</v>
      </c>
    </row>
    <row r="154" spans="1:5">
      <c r="C154">
        <v>250</v>
      </c>
      <c r="D154" s="1043"/>
      <c r="E154" s="130">
        <v>606020</v>
      </c>
    </row>
    <row r="155" spans="1:5">
      <c r="C155">
        <v>300</v>
      </c>
      <c r="D155" s="1043"/>
      <c r="E155" s="130">
        <v>727230</v>
      </c>
    </row>
    <row r="156" spans="1:5">
      <c r="C156">
        <v>350</v>
      </c>
      <c r="D156" s="1043"/>
      <c r="E156" s="130">
        <v>848440</v>
      </c>
    </row>
    <row r="157" spans="1:5">
      <c r="C157">
        <v>420</v>
      </c>
      <c r="D157" s="1043"/>
      <c r="E157" s="130">
        <v>1018120</v>
      </c>
    </row>
    <row r="158" spans="1:5" ht="52.2">
      <c r="A158" t="s">
        <v>2633</v>
      </c>
      <c r="C158">
        <v>120</v>
      </c>
      <c r="D158" s="125" t="s">
        <v>2634</v>
      </c>
      <c r="E158" s="130">
        <v>293860</v>
      </c>
    </row>
    <row r="159" spans="1:5">
      <c r="C159">
        <v>200</v>
      </c>
      <c r="D159" t="s">
        <v>2635</v>
      </c>
      <c r="E159" s="130">
        <v>489760</v>
      </c>
    </row>
    <row r="160" spans="1:5">
      <c r="C160">
        <v>250</v>
      </c>
      <c r="D160" s="1040" t="s">
        <v>2636</v>
      </c>
      <c r="E160" s="130">
        <v>612200</v>
      </c>
    </row>
    <row r="161" spans="1:5">
      <c r="C161">
        <v>300</v>
      </c>
      <c r="D161" s="1040"/>
      <c r="E161" s="130">
        <v>587700</v>
      </c>
    </row>
    <row r="162" spans="1:5">
      <c r="C162">
        <v>350</v>
      </c>
      <c r="D162" s="1040"/>
      <c r="E162" s="130">
        <v>685650</v>
      </c>
    </row>
    <row r="163" spans="1:5" ht="34.799999999999997" customHeight="1">
      <c r="A163" t="s">
        <v>2637</v>
      </c>
      <c r="C163">
        <v>120</v>
      </c>
      <c r="D163" s="1043" t="s">
        <v>2638</v>
      </c>
      <c r="E163" s="130">
        <v>353910</v>
      </c>
    </row>
    <row r="164" spans="1:5">
      <c r="C164">
        <v>300</v>
      </c>
      <c r="D164" s="1043"/>
      <c r="E164" s="130">
        <v>707810</v>
      </c>
    </row>
    <row r="165" spans="1:5">
      <c r="C165">
        <v>350</v>
      </c>
      <c r="D165" s="1043"/>
      <c r="E165" s="130">
        <v>825780</v>
      </c>
    </row>
    <row r="166" spans="1:5">
      <c r="A166" t="s">
        <v>2639</v>
      </c>
      <c r="C166">
        <v>120</v>
      </c>
      <c r="D166" s="1040" t="s">
        <v>2640</v>
      </c>
      <c r="E166" s="130">
        <v>381110</v>
      </c>
    </row>
    <row r="167" spans="1:5">
      <c r="C167">
        <v>300</v>
      </c>
      <c r="D167" s="1040"/>
      <c r="E167" s="130">
        <v>762200</v>
      </c>
    </row>
    <row r="168" spans="1:5">
      <c r="C168">
        <v>350</v>
      </c>
      <c r="D168" s="1040"/>
      <c r="E168" s="130">
        <v>889240</v>
      </c>
    </row>
    <row r="169" spans="1:5">
      <c r="A169" t="s">
        <v>2641</v>
      </c>
      <c r="C169">
        <v>120</v>
      </c>
      <c r="D169" s="1040" t="s">
        <v>2642</v>
      </c>
      <c r="E169" s="130">
        <v>412760</v>
      </c>
    </row>
    <row r="170" spans="1:5">
      <c r="C170">
        <v>300</v>
      </c>
      <c r="D170" s="1040"/>
      <c r="E170" s="130">
        <v>825520</v>
      </c>
    </row>
    <row r="171" spans="1:5">
      <c r="C171">
        <v>350</v>
      </c>
      <c r="D171" s="1040"/>
      <c r="E171" s="130">
        <v>963110</v>
      </c>
    </row>
    <row r="172" spans="1:5" ht="69.599999999999994" customHeight="1">
      <c r="A172" t="s">
        <v>2644</v>
      </c>
      <c r="C172">
        <v>180</v>
      </c>
      <c r="D172" s="1043" t="s">
        <v>2643</v>
      </c>
      <c r="E172" s="131">
        <v>408350</v>
      </c>
    </row>
    <row r="173" spans="1:5">
      <c r="C173">
        <v>200</v>
      </c>
      <c r="D173" s="1043"/>
      <c r="E173" s="131">
        <v>453720</v>
      </c>
    </row>
    <row r="174" spans="1:5">
      <c r="C174">
        <v>220</v>
      </c>
      <c r="D174" s="1043"/>
      <c r="E174" s="131">
        <v>499100</v>
      </c>
    </row>
    <row r="175" spans="1:5">
      <c r="C175">
        <v>250</v>
      </c>
      <c r="D175" s="1043"/>
      <c r="E175" s="131">
        <v>567160</v>
      </c>
    </row>
    <row r="176" spans="1:5">
      <c r="C176">
        <v>280</v>
      </c>
      <c r="D176" s="1043"/>
      <c r="E176" s="131">
        <v>635210</v>
      </c>
    </row>
    <row r="177" spans="1:5">
      <c r="C177">
        <v>300</v>
      </c>
      <c r="D177" s="1043"/>
      <c r="E177" s="131">
        <v>544460</v>
      </c>
    </row>
    <row r="178" spans="1:5">
      <c r="C178">
        <v>350</v>
      </c>
      <c r="D178" s="1043"/>
      <c r="E178" s="131">
        <v>635210</v>
      </c>
    </row>
    <row r="179" spans="1:5" ht="34.799999999999997" customHeight="1">
      <c r="A179" t="s">
        <v>2645</v>
      </c>
      <c r="C179">
        <v>180</v>
      </c>
      <c r="D179" s="1043" t="s">
        <v>2646</v>
      </c>
      <c r="E179" s="130">
        <v>491800</v>
      </c>
    </row>
    <row r="180" spans="1:5">
      <c r="C180">
        <v>200</v>
      </c>
      <c r="D180" s="1043"/>
      <c r="E180" s="130">
        <v>546440</v>
      </c>
    </row>
    <row r="181" spans="1:5">
      <c r="C181">
        <v>220</v>
      </c>
      <c r="D181" s="1043"/>
      <c r="E181" s="130">
        <v>601090</v>
      </c>
    </row>
    <row r="182" spans="1:5">
      <c r="C182">
        <v>250</v>
      </c>
      <c r="D182" s="1043"/>
      <c r="E182" s="130">
        <v>683050</v>
      </c>
    </row>
    <row r="183" spans="1:5">
      <c r="C183">
        <v>280</v>
      </c>
      <c r="D183" s="1043"/>
      <c r="E183" s="130">
        <v>765020</v>
      </c>
    </row>
    <row r="184" spans="1:5">
      <c r="C184">
        <v>300</v>
      </c>
      <c r="D184" s="1043"/>
      <c r="E184" s="130">
        <v>655720</v>
      </c>
    </row>
    <row r="185" spans="1:5">
      <c r="C185">
        <v>350</v>
      </c>
      <c r="D185" s="1043"/>
      <c r="E185" s="130">
        <v>765010</v>
      </c>
    </row>
    <row r="186" spans="1:5" ht="34.799999999999997" customHeight="1">
      <c r="A186" t="s">
        <v>2647</v>
      </c>
      <c r="C186">
        <v>180</v>
      </c>
      <c r="D186" s="1043" t="s">
        <v>2648</v>
      </c>
      <c r="E186" s="131">
        <v>529590</v>
      </c>
    </row>
    <row r="187" spans="1:5">
      <c r="C187">
        <v>200</v>
      </c>
      <c r="D187" s="1043"/>
      <c r="E187" s="131">
        <v>588440</v>
      </c>
    </row>
    <row r="188" spans="1:5">
      <c r="C188">
        <v>220</v>
      </c>
      <c r="D188" s="1043"/>
      <c r="E188" s="131">
        <v>647280</v>
      </c>
    </row>
    <row r="189" spans="1:5">
      <c r="C189">
        <v>250</v>
      </c>
      <c r="D189" s="1043"/>
      <c r="E189" s="131">
        <v>735550</v>
      </c>
    </row>
    <row r="190" spans="1:5">
      <c r="C190">
        <v>280</v>
      </c>
      <c r="D190" s="1043"/>
      <c r="E190" s="131">
        <v>823820</v>
      </c>
    </row>
    <row r="191" spans="1:5">
      <c r="C191">
        <v>300</v>
      </c>
      <c r="D191" s="1043"/>
      <c r="E191" s="131">
        <v>706120</v>
      </c>
    </row>
    <row r="192" spans="1:5">
      <c r="C192">
        <v>350</v>
      </c>
      <c r="D192" s="1043"/>
      <c r="E192" s="131">
        <v>823810</v>
      </c>
    </row>
    <row r="193" spans="1:5" ht="34.799999999999997" customHeight="1">
      <c r="A193" t="s">
        <v>2649</v>
      </c>
      <c r="C193">
        <v>180</v>
      </c>
      <c r="D193" s="1043" t="s">
        <v>2650</v>
      </c>
      <c r="E193" s="131">
        <v>589660</v>
      </c>
    </row>
    <row r="194" spans="1:5">
      <c r="C194">
        <v>200</v>
      </c>
      <c r="D194" s="1043"/>
      <c r="E194" s="131">
        <v>655180</v>
      </c>
    </row>
    <row r="195" spans="1:5">
      <c r="C195">
        <v>220</v>
      </c>
      <c r="D195" s="1043"/>
      <c r="E195" s="131">
        <v>720700</v>
      </c>
    </row>
    <row r="196" spans="1:5">
      <c r="C196">
        <v>250</v>
      </c>
      <c r="D196" s="1043"/>
      <c r="E196" s="131">
        <v>818970</v>
      </c>
    </row>
    <row r="197" spans="1:5">
      <c r="C197">
        <v>280</v>
      </c>
      <c r="D197" s="1043"/>
      <c r="E197" s="131">
        <v>917250</v>
      </c>
    </row>
    <row r="198" spans="1:5">
      <c r="C198">
        <v>300</v>
      </c>
      <c r="D198" s="1043"/>
      <c r="E198" s="131">
        <v>786220</v>
      </c>
    </row>
    <row r="199" spans="1:5">
      <c r="C199">
        <v>350</v>
      </c>
      <c r="D199" s="1043"/>
      <c r="E199" s="131">
        <v>917250</v>
      </c>
    </row>
    <row r="200" spans="1:5" ht="34.799999999999997" customHeight="1">
      <c r="A200" t="s">
        <v>2651</v>
      </c>
      <c r="C200">
        <v>180</v>
      </c>
      <c r="D200" s="1043" t="s">
        <v>2652</v>
      </c>
      <c r="E200" s="130">
        <v>457960</v>
      </c>
    </row>
    <row r="201" spans="1:5">
      <c r="C201">
        <v>200</v>
      </c>
      <c r="D201" s="1043"/>
      <c r="E201" s="130">
        <v>508850</v>
      </c>
    </row>
    <row r="202" spans="1:5">
      <c r="C202">
        <v>250</v>
      </c>
      <c r="D202" s="1043"/>
      <c r="E202" s="130">
        <v>636060</v>
      </c>
    </row>
    <row r="203" spans="1:5">
      <c r="A203" t="s">
        <v>2653</v>
      </c>
      <c r="C203">
        <v>180</v>
      </c>
      <c r="D203" s="1040" t="s">
        <v>2654</v>
      </c>
      <c r="E203" s="111">
        <v>551550</v>
      </c>
    </row>
    <row r="204" spans="1:5">
      <c r="C204">
        <v>200</v>
      </c>
      <c r="D204" s="1040"/>
      <c r="E204" s="111">
        <v>612840</v>
      </c>
    </row>
    <row r="205" spans="1:5">
      <c r="C205">
        <v>250</v>
      </c>
      <c r="D205" s="1040"/>
      <c r="E205" s="111">
        <v>766050</v>
      </c>
    </row>
    <row r="206" spans="1:5">
      <c r="A206" t="s">
        <v>2655</v>
      </c>
      <c r="C206">
        <v>180</v>
      </c>
      <c r="D206" s="1040" t="s">
        <v>2656</v>
      </c>
      <c r="E206" s="111">
        <v>593940</v>
      </c>
    </row>
    <row r="207" spans="1:5">
      <c r="C207">
        <v>200</v>
      </c>
      <c r="D207" s="1040"/>
      <c r="E207" s="111">
        <v>659930</v>
      </c>
    </row>
    <row r="208" spans="1:5">
      <c r="C208">
        <v>250</v>
      </c>
      <c r="D208" s="1040"/>
      <c r="E208" s="111">
        <v>824920</v>
      </c>
    </row>
    <row r="209" spans="1:5">
      <c r="A209" t="s">
        <v>2657</v>
      </c>
      <c r="C209">
        <v>180</v>
      </c>
      <c r="D209" s="1040" t="s">
        <v>2658</v>
      </c>
      <c r="E209" s="111">
        <v>707590</v>
      </c>
    </row>
    <row r="210" spans="1:5">
      <c r="C210">
        <v>200</v>
      </c>
      <c r="D210" s="1040"/>
      <c r="E210" s="111">
        <v>786220</v>
      </c>
    </row>
    <row r="211" spans="1:5">
      <c r="C211">
        <v>250</v>
      </c>
      <c r="D211" s="1040"/>
      <c r="E211" s="111">
        <v>982770</v>
      </c>
    </row>
    <row r="212" spans="1:5">
      <c r="A212" t="s">
        <v>2659</v>
      </c>
      <c r="C212">
        <v>90</v>
      </c>
      <c r="D212" s="1040" t="s">
        <v>2661</v>
      </c>
      <c r="E212" s="111">
        <v>181890</v>
      </c>
    </row>
    <row r="213" spans="1:5">
      <c r="C213">
        <v>110</v>
      </c>
      <c r="D213" s="1040"/>
      <c r="E213" s="111">
        <v>206170</v>
      </c>
    </row>
    <row r="214" spans="1:5">
      <c r="C214">
        <v>200</v>
      </c>
      <c r="D214" s="1040"/>
      <c r="E214" s="111">
        <v>370950</v>
      </c>
    </row>
    <row r="215" spans="1:5">
      <c r="C215">
        <v>120</v>
      </c>
      <c r="D215" t="s">
        <v>2660</v>
      </c>
      <c r="E215" s="111">
        <v>224300</v>
      </c>
    </row>
    <row r="216" spans="1:5" ht="34.799999999999997" customHeight="1">
      <c r="A216" t="s">
        <v>2662</v>
      </c>
      <c r="C216">
        <v>120</v>
      </c>
      <c r="D216" s="1043" t="s">
        <v>2663</v>
      </c>
      <c r="E216" s="111">
        <v>491880</v>
      </c>
    </row>
    <row r="217" spans="1:5">
      <c r="C217">
        <v>220</v>
      </c>
      <c r="D217" s="1043"/>
      <c r="E217" s="111">
        <v>800680</v>
      </c>
    </row>
    <row r="218" spans="1:5">
      <c r="C218">
        <v>250</v>
      </c>
      <c r="D218" s="1040" t="s">
        <v>2664</v>
      </c>
      <c r="E218" s="111">
        <v>909870</v>
      </c>
    </row>
    <row r="219" spans="1:5">
      <c r="C219">
        <v>350</v>
      </c>
      <c r="D219" s="1040"/>
      <c r="E219" s="111">
        <v>1062510</v>
      </c>
    </row>
    <row r="220" spans="1:5" ht="34.799999999999997" customHeight="1">
      <c r="A220" t="s">
        <v>2665</v>
      </c>
      <c r="C220">
        <v>120</v>
      </c>
      <c r="D220" s="1043" t="s">
        <v>2666</v>
      </c>
      <c r="E220" s="111">
        <v>543290</v>
      </c>
    </row>
    <row r="221" spans="1:5">
      <c r="C221">
        <v>220</v>
      </c>
      <c r="D221" s="1043"/>
      <c r="E221" s="111">
        <v>854430</v>
      </c>
    </row>
    <row r="222" spans="1:5">
      <c r="C222">
        <v>250</v>
      </c>
      <c r="D222" s="1040" t="s">
        <v>2667</v>
      </c>
      <c r="E222" s="111">
        <v>970950</v>
      </c>
    </row>
    <row r="223" spans="1:5">
      <c r="C223">
        <v>350</v>
      </c>
      <c r="D223" s="1040"/>
      <c r="E223" s="111">
        <v>1136340</v>
      </c>
    </row>
    <row r="224" spans="1:5">
      <c r="A224" t="s">
        <v>2668</v>
      </c>
      <c r="C224">
        <v>120</v>
      </c>
      <c r="D224" s="1040" t="s">
        <v>2669</v>
      </c>
      <c r="E224" s="130">
        <v>594590</v>
      </c>
    </row>
    <row r="225" spans="1:5">
      <c r="C225">
        <v>220</v>
      </c>
      <c r="D225" s="1040"/>
      <c r="E225" s="130">
        <v>955530</v>
      </c>
    </row>
    <row r="226" spans="1:5">
      <c r="C226">
        <v>250</v>
      </c>
      <c r="D226" s="1040" t="s">
        <v>2670</v>
      </c>
      <c r="E226" s="130">
        <v>1085830</v>
      </c>
    </row>
    <row r="227" spans="1:5">
      <c r="C227">
        <v>350</v>
      </c>
      <c r="D227" s="1040"/>
      <c r="E227" s="130">
        <v>1168430</v>
      </c>
    </row>
    <row r="228" spans="1:5">
      <c r="A228" t="s">
        <v>2671</v>
      </c>
      <c r="C228">
        <v>120</v>
      </c>
      <c r="D228" s="1040" t="s">
        <v>2672</v>
      </c>
      <c r="E228" s="130">
        <v>654020</v>
      </c>
    </row>
    <row r="229" spans="1:5">
      <c r="C229">
        <v>220</v>
      </c>
      <c r="D229" s="1040"/>
      <c r="E229" s="130">
        <v>1051050</v>
      </c>
    </row>
    <row r="230" spans="1:5">
      <c r="C230">
        <v>250</v>
      </c>
      <c r="D230" s="1040"/>
      <c r="E230" s="130">
        <v>1194380</v>
      </c>
    </row>
    <row r="231" spans="1:5">
      <c r="C231">
        <v>350</v>
      </c>
      <c r="D231" s="1040"/>
      <c r="E231" s="130">
        <v>1307530</v>
      </c>
    </row>
    <row r="232" spans="1:5">
      <c r="A232" t="s">
        <v>2673</v>
      </c>
      <c r="C232">
        <v>120</v>
      </c>
      <c r="D232" s="1040" t="s">
        <v>2674</v>
      </c>
      <c r="E232" s="130">
        <v>524330</v>
      </c>
    </row>
    <row r="233" spans="1:5">
      <c r="C233">
        <v>370</v>
      </c>
      <c r="D233" s="1040"/>
      <c r="E233" s="130">
        <v>1191250</v>
      </c>
    </row>
    <row r="234" spans="1:5">
      <c r="A234" t="s">
        <v>2676</v>
      </c>
      <c r="C234">
        <v>120</v>
      </c>
      <c r="D234" s="1040" t="s">
        <v>2675</v>
      </c>
      <c r="E234" s="130">
        <v>579520</v>
      </c>
    </row>
    <row r="235" spans="1:5">
      <c r="C235">
        <v>250</v>
      </c>
      <c r="D235" s="1040"/>
      <c r="E235" s="130">
        <v>1057870</v>
      </c>
    </row>
    <row r="236" spans="1:5">
      <c r="C236">
        <v>370</v>
      </c>
      <c r="D236" s="1040"/>
      <c r="E236" s="130">
        <v>1361430</v>
      </c>
    </row>
    <row r="237" spans="1:5">
      <c r="A237" t="s">
        <v>2677</v>
      </c>
      <c r="C237">
        <v>250</v>
      </c>
      <c r="D237" t="s">
        <v>2674</v>
      </c>
      <c r="E237" s="130">
        <v>1057870</v>
      </c>
    </row>
    <row r="238" spans="1:5">
      <c r="A238" t="s">
        <v>2678</v>
      </c>
      <c r="C238">
        <v>250</v>
      </c>
      <c r="D238" t="s">
        <v>2679</v>
      </c>
      <c r="E238" s="130">
        <v>1172850</v>
      </c>
    </row>
    <row r="239" spans="1:5" ht="52.2" customHeight="1">
      <c r="A239" t="s">
        <v>2680</v>
      </c>
      <c r="C239">
        <v>250</v>
      </c>
      <c r="D239" s="1043" t="s">
        <v>2681</v>
      </c>
      <c r="E239" s="130">
        <v>480600</v>
      </c>
    </row>
    <row r="240" spans="1:5">
      <c r="C240">
        <v>350</v>
      </c>
      <c r="D240" s="1043"/>
      <c r="E240" s="130">
        <v>672850</v>
      </c>
    </row>
    <row r="241" spans="1:5">
      <c r="A241" t="s">
        <v>2682</v>
      </c>
      <c r="C241">
        <v>250</v>
      </c>
      <c r="D241" s="1040" t="s">
        <v>2683</v>
      </c>
      <c r="E241" s="130">
        <v>516700</v>
      </c>
    </row>
    <row r="242" spans="1:5">
      <c r="C242">
        <v>350</v>
      </c>
      <c r="D242" s="1040"/>
      <c r="E242" s="130">
        <v>723380</v>
      </c>
    </row>
    <row r="243" spans="1:5" ht="34.799999999999997" customHeight="1">
      <c r="A243" t="s">
        <v>2684</v>
      </c>
      <c r="C243">
        <v>250</v>
      </c>
      <c r="D243" s="1043" t="s">
        <v>2685</v>
      </c>
      <c r="E243" s="130">
        <v>556760</v>
      </c>
    </row>
    <row r="244" spans="1:5">
      <c r="C244">
        <v>350</v>
      </c>
      <c r="D244" s="1043"/>
      <c r="E244" s="130">
        <v>779470</v>
      </c>
    </row>
    <row r="245" spans="1:5">
      <c r="A245" t="s">
        <v>2686</v>
      </c>
      <c r="C245">
        <v>250</v>
      </c>
      <c r="D245" s="1040" t="s">
        <v>2687</v>
      </c>
      <c r="E245" s="130">
        <v>632400</v>
      </c>
    </row>
    <row r="246" spans="1:5">
      <c r="C246">
        <v>350</v>
      </c>
      <c r="D246" s="1040"/>
      <c r="E246" s="130">
        <v>885360</v>
      </c>
    </row>
    <row r="247" spans="1:5">
      <c r="A247" t="s">
        <v>2688</v>
      </c>
      <c r="C247">
        <v>350</v>
      </c>
      <c r="D247" t="s">
        <v>2689</v>
      </c>
      <c r="E247" s="130">
        <v>804110</v>
      </c>
    </row>
    <row r="248" spans="1:5">
      <c r="A248" t="s">
        <v>2690</v>
      </c>
      <c r="C248">
        <v>250</v>
      </c>
      <c r="D248" s="1040" t="s">
        <v>2478</v>
      </c>
      <c r="E248" s="130">
        <v>504630</v>
      </c>
    </row>
    <row r="249" spans="1:5">
      <c r="C249">
        <v>350</v>
      </c>
      <c r="D249" s="1040"/>
      <c r="E249" s="130">
        <v>706490</v>
      </c>
    </row>
    <row r="250" spans="1:5">
      <c r="A250" t="s">
        <v>2693</v>
      </c>
      <c r="C250">
        <v>350</v>
      </c>
      <c r="D250" t="s">
        <v>2694</v>
      </c>
      <c r="E250" s="130">
        <v>706490</v>
      </c>
    </row>
    <row r="251" spans="1:5">
      <c r="A251" t="s">
        <v>2691</v>
      </c>
      <c r="C251">
        <v>350</v>
      </c>
      <c r="D251" t="s">
        <v>2695</v>
      </c>
      <c r="E251" s="130">
        <v>759550</v>
      </c>
    </row>
    <row r="252" spans="1:5">
      <c r="A252" t="s">
        <v>2692</v>
      </c>
      <c r="C252">
        <v>350</v>
      </c>
      <c r="D252" t="s">
        <v>2696</v>
      </c>
      <c r="E252" s="130">
        <v>929620</v>
      </c>
    </row>
    <row r="253" spans="1:5">
      <c r="A253" t="s">
        <v>2697</v>
      </c>
      <c r="C253">
        <v>120</v>
      </c>
      <c r="D253" s="1040" t="s">
        <v>2698</v>
      </c>
      <c r="E253" s="130">
        <v>152520</v>
      </c>
    </row>
    <row r="254" spans="1:5">
      <c r="C254">
        <v>170</v>
      </c>
      <c r="D254" s="1040"/>
      <c r="E254" s="130">
        <v>216080</v>
      </c>
    </row>
    <row r="255" spans="1:5">
      <c r="C255">
        <v>195</v>
      </c>
      <c r="D255" s="1040"/>
      <c r="E255" s="130">
        <v>247860</v>
      </c>
    </row>
    <row r="256" spans="1:5">
      <c r="C256">
        <v>230</v>
      </c>
      <c r="D256" s="1040"/>
      <c r="E256" s="130">
        <v>292340</v>
      </c>
    </row>
    <row r="257" spans="1:5">
      <c r="A257" t="s">
        <v>2699</v>
      </c>
      <c r="C257">
        <v>200</v>
      </c>
      <c r="D257" s="1040" t="s">
        <v>2636</v>
      </c>
      <c r="E257" s="130">
        <v>261000</v>
      </c>
    </row>
    <row r="258" spans="1:5">
      <c r="C258">
        <v>230</v>
      </c>
      <c r="D258" s="1040"/>
      <c r="E258" s="130">
        <v>300150</v>
      </c>
    </row>
    <row r="259" spans="1:5">
      <c r="A259" t="s">
        <v>2701</v>
      </c>
      <c r="C259">
        <v>200</v>
      </c>
      <c r="D259" t="s">
        <v>2700</v>
      </c>
      <c r="E259" s="130">
        <v>302610</v>
      </c>
    </row>
    <row r="260" spans="1:5">
      <c r="A260" t="s">
        <v>2702</v>
      </c>
      <c r="C260">
        <v>110</v>
      </c>
      <c r="D260" s="1043" t="s">
        <v>2703</v>
      </c>
      <c r="E260" s="111">
        <v>207420</v>
      </c>
    </row>
    <row r="261" spans="1:5">
      <c r="C261">
        <v>120</v>
      </c>
      <c r="D261" s="1043"/>
      <c r="E261" s="111">
        <v>226240</v>
      </c>
    </row>
    <row r="262" spans="1:5">
      <c r="C262">
        <v>220</v>
      </c>
      <c r="D262" s="1043"/>
      <c r="E262" s="111">
        <v>402560</v>
      </c>
    </row>
    <row r="263" spans="1:5">
      <c r="C263">
        <v>280</v>
      </c>
      <c r="D263" s="1043"/>
      <c r="E263" s="111">
        <v>512460</v>
      </c>
    </row>
    <row r="264" spans="1:5">
      <c r="C264">
        <v>300</v>
      </c>
      <c r="D264" s="1043"/>
      <c r="E264" s="111">
        <v>549060</v>
      </c>
    </row>
    <row r="265" spans="1:5">
      <c r="C265">
        <v>350</v>
      </c>
      <c r="D265" s="1043"/>
      <c r="E265" s="111">
        <v>640580</v>
      </c>
    </row>
    <row r="266" spans="1:5">
      <c r="C266">
        <v>400</v>
      </c>
      <c r="D266" s="1043"/>
      <c r="E266" s="111">
        <v>732090</v>
      </c>
    </row>
    <row r="267" spans="1:5">
      <c r="C267">
        <v>420</v>
      </c>
      <c r="D267" s="1043"/>
      <c r="E267" s="111">
        <v>768690</v>
      </c>
    </row>
    <row r="268" spans="1:5">
      <c r="A268" t="s">
        <v>2704</v>
      </c>
      <c r="C268">
        <v>350</v>
      </c>
      <c r="D268" t="s">
        <v>2705</v>
      </c>
      <c r="E268" s="111">
        <v>726000</v>
      </c>
    </row>
    <row r="269" spans="1:5" ht="34.799999999999997" customHeight="1">
      <c r="A269" t="s">
        <v>2706</v>
      </c>
      <c r="C269">
        <v>110</v>
      </c>
      <c r="D269" s="1043" t="s">
        <v>2707</v>
      </c>
      <c r="E269" s="111">
        <v>274080</v>
      </c>
    </row>
    <row r="270" spans="1:5">
      <c r="C270">
        <v>120</v>
      </c>
      <c r="D270" s="1043"/>
      <c r="E270" s="111">
        <v>298780</v>
      </c>
    </row>
    <row r="271" spans="1:5">
      <c r="C271">
        <v>220</v>
      </c>
      <c r="D271" s="1043"/>
      <c r="E271" s="111">
        <v>533300</v>
      </c>
    </row>
    <row r="272" spans="1:5">
      <c r="C272">
        <v>280</v>
      </c>
      <c r="D272" s="1043"/>
      <c r="E272" s="111">
        <v>678750</v>
      </c>
    </row>
    <row r="273" spans="1:5">
      <c r="C273">
        <v>300</v>
      </c>
      <c r="D273" s="1043"/>
      <c r="E273" s="111">
        <v>727230</v>
      </c>
    </row>
    <row r="274" spans="1:5">
      <c r="C274">
        <v>350</v>
      </c>
      <c r="D274" s="1043"/>
      <c r="E274" s="111">
        <v>848440</v>
      </c>
    </row>
    <row r="275" spans="1:5">
      <c r="C275">
        <v>400</v>
      </c>
      <c r="D275" s="1043"/>
      <c r="E275" s="111">
        <v>969640</v>
      </c>
    </row>
    <row r="276" spans="1:5">
      <c r="C276">
        <v>420</v>
      </c>
      <c r="D276" s="1043"/>
      <c r="E276" s="111">
        <v>1018120</v>
      </c>
    </row>
    <row r="277" spans="1:5">
      <c r="A277" t="s">
        <v>2708</v>
      </c>
      <c r="C277">
        <v>120</v>
      </c>
      <c r="D277" s="1040" t="s">
        <v>2709</v>
      </c>
      <c r="E277" s="111">
        <v>226240</v>
      </c>
    </row>
    <row r="278" spans="1:5">
      <c r="C278">
        <v>220</v>
      </c>
      <c r="D278" s="1040"/>
      <c r="E278" s="111">
        <v>402650</v>
      </c>
    </row>
    <row r="279" spans="1:5">
      <c r="A279" t="s">
        <v>2710</v>
      </c>
      <c r="C279">
        <v>220</v>
      </c>
      <c r="D279" t="s">
        <v>2711</v>
      </c>
      <c r="E279" s="111">
        <v>457980</v>
      </c>
    </row>
    <row r="280" spans="1:5">
      <c r="A280" t="s">
        <v>2712</v>
      </c>
      <c r="C280">
        <v>120</v>
      </c>
      <c r="D280" s="1040" t="s">
        <v>2713</v>
      </c>
      <c r="E280" s="111">
        <v>298780</v>
      </c>
    </row>
    <row r="281" spans="1:5">
      <c r="C281">
        <v>220</v>
      </c>
      <c r="D281" s="1040"/>
      <c r="E281" s="111">
        <v>533300</v>
      </c>
    </row>
    <row r="282" spans="1:5">
      <c r="A282" t="s">
        <v>2714</v>
      </c>
      <c r="C282">
        <v>100</v>
      </c>
      <c r="D282" s="1040" t="s">
        <v>2336</v>
      </c>
      <c r="E282" s="111">
        <v>176240</v>
      </c>
    </row>
    <row r="283" spans="1:5">
      <c r="C283">
        <v>200</v>
      </c>
      <c r="D283" s="1040"/>
      <c r="E283" s="111">
        <v>352470</v>
      </c>
    </row>
    <row r="284" spans="1:5" ht="52.2" customHeight="1">
      <c r="A284" t="s">
        <v>2715</v>
      </c>
      <c r="C284">
        <v>120</v>
      </c>
      <c r="D284" s="1043" t="s">
        <v>2716</v>
      </c>
      <c r="E284" s="130">
        <v>226240</v>
      </c>
    </row>
    <row r="285" spans="1:5">
      <c r="C285">
        <v>220</v>
      </c>
      <c r="D285" s="1043"/>
      <c r="E285" s="130">
        <v>402650</v>
      </c>
    </row>
    <row r="286" spans="1:5">
      <c r="C286">
        <v>400</v>
      </c>
      <c r="D286" s="1043"/>
      <c r="E286" s="130">
        <v>732090</v>
      </c>
    </row>
    <row r="287" spans="1:5">
      <c r="A287" t="s">
        <v>2717</v>
      </c>
      <c r="C287">
        <v>120</v>
      </c>
      <c r="D287" s="1040" t="s">
        <v>2718</v>
      </c>
      <c r="E287" s="130">
        <v>289780</v>
      </c>
    </row>
    <row r="288" spans="1:5">
      <c r="C288">
        <v>220</v>
      </c>
      <c r="D288" s="1040"/>
      <c r="E288" s="130">
        <v>533300</v>
      </c>
    </row>
    <row r="289" spans="1:5">
      <c r="C289">
        <v>400</v>
      </c>
      <c r="D289" s="1040"/>
      <c r="E289" s="130">
        <v>969640</v>
      </c>
    </row>
    <row r="290" spans="1:5">
      <c r="A290" t="s">
        <v>2720</v>
      </c>
      <c r="C290">
        <v>120</v>
      </c>
      <c r="D290" s="1040" t="s">
        <v>2713</v>
      </c>
      <c r="E290" s="130">
        <v>298780</v>
      </c>
    </row>
    <row r="291" spans="1:5">
      <c r="C291">
        <v>220</v>
      </c>
      <c r="D291" s="1040"/>
      <c r="E291" s="130">
        <v>533300</v>
      </c>
    </row>
    <row r="292" spans="1:5">
      <c r="C292">
        <v>400</v>
      </c>
      <c r="D292" s="1040"/>
      <c r="E292" s="111">
        <v>969640</v>
      </c>
    </row>
    <row r="293" spans="1:5">
      <c r="A293" t="s">
        <v>2721</v>
      </c>
      <c r="C293">
        <v>110</v>
      </c>
      <c r="D293" s="1040" t="s">
        <v>2722</v>
      </c>
      <c r="E293">
        <v>223410</v>
      </c>
    </row>
    <row r="294" spans="1:5">
      <c r="C294">
        <v>150</v>
      </c>
      <c r="D294" s="1040"/>
      <c r="E294" s="130">
        <v>304650</v>
      </c>
    </row>
    <row r="295" spans="1:5">
      <c r="C295">
        <v>160</v>
      </c>
      <c r="D295" s="1040"/>
      <c r="E295" s="130">
        <v>324960</v>
      </c>
    </row>
    <row r="296" spans="1:5">
      <c r="C296">
        <v>200</v>
      </c>
      <c r="D296" s="1040"/>
      <c r="E296" s="130">
        <v>406210</v>
      </c>
    </row>
    <row r="297" spans="1:5">
      <c r="C297">
        <v>250</v>
      </c>
      <c r="D297" s="1040"/>
      <c r="E297" s="130">
        <v>507760</v>
      </c>
    </row>
    <row r="298" spans="1:5">
      <c r="A298" t="s">
        <v>2724</v>
      </c>
      <c r="C298">
        <v>110</v>
      </c>
      <c r="D298" s="1040" t="s">
        <v>2723</v>
      </c>
      <c r="E298" s="130">
        <v>292920</v>
      </c>
    </row>
    <row r="299" spans="1:5">
      <c r="C299">
        <v>150</v>
      </c>
      <c r="D299" s="1040"/>
      <c r="E299" s="111">
        <v>399440</v>
      </c>
    </row>
    <row r="300" spans="1:5">
      <c r="C300">
        <v>160</v>
      </c>
      <c r="D300" s="1040"/>
      <c r="E300" s="130">
        <v>532580</v>
      </c>
    </row>
    <row r="301" spans="1:5">
      <c r="C301">
        <v>200</v>
      </c>
      <c r="D301" s="1040"/>
      <c r="E301" s="130">
        <v>665730</v>
      </c>
    </row>
    <row r="302" spans="1:5">
      <c r="C302">
        <v>250</v>
      </c>
      <c r="D302" s="1040"/>
      <c r="E302" s="130">
        <v>798880</v>
      </c>
    </row>
    <row r="303" spans="1:5">
      <c r="A303" t="s">
        <v>2725</v>
      </c>
      <c r="C303">
        <v>120</v>
      </c>
      <c r="D303" s="1040" t="s">
        <v>2726</v>
      </c>
      <c r="E303" s="130">
        <v>276310</v>
      </c>
    </row>
    <row r="304" spans="1:5">
      <c r="C304">
        <v>220</v>
      </c>
      <c r="D304" s="1040"/>
      <c r="E304" s="130">
        <v>490070</v>
      </c>
    </row>
    <row r="305" spans="1:5">
      <c r="C305">
        <v>300</v>
      </c>
      <c r="D305" s="1040"/>
      <c r="E305" s="130">
        <v>668280</v>
      </c>
    </row>
    <row r="306" spans="1:5">
      <c r="C306">
        <v>350</v>
      </c>
      <c r="D306" s="1040"/>
      <c r="E306" s="130">
        <v>670520</v>
      </c>
    </row>
    <row r="307" spans="1:5">
      <c r="A307" t="s">
        <v>2727</v>
      </c>
      <c r="C307">
        <v>120</v>
      </c>
      <c r="D307" s="1040" t="s">
        <v>2728</v>
      </c>
      <c r="E307" s="130">
        <v>257730</v>
      </c>
    </row>
    <row r="308" spans="1:5">
      <c r="C308">
        <v>200</v>
      </c>
      <c r="D308" s="1040"/>
      <c r="E308" s="130">
        <v>429550</v>
      </c>
    </row>
    <row r="309" spans="1:5">
      <c r="A309" t="s">
        <v>2729</v>
      </c>
      <c r="C309">
        <v>140</v>
      </c>
      <c r="D309" s="1040" t="s">
        <v>2336</v>
      </c>
      <c r="E309" s="130">
        <v>270310</v>
      </c>
    </row>
    <row r="310" spans="1:5">
      <c r="C310">
        <v>300</v>
      </c>
      <c r="D310" s="1040"/>
      <c r="E310" s="130">
        <v>499330</v>
      </c>
    </row>
    <row r="311" spans="1:5">
      <c r="C311">
        <v>350</v>
      </c>
      <c r="D311" s="1040"/>
      <c r="E311" s="130">
        <v>582550</v>
      </c>
    </row>
    <row r="312" spans="1:5">
      <c r="A312" t="s">
        <v>2730</v>
      </c>
      <c r="C312">
        <v>160</v>
      </c>
      <c r="D312" s="1040" t="s">
        <v>2336</v>
      </c>
      <c r="E312" s="130">
        <v>308930</v>
      </c>
    </row>
    <row r="313" spans="1:5">
      <c r="C313">
        <v>350</v>
      </c>
      <c r="D313" s="1040"/>
      <c r="E313" s="130">
        <v>582550</v>
      </c>
    </row>
    <row r="314" spans="1:5">
      <c r="A314" t="s">
        <v>2731</v>
      </c>
      <c r="C314">
        <v>140</v>
      </c>
      <c r="D314" s="1040" t="s">
        <v>2336</v>
      </c>
      <c r="E314" s="130">
        <v>232810</v>
      </c>
    </row>
    <row r="315" spans="1:5">
      <c r="C315">
        <v>300</v>
      </c>
      <c r="D315" s="1040"/>
      <c r="E315" s="130">
        <v>430060</v>
      </c>
    </row>
    <row r="316" spans="1:5">
      <c r="C316">
        <v>350</v>
      </c>
      <c r="D316" s="1040"/>
      <c r="E316" s="130">
        <v>501740</v>
      </c>
    </row>
    <row r="317" spans="1:5">
      <c r="A317" t="s">
        <v>2732</v>
      </c>
      <c r="C317">
        <v>350</v>
      </c>
      <c r="D317" t="s">
        <v>2733</v>
      </c>
      <c r="E317" s="130">
        <v>536410</v>
      </c>
    </row>
    <row r="318" spans="1:5" ht="52.2" customHeight="1">
      <c r="A318" t="s">
        <v>2734</v>
      </c>
      <c r="C318">
        <v>120</v>
      </c>
      <c r="D318" s="1043" t="s">
        <v>2735</v>
      </c>
      <c r="E318" s="130">
        <v>491880</v>
      </c>
    </row>
    <row r="319" spans="1:5">
      <c r="C319">
        <v>220</v>
      </c>
      <c r="D319" s="1043"/>
      <c r="E319" s="130">
        <v>800680</v>
      </c>
    </row>
    <row r="320" spans="1:5">
      <c r="C320">
        <v>370</v>
      </c>
      <c r="D320" s="1043"/>
      <c r="E320" s="130">
        <v>1123230</v>
      </c>
    </row>
    <row r="321" spans="1:5">
      <c r="C321">
        <v>400</v>
      </c>
      <c r="D321" s="1043"/>
      <c r="E321" s="130">
        <v>1214300</v>
      </c>
    </row>
    <row r="322" spans="1:5">
      <c r="A322" t="s">
        <v>2736</v>
      </c>
      <c r="C322">
        <v>120</v>
      </c>
      <c r="D322" s="1040" t="s">
        <v>2705</v>
      </c>
      <c r="E322" s="130">
        <v>594590</v>
      </c>
    </row>
    <row r="323" spans="1:5">
      <c r="C323">
        <v>220</v>
      </c>
      <c r="D323" s="1040"/>
      <c r="E323" s="130">
        <v>955530</v>
      </c>
    </row>
    <row r="324" spans="1:5">
      <c r="C324">
        <v>370</v>
      </c>
      <c r="D324" s="1040"/>
      <c r="E324" s="130">
        <v>1235190</v>
      </c>
    </row>
    <row r="325" spans="1:5">
      <c r="C325">
        <v>400</v>
      </c>
      <c r="D325" s="1040"/>
      <c r="E325" s="130">
        <v>1335350</v>
      </c>
    </row>
    <row r="326" spans="1:5" ht="34.799999999999997" customHeight="1">
      <c r="A326" t="s">
        <v>2737</v>
      </c>
      <c r="C326">
        <v>120</v>
      </c>
      <c r="D326" s="1043" t="s">
        <v>2738</v>
      </c>
      <c r="E326" s="130">
        <v>654020</v>
      </c>
    </row>
    <row r="327" spans="1:5">
      <c r="C327">
        <v>220</v>
      </c>
      <c r="D327" s="1043"/>
      <c r="E327" s="130">
        <v>1051050</v>
      </c>
    </row>
    <row r="328" spans="1:5">
      <c r="C328">
        <v>370</v>
      </c>
      <c r="D328" s="1043"/>
      <c r="E328" s="130">
        <v>1382100</v>
      </c>
    </row>
    <row r="329" spans="1:5">
      <c r="C329">
        <v>400</v>
      </c>
      <c r="D329" s="1043"/>
      <c r="E329" s="130">
        <v>1494170</v>
      </c>
    </row>
    <row r="330" spans="1:5">
      <c r="A330" t="s">
        <v>2739</v>
      </c>
      <c r="C330">
        <v>120</v>
      </c>
      <c r="D330" s="1040" t="s">
        <v>2740</v>
      </c>
      <c r="E330" s="130">
        <v>605170</v>
      </c>
    </row>
    <row r="331" spans="1:5">
      <c r="C331">
        <v>220</v>
      </c>
      <c r="D331" s="1040"/>
      <c r="E331" s="130">
        <v>972530</v>
      </c>
    </row>
    <row r="332" spans="1:5">
      <c r="C332">
        <v>370</v>
      </c>
      <c r="D332" s="1040"/>
      <c r="E332" s="130">
        <v>1257170</v>
      </c>
    </row>
    <row r="333" spans="1:5">
      <c r="C333">
        <v>400</v>
      </c>
      <c r="D333" s="1040"/>
      <c r="E333" s="130">
        <v>1359110</v>
      </c>
    </row>
    <row r="334" spans="1:5">
      <c r="A334" t="s">
        <v>2741</v>
      </c>
      <c r="C334">
        <v>120</v>
      </c>
      <c r="D334" s="1040" t="s">
        <v>2742</v>
      </c>
      <c r="E334" s="130">
        <v>248860</v>
      </c>
    </row>
    <row r="335" spans="1:5">
      <c r="C335">
        <v>220</v>
      </c>
      <c r="D335" s="1040"/>
      <c r="E335" s="130">
        <v>442910</v>
      </c>
    </row>
    <row r="336" spans="1:5">
      <c r="C336">
        <v>350</v>
      </c>
      <c r="D336" s="1040"/>
      <c r="E336" s="130">
        <v>704630</v>
      </c>
    </row>
    <row r="337" spans="1:7">
      <c r="A337" t="s">
        <v>2743</v>
      </c>
      <c r="C337">
        <v>200</v>
      </c>
      <c r="D337">
        <v>0</v>
      </c>
      <c r="E337" s="130">
        <v>256110</v>
      </c>
      <c r="G337" s="144"/>
    </row>
    <row r="338" spans="1:7">
      <c r="C338">
        <v>220</v>
      </c>
      <c r="D338">
        <v>0</v>
      </c>
      <c r="E338" s="130">
        <v>273700</v>
      </c>
      <c r="G338" s="144"/>
    </row>
    <row r="339" spans="1:7">
      <c r="C339">
        <v>230</v>
      </c>
      <c r="D339">
        <v>0</v>
      </c>
      <c r="E339" s="130">
        <v>280570</v>
      </c>
      <c r="G339" s="144"/>
    </row>
    <row r="340" spans="1:7">
      <c r="C340">
        <v>240</v>
      </c>
      <c r="D340">
        <v>0</v>
      </c>
      <c r="E340" s="130">
        <v>286960</v>
      </c>
      <c r="G340" s="144"/>
    </row>
    <row r="341" spans="1:7">
      <c r="C341">
        <v>260</v>
      </c>
      <c r="D341">
        <v>0</v>
      </c>
      <c r="E341" s="130">
        <v>312030</v>
      </c>
      <c r="G341" s="144"/>
    </row>
    <row r="342" spans="1:7">
      <c r="C342">
        <v>280</v>
      </c>
      <c r="D342">
        <v>0</v>
      </c>
      <c r="E342" s="130">
        <v>334320</v>
      </c>
      <c r="G342" s="144"/>
    </row>
    <row r="343" spans="1:7">
      <c r="C343">
        <v>300</v>
      </c>
      <c r="D343">
        <v>0</v>
      </c>
      <c r="E343" s="130">
        <v>359390</v>
      </c>
      <c r="G343" s="144"/>
    </row>
    <row r="344" spans="1:7">
      <c r="C344">
        <v>350</v>
      </c>
      <c r="D344">
        <v>0</v>
      </c>
      <c r="E344" s="130">
        <v>420690</v>
      </c>
      <c r="G344" s="144"/>
    </row>
    <row r="345" spans="1:7">
      <c r="C345">
        <v>400</v>
      </c>
      <c r="D345">
        <v>0</v>
      </c>
      <c r="E345" s="130">
        <v>479190</v>
      </c>
      <c r="G345" s="144"/>
    </row>
    <row r="346" spans="1:7">
      <c r="C346">
        <v>450</v>
      </c>
      <c r="D346">
        <v>0</v>
      </c>
      <c r="E346" s="130">
        <v>540480</v>
      </c>
      <c r="G346" s="144"/>
    </row>
    <row r="347" spans="1:7">
      <c r="C347">
        <v>500</v>
      </c>
      <c r="D347">
        <v>0</v>
      </c>
      <c r="E347" s="130">
        <v>598990</v>
      </c>
      <c r="G347" s="144"/>
    </row>
    <row r="348" spans="1:7">
      <c r="B348" t="s">
        <v>2320</v>
      </c>
      <c r="C348">
        <v>200</v>
      </c>
      <c r="D348" t="s">
        <v>2744</v>
      </c>
      <c r="E348" s="130">
        <v>177746</v>
      </c>
      <c r="F348" s="111"/>
    </row>
    <row r="349" spans="1:7">
      <c r="C349">
        <v>220</v>
      </c>
      <c r="D349" t="s">
        <v>2744</v>
      </c>
      <c r="E349" s="130">
        <v>189954</v>
      </c>
      <c r="F349" s="111"/>
    </row>
    <row r="350" spans="1:7">
      <c r="C350">
        <v>230</v>
      </c>
      <c r="D350" t="s">
        <v>2744</v>
      </c>
      <c r="E350" s="111">
        <v>194722.02808612707</v>
      </c>
    </row>
    <row r="351" spans="1:7">
      <c r="C351">
        <v>240</v>
      </c>
      <c r="D351" t="s">
        <v>2744</v>
      </c>
      <c r="E351" s="111">
        <v>199156.83494170799</v>
      </c>
    </row>
    <row r="352" spans="1:7">
      <c r="C352">
        <v>260</v>
      </c>
      <c r="D352" t="s">
        <v>2744</v>
      </c>
      <c r="E352" s="111">
        <v>216555.99110280577</v>
      </c>
    </row>
    <row r="353" spans="1:7">
      <c r="C353">
        <v>280</v>
      </c>
      <c r="D353" t="s">
        <v>2744</v>
      </c>
      <c r="E353" s="111">
        <v>232025.76337368213</v>
      </c>
    </row>
    <row r="354" spans="1:7">
      <c r="C354">
        <v>300</v>
      </c>
      <c r="D354" t="s">
        <v>2744</v>
      </c>
      <c r="E354" s="111">
        <v>249424.91953477994</v>
      </c>
    </row>
    <row r="355" spans="1:7">
      <c r="C355">
        <v>350</v>
      </c>
      <c r="D355" t="s">
        <v>2744</v>
      </c>
      <c r="E355" s="111">
        <v>291968.52833714499</v>
      </c>
    </row>
    <row r="356" spans="1:7">
      <c r="C356">
        <v>400</v>
      </c>
      <c r="D356" t="s">
        <v>2744</v>
      </c>
      <c r="E356" s="111">
        <v>332568.87278964685</v>
      </c>
    </row>
    <row r="357" spans="1:7">
      <c r="C357">
        <v>450</v>
      </c>
      <c r="D357" t="s">
        <v>2744</v>
      </c>
      <c r="E357" s="111">
        <v>375105.54136219108</v>
      </c>
    </row>
    <row r="358" spans="1:7">
      <c r="C358">
        <v>500</v>
      </c>
      <c r="D358" t="s">
        <v>2744</v>
      </c>
      <c r="E358" s="111">
        <v>415712.82604451373</v>
      </c>
      <c r="G358" s="145"/>
    </row>
    <row r="359" spans="1:7">
      <c r="A359" t="s">
        <v>2745</v>
      </c>
      <c r="B359" t="s">
        <v>2417</v>
      </c>
      <c r="C359">
        <v>260</v>
      </c>
      <c r="E359" s="128">
        <v>208520</v>
      </c>
      <c r="F359" s="132"/>
      <c r="G359" s="145"/>
    </row>
    <row r="360" spans="1:7">
      <c r="C360">
        <v>280</v>
      </c>
      <c r="E360" s="128">
        <v>220070</v>
      </c>
      <c r="F360" s="132"/>
      <c r="G360" s="145"/>
    </row>
    <row r="361" spans="1:7">
      <c r="C361">
        <v>300</v>
      </c>
      <c r="E361" s="128">
        <v>235060</v>
      </c>
      <c r="F361" s="132"/>
      <c r="G361" s="145"/>
    </row>
    <row r="362" spans="1:7">
      <c r="C362">
        <v>350</v>
      </c>
      <c r="E362" s="128">
        <v>272400</v>
      </c>
      <c r="F362" s="132"/>
      <c r="G362" s="145"/>
    </row>
    <row r="363" spans="1:7">
      <c r="C363">
        <v>400</v>
      </c>
      <c r="E363" s="128">
        <v>307340</v>
      </c>
      <c r="F363" s="132"/>
      <c r="G363" s="145"/>
    </row>
    <row r="364" spans="1:7">
      <c r="C364">
        <v>450</v>
      </c>
      <c r="E364" s="128">
        <v>343750</v>
      </c>
      <c r="F364" s="132"/>
      <c r="G364" s="145"/>
    </row>
    <row r="365" spans="1:7">
      <c r="C365">
        <v>500</v>
      </c>
      <c r="E365" s="128">
        <v>375900</v>
      </c>
      <c r="F365" s="132"/>
      <c r="G365" s="145"/>
    </row>
    <row r="366" spans="1:7">
      <c r="B366" t="s">
        <v>2320</v>
      </c>
      <c r="C366">
        <v>260</v>
      </c>
      <c r="D366" t="s">
        <v>2744</v>
      </c>
      <c r="E366" s="132">
        <v>144850.3190385573</v>
      </c>
    </row>
    <row r="367" spans="1:7">
      <c r="C367">
        <v>280</v>
      </c>
      <c r="D367" t="s">
        <v>2744</v>
      </c>
      <c r="E367" s="132">
        <v>152873.63183778679</v>
      </c>
    </row>
    <row r="368" spans="1:7">
      <c r="C368">
        <v>300</v>
      </c>
      <c r="D368" t="s">
        <v>2744</v>
      </c>
      <c r="E368" s="132">
        <v>163286.5719988647</v>
      </c>
    </row>
    <row r="369" spans="1:7">
      <c r="C369">
        <v>350</v>
      </c>
      <c r="D369" t="s">
        <v>2744</v>
      </c>
      <c r="E369" s="132">
        <v>189225.14342078936</v>
      </c>
    </row>
    <row r="370" spans="1:7">
      <c r="C370">
        <v>400</v>
      </c>
      <c r="D370" t="s">
        <v>2744</v>
      </c>
      <c r="E370" s="132">
        <v>213496.53296235466</v>
      </c>
    </row>
    <row r="371" spans="1:7">
      <c r="C371">
        <v>450</v>
      </c>
      <c r="D371" t="s">
        <v>2744</v>
      </c>
      <c r="E371" s="132">
        <v>238789.07140564002</v>
      </c>
    </row>
    <row r="372" spans="1:7">
      <c r="C372">
        <v>500</v>
      </c>
      <c r="D372" t="s">
        <v>2744</v>
      </c>
      <c r="E372" s="111">
        <v>261122.36201128751</v>
      </c>
    </row>
    <row r="373" spans="1:7">
      <c r="A373" t="s">
        <v>2746</v>
      </c>
      <c r="B373" t="s">
        <v>2417</v>
      </c>
      <c r="C373">
        <v>180</v>
      </c>
      <c r="E373" s="111">
        <v>130340</v>
      </c>
      <c r="G373" s="145"/>
    </row>
    <row r="374" spans="1:7">
      <c r="C374">
        <v>240</v>
      </c>
      <c r="E374" s="132">
        <v>153740</v>
      </c>
      <c r="G374" s="145"/>
    </row>
    <row r="375" spans="1:7">
      <c r="C375">
        <v>260</v>
      </c>
      <c r="E375" s="132">
        <v>163580</v>
      </c>
      <c r="G375" s="145"/>
    </row>
    <row r="376" spans="1:7">
      <c r="C376">
        <v>280</v>
      </c>
      <c r="E376" s="132">
        <v>171150</v>
      </c>
      <c r="G376" s="145"/>
    </row>
    <row r="377" spans="1:7">
      <c r="C377">
        <v>300</v>
      </c>
      <c r="E377" s="132">
        <v>181640</v>
      </c>
      <c r="G377" s="145"/>
    </row>
    <row r="378" spans="1:7">
      <c r="C378">
        <v>350</v>
      </c>
      <c r="E378" s="132">
        <v>211490</v>
      </c>
      <c r="G378" s="145"/>
    </row>
    <row r="379" spans="1:7">
      <c r="C379">
        <v>400</v>
      </c>
      <c r="E379" s="132">
        <v>237220</v>
      </c>
      <c r="G379" s="145"/>
    </row>
    <row r="380" spans="1:7">
      <c r="C380">
        <v>450</v>
      </c>
      <c r="E380" s="132">
        <v>264040</v>
      </c>
      <c r="G380" s="145"/>
    </row>
    <row r="381" spans="1:7">
      <c r="C381">
        <v>500</v>
      </c>
      <c r="E381" s="132">
        <v>289170</v>
      </c>
      <c r="G381" s="145"/>
    </row>
    <row r="382" spans="1:7">
      <c r="B382" t="s">
        <v>2320</v>
      </c>
      <c r="C382">
        <v>180</v>
      </c>
      <c r="D382" t="s">
        <v>2744</v>
      </c>
      <c r="E382" s="111">
        <v>90541.869285850524</v>
      </c>
    </row>
    <row r="383" spans="1:7">
      <c r="C383">
        <v>240</v>
      </c>
      <c r="D383" t="s">
        <v>2744</v>
      </c>
      <c r="E383" s="111">
        <v>106796.89261935446</v>
      </c>
    </row>
    <row r="384" spans="1:7">
      <c r="C384">
        <v>260</v>
      </c>
      <c r="D384" t="s">
        <v>2744</v>
      </c>
      <c r="E384" s="111">
        <v>113632.33832882791</v>
      </c>
    </row>
    <row r="385" spans="1:9">
      <c r="C385">
        <v>280</v>
      </c>
      <c r="D385" t="s">
        <v>2744</v>
      </c>
      <c r="E385" s="111">
        <v>118890.90784312811</v>
      </c>
    </row>
    <row r="386" spans="1:9">
      <c r="C386">
        <v>300</v>
      </c>
      <c r="D386" t="s">
        <v>2744</v>
      </c>
      <c r="E386" s="111">
        <v>126177.88197853223</v>
      </c>
    </row>
    <row r="387" spans="1:9">
      <c r="C387">
        <v>350</v>
      </c>
      <c r="D387" t="s">
        <v>2744</v>
      </c>
      <c r="E387" s="111">
        <v>146913.45661550201</v>
      </c>
    </row>
    <row r="388" spans="1:9">
      <c r="C388">
        <v>400</v>
      </c>
      <c r="D388" t="s">
        <v>2744</v>
      </c>
      <c r="E388" s="111">
        <v>164787.03569118815</v>
      </c>
    </row>
    <row r="389" spans="1:9">
      <c r="C389">
        <v>450</v>
      </c>
      <c r="D389" t="s">
        <v>2744</v>
      </c>
      <c r="E389" s="111">
        <v>183417.79320420418</v>
      </c>
    </row>
    <row r="390" spans="1:9">
      <c r="C390">
        <v>500</v>
      </c>
      <c r="D390" t="s">
        <v>2744</v>
      </c>
      <c r="E390" s="111">
        <v>200874.57680980055</v>
      </c>
    </row>
    <row r="391" spans="1:9">
      <c r="A391" t="s">
        <v>2789</v>
      </c>
      <c r="B391" t="s">
        <v>2320</v>
      </c>
      <c r="C391">
        <v>60</v>
      </c>
      <c r="E391" s="130">
        <v>54319.099999999991</v>
      </c>
      <c r="H391" s="130"/>
      <c r="I391" s="800"/>
    </row>
    <row r="392" spans="1:9">
      <c r="C392">
        <v>65</v>
      </c>
      <c r="E392" s="130">
        <v>50510.999999999993</v>
      </c>
      <c r="H392" s="130"/>
      <c r="I392" s="800"/>
    </row>
    <row r="393" spans="1:9">
      <c r="C393">
        <v>70</v>
      </c>
      <c r="E393" s="130">
        <v>53347.299999999996</v>
      </c>
      <c r="H393" s="130"/>
      <c r="I393" s="800"/>
    </row>
    <row r="394" spans="1:9">
      <c r="C394">
        <v>80</v>
      </c>
      <c r="E394" s="130">
        <v>58601.799999999996</v>
      </c>
      <c r="H394" s="130"/>
      <c r="I394" s="800"/>
    </row>
    <row r="395" spans="1:9">
      <c r="C395">
        <v>85</v>
      </c>
      <c r="E395" s="130">
        <v>62127.399999999994</v>
      </c>
      <c r="H395" s="130"/>
      <c r="I395" s="800"/>
    </row>
    <row r="396" spans="1:9">
      <c r="B396" t="s">
        <v>2417</v>
      </c>
      <c r="C396">
        <v>60</v>
      </c>
      <c r="E396" s="130">
        <v>78184.7</v>
      </c>
      <c r="H396" s="130"/>
      <c r="I396" s="800"/>
    </row>
    <row r="397" spans="1:9">
      <c r="C397">
        <v>65</v>
      </c>
      <c r="E397" s="130">
        <v>72715.5</v>
      </c>
      <c r="H397" s="130"/>
      <c r="I397" s="800"/>
    </row>
    <row r="398" spans="1:9">
      <c r="C398">
        <v>70</v>
      </c>
      <c r="E398" s="130">
        <v>76806.099999999991</v>
      </c>
      <c r="H398" s="130"/>
      <c r="I398" s="800"/>
    </row>
    <row r="399" spans="1:9">
      <c r="C399">
        <v>80</v>
      </c>
      <c r="E399" s="130">
        <v>84354.499999999985</v>
      </c>
      <c r="H399" s="130"/>
      <c r="I399" s="800"/>
    </row>
    <row r="400" spans="1:9">
      <c r="C400">
        <v>85</v>
      </c>
      <c r="E400" s="130">
        <v>89450.799999999988</v>
      </c>
      <c r="H400" s="130"/>
      <c r="I400" s="800"/>
    </row>
    <row r="401" spans="1:5">
      <c r="A401" t="s">
        <v>2788</v>
      </c>
      <c r="B401" t="s">
        <v>2320</v>
      </c>
      <c r="C401">
        <v>80</v>
      </c>
      <c r="E401" s="130">
        <v>56820</v>
      </c>
    </row>
    <row r="402" spans="1:5">
      <c r="C402">
        <v>100</v>
      </c>
      <c r="E402" s="130">
        <v>66370</v>
      </c>
    </row>
    <row r="403" spans="1:5">
      <c r="C403">
        <v>120</v>
      </c>
      <c r="E403" s="130">
        <v>79640</v>
      </c>
    </row>
    <row r="404" spans="1:5">
      <c r="C404">
        <v>135</v>
      </c>
      <c r="E404" s="130">
        <v>89600</v>
      </c>
    </row>
    <row r="405" spans="1:5">
      <c r="C405">
        <v>150</v>
      </c>
      <c r="E405" s="130">
        <v>99570</v>
      </c>
    </row>
    <row r="406" spans="1:5">
      <c r="B406" t="s">
        <v>2417</v>
      </c>
      <c r="C406">
        <v>80</v>
      </c>
      <c r="E406" s="130">
        <v>81800</v>
      </c>
    </row>
    <row r="407" spans="1:5">
      <c r="C407">
        <v>100</v>
      </c>
      <c r="E407" s="130">
        <v>95560</v>
      </c>
    </row>
    <row r="408" spans="1:5">
      <c r="C408">
        <v>120</v>
      </c>
      <c r="E408" s="130">
        <v>114660</v>
      </c>
    </row>
    <row r="409" spans="1:5">
      <c r="C409">
        <v>135</v>
      </c>
      <c r="E409" s="130">
        <v>129000</v>
      </c>
    </row>
    <row r="410" spans="1:5">
      <c r="C410">
        <v>150</v>
      </c>
      <c r="E410" s="130">
        <v>143330</v>
      </c>
    </row>
    <row r="411" spans="1:5">
      <c r="A411" t="s">
        <v>2790</v>
      </c>
      <c r="B411" t="s">
        <v>2320</v>
      </c>
      <c r="C411">
        <v>60</v>
      </c>
      <c r="E411" s="130">
        <v>48070</v>
      </c>
    </row>
    <row r="412" spans="1:5">
      <c r="C412">
        <v>65</v>
      </c>
      <c r="E412" s="130">
        <v>44700</v>
      </c>
    </row>
    <row r="413" spans="1:5">
      <c r="C413">
        <v>70</v>
      </c>
      <c r="E413" s="130">
        <v>47210</v>
      </c>
    </row>
    <row r="414" spans="1:5">
      <c r="C414">
        <v>80</v>
      </c>
      <c r="E414" s="130">
        <v>51860</v>
      </c>
    </row>
    <row r="415" spans="1:5">
      <c r="C415">
        <v>85</v>
      </c>
      <c r="E415" s="130">
        <v>54980</v>
      </c>
    </row>
    <row r="416" spans="1:5">
      <c r="C416">
        <v>100</v>
      </c>
      <c r="E416" s="130">
        <v>64250</v>
      </c>
    </row>
    <row r="417" spans="1:9">
      <c r="B417" t="s">
        <v>2417</v>
      </c>
      <c r="C417">
        <v>60</v>
      </c>
      <c r="E417" s="130">
        <v>69190</v>
      </c>
    </row>
    <row r="418" spans="1:9">
      <c r="C418">
        <v>65</v>
      </c>
      <c r="E418" s="130">
        <v>64350</v>
      </c>
    </row>
    <row r="419" spans="1:9">
      <c r="C419">
        <v>70</v>
      </c>
      <c r="E419" s="130">
        <v>67970</v>
      </c>
    </row>
    <row r="420" spans="1:9">
      <c r="C420">
        <v>80</v>
      </c>
      <c r="E420" s="130">
        <v>74650</v>
      </c>
    </row>
    <row r="421" spans="1:9">
      <c r="C421">
        <v>85</v>
      </c>
      <c r="E421" s="130">
        <v>79160</v>
      </c>
    </row>
    <row r="422" spans="1:9">
      <c r="C422">
        <v>100</v>
      </c>
      <c r="E422" s="130">
        <v>92510</v>
      </c>
    </row>
    <row r="423" spans="1:9">
      <c r="A423" t="s">
        <v>2791</v>
      </c>
      <c r="B423" t="s">
        <v>2320</v>
      </c>
      <c r="C423">
        <v>50</v>
      </c>
      <c r="E423" s="111">
        <v>42589.7</v>
      </c>
      <c r="H423" s="130"/>
      <c r="I423" s="800"/>
    </row>
    <row r="424" spans="1:9">
      <c r="C424">
        <v>55</v>
      </c>
      <c r="E424" s="111">
        <v>43843.999999999993</v>
      </c>
      <c r="H424" s="130"/>
      <c r="I424" s="800"/>
    </row>
    <row r="425" spans="1:9">
      <c r="C425">
        <v>60</v>
      </c>
      <c r="E425" s="111">
        <v>44759.299999999996</v>
      </c>
      <c r="H425" s="130"/>
      <c r="I425" s="800"/>
    </row>
    <row r="426" spans="1:9">
      <c r="C426">
        <v>65</v>
      </c>
      <c r="E426" s="111">
        <v>46194.399999999994</v>
      </c>
      <c r="H426" s="130"/>
      <c r="I426" s="800"/>
    </row>
    <row r="427" spans="1:9">
      <c r="C427">
        <v>70</v>
      </c>
      <c r="E427" s="111">
        <v>47505.2</v>
      </c>
      <c r="H427" s="130"/>
      <c r="I427" s="800"/>
    </row>
    <row r="428" spans="1:9">
      <c r="C428">
        <v>80</v>
      </c>
      <c r="E428" s="111">
        <v>52217.299999999996</v>
      </c>
      <c r="H428" s="130"/>
      <c r="I428" s="800"/>
    </row>
    <row r="429" spans="1:9">
      <c r="B429" t="s">
        <v>2417</v>
      </c>
      <c r="C429">
        <v>50</v>
      </c>
      <c r="E429" s="111">
        <v>61302.499999999993</v>
      </c>
      <c r="H429" s="130"/>
      <c r="I429" s="800"/>
    </row>
    <row r="430" spans="1:9">
      <c r="C430">
        <v>55</v>
      </c>
      <c r="E430" s="111">
        <v>63121.799999999996</v>
      </c>
      <c r="H430" s="130"/>
      <c r="I430" s="800"/>
    </row>
    <row r="431" spans="1:9">
      <c r="C431">
        <v>60</v>
      </c>
      <c r="E431" s="111">
        <v>64409.999999999993</v>
      </c>
      <c r="H431" s="130"/>
      <c r="I431" s="800"/>
    </row>
    <row r="432" spans="1:9">
      <c r="C432">
        <v>65</v>
      </c>
      <c r="E432" s="111">
        <v>66500.5</v>
      </c>
      <c r="H432" s="130"/>
      <c r="I432" s="800"/>
    </row>
    <row r="433" spans="1:9">
      <c r="C433">
        <v>70</v>
      </c>
      <c r="E433" s="111">
        <v>68387.599999999991</v>
      </c>
      <c r="H433" s="130"/>
      <c r="I433" s="800"/>
    </row>
    <row r="434" spans="1:9">
      <c r="C434">
        <v>80</v>
      </c>
      <c r="E434" s="111">
        <v>75178.899999999994</v>
      </c>
      <c r="H434" s="130"/>
      <c r="I434" s="800"/>
    </row>
    <row r="435" spans="1:9">
      <c r="A435" t="s">
        <v>2792</v>
      </c>
      <c r="B435" t="s">
        <v>2320</v>
      </c>
      <c r="C435">
        <v>140</v>
      </c>
      <c r="E435" s="130">
        <v>99010</v>
      </c>
    </row>
    <row r="436" spans="1:9">
      <c r="C436">
        <v>160</v>
      </c>
      <c r="E436" s="130">
        <v>113170</v>
      </c>
    </row>
    <row r="437" spans="1:9">
      <c r="B437" t="s">
        <v>2417</v>
      </c>
      <c r="C437">
        <v>140</v>
      </c>
      <c r="E437" s="130">
        <v>142540</v>
      </c>
    </row>
    <row r="438" spans="1:9">
      <c r="C438">
        <v>160</v>
      </c>
      <c r="E438" s="130">
        <v>162910</v>
      </c>
    </row>
    <row r="439" spans="1:9">
      <c r="A439" t="s">
        <v>2793</v>
      </c>
      <c r="B439" t="s">
        <v>2320</v>
      </c>
      <c r="C439">
        <v>60</v>
      </c>
      <c r="E439" s="111">
        <v>48058.899999999994</v>
      </c>
      <c r="H439" s="130"/>
      <c r="I439" s="800"/>
    </row>
    <row r="440" spans="1:9">
      <c r="C440">
        <v>65</v>
      </c>
      <c r="E440" s="111">
        <v>49787.799999999996</v>
      </c>
      <c r="H440" s="130"/>
      <c r="I440" s="800"/>
    </row>
    <row r="441" spans="1:9">
      <c r="C441">
        <v>70</v>
      </c>
      <c r="E441" s="111">
        <v>52556.299999999996</v>
      </c>
      <c r="H441" s="130"/>
      <c r="I441" s="800"/>
    </row>
    <row r="442" spans="1:9">
      <c r="C442">
        <v>75</v>
      </c>
      <c r="E442" s="111">
        <v>55234.399999999994</v>
      </c>
      <c r="H442" s="130"/>
      <c r="I442" s="800"/>
    </row>
    <row r="443" spans="1:9">
      <c r="C443">
        <v>80</v>
      </c>
      <c r="E443" s="111">
        <v>57731.7</v>
      </c>
      <c r="H443" s="130"/>
      <c r="I443" s="800"/>
    </row>
    <row r="444" spans="1:9">
      <c r="C444">
        <v>90</v>
      </c>
      <c r="E444" s="111">
        <v>64647.299999999996</v>
      </c>
      <c r="H444" s="130"/>
      <c r="I444" s="800"/>
    </row>
    <row r="445" spans="1:9">
      <c r="C445">
        <v>100</v>
      </c>
      <c r="E445" s="111">
        <v>71529</v>
      </c>
      <c r="H445" s="130"/>
      <c r="I445" s="800"/>
    </row>
    <row r="446" spans="1:9">
      <c r="C446">
        <v>110</v>
      </c>
      <c r="E446" s="111">
        <v>78693.2</v>
      </c>
      <c r="H446" s="130"/>
      <c r="I446" s="800"/>
    </row>
    <row r="447" spans="1:9">
      <c r="C447">
        <v>120</v>
      </c>
      <c r="E447" s="111">
        <v>85823.499999999985</v>
      </c>
      <c r="H447" s="130"/>
      <c r="I447" s="800"/>
    </row>
    <row r="448" spans="1:9">
      <c r="B448" t="s">
        <v>2417</v>
      </c>
      <c r="C448">
        <v>60</v>
      </c>
      <c r="E448" s="111">
        <v>69167.299999999988</v>
      </c>
      <c r="H448" s="130"/>
      <c r="I448" s="800"/>
    </row>
    <row r="449" spans="1:9">
      <c r="C449">
        <v>65</v>
      </c>
      <c r="E449" s="111">
        <v>71664.599999999991</v>
      </c>
      <c r="H449" s="130"/>
      <c r="I449" s="800"/>
    </row>
    <row r="450" spans="1:9">
      <c r="C450">
        <v>70</v>
      </c>
      <c r="E450" s="111">
        <v>75676.099999999991</v>
      </c>
      <c r="H450" s="130"/>
      <c r="I450" s="800"/>
    </row>
    <row r="451" spans="1:9">
      <c r="C451">
        <v>75</v>
      </c>
      <c r="E451" s="111">
        <v>79495.499999999985</v>
      </c>
      <c r="H451" s="130"/>
      <c r="I451" s="800"/>
    </row>
    <row r="452" spans="1:9">
      <c r="C452">
        <v>80</v>
      </c>
      <c r="E452" s="111">
        <v>83111.499999999985</v>
      </c>
      <c r="H452" s="130"/>
      <c r="I452" s="800"/>
    </row>
    <row r="453" spans="1:9">
      <c r="C453">
        <v>90</v>
      </c>
      <c r="E453" s="111">
        <v>93089.4</v>
      </c>
      <c r="H453" s="130"/>
      <c r="I453" s="800"/>
    </row>
    <row r="454" spans="1:9">
      <c r="C454">
        <v>100</v>
      </c>
      <c r="E454" s="111">
        <v>102988.2</v>
      </c>
      <c r="H454" s="130"/>
      <c r="I454" s="800"/>
    </row>
    <row r="455" spans="1:9">
      <c r="C455">
        <v>110</v>
      </c>
      <c r="E455" s="111">
        <v>113259.9</v>
      </c>
      <c r="H455" s="130"/>
      <c r="I455" s="800"/>
    </row>
    <row r="456" spans="1:9">
      <c r="C456">
        <v>120</v>
      </c>
      <c r="E456" s="111">
        <v>123565.49999999999</v>
      </c>
      <c r="H456" s="130"/>
      <c r="I456" s="800"/>
    </row>
    <row r="457" spans="1:9">
      <c r="A457" t="s">
        <v>2794</v>
      </c>
      <c r="B457" t="s">
        <v>2320</v>
      </c>
      <c r="C457">
        <v>65</v>
      </c>
      <c r="E457" s="111">
        <v>51279.399999999994</v>
      </c>
      <c r="H457" s="130"/>
      <c r="I457" s="800"/>
    </row>
    <row r="458" spans="1:9">
      <c r="C458">
        <v>70</v>
      </c>
      <c r="E458" s="111">
        <v>54138.299999999996</v>
      </c>
      <c r="H458" s="130"/>
      <c r="I458" s="800"/>
    </row>
    <row r="459" spans="1:9">
      <c r="C459">
        <v>75</v>
      </c>
      <c r="E459" s="111">
        <v>56884.2</v>
      </c>
      <c r="H459" s="130"/>
      <c r="I459" s="800"/>
    </row>
    <row r="460" spans="1:9">
      <c r="C460">
        <v>80</v>
      </c>
      <c r="E460" s="111">
        <v>59460.599999999991</v>
      </c>
      <c r="H460" s="130"/>
      <c r="I460" s="800"/>
    </row>
    <row r="461" spans="1:9">
      <c r="C461">
        <v>90</v>
      </c>
      <c r="E461" s="111">
        <v>66590.899999999994</v>
      </c>
      <c r="H461" s="130"/>
      <c r="I461" s="800"/>
    </row>
    <row r="462" spans="1:9">
      <c r="C462">
        <v>100</v>
      </c>
      <c r="E462" s="111">
        <v>73676</v>
      </c>
      <c r="H462" s="130"/>
      <c r="I462" s="800"/>
    </row>
    <row r="463" spans="1:9">
      <c r="C463">
        <v>110</v>
      </c>
      <c r="E463" s="111">
        <v>81054.899999999994</v>
      </c>
      <c r="H463" s="130"/>
      <c r="I463" s="800"/>
    </row>
    <row r="464" spans="1:9">
      <c r="C464">
        <v>120</v>
      </c>
      <c r="E464" s="111">
        <v>88399.9</v>
      </c>
      <c r="H464" s="130"/>
      <c r="I464" s="800"/>
    </row>
    <row r="465" spans="1:9">
      <c r="B465" t="s">
        <v>2417</v>
      </c>
      <c r="C465">
        <v>65</v>
      </c>
      <c r="E465" s="111">
        <v>73811.599999999991</v>
      </c>
      <c r="H465" s="130"/>
      <c r="I465" s="800"/>
    </row>
    <row r="466" spans="1:9">
      <c r="C466">
        <v>70</v>
      </c>
      <c r="E466" s="111">
        <v>77947.399999999994</v>
      </c>
      <c r="H466" s="130"/>
      <c r="I466" s="800"/>
    </row>
    <row r="467" spans="1:9">
      <c r="C467">
        <v>75</v>
      </c>
      <c r="E467" s="111">
        <v>81879.799999999988</v>
      </c>
      <c r="H467" s="130"/>
      <c r="I467" s="800"/>
    </row>
    <row r="468" spans="1:9">
      <c r="C468">
        <v>80</v>
      </c>
      <c r="E468" s="111">
        <v>85608.799999999988</v>
      </c>
      <c r="H468" s="130"/>
      <c r="I468" s="800"/>
    </row>
    <row r="469" spans="1:9">
      <c r="C469">
        <v>90</v>
      </c>
      <c r="E469" s="111">
        <v>95880.499999999985</v>
      </c>
      <c r="H469" s="130"/>
      <c r="I469" s="800"/>
    </row>
    <row r="470" spans="1:9">
      <c r="C470">
        <v>100</v>
      </c>
      <c r="E470" s="111">
        <v>106073.09999999999</v>
      </c>
      <c r="H470" s="130"/>
      <c r="I470" s="800"/>
    </row>
    <row r="471" spans="1:9">
      <c r="C471">
        <v>110</v>
      </c>
      <c r="E471" s="111">
        <v>116661.19999999998</v>
      </c>
      <c r="H471" s="130"/>
      <c r="I471" s="800"/>
    </row>
    <row r="472" spans="1:9">
      <c r="C472">
        <v>120</v>
      </c>
      <c r="E472" s="111">
        <v>127271.9</v>
      </c>
      <c r="H472" s="130"/>
      <c r="I472" s="800"/>
    </row>
    <row r="473" spans="1:9">
      <c r="A473" t="s">
        <v>2795</v>
      </c>
      <c r="B473" t="s">
        <v>2320</v>
      </c>
      <c r="C473">
        <v>75</v>
      </c>
      <c r="E473" s="111">
        <v>55799.399999999994</v>
      </c>
      <c r="H473" s="130"/>
      <c r="I473" s="800"/>
    </row>
    <row r="474" spans="1:9">
      <c r="B474" t="s">
        <v>2417</v>
      </c>
      <c r="C474">
        <v>75</v>
      </c>
      <c r="E474" s="111">
        <v>80320.399999999994</v>
      </c>
      <c r="H474" s="130"/>
      <c r="I474" s="800"/>
    </row>
    <row r="475" spans="1:9">
      <c r="A475" t="s">
        <v>2796</v>
      </c>
      <c r="B475" t="s">
        <v>2320</v>
      </c>
      <c r="C475">
        <v>90</v>
      </c>
      <c r="D475" s="1040" t="s">
        <v>2797</v>
      </c>
      <c r="E475" s="111">
        <v>106639.20000000001</v>
      </c>
      <c r="H475" s="130"/>
    </row>
    <row r="476" spans="1:9">
      <c r="C476">
        <v>100</v>
      </c>
      <c r="D476" s="1040"/>
      <c r="E476" s="111">
        <v>118508.40000000001</v>
      </c>
      <c r="H476" s="130"/>
    </row>
    <row r="477" spans="1:9">
      <c r="C477">
        <v>120</v>
      </c>
      <c r="D477" s="1040"/>
      <c r="E477" s="111">
        <v>142203.6</v>
      </c>
      <c r="H477" s="130"/>
    </row>
    <row r="478" spans="1:9">
      <c r="C478">
        <v>130</v>
      </c>
      <c r="D478" s="1040"/>
      <c r="E478" s="111">
        <v>154072.80000000002</v>
      </c>
      <c r="H478" s="130"/>
    </row>
    <row r="479" spans="1:9">
      <c r="C479">
        <v>160</v>
      </c>
      <c r="D479" s="1040"/>
      <c r="E479" s="111">
        <v>189637.2</v>
      </c>
      <c r="H479" s="130"/>
    </row>
    <row r="480" spans="1:9">
      <c r="C480">
        <v>190</v>
      </c>
      <c r="D480" s="1040"/>
      <c r="E480" s="111">
        <v>225158.40000000002</v>
      </c>
      <c r="H480" s="130"/>
    </row>
    <row r="481" spans="1:8">
      <c r="C481">
        <v>210</v>
      </c>
      <c r="D481" s="1040"/>
      <c r="E481" s="111">
        <v>248896.80000000002</v>
      </c>
      <c r="H481" s="130"/>
    </row>
    <row r="482" spans="1:8">
      <c r="C482">
        <v>230</v>
      </c>
      <c r="D482" s="1040"/>
      <c r="E482" s="111">
        <v>272592</v>
      </c>
      <c r="H482" s="130"/>
    </row>
    <row r="483" spans="1:8">
      <c r="B483" t="s">
        <v>2417</v>
      </c>
      <c r="C483">
        <v>90</v>
      </c>
      <c r="D483" s="1040"/>
      <c r="E483" s="111">
        <v>153554.40000000002</v>
      </c>
      <c r="H483" s="130"/>
    </row>
    <row r="484" spans="1:8">
      <c r="C484">
        <v>100</v>
      </c>
      <c r="D484" s="1040"/>
      <c r="E484" s="111">
        <v>170618.40000000002</v>
      </c>
      <c r="H484" s="130"/>
    </row>
    <row r="485" spans="1:8">
      <c r="C485">
        <v>120</v>
      </c>
      <c r="D485" s="1040"/>
      <c r="E485" s="111">
        <v>204724.80000000002</v>
      </c>
      <c r="H485" s="130"/>
    </row>
    <row r="486" spans="1:8">
      <c r="C486">
        <v>130</v>
      </c>
      <c r="D486" s="1040"/>
      <c r="E486" s="111">
        <v>221788.80000000002</v>
      </c>
      <c r="H486" s="130"/>
    </row>
    <row r="487" spans="1:8">
      <c r="C487">
        <v>160</v>
      </c>
      <c r="D487" s="1040"/>
      <c r="E487" s="111">
        <v>272980.80000000005</v>
      </c>
      <c r="H487" s="130"/>
    </row>
    <row r="488" spans="1:8">
      <c r="C488">
        <v>190</v>
      </c>
      <c r="D488" s="1040"/>
      <c r="E488" s="111">
        <v>324151.2</v>
      </c>
      <c r="H488" s="130"/>
    </row>
    <row r="489" spans="1:8">
      <c r="C489">
        <v>210</v>
      </c>
      <c r="D489" s="1040"/>
      <c r="E489" s="111">
        <v>358268.4</v>
      </c>
      <c r="H489" s="130"/>
    </row>
    <row r="490" spans="1:8">
      <c r="C490">
        <v>230</v>
      </c>
      <c r="D490" s="1040"/>
      <c r="E490" s="111">
        <v>392418</v>
      </c>
      <c r="H490" s="130"/>
    </row>
    <row r="491" spans="1:8">
      <c r="A491" t="s">
        <v>2798</v>
      </c>
      <c r="B491" t="s">
        <v>2320</v>
      </c>
      <c r="C491">
        <v>70</v>
      </c>
      <c r="D491" s="1040" t="s">
        <v>2798</v>
      </c>
      <c r="E491" s="130">
        <v>48610</v>
      </c>
    </row>
    <row r="492" spans="1:8">
      <c r="C492">
        <v>80</v>
      </c>
      <c r="D492" s="1040"/>
      <c r="E492" s="130">
        <v>53160</v>
      </c>
    </row>
    <row r="493" spans="1:8">
      <c r="B493" t="s">
        <v>2417</v>
      </c>
      <c r="C493">
        <v>70</v>
      </c>
      <c r="D493" s="1040"/>
      <c r="E493" s="130">
        <v>69990</v>
      </c>
    </row>
    <row r="494" spans="1:8">
      <c r="C494">
        <v>80</v>
      </c>
      <c r="D494" s="1040"/>
      <c r="E494" s="130">
        <v>76530</v>
      </c>
    </row>
    <row r="495" spans="1:8">
      <c r="A495" t="s">
        <v>2799</v>
      </c>
      <c r="B495" t="s">
        <v>2320</v>
      </c>
      <c r="C495">
        <v>95</v>
      </c>
      <c r="E495" s="130">
        <v>61340</v>
      </c>
    </row>
    <row r="496" spans="1:8">
      <c r="B496" t="s">
        <v>2417</v>
      </c>
      <c r="C496">
        <v>95</v>
      </c>
      <c r="E496" s="130">
        <v>88300</v>
      </c>
    </row>
    <row r="497" spans="1:5">
      <c r="A497" t="s">
        <v>2800</v>
      </c>
      <c r="B497" t="s">
        <v>2320</v>
      </c>
      <c r="C497">
        <v>70</v>
      </c>
      <c r="D497" t="s">
        <v>2801</v>
      </c>
      <c r="E497" s="130">
        <v>47630</v>
      </c>
    </row>
    <row r="498" spans="1:5">
      <c r="C498">
        <v>80</v>
      </c>
      <c r="D498" t="s">
        <v>2802</v>
      </c>
      <c r="E498" s="130">
        <v>56500</v>
      </c>
    </row>
    <row r="499" spans="1:5">
      <c r="B499" t="s">
        <v>2417</v>
      </c>
      <c r="C499">
        <v>70</v>
      </c>
      <c r="D499" t="s">
        <v>2801</v>
      </c>
      <c r="E499" s="130">
        <v>68580</v>
      </c>
    </row>
    <row r="500" spans="1:5">
      <c r="C500">
        <v>80</v>
      </c>
      <c r="D500" t="s">
        <v>2802</v>
      </c>
      <c r="E500" s="130">
        <v>81340</v>
      </c>
    </row>
  </sheetData>
  <mergeCells count="65">
    <mergeCell ref="D2:D17"/>
    <mergeCell ref="D18:D45"/>
    <mergeCell ref="D46:D75"/>
    <mergeCell ref="D76:D87"/>
    <mergeCell ref="D91:D93"/>
    <mergeCell ref="D166:D168"/>
    <mergeCell ref="D94:D96"/>
    <mergeCell ref="D97:D99"/>
    <mergeCell ref="D100:D102"/>
    <mergeCell ref="D103:D110"/>
    <mergeCell ref="D111:D117"/>
    <mergeCell ref="D118:D127"/>
    <mergeCell ref="D128:D137"/>
    <mergeCell ref="D138:D147"/>
    <mergeCell ref="D148:D157"/>
    <mergeCell ref="D160:D162"/>
    <mergeCell ref="D163:D165"/>
    <mergeCell ref="D218:D219"/>
    <mergeCell ref="D169:D171"/>
    <mergeCell ref="D172:D178"/>
    <mergeCell ref="D179:D185"/>
    <mergeCell ref="D186:D192"/>
    <mergeCell ref="D193:D199"/>
    <mergeCell ref="D200:D202"/>
    <mergeCell ref="D203:D205"/>
    <mergeCell ref="D206:D208"/>
    <mergeCell ref="D209:D211"/>
    <mergeCell ref="D212:D214"/>
    <mergeCell ref="D216:D217"/>
    <mergeCell ref="D248:D249"/>
    <mergeCell ref="D220:D221"/>
    <mergeCell ref="D222:D223"/>
    <mergeCell ref="D224:D225"/>
    <mergeCell ref="D226:D227"/>
    <mergeCell ref="D228:D231"/>
    <mergeCell ref="D232:D233"/>
    <mergeCell ref="D234:D236"/>
    <mergeCell ref="D239:D240"/>
    <mergeCell ref="D241:D242"/>
    <mergeCell ref="D243:D244"/>
    <mergeCell ref="D245:D246"/>
    <mergeCell ref="D298:D302"/>
    <mergeCell ref="D253:D256"/>
    <mergeCell ref="D257:D258"/>
    <mergeCell ref="D260:D267"/>
    <mergeCell ref="D269:D276"/>
    <mergeCell ref="D277:D278"/>
    <mergeCell ref="D280:D281"/>
    <mergeCell ref="D282:D283"/>
    <mergeCell ref="D284:D286"/>
    <mergeCell ref="D287:D289"/>
    <mergeCell ref="D290:D292"/>
    <mergeCell ref="D293:D297"/>
    <mergeCell ref="D303:D306"/>
    <mergeCell ref="D307:D308"/>
    <mergeCell ref="D309:D311"/>
    <mergeCell ref="D312:D313"/>
    <mergeCell ref="D314:D316"/>
    <mergeCell ref="D475:D490"/>
    <mergeCell ref="D491:D494"/>
    <mergeCell ref="D318:D321"/>
    <mergeCell ref="D322:D325"/>
    <mergeCell ref="D326:D329"/>
    <mergeCell ref="D330:D333"/>
    <mergeCell ref="D334:D336"/>
  </mergeCells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1EC9A-77EB-49DD-ADE4-8A4C052E2BCC}">
  <dimension ref="A1:G87"/>
  <sheetViews>
    <sheetView topLeftCell="A71" workbookViewId="0">
      <selection activeCell="A82" sqref="A82"/>
    </sheetView>
  </sheetViews>
  <sheetFormatPr defaultRowHeight="17.399999999999999"/>
  <cols>
    <col min="1" max="1" width="18.59765625" bestFit="1" customWidth="1"/>
    <col min="5" max="5" width="9" style="111"/>
  </cols>
  <sheetData>
    <row r="1" spans="1:7" s="86" customFormat="1" ht="15" customHeight="1">
      <c r="A1" s="118" t="s">
        <v>2348</v>
      </c>
      <c r="B1" s="119" t="s">
        <v>2316</v>
      </c>
      <c r="C1" s="120" t="s">
        <v>2351</v>
      </c>
      <c r="D1" s="121" t="s">
        <v>2350</v>
      </c>
      <c r="E1" s="801" t="s">
        <v>1751</v>
      </c>
      <c r="F1" s="802"/>
      <c r="G1" s="133" t="s">
        <v>2747</v>
      </c>
    </row>
    <row r="2" spans="1:7">
      <c r="A2" t="s">
        <v>2766</v>
      </c>
      <c r="B2" t="s">
        <v>2353</v>
      </c>
      <c r="C2">
        <v>75</v>
      </c>
      <c r="E2" s="111">
        <v>71030</v>
      </c>
    </row>
    <row r="3" spans="1:7">
      <c r="B3" t="s">
        <v>2320</v>
      </c>
      <c r="C3">
        <v>75</v>
      </c>
      <c r="E3" s="111">
        <v>49340</v>
      </c>
    </row>
    <row r="4" spans="1:7">
      <c r="A4" t="s">
        <v>2767</v>
      </c>
      <c r="B4" t="s">
        <v>2353</v>
      </c>
      <c r="C4">
        <v>75</v>
      </c>
      <c r="E4" s="111">
        <v>72400</v>
      </c>
    </row>
    <row r="5" spans="1:7">
      <c r="B5" t="s">
        <v>2320</v>
      </c>
      <c r="C5">
        <v>75</v>
      </c>
      <c r="E5" s="111">
        <v>50290</v>
      </c>
    </row>
    <row r="6" spans="1:7">
      <c r="A6" t="s">
        <v>2768</v>
      </c>
      <c r="B6" t="s">
        <v>2353</v>
      </c>
      <c r="C6">
        <v>65</v>
      </c>
      <c r="E6" s="111">
        <v>63410</v>
      </c>
    </row>
    <row r="7" spans="1:7">
      <c r="C7">
        <v>70</v>
      </c>
      <c r="E7" s="111">
        <v>66930</v>
      </c>
    </row>
    <row r="8" spans="1:7">
      <c r="C8">
        <v>75</v>
      </c>
      <c r="E8" s="111">
        <v>70310</v>
      </c>
    </row>
    <row r="9" spans="1:7">
      <c r="C9">
        <v>80</v>
      </c>
      <c r="E9" s="111">
        <v>73490</v>
      </c>
    </row>
    <row r="10" spans="1:7">
      <c r="C10">
        <v>100</v>
      </c>
      <c r="E10" s="111">
        <v>91060</v>
      </c>
    </row>
    <row r="11" spans="1:7">
      <c r="B11" t="s">
        <v>2320</v>
      </c>
      <c r="C11">
        <v>65</v>
      </c>
      <c r="E11" s="111">
        <v>44050</v>
      </c>
    </row>
    <row r="12" spans="1:7">
      <c r="C12">
        <v>70</v>
      </c>
      <c r="E12" s="111">
        <v>46490</v>
      </c>
    </row>
    <row r="13" spans="1:7">
      <c r="C13">
        <v>75</v>
      </c>
      <c r="E13" s="111">
        <v>48840</v>
      </c>
    </row>
    <row r="14" spans="1:7">
      <c r="C14">
        <v>80</v>
      </c>
      <c r="E14" s="111">
        <v>51050</v>
      </c>
    </row>
    <row r="15" spans="1:7">
      <c r="C15">
        <v>100</v>
      </c>
      <c r="E15" s="111">
        <v>63260</v>
      </c>
    </row>
    <row r="16" spans="1:7">
      <c r="A16" t="s">
        <v>2769</v>
      </c>
      <c r="B16" t="s">
        <v>2353</v>
      </c>
      <c r="C16">
        <v>70</v>
      </c>
      <c r="E16" s="111">
        <v>67300</v>
      </c>
    </row>
    <row r="17" spans="1:5">
      <c r="B17" t="s">
        <v>2320</v>
      </c>
      <c r="C17">
        <v>70</v>
      </c>
      <c r="E17" s="111">
        <v>46750</v>
      </c>
    </row>
    <row r="18" spans="1:5">
      <c r="A18" t="s">
        <v>2770</v>
      </c>
      <c r="B18" t="s">
        <v>2353</v>
      </c>
      <c r="C18">
        <v>65</v>
      </c>
      <c r="E18" s="111">
        <v>64000</v>
      </c>
    </row>
    <row r="19" spans="1:5">
      <c r="B19" t="s">
        <v>2320</v>
      </c>
      <c r="C19">
        <v>65</v>
      </c>
      <c r="E19" s="111">
        <v>44460</v>
      </c>
    </row>
    <row r="20" spans="1:5">
      <c r="A20" t="s">
        <v>2771</v>
      </c>
      <c r="B20" t="s">
        <v>2353</v>
      </c>
      <c r="C20">
        <v>70</v>
      </c>
      <c r="E20" s="111">
        <v>52230</v>
      </c>
    </row>
    <row r="21" spans="1:5">
      <c r="B21" t="s">
        <v>2353</v>
      </c>
      <c r="C21">
        <v>80</v>
      </c>
      <c r="E21" s="111">
        <v>56390</v>
      </c>
    </row>
    <row r="22" spans="1:5">
      <c r="B22" t="s">
        <v>2320</v>
      </c>
      <c r="C22">
        <v>70</v>
      </c>
      <c r="E22" s="111">
        <v>36280</v>
      </c>
    </row>
    <row r="23" spans="1:5">
      <c r="B23" t="s">
        <v>2320</v>
      </c>
      <c r="C23">
        <v>80</v>
      </c>
      <c r="E23" s="111">
        <v>39170</v>
      </c>
    </row>
    <row r="24" spans="1:5">
      <c r="A24" t="s">
        <v>2772</v>
      </c>
      <c r="B24" t="s">
        <v>2353</v>
      </c>
      <c r="C24">
        <v>65</v>
      </c>
      <c r="E24" s="111">
        <v>63190</v>
      </c>
    </row>
    <row r="25" spans="1:5">
      <c r="B25" t="s">
        <v>2353</v>
      </c>
      <c r="C25">
        <v>70</v>
      </c>
      <c r="E25" s="111">
        <v>63820</v>
      </c>
    </row>
    <row r="26" spans="1:5">
      <c r="B26" t="s">
        <v>2353</v>
      </c>
      <c r="C26">
        <v>80</v>
      </c>
      <c r="E26" s="111">
        <v>70670</v>
      </c>
    </row>
    <row r="27" spans="1:5">
      <c r="B27" t="s">
        <v>2320</v>
      </c>
      <c r="C27">
        <v>65</v>
      </c>
      <c r="E27" s="111">
        <v>43900</v>
      </c>
    </row>
    <row r="28" spans="1:5">
      <c r="B28" t="s">
        <v>2320</v>
      </c>
      <c r="C28">
        <v>70</v>
      </c>
      <c r="E28" s="111">
        <v>44330</v>
      </c>
    </row>
    <row r="29" spans="1:5">
      <c r="B29" t="s">
        <v>2320</v>
      </c>
      <c r="C29">
        <v>80</v>
      </c>
      <c r="E29" s="111">
        <v>49090</v>
      </c>
    </row>
    <row r="30" spans="1:5">
      <c r="A30" t="s">
        <v>2773</v>
      </c>
      <c r="B30" t="s">
        <v>2353</v>
      </c>
      <c r="C30">
        <v>65</v>
      </c>
      <c r="E30" s="111">
        <v>65400</v>
      </c>
    </row>
    <row r="31" spans="1:5">
      <c r="B31" t="s">
        <v>2353</v>
      </c>
      <c r="C31">
        <v>70</v>
      </c>
      <c r="E31" s="111">
        <v>65800</v>
      </c>
    </row>
    <row r="32" spans="1:5">
      <c r="B32" t="s">
        <v>2353</v>
      </c>
      <c r="C32">
        <v>80</v>
      </c>
      <c r="E32" s="111">
        <v>72480</v>
      </c>
    </row>
    <row r="33" spans="1:5">
      <c r="B33" t="s">
        <v>2353</v>
      </c>
      <c r="C33">
        <v>95</v>
      </c>
      <c r="E33" s="111">
        <v>85530</v>
      </c>
    </row>
    <row r="34" spans="1:5">
      <c r="B34" t="s">
        <v>2320</v>
      </c>
      <c r="C34">
        <v>65</v>
      </c>
      <c r="E34" s="111">
        <v>45430</v>
      </c>
    </row>
    <row r="35" spans="1:5">
      <c r="B35" t="s">
        <v>2320</v>
      </c>
      <c r="C35">
        <v>70</v>
      </c>
      <c r="E35" s="111">
        <v>45710</v>
      </c>
    </row>
    <row r="36" spans="1:5">
      <c r="B36" t="s">
        <v>2320</v>
      </c>
      <c r="C36">
        <v>80</v>
      </c>
      <c r="E36" s="111">
        <v>50350</v>
      </c>
    </row>
    <row r="37" spans="1:5">
      <c r="B37" t="s">
        <v>2320</v>
      </c>
      <c r="C37">
        <v>95</v>
      </c>
      <c r="E37" s="111">
        <v>59410</v>
      </c>
    </row>
    <row r="38" spans="1:5">
      <c r="A38" t="s">
        <v>2774</v>
      </c>
      <c r="B38" t="s">
        <v>2353</v>
      </c>
      <c r="C38">
        <v>75</v>
      </c>
      <c r="E38" s="111">
        <v>58930</v>
      </c>
    </row>
    <row r="39" spans="1:5">
      <c r="B39" t="s">
        <v>2353</v>
      </c>
      <c r="C39">
        <v>80</v>
      </c>
      <c r="E39" s="111">
        <v>61440</v>
      </c>
    </row>
    <row r="40" spans="1:5">
      <c r="B40" t="s">
        <v>2320</v>
      </c>
      <c r="C40">
        <v>75</v>
      </c>
      <c r="E40" s="111">
        <v>40940</v>
      </c>
    </row>
    <row r="41" spans="1:5">
      <c r="B41" t="s">
        <v>2320</v>
      </c>
      <c r="C41">
        <v>80</v>
      </c>
      <c r="E41" s="111">
        <v>42680</v>
      </c>
    </row>
    <row r="42" spans="1:5" ht="52.2">
      <c r="A42" s="125" t="s">
        <v>2775</v>
      </c>
      <c r="B42" t="s">
        <v>2353</v>
      </c>
      <c r="C42">
        <v>70</v>
      </c>
      <c r="E42" s="111">
        <v>63830</v>
      </c>
    </row>
    <row r="43" spans="1:5">
      <c r="B43" t="s">
        <v>2353</v>
      </c>
      <c r="C43">
        <v>80</v>
      </c>
      <c r="E43" s="111">
        <v>72830</v>
      </c>
    </row>
    <row r="44" spans="1:5">
      <c r="B44" t="s">
        <v>2320</v>
      </c>
      <c r="C44">
        <v>70</v>
      </c>
      <c r="E44" s="111">
        <v>44340</v>
      </c>
    </row>
    <row r="45" spans="1:5">
      <c r="B45" t="s">
        <v>2320</v>
      </c>
      <c r="C45">
        <v>80</v>
      </c>
      <c r="E45" s="111">
        <v>50590</v>
      </c>
    </row>
    <row r="46" spans="1:5" ht="34.799999999999997">
      <c r="A46" s="125" t="s">
        <v>2776</v>
      </c>
      <c r="B46" t="s">
        <v>2353</v>
      </c>
      <c r="C46">
        <v>90</v>
      </c>
      <c r="E46" s="111">
        <v>79320</v>
      </c>
    </row>
    <row r="47" spans="1:5">
      <c r="B47" t="s">
        <v>2353</v>
      </c>
      <c r="C47">
        <v>100</v>
      </c>
      <c r="E47" s="111">
        <v>87920</v>
      </c>
    </row>
    <row r="48" spans="1:5">
      <c r="B48" t="s">
        <v>2320</v>
      </c>
      <c r="C48">
        <v>90</v>
      </c>
      <c r="E48" s="111">
        <v>55100</v>
      </c>
    </row>
    <row r="49" spans="1:5">
      <c r="B49" t="s">
        <v>2320</v>
      </c>
      <c r="C49">
        <v>100</v>
      </c>
      <c r="E49" s="111">
        <v>61070</v>
      </c>
    </row>
    <row r="50" spans="1:5">
      <c r="A50" t="s">
        <v>2777</v>
      </c>
      <c r="B50" t="s">
        <v>2353</v>
      </c>
      <c r="C50">
        <v>70</v>
      </c>
      <c r="E50" s="111">
        <v>65160</v>
      </c>
    </row>
    <row r="51" spans="1:5">
      <c r="B51" t="s">
        <v>2353</v>
      </c>
      <c r="C51">
        <v>80</v>
      </c>
      <c r="E51" s="111">
        <v>74890</v>
      </c>
    </row>
    <row r="52" spans="1:5">
      <c r="B52" t="s">
        <v>2353</v>
      </c>
      <c r="C52">
        <v>90</v>
      </c>
      <c r="E52" s="111">
        <v>80920</v>
      </c>
    </row>
    <row r="53" spans="1:5">
      <c r="B53" t="s">
        <v>2320</v>
      </c>
      <c r="C53">
        <v>70</v>
      </c>
      <c r="E53" s="111">
        <v>45260</v>
      </c>
    </row>
    <row r="54" spans="1:5">
      <c r="B54" t="s">
        <v>2320</v>
      </c>
      <c r="C54">
        <v>80</v>
      </c>
      <c r="E54" s="111">
        <v>52020</v>
      </c>
    </row>
    <row r="55" spans="1:5">
      <c r="B55" t="s">
        <v>2320</v>
      </c>
      <c r="C55">
        <v>90</v>
      </c>
      <c r="E55" s="111">
        <v>56210</v>
      </c>
    </row>
    <row r="56" spans="1:5">
      <c r="A56" t="s">
        <v>2778</v>
      </c>
      <c r="B56" t="s">
        <v>2353</v>
      </c>
      <c r="C56">
        <v>50</v>
      </c>
      <c r="E56" s="111">
        <v>53390</v>
      </c>
    </row>
    <row r="57" spans="1:5">
      <c r="B57" t="s">
        <v>2353</v>
      </c>
      <c r="C57">
        <v>60</v>
      </c>
      <c r="E57" s="111">
        <v>56100</v>
      </c>
    </row>
    <row r="58" spans="1:5">
      <c r="B58" t="s">
        <v>2320</v>
      </c>
      <c r="C58">
        <v>50</v>
      </c>
      <c r="E58" s="111">
        <v>37090</v>
      </c>
    </row>
    <row r="59" spans="1:5">
      <c r="B59" t="s">
        <v>2320</v>
      </c>
      <c r="C59">
        <v>60</v>
      </c>
      <c r="E59" s="111">
        <v>38970</v>
      </c>
    </row>
    <row r="60" spans="1:5">
      <c r="A60" t="s">
        <v>2779</v>
      </c>
      <c r="B60" t="s">
        <v>2353</v>
      </c>
      <c r="C60">
        <v>60</v>
      </c>
      <c r="E60" s="111">
        <v>43430</v>
      </c>
    </row>
    <row r="61" spans="1:5">
      <c r="B61" t="s">
        <v>2353</v>
      </c>
      <c r="C61">
        <v>70</v>
      </c>
      <c r="E61" s="111">
        <v>49860</v>
      </c>
    </row>
    <row r="62" spans="1:5">
      <c r="B62" t="s">
        <v>2320</v>
      </c>
      <c r="C62">
        <v>60</v>
      </c>
      <c r="E62" s="111">
        <v>30170</v>
      </c>
    </row>
    <row r="63" spans="1:5">
      <c r="B63" t="s">
        <v>2320</v>
      </c>
      <c r="C63">
        <v>70</v>
      </c>
      <c r="E63" s="111">
        <v>34640</v>
      </c>
    </row>
    <row r="64" spans="1:5">
      <c r="A64" t="s">
        <v>2780</v>
      </c>
      <c r="B64" t="s">
        <v>2353</v>
      </c>
      <c r="C64">
        <v>60</v>
      </c>
      <c r="E64" s="111">
        <v>37910</v>
      </c>
    </row>
    <row r="65" spans="1:5">
      <c r="B65" t="s">
        <v>2353</v>
      </c>
      <c r="C65">
        <v>70</v>
      </c>
      <c r="E65" s="111">
        <v>43490</v>
      </c>
    </row>
    <row r="66" spans="1:5">
      <c r="B66" t="s">
        <v>2320</v>
      </c>
      <c r="C66">
        <v>60</v>
      </c>
      <c r="E66" s="111">
        <v>26330</v>
      </c>
    </row>
    <row r="67" spans="1:5">
      <c r="B67" t="s">
        <v>2320</v>
      </c>
      <c r="C67">
        <v>70</v>
      </c>
      <c r="E67" s="111">
        <v>30210</v>
      </c>
    </row>
    <row r="68" spans="1:5">
      <c r="A68" t="s">
        <v>2781</v>
      </c>
      <c r="B68" t="s">
        <v>2353</v>
      </c>
      <c r="C68">
        <v>65</v>
      </c>
      <c r="E68" s="111">
        <v>47060</v>
      </c>
    </row>
    <row r="69" spans="1:5">
      <c r="B69" t="s">
        <v>2320</v>
      </c>
      <c r="C69">
        <v>65</v>
      </c>
      <c r="E69" s="111">
        <v>32690</v>
      </c>
    </row>
    <row r="70" spans="1:5">
      <c r="A70" t="s">
        <v>2782</v>
      </c>
      <c r="B70" t="s">
        <v>2353</v>
      </c>
      <c r="C70">
        <v>70</v>
      </c>
      <c r="E70" s="111">
        <v>37090</v>
      </c>
    </row>
    <row r="71" spans="1:5">
      <c r="B71" t="s">
        <v>2320</v>
      </c>
      <c r="C71">
        <v>70</v>
      </c>
      <c r="E71" s="111">
        <v>25760</v>
      </c>
    </row>
    <row r="72" spans="1:5">
      <c r="A72" t="s">
        <v>2783</v>
      </c>
      <c r="B72" t="s">
        <v>2353</v>
      </c>
      <c r="C72">
        <v>70</v>
      </c>
      <c r="E72" s="111">
        <v>43490</v>
      </c>
    </row>
    <row r="73" spans="1:5">
      <c r="B73" t="s">
        <v>2353</v>
      </c>
      <c r="C73">
        <v>80</v>
      </c>
      <c r="E73" s="111">
        <v>48840</v>
      </c>
    </row>
    <row r="74" spans="1:5">
      <c r="B74" t="s">
        <v>2320</v>
      </c>
      <c r="C74">
        <v>70</v>
      </c>
      <c r="E74" s="111">
        <v>30210</v>
      </c>
    </row>
    <row r="75" spans="1:5">
      <c r="B75" t="s">
        <v>2320</v>
      </c>
      <c r="C75">
        <v>80</v>
      </c>
      <c r="E75" s="111">
        <v>33930</v>
      </c>
    </row>
    <row r="76" spans="1:5">
      <c r="A76" t="s">
        <v>2784</v>
      </c>
      <c r="B76" t="s">
        <v>2353</v>
      </c>
      <c r="C76">
        <v>54</v>
      </c>
      <c r="E76" s="111">
        <v>25960</v>
      </c>
    </row>
    <row r="77" spans="1:5">
      <c r="B77" t="s">
        <v>2320</v>
      </c>
      <c r="C77">
        <v>54</v>
      </c>
      <c r="E77" s="111">
        <v>18030</v>
      </c>
    </row>
    <row r="78" spans="1:5">
      <c r="A78" t="s">
        <v>2785</v>
      </c>
      <c r="B78" t="s">
        <v>2353</v>
      </c>
      <c r="C78">
        <v>54</v>
      </c>
      <c r="E78" s="111">
        <v>26440</v>
      </c>
    </row>
    <row r="79" spans="1:5">
      <c r="B79" t="s">
        <v>2320</v>
      </c>
      <c r="C79">
        <v>54</v>
      </c>
      <c r="E79" s="111">
        <v>18370</v>
      </c>
    </row>
    <row r="80" spans="1:5">
      <c r="A80" t="s">
        <v>2786</v>
      </c>
      <c r="B80" t="s">
        <v>2353</v>
      </c>
      <c r="C80">
        <v>60</v>
      </c>
      <c r="E80" s="111">
        <v>35240</v>
      </c>
    </row>
    <row r="81" spans="1:5">
      <c r="B81" t="s">
        <v>2320</v>
      </c>
      <c r="C81">
        <v>60</v>
      </c>
      <c r="E81" s="111">
        <v>22480</v>
      </c>
    </row>
    <row r="82" spans="1:5">
      <c r="A82" t="s">
        <v>2787</v>
      </c>
      <c r="B82" t="s">
        <v>2353</v>
      </c>
      <c r="C82">
        <v>80</v>
      </c>
      <c r="E82" s="111">
        <v>50890</v>
      </c>
    </row>
    <row r="83" spans="1:5">
      <c r="B83" t="s">
        <v>2353</v>
      </c>
      <c r="C83">
        <v>100</v>
      </c>
      <c r="E83" s="111">
        <v>63610</v>
      </c>
    </row>
    <row r="84" spans="1:5">
      <c r="B84" t="s">
        <v>2353</v>
      </c>
      <c r="C84">
        <v>120</v>
      </c>
      <c r="E84" s="111">
        <v>98000</v>
      </c>
    </row>
    <row r="85" spans="1:5">
      <c r="B85" t="s">
        <v>2320</v>
      </c>
      <c r="C85">
        <v>80</v>
      </c>
      <c r="E85" s="111">
        <v>35352</v>
      </c>
    </row>
    <row r="86" spans="1:5">
      <c r="B86" t="s">
        <v>2320</v>
      </c>
      <c r="C86">
        <v>100</v>
      </c>
      <c r="E86" s="111">
        <v>44190</v>
      </c>
    </row>
    <row r="87" spans="1:5">
      <c r="B87" t="s">
        <v>2320</v>
      </c>
      <c r="C87">
        <v>120</v>
      </c>
      <c r="E87" s="111">
        <v>68080</v>
      </c>
    </row>
  </sheetData>
  <mergeCells count="1">
    <mergeCell ref="E1:F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2</vt:i4>
      </vt:variant>
    </vt:vector>
  </HeadingPairs>
  <TitlesOfParts>
    <vt:vector size="10" baseType="lpstr">
      <vt:lpstr>두성</vt:lpstr>
      <vt:lpstr>삼원</vt:lpstr>
      <vt:lpstr>한국</vt:lpstr>
      <vt:lpstr>무림</vt:lpstr>
      <vt:lpstr>삼화</vt:lpstr>
      <vt:lpstr>서경</vt:lpstr>
      <vt:lpstr>한솔</vt:lpstr>
      <vt:lpstr>전주</vt:lpstr>
      <vt:lpstr>두성!Print_Area</vt:lpstr>
      <vt:lpstr>삼원!Print_Area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gram</cp:lastModifiedBy>
  <dcterms:created xsi:type="dcterms:W3CDTF">2025-06-23T05:08:10Z</dcterms:created>
  <dcterms:modified xsi:type="dcterms:W3CDTF">2026-09-28T04:55:50Z</dcterms:modified>
</cp:coreProperties>
</file>