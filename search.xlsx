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6AFAE637-F053-492A-A1F8-D2A30705813E}" xr6:coauthVersionLast="47" xr6:coauthVersionMax="47" xr10:uidLastSave="{00000000-0000-0000-0000-000000000000}"/>
  <bookViews>
    <workbookView xWindow="11424" yWindow="0" windowWidth="11712" windowHeight="1233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9" i="2" l="1"/>
  <c r="A877" i="2"/>
  <c r="A873" i="2"/>
  <c r="A874" i="2" s="1"/>
  <c r="A872" i="2"/>
  <c r="A860" i="2"/>
  <c r="A861" i="2" s="1"/>
  <c r="A862" i="2" s="1"/>
  <c r="A863" i="2" s="1"/>
  <c r="A864" i="2" s="1"/>
  <c r="A865" i="2" s="1"/>
  <c r="A866" i="2" s="1"/>
  <c r="A867" i="2" s="1"/>
  <c r="A868" i="2" s="1"/>
  <c r="A870" i="2" s="1"/>
  <c r="A871" i="2" s="1"/>
  <c r="A859" i="2"/>
  <c r="A855" i="2"/>
  <c r="A856" i="2" s="1"/>
  <c r="A857" i="2" s="1"/>
  <c r="A854" i="2"/>
  <c r="A853" i="2"/>
  <c r="A851" i="2"/>
  <c r="A846" i="2"/>
  <c r="A847" i="2" s="1"/>
  <c r="A848" i="2" s="1"/>
  <c r="A849" i="2" s="1"/>
  <c r="A850" i="2" s="1"/>
  <c r="A845" i="2"/>
  <c r="A842" i="2"/>
  <c r="A843" i="2" s="1"/>
  <c r="A844" i="2" s="1"/>
  <c r="A841" i="2"/>
  <c r="A839" i="2"/>
  <c r="A837" i="2"/>
  <c r="A835" i="2"/>
  <c r="A834" i="2"/>
  <c r="A832" i="2"/>
  <c r="A825" i="2"/>
  <c r="A826" i="2" s="1"/>
  <c r="A827" i="2" s="1"/>
  <c r="A828" i="2" s="1"/>
  <c r="A829" i="2" s="1"/>
  <c r="A830" i="2" s="1"/>
  <c r="A823" i="2"/>
  <c r="A824" i="2" s="1"/>
  <c r="A821" i="2"/>
  <c r="A820" i="2"/>
  <c r="A816" i="2"/>
  <c r="A805" i="2"/>
  <c r="A808" i="2" s="1"/>
  <c r="A809" i="2" s="1"/>
  <c r="A810" i="2" s="1"/>
  <c r="A811" i="2" s="1"/>
  <c r="A813" i="2" s="1"/>
  <c r="A814" i="2" s="1"/>
  <c r="A795" i="2"/>
  <c r="A796" i="2" s="1"/>
  <c r="A797" i="2" s="1"/>
  <c r="A798" i="2" s="1"/>
  <c r="A799" i="2" s="1"/>
  <c r="A801" i="2" s="1"/>
  <c r="A802" i="2" s="1"/>
  <c r="A803" i="2" s="1"/>
  <c r="A794" i="2"/>
  <c r="A788" i="2"/>
  <c r="A789" i="2" s="1"/>
  <c r="A790" i="2" s="1"/>
  <c r="A791" i="2" s="1"/>
  <c r="A792" i="2" s="1"/>
  <c r="A776" i="2"/>
  <c r="A778" i="2" s="1"/>
  <c r="A779" i="2" s="1"/>
  <c r="A780" i="2" s="1"/>
  <c r="A783" i="2" s="1"/>
  <c r="A784" i="2" s="1"/>
  <c r="A785" i="2" s="1"/>
  <c r="A786" i="2" s="1"/>
  <c r="A787" i="2" s="1"/>
  <c r="A775" i="2"/>
  <c r="A773" i="2"/>
  <c r="A770" i="2"/>
  <c r="A771" i="2" s="1"/>
  <c r="A772" i="2" s="1"/>
  <c r="A768" i="2"/>
  <c r="A767" i="2"/>
  <c r="A766" i="2"/>
  <c r="A764" i="2"/>
  <c r="A763" i="2"/>
  <c r="A762" i="2"/>
  <c r="A751" i="2"/>
  <c r="A752" i="2" s="1"/>
  <c r="A753" i="2" s="1"/>
  <c r="A754" i="2" s="1"/>
  <c r="A755" i="2" s="1"/>
  <c r="A756" i="2" s="1"/>
  <c r="A757" i="2" s="1"/>
  <c r="A758" i="2" s="1"/>
  <c r="A759" i="2" s="1"/>
  <c r="A760" i="2" s="1"/>
  <c r="A749" i="2"/>
  <c r="A735" i="2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30" i="2"/>
  <c r="A731" i="2" s="1"/>
  <c r="A732" i="2" s="1"/>
  <c r="A733" i="2" s="1"/>
  <c r="A734" i="2" s="1"/>
  <c r="A728" i="2"/>
  <c r="A727" i="2"/>
  <c r="A725" i="2"/>
  <c r="A726" i="2" s="1"/>
  <c r="A721" i="2"/>
  <c r="A722" i="2" s="1"/>
  <c r="A719" i="2"/>
  <c r="A720" i="2" s="1"/>
  <c r="A718" i="2"/>
  <c r="A714" i="2"/>
  <c r="A713" i="2"/>
  <c r="A710" i="2"/>
  <c r="A708" i="2"/>
  <c r="A705" i="2"/>
  <c r="A704" i="2"/>
  <c r="A703" i="2"/>
  <c r="A701" i="2"/>
  <c r="A700" i="2"/>
  <c r="A698" i="2"/>
  <c r="A693" i="2"/>
  <c r="A694" i="2" s="1"/>
  <c r="A695" i="2" s="1"/>
  <c r="A696" i="2" s="1"/>
  <c r="A679" i="2"/>
  <c r="A670" i="2"/>
  <c r="A671" i="2" s="1"/>
  <c r="A672" i="2" s="1"/>
  <c r="A673" i="2" s="1"/>
  <c r="A674" i="2" s="1"/>
  <c r="A675" i="2" s="1"/>
  <c r="A676" i="2" s="1"/>
  <c r="A677" i="2" s="1"/>
  <c r="A669" i="2"/>
  <c r="A662" i="2"/>
  <c r="A663" i="2" s="1"/>
  <c r="A664" i="2" s="1"/>
  <c r="A665" i="2" s="1"/>
  <c r="A666" i="2" s="1"/>
  <c r="A667" i="2" s="1"/>
  <c r="A668" i="2" s="1"/>
  <c r="A661" i="2"/>
  <c r="A660" i="2"/>
  <c r="A651" i="2"/>
  <c r="A652" i="2" s="1"/>
  <c r="A653" i="2" s="1"/>
  <c r="A654" i="2" s="1"/>
  <c r="A655" i="2" s="1"/>
  <c r="A656" i="2" s="1"/>
  <c r="A657" i="2" s="1"/>
  <c r="A658" i="2" s="1"/>
  <c r="A659" i="2" s="1"/>
  <c r="A643" i="2"/>
  <c r="A644" i="2" s="1"/>
  <c r="A645" i="2" s="1"/>
  <c r="A646" i="2" s="1"/>
  <c r="A647" i="2" s="1"/>
  <c r="A648" i="2" s="1"/>
  <c r="A649" i="2" s="1"/>
  <c r="A650" i="2" s="1"/>
  <c r="A607" i="2"/>
  <c r="A606" i="2"/>
  <c r="A605" i="2"/>
  <c r="A604" i="2"/>
  <c r="A603" i="2"/>
  <c r="A601" i="2"/>
  <c r="A600" i="2"/>
  <c r="A598" i="2"/>
  <c r="A599" i="2" s="1"/>
  <c r="A597" i="2"/>
  <c r="A596" i="2"/>
  <c r="A595" i="2"/>
  <c r="A591" i="2"/>
  <c r="A592" i="2" s="1"/>
  <c r="A593" i="2" s="1"/>
  <c r="A594" i="2" s="1"/>
  <c r="A586" i="2"/>
  <c r="A587" i="2" s="1"/>
  <c r="A588" i="2" s="1"/>
  <c r="A589" i="2" s="1"/>
  <c r="A584" i="2"/>
  <c r="A582" i="2"/>
  <c r="A581" i="2"/>
  <c r="A580" i="2"/>
  <c r="A574" i="2"/>
  <c r="A575" i="2" s="1"/>
  <c r="A576" i="2" s="1"/>
  <c r="A578" i="2" s="1"/>
  <c r="A572" i="2"/>
  <c r="A571" i="2"/>
  <c r="A570" i="2"/>
  <c r="A561" i="2"/>
  <c r="A562" i="2" s="1"/>
  <c r="A563" i="2" s="1"/>
  <c r="A564" i="2" s="1"/>
  <c r="A565" i="2" s="1"/>
  <c r="A559" i="2"/>
  <c r="A558" i="2"/>
  <c r="A557" i="2"/>
  <c r="A540" i="2"/>
  <c r="A541" i="2" s="1"/>
  <c r="A542" i="2" s="1"/>
  <c r="A543" i="2" s="1"/>
  <c r="A544" i="2" s="1"/>
  <c r="A545" i="2" s="1"/>
  <c r="A546" i="2" s="1"/>
  <c r="A547" i="2" s="1"/>
  <c r="A548" i="2" s="1"/>
  <c r="A549" i="2" s="1"/>
  <c r="A535" i="2"/>
  <c r="A536" i="2" s="1"/>
  <c r="A537" i="2" s="1"/>
  <c r="A538" i="2" s="1"/>
  <c r="A527" i="2"/>
  <c r="A528" i="2" s="1"/>
  <c r="A529" i="2" s="1"/>
  <c r="A531" i="2" s="1"/>
  <c r="A532" i="2" s="1"/>
  <c r="A533" i="2" s="1"/>
  <c r="A521" i="2"/>
  <c r="A522" i="2" s="1"/>
  <c r="A523" i="2" s="1"/>
  <c r="A524" i="2" s="1"/>
  <c r="A525" i="2" s="1"/>
  <c r="A517" i="2"/>
  <c r="A518" i="2" s="1"/>
  <c r="A519" i="2" s="1"/>
  <c r="A520" i="2" s="1"/>
  <c r="A510" i="2"/>
  <c r="A511" i="2" s="1"/>
  <c r="A512" i="2" s="1"/>
  <c r="A513" i="2" s="1"/>
  <c r="A514" i="2" s="1"/>
  <c r="A515" i="2" s="1"/>
  <c r="A516" i="2" s="1"/>
  <c r="A480" i="2"/>
  <c r="A475" i="2"/>
  <c r="A476" i="2" s="1"/>
  <c r="A477" i="2" s="1"/>
  <c r="A478" i="2" s="1"/>
  <c r="A471" i="2"/>
  <c r="A472" i="2" s="1"/>
  <c r="A473" i="2" s="1"/>
  <c r="A454" i="2"/>
  <c r="A455" i="2" s="1"/>
  <c r="A456" i="2" s="1"/>
  <c r="A457" i="2" s="1"/>
  <c r="A458" i="2" s="1"/>
  <c r="A459" i="2" s="1"/>
  <c r="A466" i="2" s="1"/>
  <c r="A467" i="2" s="1"/>
  <c r="A468" i="2" s="1"/>
  <c r="A469" i="2" s="1"/>
  <c r="A451" i="2"/>
  <c r="A450" i="2"/>
  <c r="A449" i="2"/>
  <c r="A447" i="2"/>
  <c r="A445" i="2"/>
  <c r="A446" i="2" s="1"/>
  <c r="A444" i="2"/>
  <c r="A442" i="2"/>
  <c r="A424" i="2"/>
  <c r="A439" i="2" s="1"/>
  <c r="A440" i="2" s="1"/>
  <c r="A441" i="2" s="1"/>
  <c r="A422" i="2"/>
  <c r="A423" i="2" s="1"/>
  <c r="A403" i="2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02" i="2"/>
  <c r="A390" i="2"/>
  <c r="A394" i="2" s="1"/>
  <c r="A395" i="2" s="1"/>
  <c r="A396" i="2" s="1"/>
  <c r="A397" i="2" s="1"/>
  <c r="A384" i="2"/>
  <c r="A385" i="2" s="1"/>
  <c r="A386" i="2" s="1"/>
  <c r="A387" i="2" s="1"/>
  <c r="A388" i="2" s="1"/>
  <c r="A382" i="2"/>
  <c r="A380" i="2"/>
  <c r="A381" i="2" s="1"/>
  <c r="A378" i="2"/>
  <c r="A379" i="2" s="1"/>
  <c r="A377" i="2"/>
  <c r="A371" i="2"/>
  <c r="A372" i="2" s="1"/>
  <c r="A373" i="2" s="1"/>
  <c r="A374" i="2" s="1"/>
  <c r="A375" i="2" s="1"/>
  <c r="A368" i="2"/>
  <c r="A364" i="2"/>
  <c r="A365" i="2" s="1"/>
  <c r="A366" i="2" s="1"/>
  <c r="A367" i="2" s="1"/>
  <c r="A363" i="2"/>
  <c r="A362" i="2"/>
  <c r="A359" i="2"/>
  <c r="A360" i="2" s="1"/>
  <c r="A361" i="2" s="1"/>
  <c r="A358" i="2"/>
  <c r="A356" i="2"/>
  <c r="A357" i="2" s="1"/>
  <c r="A355" i="2"/>
  <c r="A350" i="2"/>
  <c r="A351" i="2" s="1"/>
  <c r="A352" i="2" s="1"/>
  <c r="A353" i="2" s="1"/>
  <c r="A349" i="2"/>
  <c r="A340" i="2"/>
  <c r="A341" i="2" s="1"/>
  <c r="A342" i="2" s="1"/>
  <c r="A343" i="2" s="1"/>
  <c r="A344" i="2" s="1"/>
  <c r="A345" i="2" s="1"/>
  <c r="A346" i="2" s="1"/>
  <c r="A336" i="2"/>
  <c r="A337" i="2" s="1"/>
  <c r="A338" i="2" s="1"/>
  <c r="A334" i="2"/>
  <c r="A332" i="2"/>
  <c r="A333" i="2" s="1"/>
  <c r="A330" i="2"/>
  <c r="A323" i="2"/>
  <c r="A324" i="2" s="1"/>
  <c r="A325" i="2" s="1"/>
  <c r="A326" i="2" s="1"/>
  <c r="A327" i="2" s="1"/>
  <c r="A317" i="2"/>
  <c r="A322" i="2" s="1"/>
  <c r="A315" i="2"/>
  <c r="A316" i="2" s="1"/>
  <c r="A308" i="2"/>
  <c r="A309" i="2" s="1"/>
  <c r="A310" i="2" s="1"/>
  <c r="A311" i="2" s="1"/>
  <c r="A312" i="2" s="1"/>
  <c r="A313" i="2" s="1"/>
  <c r="A305" i="2"/>
  <c r="A306" i="2" s="1"/>
  <c r="A298" i="2"/>
  <c r="A299" i="2" s="1"/>
  <c r="A300" i="2" s="1"/>
  <c r="A302" i="2" s="1"/>
  <c r="A297" i="2"/>
  <c r="A294" i="2"/>
  <c r="A295" i="2" s="1"/>
  <c r="A289" i="2"/>
  <c r="A290" i="2" s="1"/>
  <c r="A291" i="2" s="1"/>
  <c r="A292" i="2" s="1"/>
  <c r="A283" i="2"/>
  <c r="A284" i="2" s="1"/>
  <c r="A285" i="2" s="1"/>
  <c r="A286" i="2" s="1"/>
  <c r="A287" i="2" s="1"/>
  <c r="A281" i="2"/>
  <c r="A277" i="2"/>
  <c r="A278" i="2" s="1"/>
  <c r="A279" i="2" s="1"/>
  <c r="A274" i="2"/>
  <c r="A275" i="2" s="1"/>
  <c r="A276" i="2" s="1"/>
  <c r="A269" i="2"/>
  <c r="A270" i="2" s="1"/>
  <c r="A271" i="2" s="1"/>
  <c r="A272" i="2" s="1"/>
  <c r="A273" i="2" s="1"/>
  <c r="A268" i="2"/>
  <c r="A266" i="2"/>
  <c r="A267" i="2" s="1"/>
  <c r="A264" i="2"/>
  <c r="A263" i="2"/>
  <c r="A262" i="2"/>
  <c r="A259" i="2"/>
  <c r="A260" i="2" s="1"/>
  <c r="A258" i="2"/>
  <c r="A256" i="2"/>
  <c r="A254" i="2"/>
  <c r="A252" i="2"/>
  <c r="A251" i="2"/>
  <c r="A249" i="2"/>
  <c r="A247" i="2"/>
  <c r="A248" i="2" s="1"/>
  <c r="A246" i="2"/>
  <c r="A236" i="2"/>
  <c r="A233" i="2"/>
  <c r="A234" i="2" s="1"/>
  <c r="A232" i="2"/>
  <c r="A231" i="2"/>
  <c r="A226" i="2"/>
  <c r="A227" i="2" s="1"/>
  <c r="A228" i="2" s="1"/>
  <c r="A229" i="2" s="1"/>
  <c r="A230" i="2" s="1"/>
  <c r="A225" i="2"/>
  <c r="A221" i="2"/>
  <c r="A222" i="2" s="1"/>
  <c r="A223" i="2" s="1"/>
  <c r="A224" i="2" s="1"/>
  <c r="A220" i="2"/>
  <c r="A212" i="2"/>
  <c r="A213" i="2" s="1"/>
  <c r="A214" i="2" s="1"/>
  <c r="A215" i="2" s="1"/>
  <c r="A216" i="2" s="1"/>
  <c r="A217" i="2" s="1"/>
  <c r="A218" i="2" s="1"/>
  <c r="A205" i="2"/>
  <c r="A206" i="2" s="1"/>
  <c r="A207" i="2" s="1"/>
  <c r="A208" i="2" s="1"/>
  <c r="A209" i="2" s="1"/>
  <c r="A210" i="2" s="1"/>
  <c r="A211" i="2" s="1"/>
  <c r="A191" i="2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190" i="2"/>
  <c r="A178" i="2"/>
  <c r="A179" i="2" s="1"/>
  <c r="A177" i="2"/>
  <c r="A175" i="2"/>
  <c r="A174" i="2"/>
  <c r="A172" i="2"/>
  <c r="A173" i="2" s="1"/>
  <c r="A171" i="2"/>
  <c r="A168" i="2"/>
  <c r="A169" i="2" s="1"/>
  <c r="A170" i="2" s="1"/>
  <c r="A167" i="2"/>
  <c r="A165" i="2"/>
  <c r="A166" i="2" s="1"/>
  <c r="A163" i="2"/>
  <c r="A162" i="2"/>
  <c r="A161" i="2"/>
  <c r="A159" i="2"/>
  <c r="A158" i="2"/>
  <c r="A148" i="2"/>
  <c r="A149" i="2" s="1"/>
  <c r="A71" i="2"/>
  <c r="A67" i="2"/>
  <c r="A68" i="2" s="1"/>
  <c r="A69" i="2" s="1"/>
  <c r="A70" i="2" s="1"/>
  <c r="A64" i="2"/>
  <c r="A65" i="2" s="1"/>
  <c r="A66" i="2" s="1"/>
  <c r="A49" i="2"/>
  <c r="A39" i="2"/>
  <c r="A40" i="2" s="1"/>
  <c r="A41" i="2" s="1"/>
  <c r="A42" i="2" s="1"/>
  <c r="A43" i="2" s="1"/>
  <c r="A44" i="2" s="1"/>
  <c r="A45" i="2" s="1"/>
  <c r="A46" i="2" s="1"/>
  <c r="A47" i="2" s="1"/>
  <c r="A30" i="2"/>
  <c r="A31" i="2" s="1"/>
  <c r="A32" i="2" s="1"/>
  <c r="A33" i="2" s="1"/>
  <c r="A34" i="2" s="1"/>
  <c r="A35" i="2" s="1"/>
  <c r="A36" i="2" s="1"/>
  <c r="A37" i="2" s="1"/>
  <c r="A29" i="2"/>
  <c r="A28" i="2"/>
  <c r="A21" i="2"/>
  <c r="A22" i="2" s="1"/>
  <c r="A23" i="2" s="1"/>
  <c r="A24" i="2" s="1"/>
  <c r="A25" i="2" s="1"/>
  <c r="A26" i="2" s="1"/>
  <c r="A20" i="2"/>
  <c r="A19" i="2"/>
  <c r="A16" i="2"/>
  <c r="A17" i="2" s="1"/>
  <c r="A15" i="2"/>
  <c r="A5" i="2"/>
  <c r="A6" i="2" s="1"/>
  <c r="A7" i="2" s="1"/>
  <c r="A4" i="2"/>
  <c r="A3" i="2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<sst xmlns="http://schemas.openxmlformats.org/spreadsheetml/2006/main" count="5737" uniqueCount="3356">
  <si>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</si>
  <si>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</si>
  <si>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</si>
  <si>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</si>
  <si>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</si>
  <si>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</si>
  <si>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</si>
  <si>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</si>
  <si>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</si>
  <si>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</si>
  <si>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</si>
  <si>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</si>
  <si>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</si>
  <si>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</si>
  <si>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</si>
  <si>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</si>
  <si>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</si>
  <si>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</si>
  <si>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</si>
  <si>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</si>
  <si>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</si>
  <si>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</si>
  <si>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</si>
  <si>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</si>
  <si>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</si>
  <si>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</si>
  <si>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</si>
  <si>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</si>
  <si>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</si>
  <si>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</si>
  <si>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</si>
  <si>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</si>
  <si>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</si>
  <si>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</si>
  <si>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</si>
  <si>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</si>
  <si>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</si>
  <si>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</si>
  <si>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</si>
  <si>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</si>
  <si>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</si>
  <si>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</si>
  <si>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</si>
  <si>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</si>
  <si>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</si>
  <si>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</si>
  <si>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</si>
  <si>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</si>
  <si>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</si>
  <si>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</si>
  <si>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</si>
  <si>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</si>
  <si>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</si>
  <si>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</si>
  <si>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</si>
  <si>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</si>
  <si>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</si>
  <si>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</si>
  <si>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</si>
  <si>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</si>
  <si>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</si>
  <si>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</si>
  <si>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</si>
  <si>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</si>
  <si>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</si>
  <si>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</si>
  <si>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</si>
  <si>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</si>
  <si>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</si>
  <si>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</si>
  <si>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</si>
  <si>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</si>
  <si>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</si>
  <si>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</si>
  <si>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</si>
  <si>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</si>
  <si>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</si>
  <si>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</si>
  <si>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</si>
  <si>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</si>
  <si>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</si>
  <si>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</si>
  <si>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</si>
  <si>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</si>
  <si>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</si>
  <si>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</si>
  <si>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</si>
  <si>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</si>
  <si>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</si>
  <si>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</si>
  <si>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</si>
  <si>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</si>
  <si>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</si>
  <si>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</si>
  <si>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</si>
  <si>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</si>
  <si>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</si>
  <si>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</si>
  <si>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</si>
  <si>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</si>
  <si>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</si>
  <si>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</si>
  <si>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</si>
  <si>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</si>
  <si>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</si>
  <si>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</si>
  <si>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</si>
  <si>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</si>
  <si>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</si>
  <si>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</si>
  <si>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</si>
  <si>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</si>
  <si>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</si>
  <si>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</si>
  <si>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</si>
  <si>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</si>
  <si>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</si>
  <si>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</si>
  <si>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</si>
  <si>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</si>
  <si>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</si>
  <si>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</si>
  <si>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</si>
  <si>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</si>
  <si>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</si>
  <si>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</si>
  <si>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</si>
  <si>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</si>
  <si>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</si>
  <si>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</si>
  <si>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</si>
  <si>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</si>
  <si>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</si>
  <si>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</si>
  <si>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</si>
  <si>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</si>
  <si>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</si>
  <si>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</si>
  <si>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</si>
  <si>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</si>
  <si>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</si>
  <si>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</si>
  <si>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</si>
  <si>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</si>
  <si>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</si>
  <si>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</si>
  <si>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</si>
  <si>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</si>
  <si>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</si>
  <si>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</si>
  <si>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</si>
  <si>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</si>
  <si>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</si>
  <si>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</si>
  <si>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</si>
  <si>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</si>
  <si>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</si>
  <si>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</si>
  <si>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</si>
  <si>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</si>
  <si>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</si>
  <si>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</si>
  <si>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</si>
  <si>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</si>
  <si>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</si>
  <si>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</si>
  <si>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</si>
  <si>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</si>
  <si>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</si>
  <si>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</si>
  <si>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</si>
  <si>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</si>
  <si>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</si>
  <si>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</si>
  <si>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</si>
  <si>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</si>
  <si>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</si>
  <si>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</si>
  <si>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</si>
  <si>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</si>
  <si>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</si>
  <si>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</si>
  <si>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</si>
  <si>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</si>
  <si>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</si>
  <si>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</si>
  <si>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</si>
  <si>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</si>
  <si>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</si>
  <si>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</si>
  <si>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</si>
  <si>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</si>
  <si>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</si>
  <si>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</si>
  <si>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</si>
  <si>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</si>
  <si>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</si>
  <si>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</si>
  <si>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</si>
  <si>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</si>
  <si>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</si>
  <si>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</si>
  <si>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</si>
  <si>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</si>
  <si>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</si>
  <si>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</si>
  <si>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</si>
  <si>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</si>
  <si>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</si>
  <si>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</si>
  <si>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</si>
  <si>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</si>
  <si>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</si>
  <si>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</si>
  <si>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</si>
  <si>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</si>
  <si>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</si>
  <si>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</si>
  <si>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</si>
  <si>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</si>
  <si>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</si>
  <si>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</si>
  <si>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</si>
  <si>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</si>
  <si>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</si>
  <si>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</si>
  <si>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</si>
  <si>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</si>
  <si>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</si>
  <si>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</si>
  <si>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</si>
  <si>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</si>
  <si>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</si>
  <si>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</si>
  <si>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</si>
  <si>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</si>
  <si>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</si>
  <si>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</si>
  <si>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</si>
  <si>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</si>
  <si>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</si>
  <si>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</si>
  <si>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</si>
  <si>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</si>
  <si>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</si>
  <si>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</si>
  <si>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</si>
  <si>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</si>
  <si>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</si>
  <si>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</si>
  <si>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</si>
  <si>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</si>
  <si>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</si>
  <si>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</si>
  <si>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</si>
  <si>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</si>
  <si>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</si>
  <si>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</si>
  <si>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</si>
  <si>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</si>
  <si>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</si>
  <si>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</si>
  <si>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</si>
  <si>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</si>
  <si>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</si>
  <si>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</si>
  <si>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</si>
  <si>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</si>
  <si>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</si>
  <si>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</si>
  <si>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</si>
  <si>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</si>
  <si>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</si>
  <si>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</si>
  <si>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</si>
  <si>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</si>
  <si>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</si>
  <si>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</si>
  <si>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</si>
  <si>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</si>
  <si>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</si>
  <si>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</si>
  <si>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</si>
  <si>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</si>
  <si>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</si>
  <si>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</si>
  <si>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</si>
  <si>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</si>
  <si>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</si>
  <si>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</si>
  <si>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</si>
  <si>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</si>
  <si>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</si>
  <si>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</si>
  <si>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</si>
  <si>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</si>
  <si>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</si>
  <si>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</si>
  <si>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</si>
  <si>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</si>
  <si>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</si>
  <si>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</si>
  <si>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</si>
  <si>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</si>
  <si>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</si>
  <si>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</si>
  <si>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</si>
  <si>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</si>
  <si>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</si>
  <si>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</si>
  <si>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</si>
  <si>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</si>
  <si>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</si>
  <si>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</si>
  <si>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</si>
  <si>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</si>
  <si>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</si>
  <si>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</si>
  <si>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</si>
  <si>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</si>
  <si>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</si>
  <si>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</si>
  <si>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</si>
  <si>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</si>
  <si>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</si>
  <si>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</si>
  <si>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</si>
  <si>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</si>
  <si>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</si>
  <si>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</si>
  <si>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</si>
  <si>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</si>
  <si>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</si>
  <si>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</si>
  <si>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</si>
  <si>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</si>
  <si>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</si>
  <si>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</si>
  <si>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</si>
  <si>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</si>
  <si>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</si>
  <si>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</si>
  <si>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</si>
  <si>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</si>
  <si>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</si>
  <si>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</si>
  <si>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</si>
  <si>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</si>
  <si>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</si>
  <si>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</si>
  <si>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</si>
  <si>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</si>
  <si>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</si>
  <si>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</si>
  <si>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</si>
  <si>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</si>
  <si>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</si>
  <si>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</si>
  <si>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</si>
  <si>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</si>
  <si>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</si>
  <si>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</si>
  <si>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</si>
  <si>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</si>
  <si>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</si>
  <si>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</si>
  <si>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</si>
  <si>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</si>
  <si>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</si>
  <si>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</si>
  <si>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</si>
  <si>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</si>
  <si>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</si>
  <si>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</si>
  <si>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</si>
  <si>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</si>
  <si>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</si>
  <si>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</si>
  <si>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</si>
  <si>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</si>
  <si>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</si>
  <si>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</si>
  <si>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</si>
  <si>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</si>
  <si>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</si>
  <si>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</si>
  <si>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</si>
  <si>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</si>
  <si>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</si>
  <si>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</si>
  <si>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</si>
  <si>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</si>
  <si>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</si>
  <si>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</si>
  <si>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</si>
  <si>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</si>
  <si>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</si>
  <si>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</si>
  <si>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</si>
  <si>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</si>
  <si>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</si>
  <si>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</si>
  <si>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</si>
  <si>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</si>
  <si>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</si>
  <si>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</si>
  <si>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</si>
  <si>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</si>
  <si>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</si>
  <si>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</si>
  <si>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</si>
  <si>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</si>
  <si>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</si>
  <si>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</si>
  <si>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</si>
  <si>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</si>
  <si>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</si>
  <si>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</si>
  <si>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</si>
  <si>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</si>
  <si>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</si>
  <si>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</si>
  <si>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</si>
  <si>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</si>
  <si>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</si>
  <si>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</si>
  <si>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</si>
  <si>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</si>
  <si>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</si>
  <si>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</si>
  <si>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</si>
  <si>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</si>
  <si>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</si>
  <si>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</si>
  <si>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</si>
  <si>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</si>
  <si>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</si>
  <si>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</si>
  <si>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</si>
  <si>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</si>
  <si>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</si>
  <si>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</si>
  <si>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</si>
  <si>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</si>
  <si>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</si>
  <si>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</si>
  <si>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</si>
  <si>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</si>
  <si>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</si>
  <si>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</si>
  <si>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</si>
  <si>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</si>
  <si>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</si>
  <si>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</si>
  <si>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</si>
  <si>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</si>
  <si>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</si>
  <si>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</si>
  <si>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</si>
  <si>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</si>
  <si>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</si>
  <si>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</si>
  <si>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</si>
  <si>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</si>
  <si>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</si>
  <si>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</si>
  <si>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</si>
  <si>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</si>
  <si>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</si>
  <si>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</si>
  <si>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</si>
  <si>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</si>
  <si>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</si>
  <si>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</si>
  <si>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</si>
  <si>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</si>
  <si>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</si>
  <si>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</si>
  <si>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</si>
  <si>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</si>
  <si>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</si>
  <si>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</si>
  <si>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</si>
  <si>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</si>
  <si>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</si>
  <si>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</si>
  <si>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</si>
  <si>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</si>
  <si>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</si>
  <si>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</si>
  <si>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</si>
  <si>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</si>
  <si>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</si>
  <si>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</si>
  <si>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</si>
  <si>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</si>
  <si>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</si>
  <si>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</si>
  <si>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</si>
  <si>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</si>
  <si>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</si>
  <si>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</si>
  <si>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</si>
  <si>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</si>
  <si>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</si>
  <si>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</si>
  <si>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</si>
  <si>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</si>
  <si>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</si>
  <si>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</si>
  <si>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</si>
  <si>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</si>
  <si>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</si>
  <si>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</si>
  <si>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</si>
  <si>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</si>
  <si>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</si>
  <si>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</si>
  <si>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</si>
  <si>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</si>
  <si>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</si>
  <si>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</si>
  <si>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</si>
  <si>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</si>
  <si>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</si>
  <si>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</si>
  <si>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</si>
  <si>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</si>
  <si>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</si>
  <si>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</si>
  <si>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</si>
  <si>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</si>
  <si>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</si>
  <si>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</si>
  <si>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</si>
  <si>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</si>
  <si>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</si>
  <si>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</si>
  <si>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</si>
  <si>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</si>
  <si>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</si>
  <si>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</si>
  <si>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</si>
  <si>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</si>
  <si>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</si>
  <si>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</si>
  <si>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</si>
  <si>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</si>
  <si>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</si>
  <si>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</si>
  <si>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</si>
  <si>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</si>
  <si>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</si>
  <si>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</si>
  <si>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</si>
  <si>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</si>
  <si>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</si>
  <si>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</si>
  <si>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</si>
  <si>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</si>
  <si>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</si>
  <si>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</si>
  <si>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</si>
  <si>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</si>
  <si>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</si>
  <si>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</si>
  <si>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</si>
  <si>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</si>
  <si>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</si>
  <si>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</si>
  <si>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</si>
  <si>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</si>
  <si>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</si>
  <si>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</si>
  <si>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</si>
  <si>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</si>
  <si>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</si>
  <si>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</si>
  <si>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</si>
  <si>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</si>
  <si>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</si>
  <si>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</si>
  <si>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</si>
  <si>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</si>
  <si>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</si>
  <si>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</si>
  <si>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</si>
  <si>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</si>
  <si>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</si>
  <si>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</si>
  <si>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</si>
  <si>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</si>
  <si>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</si>
  <si>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</si>
  <si>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</si>
  <si>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</si>
  <si>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</si>
  <si>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</si>
  <si>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</si>
  <si>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</si>
  <si>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</si>
  <si>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</si>
  <si>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</si>
  <si>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</si>
  <si>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</si>
  <si>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</si>
  <si>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</si>
  <si>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</si>
  <si>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</si>
  <si>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</si>
  <si>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</si>
  <si>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</si>
  <si>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</si>
  <si>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</si>
  <si>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</si>
  <si>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</si>
  <si>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</si>
  <si>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</si>
  <si>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</si>
  <si>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</si>
  <si>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</si>
  <si>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</si>
  <si>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</si>
  <si>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</si>
  <si>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</si>
  <si>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</si>
  <si>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</si>
  <si>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</si>
  <si>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</si>
  <si>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</si>
  <si>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</si>
  <si>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</si>
  <si>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</si>
  <si>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</si>
  <si>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</si>
  <si>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</si>
  <si>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</si>
  <si>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</si>
  <si>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</si>
  <si>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</si>
  <si>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</si>
  <si>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</si>
  <si>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</si>
  <si>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</si>
  <si>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</si>
  <si>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</si>
  <si>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</si>
  <si>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</si>
  <si>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</si>
  <si>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</si>
  <si>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</si>
  <si>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</si>
  <si>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</si>
  <si>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</si>
  <si>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</si>
  <si>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</si>
  <si>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</si>
  <si>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</si>
  <si>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</si>
  <si>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</si>
  <si>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</si>
  <si>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</si>
  <si>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</si>
  <si>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</si>
  <si>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</si>
  <si>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</si>
  <si>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</si>
  <si>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</si>
  <si>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</si>
  <si>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</si>
  <si>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</si>
  <si>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</si>
  <si>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</si>
  <si>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</si>
  <si>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</si>
  <si>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</si>
  <si>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</si>
  <si>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</si>
  <si>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</si>
  <si>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</si>
  <si>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</si>
  <si>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</si>
  <si>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</si>
  <si>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</si>
  <si>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</si>
  <si>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</si>
  <si>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</si>
  <si>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</si>
  <si>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</si>
  <si>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</si>
  <si>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</si>
  <si>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</si>
  <si>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</si>
  <si>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</si>
  <si>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</si>
  <si>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</si>
  <si>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</si>
  <si>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</si>
  <si>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</si>
  <si>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</si>
  <si>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</si>
  <si>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</si>
  <si>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</si>
  <si>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</si>
  <si>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</si>
  <si>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</si>
  <si>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</si>
  <si>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</si>
  <si>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</si>
  <si>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</si>
  <si>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</si>
  <si>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</si>
  <si>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</si>
  <si>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</si>
  <si>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</si>
  <si>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</si>
  <si>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</si>
  <si>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</si>
  <si>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</si>
  <si>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</si>
  <si>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</si>
  <si>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</si>
  <si>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</si>
  <si>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</si>
  <si>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</si>
  <si>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</si>
  <si>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</si>
  <si>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</si>
  <si>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</si>
  <si>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</si>
  <si>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</si>
  <si>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</si>
  <si>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</si>
  <si>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</si>
  <si>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</si>
  <si>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</si>
  <si>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</si>
  <si>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</si>
  <si>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</si>
  <si>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</si>
  <si>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</si>
  <si>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</si>
  <si>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</si>
  <si>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</si>
  <si>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</si>
  <si>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</si>
  <si>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</si>
  <si>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</si>
  <si>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</si>
  <si>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</si>
  <si>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</si>
  <si>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</si>
  <si>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</si>
  <si>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</si>
  <si>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</si>
  <si>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</si>
  <si>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</si>
  <si>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</si>
  <si>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</si>
  <si>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</si>
  <si>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</si>
  <si>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</si>
  <si>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</si>
  <si>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</si>
  <si>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</si>
  <si>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</si>
  <si>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</si>
  <si>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</si>
  <si>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</si>
  <si>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</si>
  <si>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</si>
  <si>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</si>
  <si>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</si>
  <si>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</si>
  <si>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</si>
  <si>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</si>
  <si>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</si>
  <si>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</si>
  <si>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</si>
  <si>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</si>
  <si>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</si>
  <si>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</si>
  <si>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</si>
  <si>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</si>
  <si>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</si>
  <si>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</si>
  <si>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</si>
  <si>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</si>
  <si>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</si>
  <si>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</si>
  <si>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</si>
  <si>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</si>
  <si>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</si>
  <si>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</si>
  <si>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</si>
  <si>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</si>
  <si>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</si>
  <si>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</si>
  <si>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</si>
  <si>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</si>
  <si>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</si>
  <si>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</si>
  <si>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</si>
  <si>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</si>
  <si>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</si>
  <si>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</si>
  <si>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</si>
  <si>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</si>
  <si>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</si>
  <si>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</si>
  <si>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</si>
  <si>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</si>
  <si>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</si>
  <si>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</si>
  <si>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</si>
  <si>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</si>
  <si>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</si>
  <si>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</si>
  <si>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</si>
  <si>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</si>
  <si>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</si>
  <si>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</si>
  <si>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</si>
  <si>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</si>
  <si>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</si>
  <si>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</si>
  <si>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</si>
  <si>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</si>
  <si>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</si>
  <si>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</si>
  <si>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</si>
  <si>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</si>
  <si>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</si>
  <si>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</si>
  <si>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</si>
  <si>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</si>
  <si>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</si>
  <si>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</si>
  <si>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</si>
  <si>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</si>
  <si>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</si>
  <si>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</si>
  <si>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</si>
  <si>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</si>
  <si>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</si>
  <si>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</si>
  <si>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</si>
  <si>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</si>
  <si>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</si>
  <si>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</si>
  <si>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</si>
  <si>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</si>
  <si>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</si>
  <si>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</si>
  <si>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</si>
  <si>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</si>
  <si>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</si>
  <si>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</si>
  <si>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</si>
  <si>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</si>
  <si>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</si>
  <si>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</si>
  <si>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</si>
  <si>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</si>
  <si>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</si>
  <si>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</si>
  <si>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</si>
  <si>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</si>
  <si>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</si>
  <si>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</si>
  <si>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</si>
  <si>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</si>
  <si>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</si>
  <si>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</si>
  <si>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</si>
  <si>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</si>
  <si>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</si>
  <si>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</si>
  <si>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</si>
  <si>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</si>
  <si>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</si>
  <si>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</si>
  <si>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</si>
  <si>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</si>
  <si>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</si>
  <si>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</si>
  <si>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</si>
  <si>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</si>
  <si>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</si>
  <si>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</si>
  <si>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</si>
  <si>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</si>
  <si>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</si>
  <si>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</si>
  <si>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</si>
  <si>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</si>
  <si>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</si>
  <si>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</si>
  <si>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</si>
  <si>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</si>
  <si>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</si>
  <si>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</si>
  <si>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</si>
  <si>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</si>
  <si>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</si>
  <si>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</si>
  <si>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</si>
  <si>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</si>
  <si>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</si>
  <si>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</si>
  <si>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</si>
  <si>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</si>
  <si>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</si>
  <si>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</si>
  <si>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</si>
  <si>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</si>
  <si>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</si>
  <si>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</si>
  <si>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</si>
  <si>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</si>
  <si>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</si>
  <si>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</si>
  <si>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</si>
  <si>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</si>
  <si>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</si>
  <si>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</si>
  <si>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</si>
  <si>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</si>
  <si>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</si>
  <si>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</si>
  <si>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</si>
  <si>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</si>
  <si>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</si>
  <si>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</si>
  <si>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</si>
  <si>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</si>
  <si>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</si>
  <si>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</si>
  <si>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</si>
  <si>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</si>
  <si>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</si>
  <si>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</si>
  <si>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</si>
  <si>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</si>
  <si>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</si>
  <si>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</si>
  <si>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</si>
  <si>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</si>
  <si>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</si>
  <si>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</si>
  <si>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</si>
  <si>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</si>
  <si>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</si>
  <si>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</si>
  <si>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</si>
  <si>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</si>
  <si>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</si>
  <si>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</si>
  <si>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</si>
  <si>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</si>
  <si>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</si>
  <si>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</si>
  <si>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</si>
  <si>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</si>
  <si>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</si>
  <si>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</si>
  <si>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</si>
  <si>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</si>
  <si>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</si>
  <si>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</si>
  <si>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</si>
  <si>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</si>
  <si>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</si>
  <si>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</si>
  <si>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</si>
  <si>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</si>
  <si>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</si>
  <si>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</si>
  <si>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</si>
  <si>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</si>
  <si>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</si>
  <si>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</si>
  <si>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</si>
  <si>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</si>
  <si>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</si>
  <si>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</si>
  <si>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</si>
  <si>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</si>
  <si>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</si>
  <si>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</si>
  <si>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</si>
  <si>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</si>
  <si>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</si>
  <si>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</si>
  <si>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</si>
  <si>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</si>
  <si>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</si>
  <si>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</si>
  <si>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</si>
  <si>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</si>
  <si>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</si>
  <si>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</si>
  <si>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</si>
  <si>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</si>
  <si>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</si>
  <si>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</si>
  <si>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</si>
  <si>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</si>
  <si>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</si>
  <si>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</si>
  <si>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</si>
  <si>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</si>
  <si>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</si>
  <si>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</si>
  <si>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</si>
  <si>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</si>
  <si>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</si>
  <si>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</si>
  <si>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</si>
  <si>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</si>
  <si>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</si>
  <si>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</si>
  <si>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</si>
  <si>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</si>
  <si>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</si>
  <si>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</si>
  <si>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</si>
  <si>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</si>
  <si>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</si>
  <si>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</si>
  <si>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</si>
  <si>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</si>
  <si>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</si>
  <si>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</si>
  <si>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</si>
  <si>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</si>
  <si>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</si>
  <si>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</si>
  <si>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</si>
  <si>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</si>
  <si>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</si>
  <si>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</si>
  <si>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</si>
  <si>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</si>
  <si>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</si>
  <si>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</si>
  <si>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</si>
  <si>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</si>
  <si>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</si>
  <si>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</si>
  <si>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</si>
  <si>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</si>
  <si>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</si>
  <si>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</si>
  <si>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</si>
  <si>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</si>
  <si>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</si>
  <si>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</si>
  <si>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</si>
  <si>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</si>
  <si>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</si>
  <si>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</si>
  <si>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</si>
  <si>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</si>
  <si>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</si>
  <si>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</si>
  <si>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</si>
  <si>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</si>
  <si>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</si>
  <si>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</si>
  <si>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</si>
  <si>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</si>
  <si>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</si>
  <si>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</si>
  <si>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</si>
  <si>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</si>
  <si>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</si>
  <si>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</si>
  <si>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</si>
  <si>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</si>
  <si>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</si>
  <si>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</si>
  <si>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</si>
  <si>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</si>
  <si>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</si>
  <si>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</si>
  <si>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</si>
  <si>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</si>
  <si>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</si>
  <si>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</si>
  <si>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</si>
  <si>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</si>
  <si>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</si>
  <si>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</si>
  <si>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</si>
  <si>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</si>
  <si>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</si>
  <si>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</si>
  <si>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</si>
  <si>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</si>
  <si>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</si>
  <si>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</si>
  <si>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</si>
  <si>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</si>
  <si>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</si>
  <si>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</si>
  <si>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</si>
  <si>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</si>
  <si>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</si>
  <si>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</si>
  <si>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</si>
  <si>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</si>
  <si>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</si>
  <si>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</si>
  <si>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</si>
  <si>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</si>
  <si>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</si>
  <si>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</si>
  <si>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</si>
  <si>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</si>
  <si>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</si>
  <si>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</si>
  <si>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</si>
  <si>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</si>
  <si>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</si>
  <si>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</si>
  <si>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</si>
  <si>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</si>
  <si>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</si>
  <si>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</si>
  <si>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</si>
  <si>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</si>
  <si>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</si>
  <si>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</si>
  <si>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</si>
  <si>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</si>
  <si>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</si>
  <si>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</si>
  <si>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</si>
  <si>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</si>
  <si>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</si>
  <si>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</si>
  <si>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</si>
  <si>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</si>
  <si>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</si>
  <si>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</si>
  <si>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</si>
  <si>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</si>
  <si>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</si>
  <si>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</si>
  <si>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</si>
  <si>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</si>
  <si>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</si>
  <si>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</si>
  <si>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</si>
  <si>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</si>
  <si>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</si>
  <si>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</si>
  <si>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</si>
  <si>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</si>
  <si>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</si>
  <si>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</si>
  <si>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</si>
  <si>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</si>
  <si>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</si>
  <si>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</si>
  <si>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</si>
  <si>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</si>
  <si>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</si>
  <si>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</si>
  <si>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</si>
  <si>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</si>
  <si>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</si>
  <si>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</si>
  <si>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</si>
  <si>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</si>
  <si>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</si>
  <si>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</si>
  <si>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</si>
  <si>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</si>
  <si>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</si>
  <si>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</si>
  <si>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</si>
  <si>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</si>
  <si>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</si>
  <si>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</si>
  <si>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</si>
  <si>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</si>
  <si>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</si>
  <si>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</si>
  <si>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</si>
  <si>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</si>
  <si>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</si>
  <si>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</si>
  <si>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</si>
  <si>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</si>
  <si>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</si>
  <si>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</si>
  <si>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</si>
  <si>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</si>
  <si>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</si>
  <si>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</si>
  <si>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</si>
  <si>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</si>
  <si>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</si>
  <si>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</si>
  <si>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</si>
  <si>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</si>
  <si>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</si>
  <si>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</si>
  <si>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</si>
  <si>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</si>
  <si>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</si>
  <si>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</si>
  <si>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</si>
  <si>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</si>
  <si>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</si>
  <si>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</si>
  <si>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</si>
  <si>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</si>
  <si>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</si>
  <si>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</si>
  <si>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</si>
  <si>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</si>
  <si>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</si>
  <si>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</si>
  <si>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</si>
  <si>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</si>
  <si>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</si>
  <si>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</si>
  <si>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</si>
  <si>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</si>
  <si>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</si>
  <si>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</si>
  <si>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</si>
  <si>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</si>
  <si>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</si>
  <si>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</si>
  <si>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</si>
  <si>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</si>
  <si>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</si>
  <si>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</si>
  <si>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</si>
  <si>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</si>
  <si>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</si>
  <si>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</si>
  <si>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</si>
  <si>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</si>
  <si>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</si>
  <si>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</si>
  <si>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</si>
  <si>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</si>
  <si>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</si>
  <si>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</si>
  <si>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</si>
  <si>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</si>
  <si>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</si>
  <si>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</si>
  <si>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</si>
  <si>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</si>
  <si>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</si>
  <si>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</si>
  <si>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</si>
  <si>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</si>
  <si>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</si>
  <si>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</si>
  <si>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</si>
  <si>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</si>
  <si>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</si>
  <si>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</si>
  <si>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</si>
  <si>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</si>
  <si>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</si>
  <si>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</si>
  <si>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</si>
  <si>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</si>
  <si>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</si>
  <si>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</si>
  <si>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</si>
  <si>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</si>
  <si>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</si>
  <si>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</si>
  <si>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</si>
  <si>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</si>
  <si>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</si>
  <si>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</si>
  <si>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</si>
  <si>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</si>
  <si>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</si>
  <si>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</si>
  <si>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</si>
  <si>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</si>
  <si>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</si>
  <si>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</si>
  <si>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</si>
  <si>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</si>
  <si>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</si>
  <si>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</si>
  <si>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</si>
  <si>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</si>
  <si>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</si>
  <si>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</si>
  <si>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</si>
  <si>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</si>
  <si>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</si>
  <si>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</si>
  <si>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</si>
  <si>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</si>
  <si>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</si>
  <si>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</si>
  <si>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</si>
  <si>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</si>
  <si>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</si>
  <si>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</si>
  <si>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</si>
  <si>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</si>
  <si>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</si>
  <si>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</si>
  <si>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</si>
  <si>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</si>
  <si>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</si>
  <si>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</si>
  <si>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</si>
  <si>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</si>
  <si>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</si>
  <si>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</si>
  <si>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</si>
  <si>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</si>
  <si>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</si>
  <si>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</si>
  <si>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</si>
  <si>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</si>
  <si>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</si>
  <si>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</si>
  <si>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</si>
  <si>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</si>
  <si>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</si>
  <si>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</si>
  <si>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</si>
  <si>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</si>
  <si>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</si>
  <si>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</si>
  <si>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</si>
  <si>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</si>
  <si>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</si>
  <si>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</si>
  <si>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</si>
  <si>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</si>
  <si>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</si>
  <si>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</si>
  <si>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</si>
  <si>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</si>
  <si>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</si>
  <si>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</si>
  <si>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</si>
  <si>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</si>
  <si>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</si>
  <si>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</si>
  <si>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</si>
  <si>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</si>
  <si>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</si>
  <si>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</si>
  <si>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</si>
  <si>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</si>
  <si>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</si>
  <si>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</si>
  <si>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</si>
  <si>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</si>
  <si>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</si>
  <si>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</si>
  <si>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</si>
  <si>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</si>
  <si>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</si>
  <si>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</si>
  <si>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</si>
  <si>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</si>
  <si>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</si>
  <si>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</si>
  <si>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</si>
  <si>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</si>
  <si>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</si>
  <si>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</si>
  <si>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</si>
  <si>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</si>
  <si>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</si>
  <si>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</si>
  <si>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</si>
  <si>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</si>
  <si>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</si>
  <si>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</si>
  <si>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</si>
  <si>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</si>
  <si>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</si>
  <si>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</si>
  <si>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</si>
  <si>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</si>
  <si>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</si>
  <si>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</si>
  <si>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</si>
  <si>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</si>
  <si>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</si>
  <si>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</si>
  <si>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</si>
  <si>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</si>
  <si>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</si>
  <si>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</si>
  <si>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</si>
  <si>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</si>
  <si>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</si>
  <si>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</si>
  <si>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</si>
  <si>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</si>
  <si>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</si>
  <si>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</si>
  <si>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</si>
  <si>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</si>
  <si>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</si>
  <si>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</si>
  <si>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</si>
  <si>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</si>
  <si>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</si>
  <si>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</si>
  <si>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</si>
  <si>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</si>
  <si>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</si>
  <si>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</si>
  <si>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</si>
  <si>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</si>
  <si>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</si>
  <si>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</si>
  <si>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</si>
  <si>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</si>
  <si>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</si>
  <si>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</si>
  <si>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</si>
  <si>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</si>
  <si>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</si>
  <si>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</si>
  <si>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</si>
  <si>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</si>
  <si>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</si>
  <si>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</si>
  <si>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</si>
  <si>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</si>
  <si>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</si>
  <si>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</si>
  <si>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</si>
  <si>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</si>
  <si>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</si>
  <si>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</si>
  <si>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</si>
  <si>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</si>
  <si>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</si>
  <si>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</si>
  <si>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</si>
  <si>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</si>
  <si>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</si>
  <si>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</si>
  <si>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</si>
  <si>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</si>
  <si>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</si>
  <si>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</si>
  <si>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</si>
  <si>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</si>
  <si>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</si>
  <si>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</si>
  <si>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</si>
  <si>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</si>
  <si>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</si>
  <si>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</si>
  <si>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</si>
  <si>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</si>
  <si>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</si>
  <si>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</si>
  <si>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</si>
  <si>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</si>
  <si>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</si>
  <si>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</si>
  <si>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</si>
  <si>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</si>
  <si>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</si>
  <si>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</si>
  <si>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</si>
  <si>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</si>
  <si>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</si>
  <si>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</si>
  <si>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</si>
  <si>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</si>
  <si>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</si>
  <si>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</si>
  <si>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</si>
  <si>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</si>
  <si>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</si>
  <si>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</si>
  <si>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</si>
  <si>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</si>
  <si>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</si>
  <si>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</si>
  <si>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</si>
  <si>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</si>
  <si>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</si>
  <si>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</si>
  <si>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</si>
  <si>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</si>
  <si>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</si>
  <si>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</si>
  <si>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</si>
  <si>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</si>
  <si>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</si>
  <si>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</si>
  <si>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</si>
  <si>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</si>
  <si>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</si>
  <si>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</si>
  <si>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</si>
  <si>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</si>
  <si>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</si>
  <si>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</si>
  <si>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</si>
  <si>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</si>
  <si>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</si>
  <si>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</si>
  <si>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</si>
  <si>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</si>
  <si>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</si>
  <si>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</si>
  <si>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</si>
  <si>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</si>
  <si>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</si>
  <si>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</si>
  <si>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</si>
  <si>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</si>
  <si>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</si>
  <si>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</si>
  <si>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</si>
  <si>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</si>
  <si>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</si>
  <si>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</si>
  <si>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</si>
  <si>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</si>
  <si>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</si>
  <si>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</si>
  <si>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</si>
  <si>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</si>
  <si>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</si>
  <si>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</si>
  <si>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</si>
  <si>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</si>
  <si>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</si>
  <si>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</si>
  <si>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</si>
  <si>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</si>
  <si>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</si>
  <si>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</si>
  <si>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</si>
  <si>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</si>
  <si>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</si>
  <si>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</si>
  <si>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</si>
  <si>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</si>
  <si>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</si>
  <si>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</si>
  <si>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</si>
  <si>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</si>
  <si>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</si>
  <si>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</si>
  <si>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</si>
  <si>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</si>
  <si>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</si>
  <si>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</si>
  <si>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</si>
  <si>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</si>
  <si>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</si>
  <si>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</si>
  <si>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</si>
  <si>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</si>
  <si>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</si>
  <si>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</si>
  <si>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</si>
  <si>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</si>
  <si>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</si>
  <si>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</si>
  <si>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</si>
  <si>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</si>
  <si>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</si>
  <si>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</si>
  <si>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</si>
  <si>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</si>
  <si>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</si>
  <si>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</si>
  <si>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</si>
  <si>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</si>
  <si>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</si>
  <si>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</si>
  <si>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</si>
  <si>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</si>
  <si>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</si>
  <si>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</si>
  <si>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</si>
  <si>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</si>
  <si>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</si>
  <si>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</si>
  <si>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</si>
  <si>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</si>
  <si>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</si>
  <si>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</si>
  <si>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</si>
  <si>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</si>
  <si>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</si>
  <si>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</si>
  <si>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</si>
  <si>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</si>
  <si>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</si>
  <si>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</si>
  <si>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</si>
  <si>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</si>
  <si>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</si>
  <si>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</si>
  <si>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</si>
  <si>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</si>
  <si>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</si>
  <si>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</si>
  <si>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</si>
  <si>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</si>
  <si>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</si>
  <si>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</si>
  <si>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</si>
  <si>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</si>
  <si>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</si>
  <si>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</si>
  <si>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</si>
  <si>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</si>
  <si>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</si>
  <si>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</si>
  <si>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</si>
  <si>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</si>
  <si>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</si>
  <si>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</si>
  <si>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</si>
  <si>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</si>
  <si>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</si>
  <si>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</si>
  <si>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</si>
  <si>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</si>
  <si>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</si>
  <si>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</si>
  <si>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</si>
  <si>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</si>
  <si>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</si>
  <si>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</si>
  <si>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</si>
  <si>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</si>
  <si>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</si>
  <si>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</si>
  <si>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</si>
  <si>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</si>
  <si>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</si>
  <si>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</si>
  <si>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</si>
  <si>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</si>
  <si>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</si>
  <si>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</si>
  <si>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</si>
  <si>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</si>
  <si>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</si>
  <si>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</si>
  <si>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</si>
  <si>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</si>
  <si>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</si>
  <si>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</si>
  <si>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</si>
  <si>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</si>
  <si>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</si>
  <si>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</si>
  <si>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</si>
  <si>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</si>
  <si>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</si>
  <si>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</si>
  <si>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</si>
  <si>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</si>
  <si>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</si>
  <si>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</si>
  <si>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</si>
  <si>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</si>
  <si>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</si>
  <si>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</si>
  <si>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</si>
  <si>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</si>
  <si>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</si>
  <si>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</si>
  <si>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</si>
  <si>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</si>
  <si>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</si>
  <si>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</si>
  <si>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</si>
  <si>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</si>
  <si>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</si>
  <si>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</si>
  <si>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</si>
  <si>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</si>
  <si>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</si>
  <si>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</si>
  <si>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</si>
  <si>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</si>
  <si>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</si>
  <si>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</si>
  <si>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</si>
  <si>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</si>
  <si>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</si>
  <si>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</si>
  <si>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</si>
  <si>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</si>
  <si>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</si>
  <si>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</si>
  <si>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</si>
  <si>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</si>
  <si>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</si>
  <si>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</si>
  <si>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</si>
  <si>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</si>
  <si>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</si>
  <si>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</si>
  <si>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</si>
  <si>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</si>
  <si>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</si>
  <si>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</si>
  <si>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</si>
  <si>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</si>
  <si>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</si>
  <si>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</si>
  <si>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</si>
  <si>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</si>
  <si>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</si>
  <si>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</si>
  <si>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</si>
  <si>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</si>
  <si>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</si>
  <si>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</si>
  <si>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</si>
  <si>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</si>
  <si>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</si>
  <si>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</si>
  <si>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</si>
  <si>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</si>
  <si>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</si>
  <si>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</si>
  <si>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</si>
  <si>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</si>
  <si>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</si>
  <si>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</si>
  <si>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</si>
  <si>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</si>
  <si>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</si>
  <si>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</si>
  <si>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</si>
  <si>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</si>
  <si>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</si>
  <si>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</si>
  <si>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</si>
  <si>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</si>
  <si>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</si>
  <si>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</si>
  <si>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</si>
  <si>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</si>
  <si>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</si>
  <si>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</si>
  <si>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</si>
  <si>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</si>
  <si>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</si>
  <si>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</si>
  <si>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</si>
  <si>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</si>
  <si>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</si>
  <si>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</si>
  <si>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</si>
  <si>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</si>
  <si>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</si>
  <si>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</si>
  <si>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</si>
  <si>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</si>
  <si>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</si>
  <si>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</si>
  <si>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</si>
  <si>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</si>
  <si>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</si>
  <si>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</si>
  <si>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</si>
  <si>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</si>
  <si>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</si>
  <si>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</si>
  <si>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</si>
  <si>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</si>
  <si>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</si>
  <si>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</si>
  <si>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</si>
  <si>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</si>
  <si>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</si>
  <si>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</si>
  <si>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</si>
  <si>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</si>
  <si>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</si>
  <si>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</si>
  <si>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</si>
  <si>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</si>
  <si>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</si>
  <si>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</si>
  <si>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</si>
  <si>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</si>
  <si>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</si>
  <si>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</si>
  <si>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</si>
  <si>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</si>
  <si>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</si>
  <si>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</si>
  <si>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</si>
  <si>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</si>
  <si>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</si>
  <si>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</si>
  <si>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</si>
  <si>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</si>
  <si>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</si>
  <si>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</si>
  <si>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</si>
  <si>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</si>
  <si>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</si>
  <si>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</si>
  <si>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</si>
  <si>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</si>
  <si>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</si>
  <si>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</si>
  <si>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</si>
  <si>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</si>
  <si>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</si>
  <si>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</si>
  <si>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</si>
  <si>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</si>
  <si>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</si>
  <si>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</si>
  <si>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</si>
  <si>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</si>
  <si>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</si>
  <si>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</si>
  <si>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</si>
  <si>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</si>
  <si>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</si>
  <si>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</si>
  <si>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</si>
  <si>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</si>
  <si>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</si>
  <si>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</si>
  <si>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</si>
  <si>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</si>
  <si>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</si>
  <si>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</si>
  <si>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</si>
  <si>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</si>
  <si>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</si>
  <si>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</si>
  <si>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</si>
  <si>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</si>
  <si>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</si>
  <si>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</si>
  <si>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</si>
  <si>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</si>
  <si>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</si>
  <si>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</si>
  <si>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</si>
  <si>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</si>
  <si>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</si>
  <si>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</si>
  <si>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</si>
  <si>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</si>
  <si>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</si>
  <si>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</si>
  <si>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</si>
  <si>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</si>
  <si>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</si>
  <si>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</si>
  <si>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</si>
  <si>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</si>
  <si>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</si>
  <si>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</si>
  <si>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</si>
  <si>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</si>
  <si>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</si>
  <si>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</si>
  <si>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</si>
  <si>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</si>
  <si>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</si>
  <si>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</si>
  <si>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</si>
  <si>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</si>
  <si>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</si>
  <si>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</si>
  <si>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</si>
  <si>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</si>
  <si>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</si>
  <si>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</si>
  <si>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</si>
  <si>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</si>
  <si>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</si>
  <si>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</si>
  <si>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</si>
  <si>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</si>
  <si>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</si>
  <si>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</si>
  <si>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</si>
  <si>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</si>
  <si>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</si>
  <si>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</si>
  <si>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</si>
  <si>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</si>
  <si>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</si>
  <si>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</si>
  <si>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</si>
  <si>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</si>
  <si>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</si>
  <si>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</si>
  <si>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</si>
  <si>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</si>
  <si>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</si>
  <si>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</si>
  <si>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</si>
  <si>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</si>
  <si>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</si>
  <si>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</si>
  <si>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</si>
  <si>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</si>
  <si>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</si>
  <si>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</si>
  <si>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</si>
  <si>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</si>
  <si>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</si>
  <si>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</si>
  <si>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</si>
  <si>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</si>
  <si>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</si>
  <si>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</si>
  <si>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</si>
  <si>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</si>
  <si>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</si>
  <si>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</si>
  <si>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</si>
  <si>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</si>
  <si>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</si>
  <si>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</si>
  <si>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</si>
  <si>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</si>
  <si>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</si>
  <si>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</si>
  <si>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</si>
  <si>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</si>
  <si>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</si>
  <si>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</si>
  <si>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</si>
  <si>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</si>
  <si>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</si>
  <si>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</si>
  <si>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</si>
  <si>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</si>
  <si>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</si>
  <si>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</si>
  <si>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</si>
  <si>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</si>
  <si>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</si>
  <si>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</si>
  <si>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</si>
  <si>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</si>
  <si>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</si>
  <si>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</si>
  <si>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</si>
  <si>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</si>
  <si>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</si>
  <si>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</si>
  <si>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</si>
  <si>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</si>
  <si>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</si>
  <si>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</si>
  <si>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</si>
  <si>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</si>
  <si>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</si>
  <si>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</si>
  <si>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</si>
  <si>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</si>
  <si>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</si>
  <si>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</si>
  <si>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</si>
  <si>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</si>
  <si>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</si>
  <si>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</si>
  <si>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</si>
  <si>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</si>
  <si>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</si>
  <si>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</si>
  <si>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</si>
  <si>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</si>
  <si>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</si>
  <si>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</si>
  <si>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</si>
  <si>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</si>
  <si>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</si>
  <si>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</si>
  <si>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</si>
  <si>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</si>
  <si>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</si>
  <si>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</si>
  <si>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</si>
  <si>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</si>
  <si>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</si>
  <si>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</si>
  <si>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</si>
  <si>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</si>
  <si>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</si>
  <si>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</si>
  <si>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</si>
  <si>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</si>
  <si>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</si>
  <si>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</si>
  <si>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</si>
  <si>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</si>
  <si>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</si>
  <si>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</si>
  <si>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</si>
  <si>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</si>
  <si>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</si>
  <si>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</si>
  <si>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</si>
  <si>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</si>
  <si>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</si>
  <si>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</si>
  <si>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</si>
  <si>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</si>
  <si>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</si>
  <si>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</si>
  <si>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</si>
  <si>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</si>
  <si>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</si>
  <si>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</si>
  <si>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</si>
  <si>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</si>
  <si>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</si>
  <si>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</si>
  <si>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</si>
  <si>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</si>
  <si>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</si>
  <si>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</si>
  <si>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</si>
  <si>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</si>
  <si>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</si>
  <si>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</si>
  <si>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</si>
  <si>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</si>
  <si>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</si>
  <si>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</si>
  <si>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</si>
  <si>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</si>
  <si>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</si>
  <si>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</si>
  <si>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</si>
  <si>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</si>
  <si>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</si>
  <si>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</si>
  <si>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</si>
  <si>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</si>
  <si>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</si>
  <si>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</si>
  <si>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</si>
  <si>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</si>
  <si>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</si>
  <si>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</si>
  <si>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</si>
  <si>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</si>
  <si>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</si>
  <si>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</si>
  <si>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</si>
  <si>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</si>
  <si>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</si>
  <si>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</si>
  <si>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</si>
  <si>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</si>
  <si>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</si>
  <si>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</si>
  <si>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</si>
  <si>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</si>
  <si>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</si>
  <si>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</si>
  <si>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</si>
  <si>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</si>
  <si>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</si>
  <si>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</si>
  <si>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</si>
  <si>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</si>
  <si>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</si>
  <si>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</si>
  <si>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</si>
  <si>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</si>
  <si>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</si>
  <si>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</si>
  <si>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</si>
  <si>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</si>
  <si>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</si>
  <si>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</si>
  <si>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</si>
  <si>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</si>
  <si>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</si>
  <si>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</si>
  <si>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</si>
  <si>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</si>
  <si>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</si>
  <si>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</si>
  <si>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</si>
  <si>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</si>
  <si>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</si>
  <si>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</si>
  <si>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</si>
  <si>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</si>
  <si>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</si>
  <si>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</si>
  <si>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</si>
  <si>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</si>
  <si>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</si>
  <si>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</si>
  <si>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</si>
  <si>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</si>
  <si>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</si>
  <si>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</si>
  <si>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</si>
  <si>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</si>
  <si>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</si>
  <si>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</si>
  <si>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</si>
  <si>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</si>
  <si>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</si>
  <si>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</si>
  <si>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</si>
  <si>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</si>
  <si>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</si>
  <si>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</si>
  <si>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</si>
  <si>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</si>
  <si>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</si>
  <si>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</si>
  <si>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</si>
  <si>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</si>
  <si>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</si>
  <si>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</si>
  <si>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</si>
  <si>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</si>
  <si>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</si>
  <si>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</si>
  <si>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</si>
  <si>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</si>
  <si>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</si>
  <si>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</si>
  <si>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</si>
  <si>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</si>
  <si>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</si>
  <si>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</si>
  <si>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</si>
  <si>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</si>
  <si>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</si>
  <si>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</si>
  <si>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</si>
  <si>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</si>
  <si>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</si>
  <si>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</si>
  <si>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</si>
  <si>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</si>
  <si>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</si>
  <si>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</si>
  <si>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</si>
  <si>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</si>
  <si>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</si>
  <si>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</si>
  <si>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</si>
  <si>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</si>
  <si>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</si>
  <si>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</si>
  <si>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</si>
  <si>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</si>
  <si>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</si>
  <si>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</si>
  <si>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</si>
  <si>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</si>
  <si>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</si>
  <si>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</si>
  <si>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</si>
  <si>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</si>
  <si>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</si>
  <si>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</si>
  <si>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</si>
  <si>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</si>
  <si>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</si>
  <si>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</si>
  <si>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</si>
  <si>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</si>
  <si>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</si>
  <si>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</si>
  <si>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</si>
  <si>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</si>
  <si>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</si>
  <si>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</si>
  <si>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</si>
  <si>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</si>
  <si>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</si>
  <si>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</si>
  <si>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</si>
  <si>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</si>
  <si>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</si>
  <si>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</si>
  <si>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</si>
  <si>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</si>
  <si>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</si>
  <si>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</si>
  <si>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</si>
  <si>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</si>
  <si>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</si>
  <si>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</si>
  <si>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</si>
  <si>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</si>
  <si>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</si>
  <si>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</si>
  <si>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</si>
  <si>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</si>
  <si>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</si>
  <si>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</si>
  <si>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</si>
  <si>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</si>
  <si>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</si>
  <si>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</si>
  <si>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</si>
  <si>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</si>
  <si>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</si>
  <si>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</si>
  <si>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</si>
  <si>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</si>
  <si>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</si>
  <si>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</si>
  <si>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</si>
  <si>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</si>
  <si>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</si>
  <si>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</si>
  <si>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</si>
  <si>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</si>
  <si>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</si>
  <si>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</si>
  <si>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</si>
  <si>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</si>
  <si>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</si>
  <si>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</si>
  <si>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</si>
  <si>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</si>
  <si>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</si>
  <si>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</si>
  <si>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</si>
  <si>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</si>
  <si>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</si>
  <si>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</si>
  <si>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</si>
  <si>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</si>
  <si>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</si>
  <si>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</si>
  <si>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</si>
  <si>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</si>
  <si>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</si>
  <si>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</si>
  <si>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</si>
  <si>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</si>
  <si>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</si>
  <si>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</si>
  <si>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</si>
  <si>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</si>
  <si>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</si>
  <si>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</si>
  <si>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</si>
  <si>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</si>
  <si>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</si>
  <si>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</si>
  <si>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</si>
  <si>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</si>
  <si>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</si>
  <si>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</si>
  <si>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</si>
  <si>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</si>
  <si>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</si>
  <si>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</si>
  <si>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</si>
  <si>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</si>
  <si>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</si>
  <si>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</si>
  <si>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</si>
  <si>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</si>
  <si>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</si>
  <si>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</si>
  <si>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</si>
  <si>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</si>
  <si>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</si>
  <si>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</si>
  <si>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</si>
  <si>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</si>
  <si>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</si>
  <si>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</si>
  <si>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</si>
  <si>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</si>
  <si>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</si>
  <si>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</si>
  <si>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</si>
  <si>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</si>
  <si>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</si>
  <si>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</si>
  <si>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</si>
  <si>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</si>
  <si>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</si>
  <si>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</si>
  <si>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</si>
  <si>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</si>
  <si>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</si>
  <si>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</si>
  <si>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</si>
  <si>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</si>
  <si>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</si>
  <si>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</si>
  <si>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</si>
  <si>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</si>
  <si>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</si>
  <si>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</si>
  <si>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</si>
  <si>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</si>
  <si>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</si>
  <si>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</si>
  <si>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</si>
  <si>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</si>
  <si>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</si>
  <si>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</si>
  <si>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</si>
  <si>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</si>
  <si>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</si>
  <si>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</si>
  <si>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</si>
  <si>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</si>
  <si>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</si>
  <si>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</si>
  <si>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</si>
  <si>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</si>
  <si>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</si>
  <si>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</si>
  <si>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</si>
  <si>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</si>
  <si>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</si>
  <si>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</si>
  <si>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</si>
  <si>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</si>
  <si>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</si>
  <si>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</si>
  <si>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</si>
  <si>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</si>
  <si>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</si>
  <si>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</si>
  <si>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</si>
  <si>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</si>
  <si>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</si>
  <si>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</si>
  <si>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</si>
  <si>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</si>
  <si>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</si>
  <si>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</si>
  <si>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</si>
  <si>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</si>
  <si>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</si>
  <si>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</si>
  <si>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</si>
  <si>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</si>
  <si>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</si>
  <si>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</si>
  <si>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</si>
  <si>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</si>
  <si>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</si>
  <si>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</si>
  <si>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</si>
  <si>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</si>
  <si>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</si>
  <si>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</si>
  <si>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</si>
  <si>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</si>
  <si>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</si>
  <si>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</si>
  <si>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</si>
  <si>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</si>
  <si>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</si>
  <si>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</si>
  <si>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</si>
  <si>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</si>
  <si>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</si>
  <si>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</si>
  <si>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</si>
  <si>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</si>
  <si>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</si>
  <si>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</si>
  <si>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</si>
  <si>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</si>
  <si>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</si>
  <si>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</si>
  <si>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</si>
  <si>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</si>
  <si>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</si>
  <si>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</si>
  <si>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</si>
  <si>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</si>
  <si>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</si>
  <si>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</si>
  <si>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</si>
  <si>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</si>
  <si>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</si>
  <si>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</si>
  <si>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</si>
  <si>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</si>
  <si>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</si>
  <si>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</si>
  <si>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</si>
  <si>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</si>
  <si>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</si>
  <si>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</si>
  <si>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</si>
  <si>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</si>
  <si>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</si>
  <si>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</si>
  <si>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</si>
  <si>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</si>
  <si>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</si>
  <si>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</si>
  <si>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</si>
  <si>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</si>
  <si>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</si>
  <si>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</si>
  <si>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</si>
  <si>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</si>
  <si>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</si>
  <si>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</si>
  <si>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</si>
  <si>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</si>
  <si>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</si>
  <si>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</si>
  <si>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</si>
  <si>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</si>
  <si>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</si>
  <si>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</si>
  <si>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</si>
  <si>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</si>
  <si>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</si>
  <si>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</si>
  <si>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</si>
  <si>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</si>
  <si>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</si>
  <si>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</si>
  <si>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</si>
  <si>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</si>
  <si>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</si>
  <si>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</si>
  <si>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</si>
  <si>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</si>
  <si>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</si>
  <si>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</si>
  <si>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</si>
  <si>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</si>
  <si>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</si>
  <si>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</si>
  <si>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</si>
  <si>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</si>
  <si>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</si>
  <si>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</si>
  <si>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</si>
  <si>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</si>
  <si>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</si>
  <si>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</si>
  <si>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</si>
  <si>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</si>
  <si>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</si>
  <si>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</si>
  <si>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</si>
  <si>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</si>
  <si>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</si>
  <si>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</si>
  <si>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</si>
  <si>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</si>
  <si>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</si>
  <si>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</si>
  <si>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</si>
  <si>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</si>
  <si>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</si>
  <si>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</si>
  <si>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</si>
  <si>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</si>
  <si>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</si>
  <si>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</si>
  <si>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</si>
  <si>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</si>
  <si>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</si>
  <si>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</si>
  <si>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</si>
  <si>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</si>
  <si>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</si>
  <si>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</si>
  <si>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</si>
  <si>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</si>
  <si>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</si>
  <si>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</si>
  <si>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</si>
  <si>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</si>
  <si>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</si>
  <si>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</si>
  <si>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</si>
  <si>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</si>
  <si>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</si>
  <si>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</si>
  <si>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</si>
  <si>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</si>
  <si>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</si>
  <si>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</si>
  <si>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</si>
  <si>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</si>
  <si>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</si>
  <si>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</si>
  <si>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</si>
  <si>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</si>
  <si>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</si>
  <si>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</si>
  <si>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</si>
  <si>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</si>
  <si>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</si>
  <si>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</si>
  <si>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</si>
  <si>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</si>
  <si>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</si>
  <si>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</si>
  <si>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</si>
  <si>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</si>
  <si>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</si>
  <si>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</si>
  <si>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</si>
  <si>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</si>
  <si>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</si>
  <si>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</si>
  <si>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</si>
  <si>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</si>
  <si>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</si>
  <si>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</si>
  <si>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</si>
  <si>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</si>
  <si>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</si>
  <si>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</si>
  <si>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</si>
  <si>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</si>
  <si>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</si>
  <si>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</si>
  <si>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</si>
  <si>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</si>
  <si>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</si>
  <si>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</si>
  <si>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</si>
  <si>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</si>
  <si>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</si>
  <si>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</si>
  <si>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</si>
  <si>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</si>
  <si>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</si>
  <si>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</si>
  <si>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</si>
  <si>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</si>
  <si>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</si>
  <si>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</si>
  <si>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</si>
  <si>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</si>
  <si>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</si>
  <si>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</si>
  <si>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</si>
  <si>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</si>
  <si>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</si>
  <si>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</si>
  <si>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</si>
  <si>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</si>
  <si>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</si>
  <si>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</si>
  <si>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</si>
  <si>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</si>
  <si>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</si>
  <si>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</si>
  <si>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</si>
  <si>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</si>
  <si>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</si>
  <si>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</si>
  <si>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</si>
  <si>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</si>
  <si>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</si>
  <si>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</si>
  <si>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</si>
  <si>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</si>
  <si>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</si>
  <si>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</si>
  <si>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</si>
  <si>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</si>
  <si>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</si>
  <si>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</si>
  <si>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</si>
  <si>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</si>
  <si>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</si>
  <si>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</si>
  <si>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</si>
  <si>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</si>
  <si>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</si>
  <si>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</si>
  <si>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</si>
  <si>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</si>
  <si>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</si>
  <si>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</si>
  <si>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</si>
  <si>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</si>
  <si>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</si>
  <si>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</si>
  <si>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</si>
  <si>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</si>
  <si>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</si>
  <si>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</si>
  <si>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</si>
  <si>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</si>
  <si>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</si>
  <si>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</si>
  <si>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</si>
  <si>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</si>
  <si>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</si>
  <si>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</si>
  <si>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</si>
  <si>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</si>
  <si>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</si>
  <si>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</si>
  <si>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</si>
  <si>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</si>
  <si>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</si>
  <si>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</si>
  <si>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</si>
  <si>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</si>
  <si>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</si>
  <si>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</si>
  <si>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</si>
  <si>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</si>
  <si>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</si>
  <si>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</si>
  <si>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</si>
  <si>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</si>
  <si>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</si>
  <si>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</si>
  <si>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</si>
  <si>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</si>
  <si>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</si>
  <si>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</si>
  <si>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</si>
  <si>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</si>
  <si>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</si>
  <si>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</si>
  <si>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</si>
  <si>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</si>
  <si>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</si>
  <si>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</si>
  <si>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</si>
  <si>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</si>
  <si>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</si>
  <si>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</si>
  <si>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</si>
  <si>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</si>
  <si>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</si>
  <si>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</si>
  <si>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</si>
  <si>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</si>
  <si>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</si>
  <si>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</si>
  <si>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</si>
  <si>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</si>
  <si>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</si>
  <si>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</si>
  <si>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</si>
  <si>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</si>
  <si>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</si>
  <si>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</si>
  <si>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</si>
  <si>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</si>
  <si>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</si>
  <si>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</si>
  <si>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</si>
  <si>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</si>
  <si>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</si>
  <si>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</si>
  <si>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</si>
  <si>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</si>
  <si>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</si>
  <si>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</si>
  <si>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</si>
  <si>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</si>
  <si>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</si>
  <si>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</si>
  <si>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</si>
  <si>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</si>
  <si>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</si>
  <si>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</si>
  <si>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</si>
  <si>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</si>
  <si>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</si>
  <si>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</si>
  <si>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</si>
  <si>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</si>
  <si>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</si>
  <si>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</si>
  <si>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</si>
  <si>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</si>
  <si>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</si>
  <si>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</si>
  <si>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</si>
  <si>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</si>
  <si>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</si>
  <si>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</si>
  <si>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</si>
  <si>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</si>
  <si>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</si>
  <si>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</si>
  <si>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</si>
  <si>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</si>
  <si>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</si>
  <si>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</si>
  <si>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</si>
  <si>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</si>
  <si>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</si>
  <si>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</si>
  <si>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</si>
  <si>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</si>
  <si>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</si>
  <si>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</si>
  <si>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</si>
  <si>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</si>
  <si>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</si>
  <si>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</si>
  <si>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</si>
  <si>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</si>
  <si>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</si>
  <si>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</si>
  <si>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</si>
  <si>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</si>
  <si>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</si>
  <si>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</si>
  <si>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</si>
  <si>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</si>
  <si>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</si>
  <si>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</si>
  <si>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</si>
  <si>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</si>
  <si>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</si>
  <si>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</si>
  <si>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</si>
  <si>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</si>
  <si>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</si>
  <si>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</si>
  <si>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</si>
  <si>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</si>
  <si>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</si>
  <si>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</si>
  <si>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</si>
  <si>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</si>
  <si>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</si>
  <si>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</si>
  <si>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</si>
  <si>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</si>
  <si>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</si>
  <si>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</si>
  <si>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</si>
  <si>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</si>
  <si>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</si>
  <si>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</si>
  <si>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</si>
  <si>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</si>
  <si>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</si>
  <si>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</si>
  <si>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</si>
  <si>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</si>
  <si>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</si>
  <si>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</si>
  <si>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</si>
  <si>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</si>
  <si>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</si>
  <si>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</si>
  <si>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</si>
  <si>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</si>
  <si>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</si>
  <si>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</si>
  <si>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</si>
  <si>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</si>
  <si>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</si>
  <si>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</si>
  <si>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</si>
  <si>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</si>
  <si>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</si>
  <si>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</si>
  <si>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</si>
  <si>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</si>
  <si>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</si>
  <si>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</si>
  <si>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</si>
  <si>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</si>
  <si>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</si>
  <si>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</si>
  <si>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</si>
  <si>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</si>
  <si>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</si>
  <si>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</si>
  <si>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</si>
  <si>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</si>
  <si>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</si>
  <si>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</si>
  <si>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</si>
  <si>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</si>
  <si>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</si>
  <si>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</si>
  <si>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</si>
  <si>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</si>
  <si>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</si>
  <si>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</si>
  <si>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</si>
  <si>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</si>
  <si>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</si>
  <si>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</si>
  <si>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</si>
  <si>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</si>
  <si>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</si>
  <si>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</si>
  <si>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</si>
  <si>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</si>
  <si>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</si>
  <si>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</si>
  <si>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</si>
  <si>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</si>
  <si>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</si>
  <si>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</si>
  <si>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</si>
  <si>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</si>
  <si>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</si>
  <si>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</si>
  <si>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</si>
  <si>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</si>
  <si>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</si>
  <si>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</si>
  <si>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</si>
  <si>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</si>
  <si>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</si>
  <si>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</si>
  <si>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</si>
  <si>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</si>
  <si>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</si>
  <si>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</si>
  <si>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</si>
  <si>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</si>
  <si>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</si>
  <si>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</si>
  <si>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</si>
  <si>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</si>
  <si>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</si>
  <si>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</si>
  <si>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</si>
  <si>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</si>
  <si>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</si>
  <si>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</si>
  <si>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</si>
  <si>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</si>
  <si>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</si>
  <si>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</si>
  <si>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</si>
  <si>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</si>
  <si>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</si>
  <si>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</si>
  <si>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</si>
  <si>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</si>
  <si>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</si>
  <si>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</si>
  <si>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</si>
  <si>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</si>
  <si>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</si>
  <si>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</si>
  <si>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</si>
  <si>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</si>
  <si>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</si>
  <si>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</si>
  <si>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</si>
  <si>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</si>
  <si>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</si>
  <si>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</si>
  <si>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</si>
  <si>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</si>
  <si>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</si>
  <si>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</si>
  <si>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</si>
  <si>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</si>
  <si>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</si>
  <si>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</si>
  <si>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</si>
  <si>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</si>
  <si>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</si>
  <si>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</si>
  <si>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</si>
  <si>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</si>
  <si>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</si>
  <si>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</si>
  <si>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</si>
  <si>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</si>
  <si>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</si>
  <si>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</si>
  <si>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</si>
  <si>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</si>
  <si>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</si>
  <si>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</si>
  <si>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</si>
  <si>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</si>
  <si>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</si>
  <si>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</si>
  <si>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</si>
  <si>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</si>
  <si>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</si>
  <si>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</si>
  <si>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</si>
  <si>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</si>
  <si>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</si>
  <si>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</si>
  <si>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</si>
  <si>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</si>
  <si>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</si>
  <si>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</si>
  <si>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</si>
  <si>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</si>
  <si>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</si>
  <si>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</si>
  <si>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</si>
  <si>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</si>
  <si>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</si>
  <si>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</si>
  <si>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</si>
  <si>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</si>
  <si>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</si>
  <si>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</si>
  <si>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</si>
  <si>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</si>
  <si>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</si>
  <si>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</si>
  <si>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</si>
  <si>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</si>
  <si>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</si>
  <si>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</si>
  <si>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</si>
  <si>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</si>
  <si>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</si>
  <si>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</si>
  <si>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</si>
  <si>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</si>
  <si>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</si>
  <si>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</si>
  <si>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</si>
  <si>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</si>
  <si>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</si>
  <si>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</si>
  <si>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</si>
  <si>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</si>
  <si>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</si>
  <si>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</si>
  <si>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</si>
  <si>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</si>
  <si>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</si>
  <si>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</si>
  <si>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</si>
  <si>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</si>
  <si>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</si>
  <si>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</si>
  <si>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</si>
  <si>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</si>
  <si>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</si>
  <si>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</si>
  <si>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</si>
  <si>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</si>
  <si>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그라시아
(GRA)</t>
    <phoneticPr fontId="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</si>
  <si>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</si>
  <si>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</si>
  <si>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</si>
  <si>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</si>
  <si>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</si>
  <si>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</si>
  <si>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</si>
  <si>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</si>
  <si>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</si>
  <si>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</si>
  <si>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</si>
  <si>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뉴에코블랙
(NEBL)재생펄프 40% 재고한정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</si>
  <si>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</si>
  <si>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</si>
  <si>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</si>
  <si>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</si>
  <si>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</si>
  <si>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</si>
  <si>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</si>
  <si>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</si>
  <si>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</si>
  <si>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</si>
  <si>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</si>
  <si>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</si>
  <si>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</si>
  <si>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</si>
  <si>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</si>
  <si>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</si>
  <si>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</si>
  <si>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</si>
  <si>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디센
(DIS)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</si>
  <si>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</si>
  <si>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</si>
  <si>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</si>
  <si>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</si>
  <si>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</si>
  <si>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</si>
  <si>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</si>
  <si>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</si>
  <si>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</si>
  <si>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</si>
  <si>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</si>
  <si>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</si>
  <si>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</si>
  <si>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</si>
  <si>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</si>
  <si>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</si>
  <si>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</si>
  <si>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</si>
  <si>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</si>
  <si>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</si>
  <si>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</si>
  <si>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</si>
  <si>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</si>
  <si>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</si>
  <si>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</si>
  <si>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</si>
  <si>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</si>
  <si>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</si>
  <si>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</si>
  <si>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</si>
  <si>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</si>
  <si>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</si>
  <si>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</si>
  <si>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</si>
  <si>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</si>
  <si>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</si>
  <si>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띤또레또
(TIN)</t>
    <phoneticPr fontId="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</si>
  <si>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</si>
  <si>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</si>
  <si>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</si>
  <si>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</si>
  <si>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</si>
  <si>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</si>
  <si>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</si>
  <si>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</si>
  <si>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</si>
  <si>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</si>
  <si>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</si>
  <si>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</si>
  <si>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</si>
  <si>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룩스패브릭
(LF)</t>
    <phoneticPr fontId="3" type="noConversion"/>
  </si>
  <si>
    <t>리메이크
(RMK)</t>
    <phoneticPr fontId="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</si>
  <si>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</si>
  <si>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</si>
  <si>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</si>
  <si>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</si>
  <si>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</si>
  <si>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</si>
  <si>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</si>
  <si>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</si>
  <si>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</si>
  <si>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</si>
  <si>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</si>
  <si>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</si>
  <si>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</si>
  <si>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</si>
  <si>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</si>
  <si>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</si>
  <si>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</si>
  <si>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</si>
  <si>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</si>
  <si>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</si>
  <si>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</si>
  <si>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</si>
  <si>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</si>
  <si>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</si>
  <si>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</si>
  <si>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</si>
  <si>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</si>
  <si>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</si>
  <si>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</si>
  <si>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</si>
  <si>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</si>
  <si>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마제스틱
카멜레온 라이트
(MJC)</t>
    <phoneticPr fontId="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</si>
  <si>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</si>
  <si>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</si>
  <si>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</si>
  <si>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</si>
  <si>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</si>
  <si>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</si>
  <si>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</si>
  <si>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</si>
  <si>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 xml:space="preserve">CT04, CT08-1, CT10-1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</si>
  <si>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</si>
  <si>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</si>
  <si>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</si>
  <si>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CP04*, CP08-1, CP09-1</t>
    <phoneticPr fontId="13" type="noConversion"/>
  </si>
  <si>
    <t>C02, C05, C06</t>
    <phoneticPr fontId="13" type="noConversion"/>
  </si>
  <si>
    <t>C04, C08-1</t>
    <phoneticPr fontId="13" type="noConversion"/>
  </si>
  <si>
    <t xml:space="preserve">멀티크라프트
(MK) </t>
    <phoneticPr fontId="3" type="noConversion"/>
  </si>
  <si>
    <t>메타크라프트
(META)</t>
    <phoneticPr fontId="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</si>
  <si>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</si>
  <si>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</si>
  <si>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</si>
  <si>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</si>
  <si>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</si>
  <si>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</si>
  <si>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</si>
  <si>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</si>
  <si>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</si>
  <si>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</si>
  <si>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</si>
  <si>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</si>
  <si>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</si>
  <si>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</si>
  <si>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</si>
  <si>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</si>
  <si>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</si>
  <si>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</si>
  <si>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</si>
  <si>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</si>
  <si>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</si>
  <si>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</si>
  <si>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</si>
  <si>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</si>
  <si>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</si>
  <si>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</si>
  <si>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</si>
  <si>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</si>
  <si>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</si>
  <si>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</si>
  <si>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</si>
  <si>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</si>
  <si>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</si>
  <si>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</si>
  <si>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</si>
  <si>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</si>
  <si>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</si>
  <si>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</si>
  <si>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</si>
  <si>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</si>
  <si>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</si>
  <si>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</si>
  <si>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</si>
  <si>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</si>
  <si>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</si>
  <si>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</si>
  <si>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</si>
  <si>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</si>
  <si>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</si>
  <si>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</si>
  <si>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</si>
  <si>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</si>
  <si>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</si>
  <si>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</si>
  <si>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</si>
  <si>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</si>
  <si>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</si>
  <si>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</si>
  <si>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</si>
  <si>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</si>
  <si>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</si>
  <si>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</si>
  <si>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</si>
  <si>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</si>
  <si>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</si>
  <si>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</si>
  <si>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</si>
  <si>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</si>
  <si>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</si>
  <si>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</si>
  <si>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</si>
  <si>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</si>
  <si>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</si>
  <si>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아르쉐카렌다
(AREC)</t>
    <phoneticPr fontId="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</si>
  <si>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</si>
  <si>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</si>
  <si>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</si>
  <si>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</si>
  <si>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</si>
  <si>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</si>
  <si>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</si>
  <si>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</si>
  <si>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</si>
  <si>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</si>
  <si>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</si>
  <si>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</si>
  <si>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</si>
  <si>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</si>
  <si>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</si>
  <si>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</si>
  <si>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</si>
  <si>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</si>
  <si>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</si>
  <si>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</si>
  <si>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</si>
  <si>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</si>
  <si>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</si>
  <si>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</si>
  <si>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</si>
  <si>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</si>
  <si>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</si>
  <si>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</si>
  <si>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</si>
  <si>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</si>
  <si>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</si>
  <si>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</si>
  <si>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</si>
  <si>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</si>
  <si>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 xml:space="preserve">아코팩
 (APK) </t>
    <phoneticPr fontId="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</si>
  <si>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</si>
  <si>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</si>
  <si>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</si>
  <si>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</si>
  <si>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</si>
  <si>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</si>
  <si>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</si>
  <si>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</si>
  <si>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</si>
  <si>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</si>
  <si>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</si>
  <si>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31" type="noConversion"/>
  </si>
  <si>
    <t xml:space="preserve">WR06, ER06 </t>
    <phoneticPr fontId="31" type="noConversion"/>
  </si>
  <si>
    <t xml:space="preserve">WR07, ER07 </t>
    <phoneticPr fontId="31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</si>
  <si>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</si>
  <si>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</si>
  <si>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</si>
  <si>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</si>
  <si>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</si>
  <si>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</si>
  <si>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</si>
  <si>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</si>
  <si>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</si>
  <si>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</si>
  <si>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</si>
  <si>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</si>
  <si>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</si>
  <si>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</si>
  <si>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</si>
  <si>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MF크라프트
(MF)</t>
    <phoneticPr fontId="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</si>
  <si>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</si>
  <si>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</si>
  <si>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</si>
  <si>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</si>
  <si>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</si>
  <si>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>우드스탁
(WDS)</t>
    <phoneticPr fontId="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</si>
  <si>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</si>
  <si>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</si>
  <si>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</si>
  <si>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>이스피라
(ISP)</t>
    <phoneticPr fontId="3" type="noConversion"/>
  </si>
  <si>
    <t>720X1020(세로)
( 120g 단면, 250g &amp; 300g 양면 )</t>
    <phoneticPr fontId="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</si>
  <si>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</si>
  <si>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</si>
  <si>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</si>
  <si>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</si>
  <si>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</si>
  <si>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</si>
  <si>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>인바이런먼트
(ENV)</t>
    <phoneticPr fontId="3" type="noConversion"/>
  </si>
  <si>
    <t>쟈데
(JD)</t>
    <phoneticPr fontId="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</si>
  <si>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</si>
  <si>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</si>
  <si>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</si>
  <si>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</si>
  <si>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</si>
  <si>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</si>
  <si>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</si>
  <si>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</si>
  <si>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</si>
  <si>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</si>
  <si>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</si>
  <si>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</si>
  <si>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</si>
  <si>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</si>
  <si>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</si>
  <si>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</si>
  <si>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</si>
  <si>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</si>
  <si>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</si>
  <si>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</si>
  <si>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31" type="noConversion"/>
  </si>
  <si>
    <t>D06 Blood Red( 양면 )</t>
    <phoneticPr fontId="31" type="noConversion"/>
  </si>
  <si>
    <t xml:space="preserve">D12 Dark Navy Blue( 양면 ) </t>
    <phoneticPr fontId="31" type="noConversion"/>
  </si>
  <si>
    <t xml:space="preserve">B01 Black( 단면 ) </t>
    <phoneticPr fontId="31" type="noConversion"/>
  </si>
  <si>
    <t xml:space="preserve">B02 Black( 단면 ) </t>
    <phoneticPr fontId="31" type="noConversion"/>
  </si>
  <si>
    <t xml:space="preserve">B03 Black( 양면 ) </t>
    <phoneticPr fontId="31" type="noConversion"/>
  </si>
  <si>
    <t>B04 Black( 양면 )</t>
    <phoneticPr fontId="31" type="noConversion"/>
  </si>
  <si>
    <t>B05 Black( 양면 )</t>
    <phoneticPr fontId="31" type="noConversion"/>
  </si>
  <si>
    <t>켄도
(KD)</t>
    <phoneticPr fontId="3" type="noConversion"/>
  </si>
  <si>
    <t>카카오
(CACA)</t>
    <phoneticPr fontId="3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</si>
  <si>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</si>
  <si>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</si>
  <si>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</si>
  <si>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</si>
  <si>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</si>
  <si>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</si>
  <si>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</si>
  <si>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</si>
  <si>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</si>
  <si>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</si>
  <si>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</si>
  <si>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</si>
  <si>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</si>
  <si>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</si>
  <si>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</si>
  <si>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</si>
  <si>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</si>
  <si>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</si>
  <si>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</si>
  <si>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</si>
  <si>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</si>
  <si>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</si>
  <si>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</si>
  <si>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</si>
  <si>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크리스탈 트레싱지 2
(CRS2</t>
    <phoneticPr fontId="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</si>
  <si>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</si>
  <si>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</si>
  <si>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</si>
  <si>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</si>
  <si>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</si>
  <si>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</si>
  <si>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</si>
  <si>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</si>
  <si>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</si>
  <si>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</si>
  <si>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</si>
  <si>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</si>
  <si>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</si>
  <si>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</si>
  <si>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</si>
  <si>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</si>
  <si>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</si>
  <si>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</si>
  <si>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</si>
  <si>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</si>
  <si>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</si>
  <si>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</si>
  <si>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</si>
  <si>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</si>
  <si>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</si>
  <si>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</si>
  <si>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</si>
  <si>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</si>
  <si>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</si>
  <si>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폴리아트
(PO)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</si>
</sst>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0_ ;[Red]\-0\ "/>
    <numFmt numFmtId="184" formatCode="#,##0_ "/>
  </numFmts>
  <fonts count="3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b/>
      <sz val="14"/>
      <name val="맑은 고딕"/>
      <family val="3"/>
      <charset val="129"/>
      <scheme val="minor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</borders>
  <cellStyleXfs count="1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1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1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3" xfId="0" applyBorder="1">
      <alignment vertical="center"/>
    </xf>
    <xf numFmtId="0" fontId="5" fillId="2" borderId="66" xfId="0" applyFont="1" applyFill="1" applyBorder="1" applyAlignment="1">
      <alignment horizontal="center" vertical="center"/>
    </xf>
    <xf numFmtId="0" fontId="0" fillId="0" borderId="67" xfId="0" applyBorder="1">
      <alignment vertical="center"/>
    </xf>
    <xf numFmtId="41" fontId="0" fillId="0" borderId="63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7" xfId="1" applyFont="1" applyBorder="1">
      <alignment vertical="center"/>
    </xf>
    <xf numFmtId="41" fontId="0" fillId="0" borderId="0" xfId="1" applyFont="1">
      <alignment vertical="center"/>
    </xf>
    <xf numFmtId="0" fontId="0" fillId="0" borderId="58" xfId="0" applyBorder="1">
      <alignment vertical="center"/>
    </xf>
    <xf numFmtId="41" fontId="18" fillId="0" borderId="68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9" fillId="0" borderId="68" xfId="1" applyFont="1" applyBorder="1" applyAlignment="1">
      <alignment horizontal="center" vertical="center" wrapText="1"/>
    </xf>
    <xf numFmtId="41" fontId="20" fillId="0" borderId="68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9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5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4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3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3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49" fontId="5" fillId="2" borderId="53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53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41" fontId="11" fillId="3" borderId="64" xfId="1" applyFont="1" applyFill="1" applyBorder="1" applyAlignment="1">
      <alignment horizontal="center" vertical="center"/>
    </xf>
    <xf numFmtId="41" fontId="11" fillId="3" borderId="65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11" fillId="3" borderId="71" xfId="1" applyNumberFormat="1" applyFont="1" applyFill="1" applyBorder="1" applyAlignment="1">
      <alignment horizontal="center" vertical="center"/>
    </xf>
    <xf numFmtId="180" fontId="24" fillId="2" borderId="0" xfId="0" applyNumberFormat="1" applyFont="1" applyFill="1" applyAlignment="1">
      <alignment horizontal="left"/>
    </xf>
    <xf numFmtId="0" fontId="8" fillId="2" borderId="48" xfId="1" applyNumberFormat="1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/>
    </xf>
    <xf numFmtId="0" fontId="8" fillId="2" borderId="46" xfId="1" applyNumberFormat="1" applyFont="1" applyFill="1" applyBorder="1" applyAlignment="1">
      <alignment horizontal="center" vertical="center"/>
    </xf>
    <xf numFmtId="0" fontId="8" fillId="2" borderId="47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/>
    </xf>
    <xf numFmtId="0" fontId="8" fillId="2" borderId="47" xfId="0" quotePrefix="1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 wrapText="1"/>
    </xf>
    <xf numFmtId="0" fontId="8" fillId="2" borderId="52" xfId="1" applyNumberFormat="1" applyFont="1" applyFill="1" applyBorder="1" applyAlignment="1">
      <alignment horizontal="center" vertical="center" wrapText="1"/>
    </xf>
    <xf numFmtId="0" fontId="8" fillId="2" borderId="72" xfId="0" applyFont="1" applyFill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182" fontId="8" fillId="2" borderId="12" xfId="0" quotePrefix="1" applyNumberFormat="1" applyFont="1" applyFill="1" applyBorder="1" applyAlignment="1">
      <alignment horizontal="center" vertical="center"/>
    </xf>
    <xf numFmtId="183" fontId="5" fillId="2" borderId="0" xfId="0" applyNumberFormat="1" applyFont="1" applyFill="1" applyAlignment="1"/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73" xfId="1" applyNumberFormat="1" applyFont="1" applyFill="1" applyBorder="1" applyAlignment="1">
      <alignment horizontal="center" vertical="center" wrapText="1"/>
    </xf>
    <xf numFmtId="0" fontId="5" fillId="2" borderId="62" xfId="0" applyFont="1" applyFill="1" applyBorder="1" applyAlignment="1">
      <alignment horizontal="center" vertical="center"/>
    </xf>
    <xf numFmtId="0" fontId="8" fillId="0" borderId="23" xfId="1" applyNumberFormat="1" applyFont="1" applyFill="1" applyBorder="1" applyAlignment="1">
      <alignment horizontal="center" vertical="center" wrapText="1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0" borderId="26" xfId="1" applyNumberFormat="1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/>
    </xf>
    <xf numFmtId="0" fontId="8" fillId="2" borderId="36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18" xfId="0" applyFont="1" applyFill="1" applyBorder="1" applyAlignment="1"/>
    <xf numFmtId="0" fontId="8" fillId="2" borderId="22" xfId="1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41" fontId="8" fillId="2" borderId="44" xfId="1" applyFont="1" applyFill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 wrapText="1"/>
    </xf>
    <xf numFmtId="0" fontId="8" fillId="2" borderId="33" xfId="1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 wrapText="1"/>
    </xf>
    <xf numFmtId="0" fontId="25" fillId="0" borderId="22" xfId="0" applyFont="1" applyBorder="1" applyAlignment="1">
      <alignment horizontal="center" vertical="center" wrapText="1"/>
    </xf>
    <xf numFmtId="41" fontId="8" fillId="2" borderId="23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26" fillId="2" borderId="52" xfId="0" applyFont="1" applyFill="1" applyBorder="1" applyAlignment="1">
      <alignment horizontal="center" vertical="center" wrapText="1"/>
    </xf>
    <xf numFmtId="0" fontId="8" fillId="2" borderId="6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 wrapText="1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 wrapText="1"/>
    </xf>
    <xf numFmtId="0" fontId="26" fillId="2" borderId="22" xfId="0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8" fillId="2" borderId="78" xfId="0" applyFont="1" applyFill="1" applyBorder="1" applyAlignment="1">
      <alignment horizontal="center" vertical="center" wrapText="1"/>
    </xf>
    <xf numFmtId="0" fontId="8" fillId="0" borderId="59" xfId="0" applyFont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27" fillId="0" borderId="9" xfId="1" applyNumberFormat="1" applyFont="1" applyFill="1" applyBorder="1" applyAlignment="1">
      <alignment horizontal="center" vertical="center" wrapText="1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41" fontId="8" fillId="2" borderId="42" xfId="1" applyFont="1" applyFill="1" applyBorder="1" applyAlignment="1">
      <alignment horizontal="center" vertical="center" wrapText="1"/>
    </xf>
    <xf numFmtId="0" fontId="8" fillId="0" borderId="62" xfId="0" applyFont="1" applyBorder="1" applyAlignment="1">
      <alignment horizontal="center" vertical="center"/>
    </xf>
    <xf numFmtId="0" fontId="28" fillId="2" borderId="10" xfId="0" applyFont="1" applyFill="1" applyBorder="1" applyAlignment="1">
      <alignment horizontal="center" vertical="center"/>
    </xf>
    <xf numFmtId="41" fontId="8" fillId="2" borderId="22" xfId="1" applyFont="1" applyFill="1" applyBorder="1" applyAlignment="1">
      <alignment horizontal="center" vertical="center" wrapText="1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1" applyNumberFormat="1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85" xfId="0" applyFont="1" applyFill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0" borderId="88" xfId="0" applyFont="1" applyBorder="1" applyAlignment="1">
      <alignment horizontal="center"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88" xfId="0" applyFont="1" applyFill="1" applyBorder="1" applyAlignment="1">
      <alignment horizontal="center" vertical="center"/>
    </xf>
    <xf numFmtId="0" fontId="8" fillId="2" borderId="81" xfId="1" applyNumberFormat="1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0" fontId="8" fillId="2" borderId="71" xfId="1" applyNumberFormat="1" applyFont="1" applyFill="1" applyBorder="1" applyAlignment="1">
      <alignment horizontal="center" vertical="center" wrapText="1"/>
    </xf>
    <xf numFmtId="0" fontId="8" fillId="2" borderId="90" xfId="0" applyFont="1" applyFill="1" applyBorder="1" applyAlignment="1">
      <alignment horizontal="center" vertical="center"/>
    </xf>
    <xf numFmtId="0" fontId="8" fillId="2" borderId="91" xfId="1" applyNumberFormat="1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/>
    </xf>
    <xf numFmtId="0" fontId="8" fillId="2" borderId="54" xfId="1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2" borderId="93" xfId="0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29" fillId="2" borderId="44" xfId="1" applyNumberFormat="1" applyFont="1" applyFill="1" applyBorder="1" applyAlignment="1">
      <alignment horizontal="center" vertical="center" wrapText="1"/>
    </xf>
    <xf numFmtId="0" fontId="8" fillId="2" borderId="63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41" fontId="8" fillId="2" borderId="9" xfId="1" applyFont="1" applyFill="1" applyBorder="1" applyAlignment="1">
      <alignment horizontal="center" vertical="center" wrapText="1"/>
    </xf>
    <xf numFmtId="41" fontId="8" fillId="2" borderId="85" xfId="1" applyFont="1" applyFill="1" applyBorder="1" applyAlignment="1">
      <alignment horizontal="center" vertical="center" wrapText="1"/>
    </xf>
    <xf numFmtId="0" fontId="8" fillId="2" borderId="87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center" vertical="center" wrapText="1"/>
    </xf>
    <xf numFmtId="0" fontId="8" fillId="0" borderId="46" xfId="1" applyNumberFormat="1" applyFont="1" applyFill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vertical="center"/>
    </xf>
    <xf numFmtId="0" fontId="8" fillId="0" borderId="9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/>
    </xf>
    <xf numFmtId="0" fontId="8" fillId="2" borderId="62" xfId="1" applyNumberFormat="1" applyFont="1" applyFill="1" applyBorder="1" applyAlignment="1">
      <alignment horizont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91" xfId="1" applyNumberFormat="1" applyFont="1" applyFill="1" applyBorder="1" applyAlignment="1">
      <alignment horizontal="center"/>
    </xf>
    <xf numFmtId="0" fontId="8" fillId="2" borderId="92" xfId="1" applyNumberFormat="1" applyFont="1" applyFill="1" applyBorder="1" applyAlignment="1">
      <alignment horizontal="center"/>
    </xf>
    <xf numFmtId="0" fontId="30" fillId="2" borderId="12" xfId="0" applyFont="1" applyFill="1" applyBorder="1" applyAlignment="1">
      <alignment horizontal="center" vertical="center"/>
    </xf>
    <xf numFmtId="0" fontId="30" fillId="2" borderId="88" xfId="0" applyFont="1" applyFill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2" borderId="101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0" fillId="0" borderId="103" xfId="0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26" fillId="0" borderId="9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103" xfId="0" applyFont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73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/>
    </xf>
    <xf numFmtId="49" fontId="8" fillId="2" borderId="62" xfId="0" applyNumberFormat="1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0" xfId="0" applyNumberFormat="1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49" fontId="8" fillId="2" borderId="92" xfId="0" applyNumberFormat="1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41" fontId="8" fillId="2" borderId="48" xfId="1" applyFont="1" applyFill="1" applyBorder="1" applyAlignment="1">
      <alignment horizontal="center" vertical="center" wrapText="1"/>
    </xf>
    <xf numFmtId="41" fontId="8" fillId="2" borderId="71" xfId="1" applyFont="1" applyFill="1" applyBorder="1" applyAlignment="1">
      <alignment horizontal="center" vertical="center" wrapText="1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 wrapText="1"/>
    </xf>
    <xf numFmtId="0" fontId="5" fillId="2" borderId="10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91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 wrapText="1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8" xfId="0" applyFont="1" applyFill="1" applyBorder="1" applyAlignment="1">
      <alignment horizontal="center" vertical="center"/>
    </xf>
    <xf numFmtId="0" fontId="8" fillId="2" borderId="105" xfId="1" applyNumberFormat="1" applyFont="1" applyFill="1" applyBorder="1" applyAlignment="1">
      <alignment horizontal="center" vertical="center"/>
    </xf>
    <xf numFmtId="0" fontId="8" fillId="2" borderId="100" xfId="1" applyNumberFormat="1" applyFont="1" applyFill="1" applyBorder="1" applyAlignment="1">
      <alignment horizontal="center" vertical="center"/>
    </xf>
    <xf numFmtId="0" fontId="8" fillId="2" borderId="74" xfId="0" applyFont="1" applyFill="1" applyBorder="1">
      <alignment vertical="center"/>
    </xf>
    <xf numFmtId="0" fontId="8" fillId="0" borderId="61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0" borderId="90" xfId="0" applyFont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95" xfId="0" applyFont="1" applyFill="1" applyBorder="1" applyAlignment="1">
      <alignment horizontal="center" vertical="center" wrapText="1"/>
    </xf>
    <xf numFmtId="0" fontId="8" fillId="2" borderId="106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4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3" fontId="8" fillId="2" borderId="88" xfId="0" applyNumberFormat="1" applyFont="1" applyFill="1" applyBorder="1" applyAlignment="1">
      <alignment horizontal="center" vertical="center"/>
    </xf>
    <xf numFmtId="3" fontId="8" fillId="2" borderId="46" xfId="0" applyNumberFormat="1" applyFont="1" applyFill="1" applyBorder="1" applyAlignment="1">
      <alignment horizontal="center" vertical="center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/>
    </xf>
    <xf numFmtId="0" fontId="8" fillId="0" borderId="62" xfId="0" applyFont="1" applyBorder="1" applyAlignment="1">
      <alignment horizontal="center" vertical="center" shrinkToFit="1"/>
    </xf>
    <xf numFmtId="0" fontId="8" fillId="0" borderId="12" xfId="0" applyFont="1" applyBorder="1" applyAlignment="1">
      <alignment horizontal="center" vertical="center" shrinkToFit="1"/>
    </xf>
    <xf numFmtId="0" fontId="8" fillId="0" borderId="92" xfId="0" applyFont="1" applyBorder="1" applyAlignment="1">
      <alignment horizontal="center" vertical="center" shrinkToFit="1"/>
    </xf>
    <xf numFmtId="0" fontId="5" fillId="2" borderId="0" xfId="1" applyNumberFormat="1" applyFont="1" applyFill="1" applyAlignment="1"/>
    <xf numFmtId="41" fontId="5" fillId="2" borderId="0" xfId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1" fillId="3" borderId="86" xfId="0" applyFont="1" applyFill="1" applyBorder="1" applyAlignment="1">
      <alignment horizontal="center" vertical="center"/>
    </xf>
    <xf numFmtId="41" fontId="11" fillId="3" borderId="87" xfId="1" applyFont="1" applyFill="1" applyBorder="1" applyAlignment="1">
      <alignment horizontal="center" vertical="center"/>
    </xf>
    <xf numFmtId="49" fontId="11" fillId="3" borderId="87" xfId="0" applyNumberFormat="1" applyFont="1" applyFill="1" applyBorder="1" applyAlignment="1">
      <alignment horizontal="center" vertical="center"/>
    </xf>
    <xf numFmtId="0" fontId="8" fillId="2" borderId="92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8" fillId="0" borderId="108" xfId="0" applyFont="1" applyBorder="1" applyAlignment="1">
      <alignment horizontal="center" vertical="center"/>
    </xf>
    <xf numFmtId="0" fontId="8" fillId="0" borderId="100" xfId="1" applyNumberFormat="1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31" xfId="1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2" borderId="91" xfId="0" applyFont="1" applyFill="1" applyBorder="1" applyAlignment="1">
      <alignment horizontal="center" vertical="center" shrinkToFit="1"/>
    </xf>
    <xf numFmtId="0" fontId="8" fillId="3" borderId="92" xfId="0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 shrinkToFit="1"/>
    </xf>
    <xf numFmtId="0" fontId="25" fillId="0" borderId="85" xfId="0" applyFont="1" applyBorder="1" applyAlignment="1">
      <alignment horizontal="center" vertical="center"/>
    </xf>
    <xf numFmtId="0" fontId="8" fillId="2" borderId="80" xfId="0" quotePrefix="1" applyFont="1" applyFill="1" applyBorder="1" applyAlignment="1">
      <alignment horizontal="center" vertical="center"/>
    </xf>
    <xf numFmtId="0" fontId="8" fillId="2" borderId="84" xfId="0" quotePrefix="1" applyFont="1" applyFill="1" applyBorder="1" applyAlignment="1">
      <alignment horizontal="center" vertical="center"/>
    </xf>
    <xf numFmtId="41" fontId="8" fillId="2" borderId="103" xfId="1" applyFont="1" applyFill="1" applyBorder="1" applyAlignment="1">
      <alignment horizontal="center" vertical="center" wrapText="1"/>
    </xf>
    <xf numFmtId="0" fontId="8" fillId="2" borderId="83" xfId="0" quotePrefix="1" applyFont="1" applyFill="1" applyBorder="1" applyAlignment="1">
      <alignment horizontal="center" vertical="center"/>
    </xf>
    <xf numFmtId="0" fontId="8" fillId="2" borderId="91" xfId="0" quotePrefix="1" applyFont="1" applyFill="1" applyBorder="1" applyAlignment="1">
      <alignment horizontal="center" vertical="center"/>
    </xf>
    <xf numFmtId="0" fontId="8" fillId="0" borderId="85" xfId="1" applyNumberFormat="1" applyFont="1" applyFill="1" applyBorder="1" applyAlignment="1">
      <alignment horizontal="center" vertical="center" wrapText="1"/>
    </xf>
    <xf numFmtId="0" fontId="8" fillId="2" borderId="86" xfId="0" applyFont="1" applyFill="1" applyBorder="1" applyAlignment="1">
      <alignment horizontal="center" vertical="center" wrapText="1"/>
    </xf>
    <xf numFmtId="0" fontId="8" fillId="2" borderId="85" xfId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2" fontId="8" fillId="2" borderId="102" xfId="0" applyNumberFormat="1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110" xfId="1" applyNumberFormat="1" applyFont="1" applyFill="1" applyBorder="1" applyAlignment="1">
      <alignment horizontal="center" vertical="center"/>
    </xf>
    <xf numFmtId="2" fontId="8" fillId="2" borderId="111" xfId="0" applyNumberFormat="1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1" xfId="1" applyNumberFormat="1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118" xfId="0" applyFont="1" applyFill="1" applyBorder="1" applyAlignment="1">
      <alignment horizontal="center" vertical="center"/>
    </xf>
    <xf numFmtId="0" fontId="8" fillId="0" borderId="113" xfId="1" applyNumberFormat="1" applyFont="1" applyFill="1" applyBorder="1" applyAlignment="1">
      <alignment horizontal="center" vertical="center"/>
    </xf>
    <xf numFmtId="0" fontId="8" fillId="0" borderId="114" xfId="0" applyFont="1" applyBorder="1" applyAlignment="1">
      <alignment horizontal="center" vertical="center"/>
    </xf>
    <xf numFmtId="0" fontId="8" fillId="0" borderId="113" xfId="1" applyNumberFormat="1" applyFont="1" applyFill="1" applyBorder="1" applyAlignment="1">
      <alignment vertical="center"/>
    </xf>
    <xf numFmtId="0" fontId="8" fillId="2" borderId="111" xfId="1" applyNumberFormat="1" applyFont="1" applyFill="1" applyBorder="1" applyAlignment="1">
      <alignment horizontal="center"/>
    </xf>
    <xf numFmtId="0" fontId="8" fillId="2" borderId="110" xfId="1" applyNumberFormat="1" applyFont="1" applyFill="1" applyBorder="1" applyAlignment="1">
      <alignment horizontal="center"/>
    </xf>
    <xf numFmtId="0" fontId="8" fillId="2" borderId="113" xfId="0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120" xfId="0" applyFont="1" applyFill="1" applyBorder="1" applyAlignment="1">
      <alignment horizontal="center" vertical="center"/>
    </xf>
    <xf numFmtId="49" fontId="8" fillId="2" borderId="110" xfId="0" applyNumberFormat="1" applyFont="1" applyFill="1" applyBorder="1" applyAlignment="1">
      <alignment horizontal="center" vertical="center"/>
    </xf>
    <xf numFmtId="0" fontId="8" fillId="0" borderId="111" xfId="0" applyFont="1" applyBorder="1" applyAlignment="1">
      <alignment horizontal="center" vertical="center"/>
    </xf>
    <xf numFmtId="0" fontId="8" fillId="0" borderId="110" xfId="0" applyFont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/>
    </xf>
    <xf numFmtId="184" fontId="8" fillId="2" borderId="110" xfId="0" applyNumberFormat="1" applyFont="1" applyFill="1" applyBorder="1" applyAlignment="1">
      <alignment horizontal="center" vertical="center"/>
    </xf>
  </cellXfs>
  <cellStyles count="12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168449</xdr:colOff>
      <xdr:row>239</xdr:row>
      <xdr:rowOff>142875</xdr:rowOff>
    </xdr:from>
    <xdr:to>
      <xdr:col>0</xdr:col>
      <xdr:colOff>392034</xdr:colOff>
      <xdr:row>240</xdr:row>
      <xdr:rowOff>173355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20896659-31EC-4D46-A796-17A2A0F09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089" y="45641895"/>
          <a:ext cx="22358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251</xdr:row>
      <xdr:rowOff>28575</xdr:rowOff>
    </xdr:from>
    <xdr:to>
      <xdr:col>0</xdr:col>
      <xdr:colOff>913975</xdr:colOff>
      <xdr:row>252</xdr:row>
      <xdr:rowOff>91440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5E59147D-4991-4109-8F4E-B6A862566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47813595"/>
          <a:ext cx="277705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262890</xdr:colOff>
      <xdr:row>308</xdr:row>
      <xdr:rowOff>152400</xdr:rowOff>
    </xdr:from>
    <xdr:to>
      <xdr:col>0</xdr:col>
      <xdr:colOff>494595</xdr:colOff>
      <xdr:row>310</xdr:row>
      <xdr:rowOff>30480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48A3A4AF-3837-485A-8982-7B5BE2C2C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530" y="587349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712470</xdr:colOff>
      <xdr:row>317</xdr:row>
      <xdr:rowOff>34290</xdr:rowOff>
    </xdr:from>
    <xdr:to>
      <xdr:col>0</xdr:col>
      <xdr:colOff>943574</xdr:colOff>
      <xdr:row>318</xdr:row>
      <xdr:rowOff>72390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9367F012-70AE-453E-98CD-94C6AFD22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" y="6030087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697062</xdr:colOff>
      <xdr:row>337</xdr:row>
      <xdr:rowOff>85724</xdr:rowOff>
    </xdr:from>
    <xdr:to>
      <xdr:col>0</xdr:col>
      <xdr:colOff>930421</xdr:colOff>
      <xdr:row>339</xdr:row>
      <xdr:rowOff>25509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270F5E3-59C4-430F-A59F-F183C183A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4702" y="64086104"/>
          <a:ext cx="233359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346</xdr:row>
      <xdr:rowOff>148034</xdr:rowOff>
    </xdr:from>
    <xdr:to>
      <xdr:col>0</xdr:col>
      <xdr:colOff>838200</xdr:colOff>
      <xdr:row>348</xdr:row>
      <xdr:rowOff>73135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8D472022-D032-44D9-BB34-33663750E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6586291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649605</xdr:colOff>
      <xdr:row>369</xdr:row>
      <xdr:rowOff>32385</xdr:rowOff>
    </xdr:from>
    <xdr:to>
      <xdr:col>0</xdr:col>
      <xdr:colOff>927310</xdr:colOff>
      <xdr:row>370</xdr:row>
      <xdr:rowOff>105520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E2887567-A214-4747-B98A-5659183E6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245" y="70128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418</xdr:row>
      <xdr:rowOff>95250</xdr:rowOff>
    </xdr:from>
    <xdr:to>
      <xdr:col>0</xdr:col>
      <xdr:colOff>856825</xdr:colOff>
      <xdr:row>420</xdr:row>
      <xdr:rowOff>11430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440C3844-5B0C-4970-9F11-88A57B98D2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795261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655320</xdr:colOff>
      <xdr:row>457</xdr:row>
      <xdr:rowOff>85725</xdr:rowOff>
    </xdr:from>
    <xdr:to>
      <xdr:col>0</xdr:col>
      <xdr:colOff>933025</xdr:colOff>
      <xdr:row>458</xdr:row>
      <xdr:rowOff>158860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FAB5FAB2-E5FA-48FC-856D-E835B673B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86938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687705</xdr:colOff>
      <xdr:row>486</xdr:row>
      <xdr:rowOff>142875</xdr:rowOff>
    </xdr:from>
    <xdr:to>
      <xdr:col>0</xdr:col>
      <xdr:colOff>965410</xdr:colOff>
      <xdr:row>488</xdr:row>
      <xdr:rowOff>88375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0438A601-E6F4-474D-9346-C7CAE5E1D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345" y="92344875"/>
          <a:ext cx="277705" cy="3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513</xdr:row>
      <xdr:rowOff>142875</xdr:rowOff>
    </xdr:from>
    <xdr:to>
      <xdr:col>0</xdr:col>
      <xdr:colOff>944455</xdr:colOff>
      <xdr:row>515</xdr:row>
      <xdr:rowOff>95250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B20B2FF9-DFFE-4260-ACA9-E3BECFC04C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97488375"/>
          <a:ext cx="27770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526</xdr:row>
      <xdr:rowOff>62865</xdr:rowOff>
    </xdr:from>
    <xdr:to>
      <xdr:col>0</xdr:col>
      <xdr:colOff>801580</xdr:colOff>
      <xdr:row>528</xdr:row>
      <xdr:rowOff>13335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765AAE8-1F03-46D5-B2A0-4D35D3F5A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9988486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535</xdr:row>
      <xdr:rowOff>19050</xdr:rowOff>
    </xdr:from>
    <xdr:to>
      <xdr:col>0</xdr:col>
      <xdr:colOff>371050</xdr:colOff>
      <xdr:row>536</xdr:row>
      <xdr:rowOff>92185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3202E2DC-37E8-4BB7-8CEE-678A64923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1015555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616453</xdr:colOff>
      <xdr:row>296</xdr:row>
      <xdr:rowOff>43650</xdr:rowOff>
    </xdr:from>
    <xdr:to>
      <xdr:col>0</xdr:col>
      <xdr:colOff>891540</xdr:colOff>
      <xdr:row>297</xdr:row>
      <xdr:rowOff>114300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1F069FE2-453B-4968-89A8-1D656DDD9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093" y="563402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352425</xdr:colOff>
      <xdr:row>303</xdr:row>
      <xdr:rowOff>16161</xdr:rowOff>
    </xdr:from>
    <xdr:to>
      <xdr:col>0</xdr:col>
      <xdr:colOff>565786</xdr:colOff>
      <xdr:row>304</xdr:row>
      <xdr:rowOff>99805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9D218718-752A-4862-92D8-09CDE3643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" y="57646221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198120</xdr:colOff>
      <xdr:row>505</xdr:row>
      <xdr:rowOff>27259</xdr:rowOff>
    </xdr:from>
    <xdr:to>
      <xdr:col>0</xdr:col>
      <xdr:colOff>419100</xdr:colOff>
      <xdr:row>506</xdr:row>
      <xdr:rowOff>125369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E75E1598-F966-426F-99C9-C7CC16F6F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" y="9584875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382</xdr:row>
      <xdr:rowOff>146685</xdr:rowOff>
    </xdr:from>
    <xdr:to>
      <xdr:col>0</xdr:col>
      <xdr:colOff>923499</xdr:colOff>
      <xdr:row>384</xdr:row>
      <xdr:rowOff>17144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80F87586-420C-4E47-8F3C-F3FB0C614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727195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651510</xdr:colOff>
      <xdr:row>390</xdr:row>
      <xdr:rowOff>40005</xdr:rowOff>
    </xdr:from>
    <xdr:to>
      <xdr:col>0</xdr:col>
      <xdr:colOff>929214</xdr:colOff>
      <xdr:row>391</xdr:row>
      <xdr:rowOff>100964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3AEF29EB-A706-4419-87C1-A03394124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7413688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444</xdr:row>
      <xdr:rowOff>19050</xdr:rowOff>
    </xdr:from>
    <xdr:to>
      <xdr:col>0</xdr:col>
      <xdr:colOff>953980</xdr:colOff>
      <xdr:row>445</xdr:row>
      <xdr:rowOff>125730</xdr:rowOff>
    </xdr:to>
    <xdr:pic>
      <xdr:nvPicPr>
        <xdr:cNvPr id="120" name="Picture 536">
          <a:extLst>
            <a:ext uri="{FF2B5EF4-FFF2-40B4-BE49-F238E27FC236}">
              <a16:creationId xmlns:a16="http://schemas.microsoft.com/office/drawing/2014/main" id="{D5D0018B-EBF8-4586-85C0-35D641BBA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8439531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662941</xdr:colOff>
      <xdr:row>499</xdr:row>
      <xdr:rowOff>56350</xdr:rowOff>
    </xdr:from>
    <xdr:to>
      <xdr:col>0</xdr:col>
      <xdr:colOff>882343</xdr:colOff>
      <xdr:row>500</xdr:row>
      <xdr:rowOff>152399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86BB4450-EB70-4539-8EA1-5CAA0140C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1" y="94734850"/>
          <a:ext cx="219402" cy="286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topLeftCell="A2191" zoomScale="90" zoomScaleNormal="100" zoomScaleSheetLayoutView="90" workbookViewId="0">
      <selection activeCell="D2202" sqref="D2202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9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37" t="s">
        <v>1783</v>
      </c>
      <c r="J1" s="151" t="s">
        <v>2789</v>
      </c>
      <c r="L1" s="137"/>
    </row>
    <row r="2" spans="1:12" ht="15" customHeight="1" x14ac:dyDescent="0.4">
      <c r="A2" s="209" t="s">
        <v>0</v>
      </c>
      <c r="B2" s="177" t="s">
        <v>1</v>
      </c>
      <c r="C2" s="7">
        <v>230</v>
      </c>
      <c r="D2" s="9" t="s">
        <v>2</v>
      </c>
      <c r="E2" s="163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2">
        <v>300</v>
      </c>
      <c r="K2" s="13"/>
    </row>
    <row r="3" spans="1:12" ht="15" customHeight="1" x14ac:dyDescent="0.4">
      <c r="A3" s="209"/>
      <c r="B3" s="177"/>
      <c r="C3" s="14"/>
      <c r="D3" s="9" t="s">
        <v>3</v>
      </c>
      <c r="E3" s="163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2">
        <v>300</v>
      </c>
      <c r="K3" s="13"/>
    </row>
    <row r="4" spans="1:12" ht="15" customHeight="1" x14ac:dyDescent="0.4">
      <c r="A4" s="209"/>
      <c r="B4" s="177"/>
      <c r="C4" s="7">
        <v>270</v>
      </c>
      <c r="D4" s="9" t="s">
        <v>4</v>
      </c>
      <c r="E4" s="163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2">
        <v>360</v>
      </c>
      <c r="K4" s="13"/>
    </row>
    <row r="5" spans="1:12" ht="15" customHeight="1" x14ac:dyDescent="0.4">
      <c r="A5" s="209"/>
      <c r="B5" s="177"/>
      <c r="C5" s="14">
        <v>350</v>
      </c>
      <c r="D5" s="9" t="s">
        <v>5</v>
      </c>
      <c r="E5" s="163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2">
        <v>470</v>
      </c>
      <c r="K5" s="13"/>
    </row>
    <row r="6" spans="1:12" ht="15" customHeight="1" x14ac:dyDescent="0.4">
      <c r="A6" s="209"/>
      <c r="B6" s="177"/>
      <c r="C6" s="7"/>
      <c r="D6" s="9" t="s">
        <v>6</v>
      </c>
      <c r="E6" s="163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2">
        <v>470</v>
      </c>
      <c r="K6" s="13"/>
    </row>
    <row r="7" spans="1:12" ht="15" customHeight="1" x14ac:dyDescent="0.4">
      <c r="A7" s="209"/>
      <c r="B7" s="177"/>
      <c r="C7" s="7"/>
      <c r="D7" s="9" t="s">
        <v>7</v>
      </c>
      <c r="E7" s="163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2">
        <v>420</v>
      </c>
      <c r="K7" s="13"/>
    </row>
    <row r="8" spans="1:12" ht="15" customHeight="1" x14ac:dyDescent="0.4">
      <c r="A8" s="209"/>
      <c r="B8" s="177"/>
      <c r="C8" s="7"/>
      <c r="D8" s="9" t="s">
        <v>8</v>
      </c>
      <c r="E8" s="163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2">
        <v>470</v>
      </c>
      <c r="K8" s="13"/>
    </row>
    <row r="9" spans="1:12" ht="15" customHeight="1" x14ac:dyDescent="0.4">
      <c r="A9" s="209"/>
      <c r="B9" s="177"/>
      <c r="C9" s="7"/>
      <c r="D9" s="9" t="s">
        <v>9</v>
      </c>
      <c r="E9" s="163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2">
        <v>470</v>
      </c>
      <c r="K9" s="13"/>
    </row>
    <row r="10" spans="1:12" ht="15" customHeight="1" x14ac:dyDescent="0.4">
      <c r="A10" s="209"/>
      <c r="B10" s="177"/>
      <c r="C10" s="7"/>
      <c r="D10" s="9" t="s">
        <v>10</v>
      </c>
      <c r="E10" s="163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2">
        <v>420</v>
      </c>
      <c r="K10" s="13"/>
    </row>
    <row r="11" spans="1:12" ht="15" customHeight="1" x14ac:dyDescent="0.4">
      <c r="A11" s="209"/>
      <c r="B11" s="177"/>
      <c r="C11" s="7"/>
      <c r="D11" s="9" t="s">
        <v>11</v>
      </c>
      <c r="E11" s="163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2">
        <v>470</v>
      </c>
      <c r="K11" s="13"/>
    </row>
    <row r="12" spans="1:12" ht="15" customHeight="1" x14ac:dyDescent="0.4">
      <c r="A12" s="209"/>
      <c r="B12" s="177"/>
      <c r="C12" s="7"/>
      <c r="D12" s="9" t="s">
        <v>12</v>
      </c>
      <c r="E12" s="163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2">
        <v>470</v>
      </c>
      <c r="K12" s="13"/>
    </row>
    <row r="13" spans="1:12" ht="15" customHeight="1" x14ac:dyDescent="0.4">
      <c r="A13" s="209"/>
      <c r="B13" s="177"/>
      <c r="C13" s="7">
        <v>290</v>
      </c>
      <c r="D13" s="9" t="s">
        <v>13</v>
      </c>
      <c r="E13" s="163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2">
        <v>370</v>
      </c>
      <c r="K13" s="13"/>
    </row>
    <row r="14" spans="1:12" ht="15" customHeight="1" x14ac:dyDescent="0.4">
      <c r="A14" s="209"/>
      <c r="B14" s="177"/>
      <c r="C14" s="7">
        <v>330</v>
      </c>
      <c r="D14" s="9" t="s">
        <v>13</v>
      </c>
      <c r="E14" s="163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2">
        <v>420</v>
      </c>
      <c r="K14" s="13"/>
    </row>
    <row r="15" spans="1:12" ht="15" customHeight="1" x14ac:dyDescent="0.4">
      <c r="A15" s="209"/>
      <c r="B15" s="177"/>
      <c r="C15" s="7">
        <v>420</v>
      </c>
      <c r="D15" s="9" t="s">
        <v>13</v>
      </c>
      <c r="E15" s="163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2">
        <v>540</v>
      </c>
      <c r="K15" s="13"/>
    </row>
    <row r="16" spans="1:12" ht="15" customHeight="1" x14ac:dyDescent="0.4">
      <c r="A16" s="209"/>
      <c r="B16" s="177"/>
      <c r="C16" s="14">
        <v>230</v>
      </c>
      <c r="D16" s="9" t="s">
        <v>14</v>
      </c>
      <c r="E16" s="163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2">
        <v>300</v>
      </c>
      <c r="K16" s="13"/>
    </row>
    <row r="17" spans="1:11" ht="15" customHeight="1" x14ac:dyDescent="0.4">
      <c r="A17" s="209"/>
      <c r="B17" s="177"/>
      <c r="C17" s="14">
        <v>310</v>
      </c>
      <c r="D17" s="9" t="s">
        <v>14</v>
      </c>
      <c r="E17" s="163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2">
        <v>420</v>
      </c>
      <c r="K17" s="13"/>
    </row>
    <row r="18" spans="1:11" ht="15" customHeight="1" x14ac:dyDescent="0.4">
      <c r="A18" s="209"/>
      <c r="B18" s="177"/>
      <c r="C18" s="14">
        <v>350</v>
      </c>
      <c r="D18" s="9" t="s">
        <v>14</v>
      </c>
      <c r="E18" s="163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2">
        <v>470</v>
      </c>
      <c r="K18" s="13"/>
    </row>
    <row r="19" spans="1:11" ht="15" customHeight="1" x14ac:dyDescent="0.4">
      <c r="A19" s="209"/>
      <c r="B19" s="177"/>
      <c r="C19" s="14">
        <v>450</v>
      </c>
      <c r="D19" s="9" t="s">
        <v>14</v>
      </c>
      <c r="E19" s="163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2">
        <v>610</v>
      </c>
      <c r="K19" s="13"/>
    </row>
    <row r="20" spans="1:11" ht="15" customHeight="1" x14ac:dyDescent="0.4">
      <c r="A20" s="209"/>
      <c r="B20" s="177"/>
      <c r="C20" s="7">
        <v>230</v>
      </c>
      <c r="D20" s="9" t="s">
        <v>15</v>
      </c>
      <c r="E20" s="163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2">
        <v>300</v>
      </c>
      <c r="K20" s="13"/>
    </row>
    <row r="21" spans="1:11" ht="15" customHeight="1" x14ac:dyDescent="0.4">
      <c r="A21" s="209"/>
      <c r="B21" s="177"/>
      <c r="C21" s="7">
        <v>270</v>
      </c>
      <c r="D21" s="9" t="s">
        <v>16</v>
      </c>
      <c r="E21" s="16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2">
        <v>360</v>
      </c>
      <c r="K21" s="13"/>
    </row>
    <row r="22" spans="1:11" ht="15" customHeight="1" x14ac:dyDescent="0.4">
      <c r="A22" s="209"/>
      <c r="B22" s="177"/>
      <c r="C22" s="14">
        <v>310</v>
      </c>
      <c r="D22" s="9" t="s">
        <v>17</v>
      </c>
      <c r="E22" s="163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2">
        <v>440</v>
      </c>
      <c r="K22" s="13"/>
    </row>
    <row r="23" spans="1:11" ht="15" customHeight="1" x14ac:dyDescent="0.4">
      <c r="A23" s="209"/>
      <c r="B23" s="177"/>
      <c r="C23" s="7">
        <v>350</v>
      </c>
      <c r="D23" s="9" t="s">
        <v>18</v>
      </c>
      <c r="E23" s="163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2">
        <v>500</v>
      </c>
      <c r="K23" s="13"/>
    </row>
    <row r="24" spans="1:11" ht="15" customHeight="1" x14ac:dyDescent="0.4">
      <c r="A24" s="209"/>
      <c r="B24" s="177"/>
      <c r="C24" s="7">
        <v>450</v>
      </c>
      <c r="D24" s="9" t="s">
        <v>18</v>
      </c>
      <c r="E24" s="163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2">
        <v>610</v>
      </c>
      <c r="K24" s="13"/>
    </row>
    <row r="25" spans="1:11" ht="15" customHeight="1" x14ac:dyDescent="0.4">
      <c r="A25" s="209"/>
      <c r="B25" s="177"/>
      <c r="C25" s="7">
        <v>550</v>
      </c>
      <c r="D25" s="9" t="s">
        <v>17</v>
      </c>
      <c r="E25" s="16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2">
        <v>800</v>
      </c>
      <c r="K25" s="13"/>
    </row>
    <row r="26" spans="1:11" ht="15" customHeight="1" x14ac:dyDescent="0.4">
      <c r="A26" s="209"/>
      <c r="B26" s="177"/>
      <c r="C26" s="7">
        <v>650</v>
      </c>
      <c r="D26" s="9" t="s">
        <v>18</v>
      </c>
      <c r="E26" s="16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2">
        <v>960</v>
      </c>
      <c r="K26" s="13"/>
    </row>
    <row r="27" spans="1:11" ht="15" customHeight="1" x14ac:dyDescent="0.4">
      <c r="A27" s="209"/>
      <c r="B27" s="177"/>
      <c r="C27" s="7">
        <v>750</v>
      </c>
      <c r="D27" s="9" t="s">
        <v>17</v>
      </c>
      <c r="E27" s="16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2">
        <v>1120</v>
      </c>
      <c r="K27" s="13"/>
    </row>
    <row r="28" spans="1:11" ht="15" customHeight="1" x14ac:dyDescent="0.4">
      <c r="A28" s="209"/>
      <c r="B28" s="177"/>
      <c r="C28" s="7">
        <v>1000</v>
      </c>
      <c r="D28" s="9" t="s">
        <v>18</v>
      </c>
      <c r="E28" s="163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2">
        <v>1440</v>
      </c>
      <c r="K28" s="13"/>
    </row>
    <row r="29" spans="1:11" ht="15" customHeight="1" x14ac:dyDescent="0.4">
      <c r="A29" s="209"/>
      <c r="B29" s="177"/>
      <c r="C29" s="7">
        <v>1300</v>
      </c>
      <c r="D29" s="9" t="s">
        <v>18</v>
      </c>
      <c r="E29" s="163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2">
        <v>1920</v>
      </c>
      <c r="K29" s="13"/>
    </row>
    <row r="30" spans="1:11" ht="15" customHeight="1" x14ac:dyDescent="0.4">
      <c r="A30" s="185" t="s">
        <v>19</v>
      </c>
      <c r="B30" s="174" t="s">
        <v>20</v>
      </c>
      <c r="C30" s="7">
        <v>230</v>
      </c>
      <c r="D30" s="9" t="s">
        <v>2879</v>
      </c>
      <c r="E30" s="164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2">
        <v>330</v>
      </c>
      <c r="K30" s="13"/>
    </row>
    <row r="31" spans="1:11" ht="15" customHeight="1" x14ac:dyDescent="0.4">
      <c r="A31" s="183"/>
      <c r="B31" s="175"/>
      <c r="C31" s="7"/>
      <c r="D31" s="9" t="s">
        <v>2880</v>
      </c>
      <c r="E31" s="164">
        <v>565000</v>
      </c>
      <c r="G31" s="8"/>
      <c r="H31" s="11"/>
      <c r="I31" s="12"/>
      <c r="J31" s="152">
        <v>330</v>
      </c>
      <c r="K31" s="13"/>
    </row>
    <row r="32" spans="1:11" ht="15" customHeight="1" x14ac:dyDescent="0.4">
      <c r="A32" s="183"/>
      <c r="B32" s="175"/>
      <c r="C32" s="7">
        <v>310</v>
      </c>
      <c r="D32" s="9" t="s">
        <v>2881</v>
      </c>
      <c r="E32" s="164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2">
        <v>420</v>
      </c>
      <c r="K32" s="13"/>
    </row>
    <row r="33" spans="1:11" ht="15" customHeight="1" x14ac:dyDescent="0.4">
      <c r="A33" s="183"/>
      <c r="B33" s="175"/>
      <c r="C33" s="7"/>
      <c r="D33" s="9" t="s">
        <v>2882</v>
      </c>
      <c r="E33" s="164">
        <v>755000</v>
      </c>
      <c r="G33" s="8"/>
      <c r="H33" s="11"/>
      <c r="I33" s="12"/>
      <c r="J33" s="152">
        <v>420</v>
      </c>
      <c r="K33" s="13"/>
    </row>
    <row r="34" spans="1:11" ht="15" customHeight="1" x14ac:dyDescent="0.4">
      <c r="A34" s="183"/>
      <c r="B34" s="175"/>
      <c r="C34" s="7">
        <v>350</v>
      </c>
      <c r="D34" s="9" t="s">
        <v>2883</v>
      </c>
      <c r="E34" s="164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2">
        <v>470</v>
      </c>
      <c r="K34" s="13"/>
    </row>
    <row r="35" spans="1:11" ht="15" customHeight="1" x14ac:dyDescent="0.4">
      <c r="A35" s="184"/>
      <c r="B35" s="176"/>
      <c r="C35" s="7"/>
      <c r="D35" s="9" t="s">
        <v>2884</v>
      </c>
      <c r="E35" s="164">
        <v>855000</v>
      </c>
      <c r="G35" s="8"/>
      <c r="H35" s="11"/>
      <c r="I35" s="12"/>
      <c r="J35" s="152">
        <v>470</v>
      </c>
      <c r="K35" s="13"/>
    </row>
    <row r="36" spans="1:11" ht="15" customHeight="1" x14ac:dyDescent="0.4">
      <c r="A36" s="178" t="s">
        <v>21</v>
      </c>
      <c r="B36" s="177" t="s">
        <v>22</v>
      </c>
      <c r="C36" s="7">
        <v>360</v>
      </c>
      <c r="D36" s="9" t="s">
        <v>23</v>
      </c>
      <c r="E36" s="165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2">
        <v>540</v>
      </c>
      <c r="K36" s="13"/>
    </row>
    <row r="37" spans="1:11" ht="15" customHeight="1" x14ac:dyDescent="0.4">
      <c r="A37" s="178"/>
      <c r="B37" s="177"/>
      <c r="C37" s="7"/>
      <c r="D37" s="9" t="s">
        <v>24</v>
      </c>
      <c r="E37" s="165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2">
        <v>540</v>
      </c>
      <c r="K37" s="13"/>
    </row>
    <row r="38" spans="1:11" ht="15" customHeight="1" x14ac:dyDescent="0.4">
      <c r="A38" s="178"/>
      <c r="B38" s="177"/>
      <c r="C38" s="7"/>
      <c r="D38" s="9" t="s">
        <v>25</v>
      </c>
      <c r="E38" s="165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2">
        <v>540</v>
      </c>
      <c r="K38" s="13"/>
    </row>
    <row r="39" spans="1:11" ht="15" customHeight="1" x14ac:dyDescent="0.4">
      <c r="A39" s="178" t="s">
        <v>26</v>
      </c>
      <c r="B39" s="177" t="s">
        <v>27</v>
      </c>
      <c r="C39" s="7">
        <v>157</v>
      </c>
      <c r="D39" s="9"/>
      <c r="E39" s="165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3"/>
      <c r="K39" s="13"/>
    </row>
    <row r="40" spans="1:11" ht="15" customHeight="1" x14ac:dyDescent="0.4">
      <c r="A40" s="178"/>
      <c r="B40" s="177"/>
      <c r="C40" s="7">
        <v>209</v>
      </c>
      <c r="D40" s="9"/>
      <c r="E40" s="165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3"/>
      <c r="K40" s="13"/>
    </row>
    <row r="41" spans="1:11" ht="15" customHeight="1" x14ac:dyDescent="0.4">
      <c r="A41" s="178"/>
      <c r="B41" s="177"/>
      <c r="C41" s="7">
        <v>256</v>
      </c>
      <c r="D41" s="9"/>
      <c r="E41" s="165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3"/>
      <c r="K41" s="13"/>
    </row>
    <row r="42" spans="1:11" s="1" customFormat="1" ht="15" customHeight="1" x14ac:dyDescent="0.4">
      <c r="A42" s="178"/>
      <c r="B42" s="177" t="s">
        <v>28</v>
      </c>
      <c r="C42" s="7">
        <v>157</v>
      </c>
      <c r="D42" s="9"/>
      <c r="E42" s="165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3"/>
      <c r="K42" s="13"/>
    </row>
    <row r="43" spans="1:11" s="1" customFormat="1" ht="15" customHeight="1" x14ac:dyDescent="0.4">
      <c r="A43" s="178"/>
      <c r="B43" s="177"/>
      <c r="C43" s="7">
        <v>209</v>
      </c>
      <c r="D43" s="9"/>
      <c r="E43" s="165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3"/>
      <c r="K43" s="13"/>
    </row>
    <row r="44" spans="1:11" s="1" customFormat="1" ht="15" customHeight="1" x14ac:dyDescent="0.4">
      <c r="A44" s="178"/>
      <c r="B44" s="177"/>
      <c r="C44" s="7">
        <v>256</v>
      </c>
      <c r="D44" s="9"/>
      <c r="E44" s="165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3"/>
      <c r="K44" s="13"/>
    </row>
    <row r="45" spans="1:11" s="1" customFormat="1" ht="15" customHeight="1" x14ac:dyDescent="0.4">
      <c r="A45" s="180" t="s">
        <v>29</v>
      </c>
      <c r="B45" s="181" t="s">
        <v>30</v>
      </c>
      <c r="C45" s="20">
        <v>110</v>
      </c>
      <c r="D45" s="21" t="s">
        <v>31</v>
      </c>
      <c r="E45" s="1" t="s">
        <v>2390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3"/>
      <c r="K45" s="13"/>
    </row>
    <row r="46" spans="1:11" s="1" customFormat="1" ht="15" customHeight="1" x14ac:dyDescent="0.4">
      <c r="A46" s="184"/>
      <c r="B46" s="176"/>
      <c r="C46" s="20"/>
      <c r="D46" s="21" t="s">
        <v>32</v>
      </c>
      <c r="E46" s="1" t="s">
        <v>2390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3"/>
      <c r="K46" s="13"/>
    </row>
    <row r="47" spans="1:11" s="1" customFormat="1" ht="15" customHeight="1" x14ac:dyDescent="0.4">
      <c r="A47" s="178" t="s">
        <v>33</v>
      </c>
      <c r="B47" s="177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2">
        <v>500</v>
      </c>
      <c r="K47" s="13"/>
    </row>
    <row r="48" spans="1:11" s="1" customFormat="1" ht="15" customHeight="1" x14ac:dyDescent="0.4">
      <c r="A48" s="178"/>
      <c r="B48" s="177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2">
        <v>800</v>
      </c>
      <c r="K48" s="13"/>
    </row>
    <row r="49" spans="1:11" s="1" customFormat="1" ht="15" customHeight="1" x14ac:dyDescent="0.4">
      <c r="A49" s="178"/>
      <c r="B49" s="177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2">
        <v>1000</v>
      </c>
      <c r="K49" s="13"/>
    </row>
    <row r="50" spans="1:11" s="1" customFormat="1" ht="15" customHeight="1" x14ac:dyDescent="0.4">
      <c r="A50" s="180" t="s">
        <v>35</v>
      </c>
      <c r="B50" s="181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2">
        <v>500</v>
      </c>
      <c r="K50" s="13"/>
    </row>
    <row r="51" spans="1:11" s="1" customFormat="1" ht="15" customHeight="1" x14ac:dyDescent="0.4">
      <c r="A51" s="183"/>
      <c r="B51" s="175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2">
        <v>560</v>
      </c>
      <c r="K51" s="13"/>
    </row>
    <row r="52" spans="1:11" s="1" customFormat="1" ht="15" customHeight="1" x14ac:dyDescent="0.4">
      <c r="A52" s="183"/>
      <c r="B52" s="175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2">
        <v>640</v>
      </c>
      <c r="K52" s="13"/>
    </row>
    <row r="53" spans="1:11" s="1" customFormat="1" ht="15" customHeight="1" x14ac:dyDescent="0.4">
      <c r="A53" s="183"/>
      <c r="B53" s="175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2">
        <v>800</v>
      </c>
      <c r="K53" s="13"/>
    </row>
    <row r="54" spans="1:11" s="1" customFormat="1" ht="15" customHeight="1" x14ac:dyDescent="0.4">
      <c r="A54" s="183"/>
      <c r="B54" s="175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2">
        <v>960</v>
      </c>
      <c r="K54" s="13"/>
    </row>
    <row r="55" spans="1:11" s="1" customFormat="1" ht="15" customHeight="1" x14ac:dyDescent="0.4">
      <c r="A55" s="183"/>
      <c r="B55" s="175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2">
        <v>1000</v>
      </c>
      <c r="K55" s="13"/>
    </row>
    <row r="56" spans="1:11" s="1" customFormat="1" ht="15" customHeight="1" x14ac:dyDescent="0.4">
      <c r="A56" s="183"/>
      <c r="B56" s="175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2">
        <v>1100</v>
      </c>
      <c r="K56" s="13"/>
    </row>
    <row r="57" spans="1:11" s="1" customFormat="1" ht="15" customHeight="1" x14ac:dyDescent="0.4">
      <c r="A57" s="183"/>
      <c r="B57" s="175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2">
        <v>1300</v>
      </c>
      <c r="K57" s="13"/>
    </row>
    <row r="58" spans="1:11" s="1" customFormat="1" ht="15" customHeight="1" x14ac:dyDescent="0.4">
      <c r="A58" s="183"/>
      <c r="B58" s="175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2">
        <v>1400</v>
      </c>
      <c r="K58" s="13"/>
    </row>
    <row r="59" spans="1:11" s="1" customFormat="1" ht="15" customHeight="1" x14ac:dyDescent="0.4">
      <c r="A59" s="183"/>
      <c r="B59" s="175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2">
        <v>500</v>
      </c>
      <c r="K59" s="13"/>
    </row>
    <row r="60" spans="1:11" s="1" customFormat="1" ht="15" customHeight="1" x14ac:dyDescent="0.4">
      <c r="A60" s="183"/>
      <c r="B60" s="175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2">
        <v>560</v>
      </c>
      <c r="K60" s="13"/>
    </row>
    <row r="61" spans="1:11" s="1" customFormat="1" ht="15" customHeight="1" x14ac:dyDescent="0.4">
      <c r="A61" s="183"/>
      <c r="B61" s="175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2">
        <v>640</v>
      </c>
      <c r="K61" s="13"/>
    </row>
    <row r="62" spans="1:11" s="1" customFormat="1" ht="15" customHeight="1" x14ac:dyDescent="0.4">
      <c r="A62" s="183"/>
      <c r="B62" s="175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2">
        <v>800</v>
      </c>
      <c r="K62" s="13"/>
    </row>
    <row r="63" spans="1:11" s="1" customFormat="1" ht="15" customHeight="1" x14ac:dyDescent="0.4">
      <c r="A63" s="183"/>
      <c r="B63" s="175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2">
        <v>960</v>
      </c>
      <c r="K63" s="13"/>
    </row>
    <row r="64" spans="1:11" s="1" customFormat="1" ht="15" customHeight="1" x14ac:dyDescent="0.4">
      <c r="A64" s="183"/>
      <c r="B64" s="175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2">
        <v>1000</v>
      </c>
      <c r="K64" s="26"/>
    </row>
    <row r="65" spans="1:11" s="1" customFormat="1" ht="15" customHeight="1" x14ac:dyDescent="0.4">
      <c r="A65" s="183"/>
      <c r="B65" s="175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2">
        <v>1100</v>
      </c>
      <c r="K65" s="26"/>
    </row>
    <row r="66" spans="1:11" s="1" customFormat="1" ht="15" customHeight="1" x14ac:dyDescent="0.4">
      <c r="A66" s="183"/>
      <c r="B66" s="175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2">
        <v>1300</v>
      </c>
      <c r="K66" s="26"/>
    </row>
    <row r="67" spans="1:11" s="1" customFormat="1" ht="15" customHeight="1" x14ac:dyDescent="0.4">
      <c r="A67" s="183"/>
      <c r="B67" s="176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2">
        <v>1400</v>
      </c>
      <c r="K67" s="26"/>
    </row>
    <row r="68" spans="1:11" s="1" customFormat="1" ht="15" customHeight="1" x14ac:dyDescent="0.4">
      <c r="A68" s="183"/>
      <c r="B68" s="181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2">
        <v>1600</v>
      </c>
      <c r="K68" s="13"/>
    </row>
    <row r="69" spans="1:11" s="1" customFormat="1" ht="15" customHeight="1" x14ac:dyDescent="0.4">
      <c r="A69" s="183"/>
      <c r="B69" s="175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2">
        <v>1800</v>
      </c>
      <c r="K69" s="13"/>
    </row>
    <row r="70" spans="1:11" s="1" customFormat="1" ht="15" customHeight="1" x14ac:dyDescent="0.4">
      <c r="A70" s="183"/>
      <c r="B70" s="175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2">
        <v>2100</v>
      </c>
      <c r="K70" s="13"/>
    </row>
    <row r="71" spans="1:11" s="1" customFormat="1" ht="15" customHeight="1" x14ac:dyDescent="0.4">
      <c r="A71" s="183"/>
      <c r="B71" s="175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2">
        <v>1600</v>
      </c>
      <c r="K71" s="26"/>
    </row>
    <row r="72" spans="1:11" s="1" customFormat="1" ht="15" customHeight="1" x14ac:dyDescent="0.4">
      <c r="A72" s="183"/>
      <c r="B72" s="175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2">
        <v>1800</v>
      </c>
      <c r="K72" s="26"/>
    </row>
    <row r="73" spans="1:11" s="1" customFormat="1" ht="15" customHeight="1" x14ac:dyDescent="0.4">
      <c r="A73" s="184"/>
      <c r="B73" s="175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2">
        <v>2100</v>
      </c>
      <c r="K73" s="26"/>
    </row>
    <row r="74" spans="1:11" ht="15" customHeight="1" x14ac:dyDescent="0.4">
      <c r="A74" s="178" t="s">
        <v>60</v>
      </c>
      <c r="B74" s="177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3"/>
      <c r="K74" s="13"/>
    </row>
    <row r="75" spans="1:11" ht="15" customHeight="1" x14ac:dyDescent="0.4">
      <c r="A75" s="177"/>
      <c r="B75" s="177"/>
      <c r="C75" s="7"/>
      <c r="D75" s="9" t="s">
        <v>63</v>
      </c>
      <c r="E75" s="3">
        <v>0</v>
      </c>
      <c r="G75" s="8"/>
      <c r="H75" s="11"/>
      <c r="I75" s="12"/>
      <c r="J75" s="153"/>
      <c r="K75" s="13"/>
    </row>
    <row r="76" spans="1:11" ht="15" customHeight="1" x14ac:dyDescent="0.4">
      <c r="A76" s="177"/>
      <c r="B76" s="177"/>
      <c r="C76" s="7"/>
      <c r="D76" s="9" t="s">
        <v>64</v>
      </c>
      <c r="E76" s="3">
        <v>0</v>
      </c>
      <c r="G76" s="8"/>
      <c r="H76" s="11"/>
      <c r="I76" s="12"/>
      <c r="J76" s="153"/>
      <c r="K76" s="13"/>
    </row>
    <row r="77" spans="1:11" ht="15" customHeight="1" x14ac:dyDescent="0.4">
      <c r="A77" s="177"/>
      <c r="B77" s="177"/>
      <c r="C77" s="7"/>
      <c r="D77" s="9" t="s">
        <v>65</v>
      </c>
      <c r="E77" s="3">
        <v>0</v>
      </c>
      <c r="G77" s="8"/>
      <c r="H77" s="11"/>
      <c r="I77" s="12"/>
      <c r="J77" s="153"/>
      <c r="K77" s="13"/>
    </row>
    <row r="78" spans="1:11" ht="15" customHeight="1" x14ac:dyDescent="0.4">
      <c r="A78" s="177"/>
      <c r="B78" s="177"/>
      <c r="C78" s="7"/>
      <c r="D78" s="9" t="s">
        <v>66</v>
      </c>
      <c r="E78" s="3">
        <v>0</v>
      </c>
      <c r="G78" s="8"/>
      <c r="H78" s="11"/>
      <c r="I78" s="12"/>
      <c r="J78" s="153"/>
      <c r="K78" s="13"/>
    </row>
    <row r="79" spans="1:11" ht="15" customHeight="1" x14ac:dyDescent="0.4">
      <c r="A79" s="177"/>
      <c r="B79" s="177"/>
      <c r="C79" s="7"/>
      <c r="D79" s="9" t="s">
        <v>67</v>
      </c>
      <c r="E79" s="3">
        <v>0</v>
      </c>
      <c r="G79" s="8"/>
      <c r="H79" s="11"/>
      <c r="I79" s="12"/>
      <c r="J79" s="153"/>
      <c r="K79" s="13"/>
    </row>
    <row r="80" spans="1:11" ht="15" customHeight="1" x14ac:dyDescent="0.4">
      <c r="A80" s="177"/>
      <c r="B80" s="177"/>
      <c r="C80" s="7"/>
      <c r="D80" s="9" t="s">
        <v>68</v>
      </c>
      <c r="E80" s="3">
        <v>0</v>
      </c>
      <c r="G80" s="8"/>
      <c r="H80" s="11"/>
      <c r="I80" s="12"/>
      <c r="J80" s="153"/>
      <c r="K80" s="13"/>
    </row>
    <row r="81" spans="1:11" ht="15" customHeight="1" x14ac:dyDescent="0.4">
      <c r="A81" s="177"/>
      <c r="B81" s="177"/>
      <c r="C81" s="7"/>
      <c r="D81" s="9" t="s">
        <v>69</v>
      </c>
      <c r="E81" s="3">
        <v>0</v>
      </c>
      <c r="G81" s="8"/>
      <c r="H81" s="11"/>
      <c r="I81" s="12"/>
      <c r="J81" s="153"/>
      <c r="K81" s="13"/>
    </row>
    <row r="82" spans="1:11" ht="15" customHeight="1" x14ac:dyDescent="0.4">
      <c r="A82" s="177"/>
      <c r="B82" s="177"/>
      <c r="C82" s="7"/>
      <c r="D82" s="9" t="s">
        <v>70</v>
      </c>
      <c r="E82" s="3">
        <v>0</v>
      </c>
      <c r="G82" s="8"/>
      <c r="H82" s="11"/>
      <c r="I82" s="12"/>
      <c r="J82" s="153"/>
      <c r="K82" s="13"/>
    </row>
    <row r="83" spans="1:11" ht="15" customHeight="1" x14ac:dyDescent="0.4">
      <c r="A83" s="177"/>
      <c r="B83" s="177"/>
      <c r="C83" s="7">
        <v>74</v>
      </c>
      <c r="D83" s="9" t="s">
        <v>71</v>
      </c>
      <c r="E83" s="3">
        <v>0</v>
      </c>
      <c r="G83" s="8"/>
      <c r="H83" s="11"/>
      <c r="I83" s="12"/>
      <c r="J83" s="153"/>
      <c r="K83" s="13"/>
    </row>
    <row r="84" spans="1:11" ht="15" customHeight="1" x14ac:dyDescent="0.4">
      <c r="A84" s="177"/>
      <c r="B84" s="177"/>
      <c r="C84" s="7" t="s">
        <v>72</v>
      </c>
      <c r="D84" s="9" t="s">
        <v>73</v>
      </c>
      <c r="E84" s="3">
        <v>0</v>
      </c>
      <c r="G84" s="8"/>
      <c r="H84" s="11"/>
      <c r="I84" s="12"/>
      <c r="J84" s="153"/>
      <c r="K84" s="13"/>
    </row>
    <row r="85" spans="1:11" ht="15" customHeight="1" x14ac:dyDescent="0.4">
      <c r="A85" s="177"/>
      <c r="B85" s="177"/>
      <c r="C85" s="7"/>
      <c r="D85" s="9" t="s">
        <v>73</v>
      </c>
      <c r="E85" s="3">
        <v>0</v>
      </c>
      <c r="G85" s="8"/>
      <c r="H85" s="11"/>
      <c r="I85" s="12"/>
      <c r="J85" s="153"/>
      <c r="K85" s="13"/>
    </row>
    <row r="86" spans="1:11" ht="15" customHeight="1" x14ac:dyDescent="0.4">
      <c r="A86" s="177"/>
      <c r="B86" s="177"/>
      <c r="C86" s="7"/>
      <c r="D86" s="9" t="s">
        <v>73</v>
      </c>
      <c r="E86" s="3">
        <v>0</v>
      </c>
      <c r="G86" s="8"/>
      <c r="H86" s="11"/>
      <c r="I86" s="12"/>
      <c r="J86" s="153"/>
      <c r="K86" s="13"/>
    </row>
    <row r="87" spans="1:11" ht="15" customHeight="1" x14ac:dyDescent="0.4">
      <c r="A87" s="177"/>
      <c r="B87" s="177"/>
      <c r="C87" s="7"/>
      <c r="D87" s="9" t="s">
        <v>74</v>
      </c>
      <c r="E87" s="3">
        <v>0</v>
      </c>
      <c r="G87" s="8"/>
      <c r="H87" s="11"/>
      <c r="I87" s="12"/>
      <c r="J87" s="153"/>
      <c r="K87" s="13"/>
    </row>
    <row r="88" spans="1:11" ht="15" customHeight="1" x14ac:dyDescent="0.4">
      <c r="A88" s="177"/>
      <c r="B88" s="177"/>
      <c r="C88" s="7"/>
      <c r="D88" s="9" t="s">
        <v>74</v>
      </c>
      <c r="E88" s="3">
        <v>0</v>
      </c>
      <c r="G88" s="8"/>
      <c r="H88" s="11"/>
      <c r="I88" s="12"/>
      <c r="J88" s="153"/>
      <c r="K88" s="13"/>
    </row>
    <row r="89" spans="1:11" ht="15" customHeight="1" x14ac:dyDescent="0.4">
      <c r="A89" s="177"/>
      <c r="B89" s="177"/>
      <c r="C89" s="7"/>
      <c r="D89" s="9" t="s">
        <v>75</v>
      </c>
      <c r="E89" s="3">
        <v>0</v>
      </c>
      <c r="G89" s="8"/>
      <c r="H89" s="11"/>
      <c r="I89" s="12"/>
      <c r="J89" s="153"/>
      <c r="K89" s="13"/>
    </row>
    <row r="90" spans="1:11" ht="15" customHeight="1" x14ac:dyDescent="0.4">
      <c r="A90" s="177"/>
      <c r="B90" s="177"/>
      <c r="C90" s="7">
        <v>120</v>
      </c>
      <c r="D90" s="9" t="s">
        <v>76</v>
      </c>
      <c r="E90" s="3">
        <v>0</v>
      </c>
      <c r="G90" s="8"/>
      <c r="H90" s="11"/>
      <c r="I90" s="12"/>
      <c r="J90" s="153"/>
      <c r="K90" s="13"/>
    </row>
    <row r="91" spans="1:11" ht="15" customHeight="1" x14ac:dyDescent="0.4">
      <c r="A91" s="177"/>
      <c r="B91" s="177"/>
      <c r="C91" s="7"/>
      <c r="D91" s="9" t="s">
        <v>77</v>
      </c>
      <c r="E91" s="3">
        <v>0</v>
      </c>
      <c r="G91" s="8"/>
      <c r="H91" s="11"/>
      <c r="I91" s="12"/>
      <c r="J91" s="153"/>
      <c r="K91" s="13"/>
    </row>
    <row r="92" spans="1:11" ht="15" customHeight="1" x14ac:dyDescent="0.4">
      <c r="A92" s="177"/>
      <c r="B92" s="177"/>
      <c r="C92" s="7"/>
      <c r="D92" s="9" t="s">
        <v>69</v>
      </c>
      <c r="E92" s="3">
        <v>0</v>
      </c>
      <c r="G92" s="8"/>
      <c r="H92" s="11"/>
      <c r="I92" s="12"/>
      <c r="J92" s="153"/>
      <c r="K92" s="13"/>
    </row>
    <row r="93" spans="1:11" ht="15" customHeight="1" x14ac:dyDescent="0.4">
      <c r="A93" s="177"/>
      <c r="B93" s="177"/>
      <c r="C93" s="7"/>
      <c r="D93" s="9" t="s">
        <v>78</v>
      </c>
      <c r="E93" s="3">
        <v>0</v>
      </c>
      <c r="G93" s="8"/>
      <c r="H93" s="11"/>
      <c r="I93" s="12"/>
      <c r="J93" s="153"/>
      <c r="K93" s="13"/>
    </row>
    <row r="94" spans="1:11" s="1" customFormat="1" ht="15" customHeight="1" x14ac:dyDescent="0.4">
      <c r="A94" s="177"/>
      <c r="B94" s="177"/>
      <c r="C94" s="7">
        <v>180</v>
      </c>
      <c r="D94" s="9" t="s">
        <v>76</v>
      </c>
      <c r="E94" s="1">
        <v>0</v>
      </c>
      <c r="G94" s="8"/>
      <c r="H94" s="11"/>
      <c r="I94" s="12"/>
      <c r="J94" s="153"/>
      <c r="K94" s="13"/>
    </row>
    <row r="95" spans="1:11" s="1" customFormat="1" ht="15" customHeight="1" x14ac:dyDescent="0.4">
      <c r="A95" s="177"/>
      <c r="B95" s="177"/>
      <c r="C95" s="7"/>
      <c r="D95" s="9" t="s">
        <v>79</v>
      </c>
      <c r="E95" s="1">
        <v>0</v>
      </c>
      <c r="G95" s="8"/>
      <c r="H95" s="11"/>
      <c r="I95" s="12"/>
      <c r="J95" s="153"/>
      <c r="K95" s="13"/>
    </row>
    <row r="96" spans="1:11" ht="15" customHeight="1" x14ac:dyDescent="0.4">
      <c r="A96" s="177"/>
      <c r="B96" s="177"/>
      <c r="C96" s="7"/>
      <c r="D96" s="9" t="s">
        <v>69</v>
      </c>
      <c r="E96" s="3">
        <v>0</v>
      </c>
      <c r="G96" s="8"/>
      <c r="H96" s="11"/>
      <c r="I96" s="12"/>
      <c r="J96" s="153"/>
      <c r="K96" s="13"/>
    </row>
    <row r="97" spans="1:11" ht="15" customHeight="1" x14ac:dyDescent="0.4">
      <c r="A97" s="177"/>
      <c r="B97" s="177"/>
      <c r="C97" s="7"/>
      <c r="D97" s="9" t="s">
        <v>80</v>
      </c>
      <c r="E97" s="3">
        <v>0</v>
      </c>
      <c r="G97" s="8"/>
      <c r="H97" s="11"/>
      <c r="I97" s="12"/>
      <c r="J97" s="153"/>
      <c r="K97" s="13"/>
    </row>
    <row r="98" spans="1:11" ht="15" customHeight="1" x14ac:dyDescent="0.4">
      <c r="A98" s="177"/>
      <c r="B98" s="177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3"/>
      <c r="K98" s="13"/>
    </row>
    <row r="99" spans="1:11" ht="15" customHeight="1" x14ac:dyDescent="0.4">
      <c r="A99" s="177"/>
      <c r="B99" s="177"/>
      <c r="C99" s="7"/>
      <c r="D99" s="9" t="s">
        <v>83</v>
      </c>
      <c r="E99" s="3">
        <v>0</v>
      </c>
      <c r="G99" s="8"/>
      <c r="H99" s="11"/>
      <c r="I99" s="12"/>
      <c r="J99" s="153"/>
      <c r="K99" s="13"/>
    </row>
    <row r="100" spans="1:11" ht="15" customHeight="1" x14ac:dyDescent="0.4">
      <c r="A100" s="177"/>
      <c r="B100" s="177"/>
      <c r="C100" s="7">
        <v>180</v>
      </c>
      <c r="D100" s="9" t="s">
        <v>82</v>
      </c>
      <c r="E100" s="3">
        <v>0</v>
      </c>
      <c r="G100" s="8"/>
      <c r="H100" s="11"/>
      <c r="I100" s="12"/>
      <c r="J100" s="153"/>
      <c r="K100" s="13"/>
    </row>
    <row r="101" spans="1:11" ht="15" customHeight="1" x14ac:dyDescent="0.4">
      <c r="A101" s="177"/>
      <c r="B101" s="177"/>
      <c r="C101" s="7"/>
      <c r="D101" s="9" t="s">
        <v>84</v>
      </c>
      <c r="E101" s="3">
        <v>0</v>
      </c>
      <c r="G101" s="8"/>
      <c r="H101" s="11"/>
      <c r="I101" s="12"/>
      <c r="J101" s="153"/>
      <c r="K101" s="13"/>
    </row>
    <row r="102" spans="1:11" s="1" customFormat="1" ht="15" customHeight="1" x14ac:dyDescent="0.4">
      <c r="A102" s="178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3"/>
      <c r="K102" s="13"/>
    </row>
    <row r="103" spans="1:11" s="1" customFormat="1" ht="15" customHeight="1" x14ac:dyDescent="0.4">
      <c r="A103" s="177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3"/>
      <c r="K103" s="13"/>
    </row>
    <row r="104" spans="1:11" s="1" customFormat="1" ht="15" customHeight="1" x14ac:dyDescent="0.4">
      <c r="A104" s="177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3"/>
      <c r="K104" s="13"/>
    </row>
    <row r="105" spans="1:11" s="1" customFormat="1" ht="15" customHeight="1" x14ac:dyDescent="0.4">
      <c r="A105" s="177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3"/>
      <c r="K105" s="13"/>
    </row>
    <row r="106" spans="1:11" s="1" customFormat="1" ht="15" customHeight="1" x14ac:dyDescent="0.4">
      <c r="A106" s="177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3"/>
      <c r="K106" s="13"/>
    </row>
    <row r="107" spans="1:11" s="1" customFormat="1" ht="15" customHeight="1" x14ac:dyDescent="0.4">
      <c r="A107" s="177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3"/>
      <c r="K107" s="13"/>
    </row>
    <row r="108" spans="1:11" s="1" customFormat="1" ht="15" customHeight="1" x14ac:dyDescent="0.4">
      <c r="A108" s="177"/>
      <c r="B108" s="181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3"/>
      <c r="K108" s="13"/>
    </row>
    <row r="109" spans="1:11" s="1" customFormat="1" ht="15" customHeight="1" x14ac:dyDescent="0.4">
      <c r="A109" s="177"/>
      <c r="B109" s="176"/>
      <c r="C109" s="16"/>
      <c r="D109" s="29" t="s">
        <v>100</v>
      </c>
      <c r="E109" s="1">
        <v>0</v>
      </c>
      <c r="G109" s="8"/>
      <c r="H109" s="11"/>
      <c r="I109" s="12"/>
      <c r="J109" s="153"/>
      <c r="K109" s="13"/>
    </row>
    <row r="110" spans="1:11" s="1" customFormat="1" ht="15" customHeight="1" x14ac:dyDescent="0.4">
      <c r="A110" s="177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3"/>
      <c r="K110" s="13"/>
    </row>
    <row r="111" spans="1:11" s="1" customFormat="1" ht="15" customHeight="1" x14ac:dyDescent="0.4">
      <c r="A111" s="177"/>
      <c r="B111" s="177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3"/>
      <c r="K111" s="13"/>
    </row>
    <row r="112" spans="1:11" s="1" customFormat="1" ht="15" customHeight="1" x14ac:dyDescent="0.4">
      <c r="A112" s="177"/>
      <c r="B112" s="177"/>
      <c r="C112" s="27"/>
      <c r="D112" s="28" t="s">
        <v>105</v>
      </c>
      <c r="E112" s="1">
        <v>0</v>
      </c>
      <c r="G112" s="8"/>
      <c r="H112" s="11"/>
      <c r="I112" s="12"/>
      <c r="J112" s="153"/>
      <c r="K112" s="13"/>
    </row>
    <row r="113" spans="1:11" s="1" customFormat="1" ht="15" customHeight="1" x14ac:dyDescent="0.4">
      <c r="A113" s="177"/>
      <c r="B113" s="177"/>
      <c r="C113" s="27"/>
      <c r="D113" s="28" t="s">
        <v>106</v>
      </c>
      <c r="E113" s="1">
        <v>0</v>
      </c>
      <c r="G113" s="8"/>
      <c r="H113" s="11"/>
      <c r="I113" s="12"/>
      <c r="J113" s="153"/>
      <c r="K113" s="13"/>
    </row>
    <row r="114" spans="1:11" s="1" customFormat="1" ht="15" customHeight="1" x14ac:dyDescent="0.4">
      <c r="A114" s="177"/>
      <c r="B114" s="177"/>
      <c r="C114" s="27"/>
      <c r="D114" s="28" t="s">
        <v>107</v>
      </c>
      <c r="E114" s="1">
        <v>0</v>
      </c>
      <c r="G114" s="8"/>
      <c r="H114" s="11"/>
      <c r="I114" s="12"/>
      <c r="J114" s="153"/>
      <c r="K114" s="13"/>
    </row>
    <row r="115" spans="1:11" s="1" customFormat="1" ht="15" customHeight="1" x14ac:dyDescent="0.4">
      <c r="A115" s="177"/>
      <c r="B115" s="177"/>
      <c r="C115" s="27"/>
      <c r="D115" s="28" t="s">
        <v>108</v>
      </c>
      <c r="E115" s="1">
        <v>0</v>
      </c>
      <c r="G115" s="8"/>
      <c r="H115" s="11"/>
      <c r="I115" s="12"/>
      <c r="J115" s="153"/>
      <c r="K115" s="13"/>
    </row>
    <row r="116" spans="1:11" s="1" customFormat="1" ht="15" customHeight="1" x14ac:dyDescent="0.4">
      <c r="A116" s="177"/>
      <c r="B116" s="181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3"/>
      <c r="K116" s="13"/>
    </row>
    <row r="117" spans="1:11" s="1" customFormat="1" ht="15" customHeight="1" x14ac:dyDescent="0.4">
      <c r="A117" s="177"/>
      <c r="B117" s="175"/>
      <c r="C117" s="27"/>
      <c r="D117" s="28" t="s">
        <v>111</v>
      </c>
      <c r="E117" s="1">
        <v>0</v>
      </c>
      <c r="G117" s="8"/>
      <c r="H117" s="11"/>
      <c r="I117" s="12"/>
      <c r="J117" s="153"/>
      <c r="K117" s="13"/>
    </row>
    <row r="118" spans="1:11" s="1" customFormat="1" ht="15" customHeight="1" x14ac:dyDescent="0.4">
      <c r="A118" s="177"/>
      <c r="B118" s="175"/>
      <c r="C118" s="27"/>
      <c r="D118" s="28" t="s">
        <v>112</v>
      </c>
      <c r="E118" s="1">
        <v>0</v>
      </c>
      <c r="G118" s="8"/>
      <c r="H118" s="11"/>
      <c r="I118" s="12"/>
      <c r="J118" s="153"/>
      <c r="K118" s="13"/>
    </row>
    <row r="119" spans="1:11" s="1" customFormat="1" ht="15" customHeight="1" x14ac:dyDescent="0.4">
      <c r="A119" s="177"/>
      <c r="B119" s="175"/>
      <c r="C119" s="27"/>
      <c r="D119" s="28" t="s">
        <v>113</v>
      </c>
      <c r="E119" s="1">
        <v>0</v>
      </c>
      <c r="G119" s="8"/>
      <c r="H119" s="11"/>
      <c r="I119" s="12"/>
      <c r="J119" s="153"/>
      <c r="K119" s="13"/>
    </row>
    <row r="120" spans="1:11" s="1" customFormat="1" ht="15" customHeight="1" x14ac:dyDescent="0.4">
      <c r="A120" s="177"/>
      <c r="B120" s="175"/>
      <c r="C120" s="27"/>
      <c r="D120" s="28" t="s">
        <v>114</v>
      </c>
      <c r="E120" s="1">
        <v>0</v>
      </c>
      <c r="G120" s="8"/>
      <c r="H120" s="11"/>
      <c r="I120" s="12"/>
      <c r="J120" s="153"/>
      <c r="K120" s="13"/>
    </row>
    <row r="121" spans="1:11" s="1" customFormat="1" ht="15" customHeight="1" x14ac:dyDescent="0.4">
      <c r="A121" s="177"/>
      <c r="B121" s="176"/>
      <c r="C121" s="27"/>
      <c r="D121" s="28" t="s">
        <v>115</v>
      </c>
      <c r="E121" s="1">
        <v>0</v>
      </c>
      <c r="G121" s="8"/>
      <c r="H121" s="11"/>
      <c r="I121" s="12"/>
      <c r="J121" s="153"/>
      <c r="K121" s="13"/>
    </row>
    <row r="122" spans="1:11" s="1" customFormat="1" ht="15" customHeight="1" x14ac:dyDescent="0.4">
      <c r="A122" s="177"/>
      <c r="B122" s="177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3"/>
      <c r="K122" s="13"/>
    </row>
    <row r="123" spans="1:11" s="1" customFormat="1" ht="15" customHeight="1" x14ac:dyDescent="0.4">
      <c r="A123" s="177"/>
      <c r="B123" s="177"/>
      <c r="C123" s="27"/>
      <c r="D123" s="28" t="s">
        <v>118</v>
      </c>
      <c r="E123" s="1">
        <v>0</v>
      </c>
      <c r="G123" s="8"/>
      <c r="H123" s="11"/>
      <c r="I123" s="12"/>
      <c r="J123" s="153"/>
      <c r="K123" s="13"/>
    </row>
    <row r="124" spans="1:11" s="1" customFormat="1" ht="15" customHeight="1" x14ac:dyDescent="0.4">
      <c r="A124" s="177"/>
      <c r="B124" s="177"/>
      <c r="C124" s="27"/>
      <c r="D124" s="28" t="s">
        <v>119</v>
      </c>
      <c r="E124" s="1">
        <v>0</v>
      </c>
      <c r="G124" s="8"/>
      <c r="H124" s="11"/>
      <c r="I124" s="12"/>
      <c r="J124" s="153"/>
      <c r="K124" s="13"/>
    </row>
    <row r="125" spans="1:11" s="1" customFormat="1" ht="15" customHeight="1" x14ac:dyDescent="0.4">
      <c r="A125" s="177"/>
      <c r="B125" s="177"/>
      <c r="C125" s="27"/>
      <c r="D125" s="28" t="s">
        <v>120</v>
      </c>
      <c r="E125" s="1">
        <v>0</v>
      </c>
      <c r="G125" s="8"/>
      <c r="H125" s="11"/>
      <c r="I125" s="12"/>
      <c r="J125" s="153"/>
      <c r="K125" s="13"/>
    </row>
    <row r="126" spans="1:11" s="1" customFormat="1" ht="15" customHeight="1" x14ac:dyDescent="0.4">
      <c r="A126" s="177"/>
      <c r="B126" s="177"/>
      <c r="C126" s="27"/>
      <c r="D126" s="28" t="s">
        <v>121</v>
      </c>
      <c r="E126" s="1">
        <v>0</v>
      </c>
      <c r="G126" s="8"/>
      <c r="H126" s="11"/>
      <c r="I126" s="12"/>
      <c r="J126" s="153"/>
      <c r="K126" s="13"/>
    </row>
    <row r="127" spans="1:11" s="1" customFormat="1" ht="15" customHeight="1" x14ac:dyDescent="0.4">
      <c r="A127" s="177"/>
      <c r="B127" s="177"/>
      <c r="C127" s="27"/>
      <c r="D127" s="28" t="s">
        <v>122</v>
      </c>
      <c r="E127" s="1">
        <v>0</v>
      </c>
      <c r="G127" s="8"/>
      <c r="H127" s="11"/>
      <c r="I127" s="12"/>
      <c r="J127" s="153"/>
      <c r="K127" s="13"/>
    </row>
    <row r="128" spans="1:11" s="1" customFormat="1" ht="15" customHeight="1" x14ac:dyDescent="0.4">
      <c r="A128" s="177"/>
      <c r="B128" s="181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3"/>
      <c r="K128" s="13"/>
    </row>
    <row r="129" spans="1:11" s="1" customFormat="1" ht="15" customHeight="1" x14ac:dyDescent="0.4">
      <c r="A129" s="177"/>
      <c r="B129" s="176"/>
      <c r="C129" s="27"/>
      <c r="D129" s="28" t="s">
        <v>124</v>
      </c>
      <c r="E129" s="1">
        <v>0</v>
      </c>
      <c r="G129" s="8"/>
      <c r="H129" s="11"/>
      <c r="I129" s="12"/>
      <c r="J129" s="153"/>
      <c r="K129" s="13"/>
    </row>
    <row r="130" spans="1:11" s="1" customFormat="1" ht="15" customHeight="1" x14ac:dyDescent="0.4">
      <c r="A130" s="177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3"/>
      <c r="K130" s="13"/>
    </row>
    <row r="131" spans="1:11" s="1" customFormat="1" ht="15" customHeight="1" x14ac:dyDescent="0.4">
      <c r="A131" s="177"/>
      <c r="B131" s="181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3"/>
      <c r="K131" s="13"/>
    </row>
    <row r="132" spans="1:11" s="1" customFormat="1" ht="15" customHeight="1" x14ac:dyDescent="0.4">
      <c r="A132" s="177"/>
      <c r="B132" s="175"/>
      <c r="C132" s="27"/>
      <c r="D132" s="28" t="s">
        <v>128</v>
      </c>
      <c r="E132" s="1">
        <v>0</v>
      </c>
      <c r="G132" s="8"/>
      <c r="H132" s="11"/>
      <c r="I132" s="12"/>
      <c r="J132" s="153"/>
      <c r="K132" s="13"/>
    </row>
    <row r="133" spans="1:11" s="1" customFormat="1" ht="15" customHeight="1" x14ac:dyDescent="0.4">
      <c r="A133" s="177"/>
      <c r="B133" s="175"/>
      <c r="C133" s="27"/>
      <c r="D133" s="28" t="s">
        <v>129</v>
      </c>
      <c r="E133" s="1">
        <v>0</v>
      </c>
      <c r="G133" s="8"/>
      <c r="H133" s="11"/>
      <c r="I133" s="12"/>
      <c r="J133" s="153"/>
      <c r="K133" s="13"/>
    </row>
    <row r="134" spans="1:11" s="1" customFormat="1" ht="15" customHeight="1" x14ac:dyDescent="0.4">
      <c r="A134" s="177"/>
      <c r="B134" s="176"/>
      <c r="C134" s="27"/>
      <c r="D134" s="28" t="s">
        <v>130</v>
      </c>
      <c r="E134" s="1">
        <v>0</v>
      </c>
      <c r="G134" s="8"/>
      <c r="H134" s="11"/>
      <c r="I134" s="12"/>
      <c r="J134" s="153"/>
      <c r="K134" s="13"/>
    </row>
    <row r="135" spans="1:11" s="1" customFormat="1" ht="15" customHeight="1" x14ac:dyDescent="0.4">
      <c r="A135" s="177"/>
      <c r="B135" s="177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3"/>
      <c r="K135" s="13"/>
    </row>
    <row r="136" spans="1:11" s="1" customFormat="1" ht="15" customHeight="1" x14ac:dyDescent="0.4">
      <c r="A136" s="177"/>
      <c r="B136" s="177"/>
      <c r="C136" s="27"/>
      <c r="D136" s="28" t="s">
        <v>132</v>
      </c>
      <c r="E136" s="1">
        <v>0</v>
      </c>
      <c r="G136" s="8"/>
      <c r="H136" s="11"/>
      <c r="I136" s="12"/>
      <c r="J136" s="153"/>
      <c r="K136" s="13"/>
    </row>
    <row r="137" spans="1:11" s="1" customFormat="1" ht="15" customHeight="1" x14ac:dyDescent="0.4">
      <c r="A137" s="177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3"/>
      <c r="K137" s="13"/>
    </row>
    <row r="138" spans="1:11" s="1" customFormat="1" ht="15" customHeight="1" x14ac:dyDescent="0.4">
      <c r="A138" s="177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3"/>
      <c r="K138" s="13"/>
    </row>
    <row r="139" spans="1:11" s="1" customFormat="1" ht="15" customHeight="1" x14ac:dyDescent="0.4">
      <c r="A139" s="177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3"/>
      <c r="K139" s="13"/>
    </row>
    <row r="140" spans="1:11" s="1" customFormat="1" ht="15" customHeight="1" x14ac:dyDescent="0.4">
      <c r="A140" s="177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3"/>
      <c r="K140" s="13"/>
    </row>
    <row r="141" spans="1:11" s="1" customFormat="1" ht="15" customHeight="1" x14ac:dyDescent="0.4">
      <c r="A141" s="177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3"/>
      <c r="K141" s="13"/>
    </row>
    <row r="142" spans="1:11" s="1" customFormat="1" ht="15" customHeight="1" x14ac:dyDescent="0.4">
      <c r="A142" s="177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3"/>
      <c r="K142" s="13"/>
    </row>
    <row r="143" spans="1:11" s="1" customFormat="1" ht="15" customHeight="1" x14ac:dyDescent="0.4">
      <c r="A143" s="177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3"/>
      <c r="K143" s="13"/>
    </row>
    <row r="144" spans="1:11" s="1" customFormat="1" ht="15" customHeight="1" x14ac:dyDescent="0.4">
      <c r="A144" s="177"/>
      <c r="B144" s="181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3"/>
      <c r="K144" s="13"/>
    </row>
    <row r="145" spans="1:11" s="1" customFormat="1" ht="15" customHeight="1" x14ac:dyDescent="0.4">
      <c r="A145" s="177"/>
      <c r="B145" s="176"/>
      <c r="C145" s="27"/>
      <c r="D145" s="28" t="s">
        <v>148</v>
      </c>
      <c r="E145" s="1">
        <v>0</v>
      </c>
      <c r="G145" s="8"/>
      <c r="H145" s="11"/>
      <c r="I145" s="12"/>
      <c r="J145" s="153"/>
      <c r="K145" s="13"/>
    </row>
    <row r="146" spans="1:11" s="1" customFormat="1" ht="15" customHeight="1" x14ac:dyDescent="0.4">
      <c r="A146" s="177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3"/>
      <c r="K146" s="13"/>
    </row>
    <row r="147" spans="1:11" s="1" customFormat="1" ht="15" customHeight="1" x14ac:dyDescent="0.4">
      <c r="A147" s="177"/>
      <c r="B147" s="181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3"/>
      <c r="K147" s="13"/>
    </row>
    <row r="148" spans="1:11" s="1" customFormat="1" ht="15" customHeight="1" x14ac:dyDescent="0.4">
      <c r="A148" s="177"/>
      <c r="B148" s="175"/>
      <c r="C148" s="27"/>
      <c r="D148" s="28" t="s">
        <v>152</v>
      </c>
      <c r="E148" s="1">
        <v>0</v>
      </c>
      <c r="G148" s="8"/>
      <c r="H148" s="11"/>
      <c r="I148" s="12"/>
      <c r="J148" s="153"/>
      <c r="K148" s="13"/>
    </row>
    <row r="149" spans="1:11" s="1" customFormat="1" ht="15" customHeight="1" x14ac:dyDescent="0.4">
      <c r="A149" s="177"/>
      <c r="B149" s="175"/>
      <c r="C149" s="27"/>
      <c r="D149" s="28" t="s">
        <v>153</v>
      </c>
      <c r="E149" s="1">
        <v>0</v>
      </c>
      <c r="G149" s="8"/>
      <c r="H149" s="11"/>
      <c r="I149" s="12"/>
      <c r="J149" s="153"/>
      <c r="K149" s="13"/>
    </row>
    <row r="150" spans="1:11" s="1" customFormat="1" ht="15" customHeight="1" x14ac:dyDescent="0.4">
      <c r="A150" s="177"/>
      <c r="B150" s="175"/>
      <c r="C150" s="27"/>
      <c r="D150" s="28" t="s">
        <v>154</v>
      </c>
      <c r="E150" s="1">
        <v>0</v>
      </c>
      <c r="G150" s="8"/>
      <c r="H150" s="11"/>
      <c r="I150" s="12"/>
      <c r="J150" s="153"/>
      <c r="K150" s="13"/>
    </row>
    <row r="151" spans="1:11" s="1" customFormat="1" ht="15" customHeight="1" x14ac:dyDescent="0.4">
      <c r="A151" s="177"/>
      <c r="B151" s="175"/>
      <c r="C151" s="31"/>
      <c r="D151" s="32" t="s">
        <v>155</v>
      </c>
      <c r="E151" s="1">
        <v>0</v>
      </c>
      <c r="G151" s="8"/>
      <c r="H151" s="11"/>
      <c r="I151" s="12"/>
      <c r="J151" s="153"/>
      <c r="K151" s="13"/>
    </row>
    <row r="152" spans="1:11" s="1" customFormat="1" ht="15" customHeight="1" x14ac:dyDescent="0.4">
      <c r="A152" s="177"/>
      <c r="B152" s="181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3"/>
      <c r="K152" s="13"/>
    </row>
    <row r="153" spans="1:11" s="1" customFormat="1" ht="15" customHeight="1" x14ac:dyDescent="0.4">
      <c r="A153" s="177"/>
      <c r="B153" s="175"/>
      <c r="C153" s="27"/>
      <c r="D153" s="28" t="s">
        <v>157</v>
      </c>
      <c r="E153" s="1">
        <v>0</v>
      </c>
      <c r="G153" s="8"/>
      <c r="H153" s="11"/>
      <c r="I153" s="12"/>
      <c r="J153" s="153"/>
      <c r="K153" s="13"/>
    </row>
    <row r="154" spans="1:11" s="1" customFormat="1" ht="15" customHeight="1" x14ac:dyDescent="0.4">
      <c r="A154" s="177"/>
      <c r="B154" s="175"/>
      <c r="C154" s="27"/>
      <c r="D154" s="28" t="s">
        <v>158</v>
      </c>
      <c r="E154" s="1">
        <v>0</v>
      </c>
      <c r="G154" s="8"/>
      <c r="H154" s="11"/>
      <c r="I154" s="12"/>
      <c r="J154" s="153"/>
      <c r="K154" s="13"/>
    </row>
    <row r="155" spans="1:11" s="1" customFormat="1" ht="15" customHeight="1" x14ac:dyDescent="0.4">
      <c r="A155" s="177"/>
      <c r="B155" s="175"/>
      <c r="C155" s="27"/>
      <c r="D155" s="28" t="s">
        <v>159</v>
      </c>
      <c r="E155" s="1">
        <v>0</v>
      </c>
      <c r="G155" s="8"/>
      <c r="H155" s="11"/>
      <c r="I155" s="12"/>
      <c r="J155" s="153"/>
      <c r="K155" s="13"/>
    </row>
    <row r="156" spans="1:11" s="1" customFormat="1" ht="15" customHeight="1" x14ac:dyDescent="0.4">
      <c r="A156" s="177"/>
      <c r="B156" s="175"/>
      <c r="C156" s="31"/>
      <c r="D156" s="32" t="s">
        <v>160</v>
      </c>
      <c r="E156" s="1">
        <v>0</v>
      </c>
      <c r="G156" s="8"/>
      <c r="H156" s="11"/>
      <c r="I156" s="12"/>
      <c r="J156" s="153"/>
      <c r="K156" s="13"/>
    </row>
    <row r="157" spans="1:11" s="1" customFormat="1" ht="15" customHeight="1" x14ac:dyDescent="0.4">
      <c r="A157" s="177"/>
      <c r="B157" s="177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3"/>
      <c r="K157" s="13"/>
    </row>
    <row r="158" spans="1:11" s="1" customFormat="1" ht="15" customHeight="1" x14ac:dyDescent="0.4">
      <c r="A158" s="177"/>
      <c r="B158" s="177"/>
      <c r="C158" s="27"/>
      <c r="D158" s="28" t="s">
        <v>162</v>
      </c>
      <c r="E158" s="1">
        <v>0</v>
      </c>
      <c r="G158" s="8"/>
      <c r="H158" s="11"/>
      <c r="I158" s="12"/>
      <c r="J158" s="153"/>
      <c r="K158" s="13"/>
    </row>
    <row r="159" spans="1:11" s="1" customFormat="1" ht="15" customHeight="1" x14ac:dyDescent="0.4">
      <c r="A159" s="177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3"/>
      <c r="K159" s="13"/>
    </row>
    <row r="160" spans="1:11" s="1" customFormat="1" ht="15" customHeight="1" x14ac:dyDescent="0.4">
      <c r="A160" s="177"/>
      <c r="B160" s="181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3"/>
      <c r="K160" s="13"/>
    </row>
    <row r="161" spans="1:11" s="1" customFormat="1" ht="15" customHeight="1" x14ac:dyDescent="0.4">
      <c r="A161" s="177"/>
      <c r="B161" s="176"/>
      <c r="C161" s="27"/>
      <c r="D161" s="28" t="s">
        <v>165</v>
      </c>
      <c r="E161" s="1">
        <v>0</v>
      </c>
      <c r="G161" s="8"/>
      <c r="H161" s="11"/>
      <c r="I161" s="12"/>
      <c r="J161" s="153"/>
      <c r="K161" s="13"/>
    </row>
    <row r="162" spans="1:11" s="1" customFormat="1" ht="15" customHeight="1" x14ac:dyDescent="0.4">
      <c r="A162" s="177"/>
      <c r="B162" s="181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3"/>
      <c r="K162" s="13"/>
    </row>
    <row r="163" spans="1:11" s="1" customFormat="1" ht="15" customHeight="1" x14ac:dyDescent="0.4">
      <c r="A163" s="177"/>
      <c r="B163" s="175"/>
      <c r="C163" s="27"/>
      <c r="D163" s="28" t="s">
        <v>167</v>
      </c>
      <c r="E163" s="1">
        <v>0</v>
      </c>
      <c r="G163" s="8"/>
      <c r="H163" s="11"/>
      <c r="I163" s="12"/>
      <c r="J163" s="153"/>
      <c r="K163" s="13"/>
    </row>
    <row r="164" spans="1:11" s="1" customFormat="1" ht="15" customHeight="1" x14ac:dyDescent="0.4">
      <c r="A164" s="177"/>
      <c r="B164" s="176"/>
      <c r="C164" s="27"/>
      <c r="D164" s="28" t="s">
        <v>168</v>
      </c>
      <c r="E164" s="1">
        <v>0</v>
      </c>
      <c r="G164" s="8"/>
      <c r="H164" s="11"/>
      <c r="I164" s="12"/>
      <c r="J164" s="153"/>
      <c r="K164" s="13"/>
    </row>
    <row r="165" spans="1:11" s="1" customFormat="1" ht="15" customHeight="1" x14ac:dyDescent="0.4">
      <c r="A165" s="177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3"/>
      <c r="K165" s="13"/>
    </row>
    <row r="166" spans="1:11" s="1" customFormat="1" ht="15" customHeight="1" x14ac:dyDescent="0.4">
      <c r="A166" s="177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3"/>
      <c r="K166" s="13"/>
    </row>
    <row r="167" spans="1:11" s="1" customFormat="1" ht="15" customHeight="1" x14ac:dyDescent="0.4">
      <c r="A167" s="177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3"/>
      <c r="K167" s="13"/>
    </row>
    <row r="168" spans="1:11" s="1" customFormat="1" ht="15" customHeight="1" x14ac:dyDescent="0.4">
      <c r="A168" s="177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3"/>
      <c r="K168" s="13"/>
    </row>
    <row r="169" spans="1:11" s="1" customFormat="1" ht="15" customHeight="1" x14ac:dyDescent="0.4">
      <c r="A169" s="177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3"/>
      <c r="K169" s="13"/>
    </row>
    <row r="170" spans="1:11" s="1" customFormat="1" ht="15" customHeight="1" x14ac:dyDescent="0.4">
      <c r="A170" s="177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3"/>
      <c r="K170" s="13"/>
    </row>
    <row r="171" spans="1:11" s="1" customFormat="1" ht="15" customHeight="1" x14ac:dyDescent="0.4">
      <c r="A171" s="177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3"/>
      <c r="K171" s="13"/>
    </row>
    <row r="172" spans="1:11" s="1" customFormat="1" ht="15" customHeight="1" x14ac:dyDescent="0.4">
      <c r="A172" s="177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3"/>
      <c r="K172" s="13"/>
    </row>
    <row r="173" spans="1:11" s="1" customFormat="1" ht="15" customHeight="1" x14ac:dyDescent="0.4">
      <c r="A173" s="177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3"/>
      <c r="K173" s="13"/>
    </row>
    <row r="174" spans="1:11" s="1" customFormat="1" ht="15" customHeight="1" x14ac:dyDescent="0.4">
      <c r="A174" s="177"/>
      <c r="B174" s="181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3"/>
      <c r="K174" s="13"/>
    </row>
    <row r="175" spans="1:11" s="1" customFormat="1" ht="15" customHeight="1" x14ac:dyDescent="0.4">
      <c r="A175" s="177"/>
      <c r="B175" s="176"/>
      <c r="C175" s="27"/>
      <c r="D175" s="28" t="s">
        <v>186</v>
      </c>
      <c r="E175" s="1">
        <v>0</v>
      </c>
      <c r="G175" s="8"/>
      <c r="H175" s="11"/>
      <c r="I175" s="12"/>
      <c r="J175" s="153"/>
      <c r="K175" s="13"/>
    </row>
    <row r="176" spans="1:11" s="1" customFormat="1" ht="15" customHeight="1" x14ac:dyDescent="0.4">
      <c r="A176" s="177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3"/>
      <c r="K176" s="13"/>
    </row>
    <row r="177" spans="1:11" s="1" customFormat="1" ht="15" customHeight="1" x14ac:dyDescent="0.4">
      <c r="A177" s="177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3"/>
      <c r="K177" s="13"/>
    </row>
    <row r="178" spans="1:11" s="1" customFormat="1" ht="15" customHeight="1" x14ac:dyDescent="0.4">
      <c r="A178" s="177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3"/>
      <c r="K178" s="13"/>
    </row>
    <row r="179" spans="1:11" s="1" customFormat="1" ht="15" customHeight="1" x14ac:dyDescent="0.4">
      <c r="A179" s="177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3"/>
      <c r="K179" s="13"/>
    </row>
    <row r="180" spans="1:11" s="1" customFormat="1" ht="15" customHeight="1" x14ac:dyDescent="0.4">
      <c r="A180" s="177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3"/>
      <c r="K180" s="13"/>
    </row>
    <row r="181" spans="1:11" s="1" customFormat="1" ht="15" customHeight="1" x14ac:dyDescent="0.4">
      <c r="A181" s="177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3"/>
      <c r="K181" s="13"/>
    </row>
    <row r="182" spans="1:11" s="1" customFormat="1" ht="15" customHeight="1" x14ac:dyDescent="0.4">
      <c r="A182" s="177"/>
      <c r="B182" s="181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3"/>
      <c r="K182" s="13"/>
    </row>
    <row r="183" spans="1:11" s="1" customFormat="1" ht="15" customHeight="1" x14ac:dyDescent="0.4">
      <c r="A183" s="177"/>
      <c r="B183" s="175"/>
      <c r="C183" s="27"/>
      <c r="D183" s="28" t="s">
        <v>198</v>
      </c>
      <c r="E183" s="1">
        <v>0</v>
      </c>
      <c r="G183" s="8"/>
      <c r="H183" s="11"/>
      <c r="I183" s="12"/>
      <c r="J183" s="153"/>
      <c r="K183" s="13"/>
    </row>
    <row r="184" spans="1:11" s="1" customFormat="1" ht="15" customHeight="1" x14ac:dyDescent="0.4">
      <c r="A184" s="177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3"/>
      <c r="K184" s="13"/>
    </row>
    <row r="185" spans="1:11" s="1" customFormat="1" ht="15" customHeight="1" x14ac:dyDescent="0.4">
      <c r="A185" s="177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3"/>
      <c r="K185" s="13"/>
    </row>
    <row r="186" spans="1:11" s="1" customFormat="1" ht="15" customHeight="1" x14ac:dyDescent="0.4">
      <c r="A186" s="177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3"/>
      <c r="K186" s="13"/>
    </row>
    <row r="187" spans="1:11" s="1" customFormat="1" ht="15" customHeight="1" x14ac:dyDescent="0.4">
      <c r="A187" s="177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3"/>
      <c r="K187" s="13"/>
    </row>
    <row r="188" spans="1:11" s="1" customFormat="1" ht="15" customHeight="1" x14ac:dyDescent="0.4">
      <c r="A188" s="177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3"/>
      <c r="K188" s="13"/>
    </row>
    <row r="189" spans="1:11" s="1" customFormat="1" ht="15" customHeight="1" x14ac:dyDescent="0.4">
      <c r="A189" s="177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3"/>
      <c r="K189" s="13"/>
    </row>
    <row r="190" spans="1:11" ht="15" customHeight="1" x14ac:dyDescent="0.4">
      <c r="A190" s="178" t="s">
        <v>211</v>
      </c>
      <c r="B190" s="177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2">
        <v>100</v>
      </c>
      <c r="K190" s="13"/>
    </row>
    <row r="191" spans="1:11" ht="15" customHeight="1" x14ac:dyDescent="0.4">
      <c r="A191" s="178"/>
      <c r="B191" s="177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2">
        <v>127</v>
      </c>
      <c r="K191" s="13"/>
    </row>
    <row r="192" spans="1:11" ht="15" customHeight="1" x14ac:dyDescent="0.4">
      <c r="A192" s="178"/>
      <c r="B192" s="177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2">
        <v>157</v>
      </c>
      <c r="K192" s="13"/>
    </row>
    <row r="193" spans="1:11" ht="15" customHeight="1" x14ac:dyDescent="0.4">
      <c r="A193" s="178"/>
      <c r="B193" s="177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2">
        <v>182</v>
      </c>
      <c r="K193" s="13"/>
    </row>
    <row r="194" spans="1:11" ht="15" customHeight="1" x14ac:dyDescent="0.4">
      <c r="A194" s="178"/>
      <c r="B194" s="177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2">
        <v>100</v>
      </c>
      <c r="K194" s="13"/>
    </row>
    <row r="195" spans="1:11" ht="15" customHeight="1" x14ac:dyDescent="0.4">
      <c r="A195" s="178"/>
      <c r="B195" s="177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2">
        <v>127</v>
      </c>
      <c r="K195" s="13"/>
    </row>
    <row r="196" spans="1:11" ht="15" customHeight="1" x14ac:dyDescent="0.4">
      <c r="A196" s="178"/>
      <c r="B196" s="177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2">
        <v>157</v>
      </c>
      <c r="K196" s="13"/>
    </row>
    <row r="197" spans="1:11" ht="15" customHeight="1" x14ac:dyDescent="0.4">
      <c r="A197" s="178"/>
      <c r="B197" s="177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2">
        <v>182</v>
      </c>
      <c r="K197" s="13"/>
    </row>
    <row r="198" spans="1:11" ht="15" customHeight="1" x14ac:dyDescent="0.4">
      <c r="A198" s="181" t="s">
        <v>212</v>
      </c>
      <c r="B198" s="181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3">
        <v>0</v>
      </c>
      <c r="K198" s="13"/>
    </row>
    <row r="199" spans="1:11" ht="15" customHeight="1" x14ac:dyDescent="0.4">
      <c r="A199" s="175"/>
      <c r="B199" s="176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3"/>
      <c r="K199" s="13"/>
    </row>
    <row r="200" spans="1:11" ht="15" customHeight="1" x14ac:dyDescent="0.4">
      <c r="A200" s="175"/>
      <c r="B200" s="181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3"/>
      <c r="K200" s="13"/>
    </row>
    <row r="201" spans="1:11" ht="15" customHeight="1" x14ac:dyDescent="0.4">
      <c r="A201" s="176"/>
      <c r="B201" s="176"/>
      <c r="C201" s="33"/>
      <c r="D201" s="21" t="s">
        <v>215</v>
      </c>
      <c r="E201" s="3">
        <v>0</v>
      </c>
      <c r="G201" s="8"/>
      <c r="H201" s="11"/>
      <c r="I201" s="12"/>
      <c r="J201" s="153"/>
      <c r="K201" s="13"/>
    </row>
    <row r="202" spans="1:11" ht="15" customHeight="1" x14ac:dyDescent="0.4">
      <c r="A202" s="180" t="s">
        <v>217</v>
      </c>
      <c r="B202" s="181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3"/>
      <c r="K202" s="13"/>
    </row>
    <row r="203" spans="1:11" ht="15" customHeight="1" x14ac:dyDescent="0.4">
      <c r="A203" s="183"/>
      <c r="B203" s="175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3"/>
      <c r="K203" s="13"/>
    </row>
    <row r="204" spans="1:11" ht="15" customHeight="1" x14ac:dyDescent="0.4">
      <c r="A204" s="183"/>
      <c r="B204" s="175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3"/>
      <c r="K204" s="13"/>
    </row>
    <row r="205" spans="1:11" ht="15" customHeight="1" x14ac:dyDescent="0.4">
      <c r="A205" s="183"/>
      <c r="B205" s="175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3"/>
      <c r="K205" s="13"/>
    </row>
    <row r="206" spans="1:11" ht="15" customHeight="1" x14ac:dyDescent="0.4">
      <c r="A206" s="184"/>
      <c r="B206" s="176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3"/>
      <c r="K206" s="13"/>
    </row>
    <row r="207" spans="1:11" ht="15" customHeight="1" x14ac:dyDescent="0.4">
      <c r="A207" s="177" t="s">
        <v>224</v>
      </c>
      <c r="B207" s="181" t="s">
        <v>213</v>
      </c>
      <c r="C207" s="30">
        <v>110</v>
      </c>
      <c r="D207" s="29" t="s">
        <v>225</v>
      </c>
      <c r="E207" s="165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3"/>
      <c r="K207" s="13"/>
    </row>
    <row r="208" spans="1:11" ht="15" customHeight="1" x14ac:dyDescent="0.4">
      <c r="A208" s="177"/>
      <c r="B208" s="176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3"/>
      <c r="K208" s="13"/>
    </row>
    <row r="209" spans="1:11" ht="15" customHeight="1" x14ac:dyDescent="0.4">
      <c r="A209" s="177"/>
      <c r="B209" s="181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3"/>
      <c r="K209" s="13"/>
    </row>
    <row r="210" spans="1:11" ht="15" customHeight="1" x14ac:dyDescent="0.4">
      <c r="A210" s="177"/>
      <c r="B210" s="176"/>
      <c r="C210" s="33"/>
      <c r="D210" s="21" t="s">
        <v>226</v>
      </c>
      <c r="E210" s="3">
        <v>0</v>
      </c>
      <c r="G210" s="8"/>
      <c r="H210" s="11"/>
      <c r="I210" s="12"/>
      <c r="J210" s="153"/>
      <c r="K210" s="13"/>
    </row>
    <row r="211" spans="1:11" ht="15" customHeight="1" x14ac:dyDescent="0.4">
      <c r="A211" s="177" t="s">
        <v>227</v>
      </c>
      <c r="B211" s="181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3"/>
      <c r="K211" s="13"/>
    </row>
    <row r="212" spans="1:11" ht="15" customHeight="1" x14ac:dyDescent="0.4">
      <c r="A212" s="177"/>
      <c r="B212" s="175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3"/>
      <c r="K212" s="13"/>
    </row>
    <row r="213" spans="1:11" ht="15" customHeight="1" x14ac:dyDescent="0.4">
      <c r="A213" s="177"/>
      <c r="B213" s="175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3"/>
      <c r="K213" s="13"/>
    </row>
    <row r="214" spans="1:11" ht="15" customHeight="1" x14ac:dyDescent="0.4">
      <c r="A214" s="178" t="s">
        <v>231</v>
      </c>
      <c r="B214" s="177" t="s">
        <v>232</v>
      </c>
      <c r="C214" s="7">
        <v>290</v>
      </c>
      <c r="D214" s="9" t="s">
        <v>233</v>
      </c>
      <c r="E214" s="165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3"/>
      <c r="K214" s="13"/>
    </row>
    <row r="215" spans="1:11" ht="15" customHeight="1" x14ac:dyDescent="0.4">
      <c r="A215" s="178"/>
      <c r="B215" s="177"/>
      <c r="C215" s="7"/>
      <c r="D215" s="9" t="s">
        <v>234</v>
      </c>
      <c r="E215" s="165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3"/>
      <c r="K215" s="13"/>
    </row>
    <row r="216" spans="1:11" ht="15" customHeight="1" x14ac:dyDescent="0.4">
      <c r="A216" s="178"/>
      <c r="B216" s="177"/>
      <c r="C216" s="7"/>
      <c r="D216" s="9" t="s">
        <v>235</v>
      </c>
      <c r="E216" s="165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3"/>
      <c r="K216" s="13"/>
    </row>
    <row r="217" spans="1:11" ht="15" customHeight="1" x14ac:dyDescent="0.4">
      <c r="A217" s="178"/>
      <c r="B217" s="177" t="s">
        <v>236</v>
      </c>
      <c r="C217" s="7">
        <v>310</v>
      </c>
      <c r="D217" s="9" t="s">
        <v>237</v>
      </c>
      <c r="E217" s="165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3"/>
      <c r="K217" s="13"/>
    </row>
    <row r="218" spans="1:11" ht="15" customHeight="1" x14ac:dyDescent="0.4">
      <c r="A218" s="178"/>
      <c r="B218" s="177"/>
      <c r="C218" s="7"/>
      <c r="D218" s="9" t="s">
        <v>238</v>
      </c>
      <c r="E218" s="165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3"/>
      <c r="K218" s="13"/>
    </row>
    <row r="219" spans="1:11" ht="15" customHeight="1" x14ac:dyDescent="0.4">
      <c r="A219" s="178"/>
      <c r="B219" s="177"/>
      <c r="C219" s="7"/>
      <c r="D219" s="9" t="s">
        <v>239</v>
      </c>
      <c r="E219" s="165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3"/>
      <c r="K219" s="13"/>
    </row>
    <row r="220" spans="1:11" ht="15" customHeight="1" x14ac:dyDescent="0.4">
      <c r="A220" s="178"/>
      <c r="B220" s="177"/>
      <c r="C220" s="7"/>
      <c r="D220" s="9" t="s">
        <v>240</v>
      </c>
      <c r="E220" s="165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3"/>
      <c r="K220" s="13"/>
    </row>
    <row r="221" spans="1:11" ht="15" customHeight="1" x14ac:dyDescent="0.4">
      <c r="A221" s="178"/>
      <c r="B221" s="177"/>
      <c r="C221" s="7"/>
      <c r="D221" s="9" t="s">
        <v>241</v>
      </c>
      <c r="E221" s="165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3"/>
      <c r="K221" s="13"/>
    </row>
    <row r="222" spans="1:11" ht="15" customHeight="1" x14ac:dyDescent="0.4">
      <c r="A222" s="180" t="s">
        <v>242</v>
      </c>
      <c r="B222" s="177" t="s">
        <v>232</v>
      </c>
      <c r="C222" s="7">
        <v>100</v>
      </c>
      <c r="D222" s="9" t="s">
        <v>243</v>
      </c>
      <c r="E222" s="165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3"/>
      <c r="K222" s="13"/>
    </row>
    <row r="223" spans="1:11" ht="15" customHeight="1" x14ac:dyDescent="0.4">
      <c r="A223" s="183"/>
      <c r="B223" s="177"/>
      <c r="C223" s="7"/>
      <c r="D223" s="9" t="s">
        <v>2886</v>
      </c>
      <c r="E223" s="165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3"/>
      <c r="K223" s="13"/>
    </row>
    <row r="224" spans="1:11" ht="15" customHeight="1" x14ac:dyDescent="0.4">
      <c r="A224" s="183"/>
      <c r="B224" s="177"/>
      <c r="C224" s="7">
        <v>110</v>
      </c>
      <c r="D224" s="9" t="s">
        <v>244</v>
      </c>
      <c r="E224" s="165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3"/>
      <c r="K224" s="13"/>
    </row>
    <row r="225" spans="1:11" ht="15" customHeight="1" x14ac:dyDescent="0.4">
      <c r="A225" s="183"/>
      <c r="B225" s="177"/>
      <c r="C225" s="7"/>
      <c r="D225" s="9" t="s">
        <v>245</v>
      </c>
      <c r="E225" s="165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3"/>
      <c r="K225" s="13"/>
    </row>
    <row r="226" spans="1:11" ht="15" customHeight="1" x14ac:dyDescent="0.4">
      <c r="A226" s="183"/>
      <c r="B226" s="177"/>
      <c r="C226" s="7"/>
      <c r="D226" s="9" t="s">
        <v>246</v>
      </c>
      <c r="E226" s="165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3"/>
      <c r="K226" s="13"/>
    </row>
    <row r="227" spans="1:11" ht="15" customHeight="1" x14ac:dyDescent="0.4">
      <c r="A227" s="183"/>
      <c r="B227" s="177"/>
      <c r="C227" s="7"/>
      <c r="D227" s="9" t="s">
        <v>2885</v>
      </c>
      <c r="E227" s="165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3"/>
      <c r="K227" s="13"/>
    </row>
    <row r="228" spans="1:11" ht="15" customHeight="1" x14ac:dyDescent="0.4">
      <c r="A228" s="183"/>
      <c r="B228" s="177"/>
      <c r="C228" s="7"/>
      <c r="D228" s="9" t="s">
        <v>247</v>
      </c>
      <c r="E228" s="165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3"/>
      <c r="K228" s="13"/>
    </row>
    <row r="229" spans="1:11" ht="15" customHeight="1" x14ac:dyDescent="0.4">
      <c r="A229" s="183"/>
      <c r="B229" s="177"/>
      <c r="C229" s="7">
        <v>120</v>
      </c>
      <c r="D229" s="9" t="s">
        <v>44</v>
      </c>
      <c r="E229" s="165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3"/>
      <c r="K229" s="13"/>
    </row>
    <row r="230" spans="1:11" ht="15" customHeight="1" x14ac:dyDescent="0.4">
      <c r="A230" s="184"/>
      <c r="B230" s="7" t="s">
        <v>248</v>
      </c>
      <c r="C230" s="7">
        <v>100</v>
      </c>
      <c r="D230" s="9" t="s">
        <v>249</v>
      </c>
      <c r="E230" s="167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3"/>
      <c r="K230" s="13"/>
    </row>
    <row r="231" spans="1:11" ht="15" customHeight="1" x14ac:dyDescent="0.4">
      <c r="A231" s="180" t="s">
        <v>250</v>
      </c>
      <c r="B231" s="181" t="s">
        <v>236</v>
      </c>
      <c r="C231" s="7">
        <v>250</v>
      </c>
      <c r="D231" s="9" t="s">
        <v>251</v>
      </c>
      <c r="E231" s="165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3"/>
      <c r="K231" s="13"/>
    </row>
    <row r="232" spans="1:11" ht="15" customHeight="1" x14ac:dyDescent="0.4">
      <c r="A232" s="183"/>
      <c r="B232" s="175"/>
      <c r="C232" s="7">
        <v>310</v>
      </c>
      <c r="D232" s="9" t="s">
        <v>2887</v>
      </c>
      <c r="E232" s="165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3"/>
      <c r="K232" s="13"/>
    </row>
    <row r="233" spans="1:11" ht="15" customHeight="1" x14ac:dyDescent="0.4">
      <c r="A233" s="183"/>
      <c r="B233" s="175"/>
      <c r="C233" s="7"/>
      <c r="D233" s="9" t="s">
        <v>2888</v>
      </c>
      <c r="E233" s="165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3"/>
      <c r="K233" s="13"/>
    </row>
    <row r="234" spans="1:11" ht="15" customHeight="1" x14ac:dyDescent="0.4">
      <c r="A234" s="183"/>
      <c r="B234" s="175"/>
      <c r="C234" s="7"/>
      <c r="D234" s="9" t="s">
        <v>252</v>
      </c>
      <c r="E234" s="165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3"/>
      <c r="K234" s="13"/>
    </row>
    <row r="235" spans="1:11" ht="15" customHeight="1" x14ac:dyDescent="0.4">
      <c r="A235" s="183"/>
      <c r="B235" s="175"/>
      <c r="C235" s="7">
        <v>360</v>
      </c>
      <c r="D235" s="9" t="s">
        <v>253</v>
      </c>
      <c r="E235" s="165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3"/>
      <c r="K235" s="13"/>
    </row>
    <row r="236" spans="1:11" ht="15" customHeight="1" x14ac:dyDescent="0.4">
      <c r="A236" s="178" t="s">
        <v>254</v>
      </c>
      <c r="B236" s="174" t="s">
        <v>255</v>
      </c>
      <c r="C236" s="7">
        <v>100</v>
      </c>
      <c r="D236" s="9" t="s">
        <v>2889</v>
      </c>
      <c r="E236" s="165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3"/>
      <c r="K236" s="13"/>
    </row>
    <row r="237" spans="1:11" ht="15" customHeight="1" x14ac:dyDescent="0.4">
      <c r="A237" s="178"/>
      <c r="B237" s="175"/>
      <c r="C237" s="7"/>
      <c r="D237" s="9" t="s">
        <v>2890</v>
      </c>
      <c r="E237" s="165">
        <v>610000</v>
      </c>
      <c r="G237" s="8"/>
      <c r="H237" s="11"/>
      <c r="I237" s="12"/>
      <c r="J237" s="153"/>
      <c r="K237" s="13"/>
    </row>
    <row r="238" spans="1:11" ht="15" customHeight="1" x14ac:dyDescent="0.4">
      <c r="A238" s="178"/>
      <c r="B238" s="175"/>
      <c r="C238" s="7">
        <v>120</v>
      </c>
      <c r="D238" s="9" t="s">
        <v>256</v>
      </c>
      <c r="E238" s="165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3"/>
      <c r="K238" s="13"/>
    </row>
    <row r="239" spans="1:11" ht="15" customHeight="1" x14ac:dyDescent="0.4">
      <c r="A239" s="178"/>
      <c r="B239" s="175"/>
      <c r="C239" s="7"/>
      <c r="D239" s="9" t="s">
        <v>257</v>
      </c>
      <c r="E239" s="165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3"/>
      <c r="K239" s="13"/>
    </row>
    <row r="240" spans="1:11" ht="15" customHeight="1" x14ac:dyDescent="0.4">
      <c r="A240" s="178"/>
      <c r="B240" s="175"/>
      <c r="C240" s="7"/>
      <c r="D240" s="9" t="s">
        <v>258</v>
      </c>
      <c r="E240" s="165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3"/>
      <c r="K240" s="13"/>
    </row>
    <row r="241" spans="1:11" ht="15" customHeight="1" x14ac:dyDescent="0.4">
      <c r="A241" s="178"/>
      <c r="B241" s="175"/>
      <c r="C241" s="7">
        <v>300</v>
      </c>
      <c r="D241" s="9" t="s">
        <v>259</v>
      </c>
      <c r="E241" s="165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3"/>
      <c r="K241" s="13"/>
    </row>
    <row r="242" spans="1:11" ht="15" customHeight="1" x14ac:dyDescent="0.4">
      <c r="A242" s="178"/>
      <c r="B242" s="175"/>
      <c r="C242" s="7"/>
      <c r="D242" s="9" t="s">
        <v>260</v>
      </c>
      <c r="E242" s="165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3"/>
      <c r="K242" s="13"/>
    </row>
    <row r="243" spans="1:11" ht="15" customHeight="1" x14ac:dyDescent="0.4">
      <c r="A243" s="178"/>
      <c r="B243" s="175"/>
      <c r="C243" s="7">
        <v>350</v>
      </c>
      <c r="D243" s="9" t="s">
        <v>2891</v>
      </c>
      <c r="E243" s="165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3"/>
      <c r="K243" s="13"/>
    </row>
    <row r="244" spans="1:11" ht="15" customHeight="1" x14ac:dyDescent="0.4">
      <c r="A244" s="178"/>
      <c r="B244" s="175"/>
      <c r="C244" s="7">
        <v>100</v>
      </c>
      <c r="D244" s="9" t="s">
        <v>2892</v>
      </c>
      <c r="E244" s="165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3"/>
      <c r="K244" s="13"/>
    </row>
    <row r="245" spans="1:11" ht="15" customHeight="1" x14ac:dyDescent="0.4">
      <c r="A245" s="178"/>
      <c r="B245" s="175"/>
      <c r="C245" s="7"/>
      <c r="D245" s="9" t="s">
        <v>2893</v>
      </c>
      <c r="E245" s="165">
        <v>850000</v>
      </c>
      <c r="G245" s="8"/>
      <c r="H245" s="11"/>
      <c r="I245" s="12"/>
      <c r="J245" s="153"/>
      <c r="K245" s="13"/>
    </row>
    <row r="246" spans="1:11" ht="15" customHeight="1" x14ac:dyDescent="0.4">
      <c r="A246" s="178"/>
      <c r="B246" s="175"/>
      <c r="C246" s="7">
        <v>120</v>
      </c>
      <c r="D246" s="9" t="s">
        <v>2894</v>
      </c>
      <c r="E246" s="165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3"/>
      <c r="K246" s="13"/>
    </row>
    <row r="247" spans="1:11" ht="15" customHeight="1" x14ac:dyDescent="0.4">
      <c r="A247" s="178"/>
      <c r="B247" s="175"/>
      <c r="C247" s="7"/>
      <c r="D247" s="9" t="s">
        <v>261</v>
      </c>
      <c r="E247" s="165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3"/>
      <c r="K247" s="13"/>
    </row>
    <row r="248" spans="1:11" ht="15" customHeight="1" x14ac:dyDescent="0.4">
      <c r="A248" s="178"/>
      <c r="B248" s="175"/>
      <c r="C248" s="7"/>
      <c r="D248" s="9" t="s">
        <v>262</v>
      </c>
      <c r="E248" s="165">
        <v>975000</v>
      </c>
      <c r="G248" s="8"/>
      <c r="H248" s="11"/>
      <c r="I248" s="12"/>
      <c r="J248" s="153"/>
      <c r="K248" s="13"/>
    </row>
    <row r="249" spans="1:11" ht="15" customHeight="1" x14ac:dyDescent="0.4">
      <c r="A249" s="178"/>
      <c r="B249" s="175"/>
      <c r="C249" s="7"/>
      <c r="D249" s="9" t="s">
        <v>263</v>
      </c>
      <c r="E249" s="165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3"/>
      <c r="K249" s="13"/>
    </row>
    <row r="250" spans="1:11" ht="15" customHeight="1" x14ac:dyDescent="0.4">
      <c r="A250" s="178"/>
      <c r="B250" s="175"/>
      <c r="C250" s="7">
        <v>300</v>
      </c>
      <c r="D250" s="9" t="s">
        <v>264</v>
      </c>
      <c r="E250" s="165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3"/>
      <c r="K250" s="13"/>
    </row>
    <row r="251" spans="1:11" ht="15" customHeight="1" x14ac:dyDescent="0.4">
      <c r="A251" s="178"/>
      <c r="B251" s="175"/>
      <c r="C251" s="7"/>
      <c r="D251" s="9" t="s">
        <v>265</v>
      </c>
      <c r="E251" s="165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3"/>
      <c r="K251" s="13"/>
    </row>
    <row r="252" spans="1:11" ht="15" customHeight="1" x14ac:dyDescent="0.4">
      <c r="A252" s="178"/>
      <c r="B252" s="175"/>
      <c r="C252" s="7">
        <v>350</v>
      </c>
      <c r="D252" s="9" t="s">
        <v>2895</v>
      </c>
      <c r="E252" s="165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3"/>
      <c r="K252" s="13"/>
    </row>
    <row r="253" spans="1:11" ht="15" customHeight="1" x14ac:dyDescent="0.4">
      <c r="A253" s="178"/>
      <c r="B253" s="176"/>
      <c r="C253" s="7"/>
      <c r="D253" s="9" t="s">
        <v>2896</v>
      </c>
      <c r="E253" s="165">
        <v>2855000</v>
      </c>
      <c r="G253" s="8"/>
      <c r="H253" s="11"/>
      <c r="I253" s="12"/>
      <c r="J253" s="153"/>
      <c r="K253" s="13"/>
    </row>
    <row r="254" spans="1:11" ht="15" customHeight="1" x14ac:dyDescent="0.4">
      <c r="A254" s="178"/>
      <c r="B254" s="177" t="s">
        <v>232</v>
      </c>
      <c r="C254" s="7">
        <v>500</v>
      </c>
      <c r="D254" s="9" t="s">
        <v>266</v>
      </c>
      <c r="E254" s="165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3"/>
      <c r="K254" s="13"/>
    </row>
    <row r="255" spans="1:11" ht="15" customHeight="1" x14ac:dyDescent="0.4">
      <c r="A255" s="178"/>
      <c r="B255" s="177"/>
      <c r="C255" s="7"/>
      <c r="D255" s="9" t="s">
        <v>267</v>
      </c>
      <c r="E255" s="165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3"/>
      <c r="K255" s="13"/>
    </row>
    <row r="256" spans="1:11" ht="15" customHeight="1" x14ac:dyDescent="0.4">
      <c r="A256" s="178" t="s">
        <v>268</v>
      </c>
      <c r="B256" s="177" t="s">
        <v>255</v>
      </c>
      <c r="C256" s="7">
        <v>300</v>
      </c>
      <c r="D256" s="9" t="s">
        <v>269</v>
      </c>
      <c r="E256" s="165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4">
        <v>450</v>
      </c>
      <c r="K256" s="13"/>
    </row>
    <row r="257" spans="1:11" ht="15" customHeight="1" x14ac:dyDescent="0.4">
      <c r="A257" s="178"/>
      <c r="B257" s="177"/>
      <c r="C257" s="7"/>
      <c r="D257" s="9" t="s">
        <v>270</v>
      </c>
      <c r="E257" s="165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4">
        <v>450</v>
      </c>
      <c r="K257" s="13"/>
    </row>
    <row r="258" spans="1:11" ht="15" customHeight="1" x14ac:dyDescent="0.4">
      <c r="A258" s="178"/>
      <c r="B258" s="177"/>
      <c r="C258" s="7"/>
      <c r="D258" s="9" t="s">
        <v>271</v>
      </c>
      <c r="E258" s="165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4">
        <v>450</v>
      </c>
      <c r="K258" s="13"/>
    </row>
    <row r="259" spans="1:11" ht="15" customHeight="1" x14ac:dyDescent="0.4">
      <c r="A259" s="180" t="s">
        <v>272</v>
      </c>
      <c r="B259" s="177" t="s">
        <v>273</v>
      </c>
      <c r="C259" s="7">
        <v>125</v>
      </c>
      <c r="D259" s="9" t="s">
        <v>2897</v>
      </c>
      <c r="E259" s="165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3"/>
      <c r="K259" s="13"/>
    </row>
    <row r="260" spans="1:11" ht="15" customHeight="1" x14ac:dyDescent="0.4">
      <c r="A260" s="183"/>
      <c r="B260" s="177"/>
      <c r="C260" s="7" t="s">
        <v>2899</v>
      </c>
      <c r="D260" s="9" t="s">
        <v>2898</v>
      </c>
      <c r="E260" s="165">
        <v>1525000</v>
      </c>
      <c r="G260" s="8"/>
      <c r="H260" s="11"/>
      <c r="I260" s="12"/>
      <c r="J260" s="153"/>
      <c r="K260" s="13"/>
    </row>
    <row r="261" spans="1:11" ht="15" customHeight="1" x14ac:dyDescent="0.4">
      <c r="A261" s="183"/>
      <c r="B261" s="177" t="s">
        <v>274</v>
      </c>
      <c r="C261" s="7">
        <v>130</v>
      </c>
      <c r="D261" s="9" t="s">
        <v>2900</v>
      </c>
      <c r="E261" s="165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3"/>
      <c r="K261" s="13"/>
    </row>
    <row r="262" spans="1:11" ht="15" customHeight="1" x14ac:dyDescent="0.4">
      <c r="A262" s="183"/>
      <c r="B262" s="177"/>
      <c r="C262" s="7"/>
      <c r="D262" s="9" t="s">
        <v>275</v>
      </c>
      <c r="E262" s="165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3"/>
      <c r="K262" s="13"/>
    </row>
    <row r="263" spans="1:11" ht="15" customHeight="1" x14ac:dyDescent="0.4">
      <c r="A263" s="183"/>
      <c r="B263" s="177"/>
      <c r="C263" s="7"/>
      <c r="D263" s="9" t="s">
        <v>2901</v>
      </c>
      <c r="E263" s="165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3"/>
      <c r="K263" s="13"/>
    </row>
    <row r="264" spans="1:11" ht="15" customHeight="1" x14ac:dyDescent="0.4">
      <c r="A264" s="183"/>
      <c r="B264" s="177"/>
      <c r="C264" s="7">
        <v>130</v>
      </c>
      <c r="D264" s="9" t="s">
        <v>2902</v>
      </c>
      <c r="E264" s="165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3"/>
      <c r="K264" s="13"/>
    </row>
    <row r="265" spans="1:11" ht="15" customHeight="1" x14ac:dyDescent="0.4">
      <c r="A265" s="183"/>
      <c r="B265" s="177"/>
      <c r="C265" s="7"/>
      <c r="D265" s="9" t="s">
        <v>276</v>
      </c>
      <c r="E265" s="165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3"/>
      <c r="K265" s="13"/>
    </row>
    <row r="266" spans="1:11" ht="15" customHeight="1" x14ac:dyDescent="0.4">
      <c r="A266" s="183"/>
      <c r="B266" s="177"/>
      <c r="C266" s="7"/>
      <c r="D266" s="9" t="s">
        <v>2903</v>
      </c>
      <c r="E266" s="165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3"/>
      <c r="K266" s="13"/>
    </row>
    <row r="267" spans="1:11" ht="15" customHeight="1" x14ac:dyDescent="0.4">
      <c r="A267" s="177" t="s">
        <v>277</v>
      </c>
      <c r="B267" s="177" t="s">
        <v>236</v>
      </c>
      <c r="C267" s="7">
        <v>100</v>
      </c>
      <c r="D267" s="9" t="s">
        <v>278</v>
      </c>
      <c r="E267" s="165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2">
        <v>140</v>
      </c>
      <c r="K267" s="13"/>
    </row>
    <row r="268" spans="1:11" ht="15" customHeight="1" x14ac:dyDescent="0.4">
      <c r="A268" s="177"/>
      <c r="B268" s="177"/>
      <c r="C268" s="7"/>
      <c r="D268" s="9" t="s">
        <v>279</v>
      </c>
      <c r="E268" s="165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2">
        <v>140</v>
      </c>
      <c r="K268" s="13"/>
    </row>
    <row r="269" spans="1:11" ht="15" customHeight="1" x14ac:dyDescent="0.4">
      <c r="A269" s="177"/>
      <c r="B269" s="177"/>
      <c r="C269" s="7"/>
      <c r="D269" s="9" t="s">
        <v>280</v>
      </c>
      <c r="E269" s="165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2">
        <v>140</v>
      </c>
      <c r="K269" s="13"/>
    </row>
    <row r="270" spans="1:11" ht="15" customHeight="1" x14ac:dyDescent="0.4">
      <c r="A270" s="177"/>
      <c r="B270" s="177"/>
      <c r="C270" s="7"/>
      <c r="D270" s="9" t="s">
        <v>281</v>
      </c>
      <c r="E270" s="165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2">
        <v>140</v>
      </c>
      <c r="K270" s="13"/>
    </row>
    <row r="271" spans="1:11" ht="15" customHeight="1" x14ac:dyDescent="0.4">
      <c r="A271" s="177"/>
      <c r="B271" s="177"/>
      <c r="C271" s="7"/>
      <c r="D271" s="9" t="s">
        <v>282</v>
      </c>
      <c r="E271" s="165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2">
        <v>140</v>
      </c>
      <c r="K271" s="13"/>
    </row>
    <row r="272" spans="1:11" ht="15" customHeight="1" x14ac:dyDescent="0.4">
      <c r="A272" s="177"/>
      <c r="B272" s="177"/>
      <c r="C272" s="7">
        <v>120</v>
      </c>
      <c r="D272" s="9" t="s">
        <v>283</v>
      </c>
      <c r="E272" s="165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2">
        <v>175</v>
      </c>
      <c r="K272" s="13"/>
    </row>
    <row r="273" spans="1:11" ht="15" customHeight="1" x14ac:dyDescent="0.4">
      <c r="A273" s="177"/>
      <c r="B273" s="177"/>
      <c r="C273" s="7"/>
      <c r="D273" s="9" t="s">
        <v>284</v>
      </c>
      <c r="E273" s="165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2">
        <v>175</v>
      </c>
      <c r="K273" s="13"/>
    </row>
    <row r="274" spans="1:11" ht="15" customHeight="1" x14ac:dyDescent="0.4">
      <c r="A274" s="177"/>
      <c r="B274" s="177"/>
      <c r="C274" s="7"/>
      <c r="D274" s="9" t="s">
        <v>285</v>
      </c>
      <c r="E274" s="165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2">
        <v>175</v>
      </c>
      <c r="K274" s="13"/>
    </row>
    <row r="275" spans="1:11" ht="15" customHeight="1" x14ac:dyDescent="0.4">
      <c r="A275" s="177"/>
      <c r="B275" s="177"/>
      <c r="C275" s="7"/>
      <c r="D275" s="9" t="s">
        <v>286</v>
      </c>
      <c r="E275" s="165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2">
        <v>175</v>
      </c>
      <c r="K275" s="13"/>
    </row>
    <row r="276" spans="1:11" ht="15" customHeight="1" x14ac:dyDescent="0.4">
      <c r="A276" s="177"/>
      <c r="B276" s="177"/>
      <c r="C276" s="7">
        <v>240</v>
      </c>
      <c r="D276" s="9" t="s">
        <v>287</v>
      </c>
      <c r="E276" s="165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2">
        <v>345</v>
      </c>
      <c r="K276" s="13"/>
    </row>
    <row r="277" spans="1:11" ht="15" customHeight="1" x14ac:dyDescent="0.4">
      <c r="A277" s="177"/>
      <c r="B277" s="177"/>
      <c r="C277" s="7"/>
      <c r="D277" s="9" t="s">
        <v>288</v>
      </c>
      <c r="E277" s="165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2">
        <v>345</v>
      </c>
      <c r="K277" s="13"/>
    </row>
    <row r="278" spans="1:11" ht="15" customHeight="1" x14ac:dyDescent="0.4">
      <c r="A278" s="177"/>
      <c r="B278" s="177"/>
      <c r="C278" s="7"/>
      <c r="D278" s="9" t="s">
        <v>285</v>
      </c>
      <c r="E278" s="165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2">
        <v>345</v>
      </c>
      <c r="K278" s="13"/>
    </row>
    <row r="279" spans="1:11" ht="15" customHeight="1" x14ac:dyDescent="0.4">
      <c r="A279" s="177"/>
      <c r="B279" s="177"/>
      <c r="C279" s="7"/>
      <c r="D279" s="9" t="s">
        <v>289</v>
      </c>
      <c r="E279" s="165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2">
        <v>345</v>
      </c>
      <c r="K279" s="13"/>
    </row>
    <row r="280" spans="1:11" ht="15" customHeight="1" x14ac:dyDescent="0.4">
      <c r="A280" s="177"/>
      <c r="B280" s="177"/>
      <c r="C280" s="7">
        <v>300</v>
      </c>
      <c r="D280" s="9" t="s">
        <v>278</v>
      </c>
      <c r="E280" s="165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2">
        <v>440</v>
      </c>
      <c r="K280" s="13"/>
    </row>
    <row r="281" spans="1:11" ht="15" customHeight="1" x14ac:dyDescent="0.4">
      <c r="A281" s="177"/>
      <c r="B281" s="177"/>
      <c r="C281" s="7"/>
      <c r="D281" s="9" t="s">
        <v>290</v>
      </c>
      <c r="E281" s="165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2">
        <v>440</v>
      </c>
      <c r="K281" s="13"/>
    </row>
    <row r="282" spans="1:11" ht="15" customHeight="1" x14ac:dyDescent="0.4">
      <c r="A282" s="177"/>
      <c r="B282" s="177"/>
      <c r="C282" s="7"/>
      <c r="D282" s="9" t="s">
        <v>291</v>
      </c>
      <c r="E282" s="165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2">
        <v>440</v>
      </c>
      <c r="K282" s="13"/>
    </row>
    <row r="283" spans="1:11" ht="15" customHeight="1" x14ac:dyDescent="0.4">
      <c r="A283" s="177"/>
      <c r="B283" s="177"/>
      <c r="C283" s="7"/>
      <c r="D283" s="9" t="s">
        <v>292</v>
      </c>
      <c r="E283" s="165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2">
        <v>440</v>
      </c>
      <c r="K283" s="13"/>
    </row>
    <row r="284" spans="1:11" ht="15" customHeight="1" x14ac:dyDescent="0.4">
      <c r="A284" s="177"/>
      <c r="B284" s="177"/>
      <c r="C284" s="7"/>
      <c r="D284" s="9" t="s">
        <v>293</v>
      </c>
      <c r="E284" s="165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2">
        <v>440</v>
      </c>
      <c r="K284" s="13"/>
    </row>
    <row r="285" spans="1:11" ht="15" customHeight="1" x14ac:dyDescent="0.4">
      <c r="A285" s="177"/>
      <c r="B285" s="177"/>
      <c r="C285" s="7"/>
      <c r="D285" s="9" t="s">
        <v>294</v>
      </c>
      <c r="E285" s="165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2">
        <v>440</v>
      </c>
      <c r="K285" s="13"/>
    </row>
    <row r="286" spans="1:11" ht="15" customHeight="1" x14ac:dyDescent="0.4">
      <c r="A286" s="177"/>
      <c r="B286" s="177"/>
      <c r="C286" s="7">
        <v>350</v>
      </c>
      <c r="D286" s="9" t="s">
        <v>295</v>
      </c>
      <c r="E286" s="165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2">
        <v>515</v>
      </c>
      <c r="K286" s="13"/>
    </row>
    <row r="287" spans="1:11" ht="15" customHeight="1" x14ac:dyDescent="0.4">
      <c r="A287" s="177"/>
      <c r="B287" s="177"/>
      <c r="C287" s="7"/>
      <c r="D287" s="9" t="s">
        <v>296</v>
      </c>
      <c r="E287" s="165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2">
        <v>515</v>
      </c>
      <c r="K287" s="13"/>
    </row>
    <row r="288" spans="1:11" ht="15" customHeight="1" x14ac:dyDescent="0.4">
      <c r="A288" s="177"/>
      <c r="B288" s="177"/>
      <c r="C288" s="7"/>
      <c r="D288" s="9" t="s">
        <v>297</v>
      </c>
      <c r="E288" s="165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2">
        <v>515</v>
      </c>
      <c r="K288" s="13"/>
    </row>
    <row r="289" spans="1:11" ht="15" customHeight="1" x14ac:dyDescent="0.4">
      <c r="A289" s="177"/>
      <c r="B289" s="177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2">
        <v>180</v>
      </c>
      <c r="K289" s="13"/>
    </row>
    <row r="290" spans="1:11" ht="15" customHeight="1" x14ac:dyDescent="0.4">
      <c r="A290" s="177"/>
      <c r="B290" s="177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2">
        <v>180</v>
      </c>
      <c r="K290" s="13"/>
    </row>
    <row r="291" spans="1:11" ht="15" customHeight="1" x14ac:dyDescent="0.4">
      <c r="A291" s="177"/>
      <c r="B291" s="177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2">
        <v>350</v>
      </c>
      <c r="K291" s="13"/>
    </row>
    <row r="292" spans="1:11" ht="15" customHeight="1" x14ac:dyDescent="0.4">
      <c r="A292" s="177"/>
      <c r="B292" s="177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2">
        <v>350</v>
      </c>
      <c r="K292" s="13"/>
    </row>
    <row r="293" spans="1:11" ht="15" customHeight="1" x14ac:dyDescent="0.4">
      <c r="A293" s="177"/>
      <c r="B293" s="177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2">
        <v>440</v>
      </c>
      <c r="K293" s="13"/>
    </row>
    <row r="294" spans="1:11" s="1" customFormat="1" ht="15" customHeight="1" x14ac:dyDescent="0.4">
      <c r="A294" s="178" t="s">
        <v>301</v>
      </c>
      <c r="B294" s="177" t="s">
        <v>255</v>
      </c>
      <c r="C294" s="7">
        <v>300</v>
      </c>
      <c r="D294" s="9" t="s">
        <v>302</v>
      </c>
      <c r="E294" s="165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3"/>
      <c r="K294" s="13"/>
    </row>
    <row r="295" spans="1:11" s="1" customFormat="1" ht="15" customHeight="1" x14ac:dyDescent="0.4">
      <c r="A295" s="177"/>
      <c r="B295" s="177"/>
      <c r="C295" s="7"/>
      <c r="D295" s="9" t="s">
        <v>2904</v>
      </c>
      <c r="E295" s="165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3"/>
      <c r="K295" s="13"/>
    </row>
    <row r="296" spans="1:11" s="1" customFormat="1" ht="15" customHeight="1" x14ac:dyDescent="0.4">
      <c r="A296" s="177"/>
      <c r="B296" s="177"/>
      <c r="C296" s="7"/>
      <c r="D296" s="9" t="s">
        <v>303</v>
      </c>
      <c r="E296" s="165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3"/>
      <c r="K296" s="13"/>
    </row>
    <row r="297" spans="1:11" s="1" customFormat="1" ht="15" customHeight="1" x14ac:dyDescent="0.4">
      <c r="A297" s="177"/>
      <c r="B297" s="177"/>
      <c r="C297" s="7"/>
      <c r="D297" s="9" t="s">
        <v>304</v>
      </c>
      <c r="E297" s="165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3"/>
      <c r="K297" s="13"/>
    </row>
    <row r="298" spans="1:11" s="1" customFormat="1" ht="15" customHeight="1" x14ac:dyDescent="0.4">
      <c r="A298" s="178" t="s">
        <v>305</v>
      </c>
      <c r="B298" s="177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3"/>
      <c r="K298" s="13"/>
    </row>
    <row r="299" spans="1:11" s="1" customFormat="1" ht="15" customHeight="1" x14ac:dyDescent="0.4">
      <c r="A299" s="178"/>
      <c r="B299" s="177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3"/>
      <c r="K299" s="13"/>
    </row>
    <row r="300" spans="1:11" s="1" customFormat="1" ht="15" customHeight="1" x14ac:dyDescent="0.4">
      <c r="A300" s="178"/>
      <c r="B300" s="177"/>
      <c r="C300" s="33"/>
      <c r="D300" s="21" t="s">
        <v>2905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3"/>
      <c r="K300" s="13"/>
    </row>
    <row r="301" spans="1:11" s="1" customFormat="1" ht="15" customHeight="1" x14ac:dyDescent="0.4">
      <c r="A301" s="178"/>
      <c r="B301" s="177"/>
      <c r="C301" s="33"/>
      <c r="D301" s="21" t="s">
        <v>2906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3"/>
      <c r="K301" s="13"/>
    </row>
    <row r="302" spans="1:11" s="1" customFormat="1" ht="15" customHeight="1" x14ac:dyDescent="0.4">
      <c r="A302" s="178"/>
      <c r="B302" s="177"/>
      <c r="C302" s="33"/>
      <c r="D302" s="21" t="s">
        <v>2907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3"/>
      <c r="K302" s="13"/>
    </row>
    <row r="303" spans="1:11" s="1" customFormat="1" ht="15" customHeight="1" x14ac:dyDescent="0.4">
      <c r="A303" s="178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3"/>
      <c r="K303" s="13"/>
    </row>
    <row r="304" spans="1:11" ht="15" customHeight="1" x14ac:dyDescent="0.4">
      <c r="A304" s="177" t="s">
        <v>311</v>
      </c>
      <c r="B304" s="177" t="s">
        <v>248</v>
      </c>
      <c r="C304" s="7">
        <v>110</v>
      </c>
      <c r="D304" s="9" t="s">
        <v>312</v>
      </c>
      <c r="E304" s="165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2">
        <v>185</v>
      </c>
      <c r="K304" s="13"/>
    </row>
    <row r="305" spans="1:11" ht="15" customHeight="1" x14ac:dyDescent="0.4">
      <c r="A305" s="177"/>
      <c r="B305" s="177"/>
      <c r="C305" s="7">
        <v>300</v>
      </c>
      <c r="D305" s="9" t="s">
        <v>312</v>
      </c>
      <c r="E305" s="165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2">
        <v>550</v>
      </c>
      <c r="K305" s="13"/>
    </row>
    <row r="306" spans="1:11" ht="15" customHeight="1" x14ac:dyDescent="0.4">
      <c r="A306" s="177"/>
      <c r="B306" s="177"/>
      <c r="C306" s="7">
        <v>600</v>
      </c>
      <c r="D306" s="9" t="s">
        <v>312</v>
      </c>
      <c r="E306" s="165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2">
        <v>1000</v>
      </c>
      <c r="K306" s="13"/>
    </row>
    <row r="307" spans="1:11" ht="15" customHeight="1" x14ac:dyDescent="0.4">
      <c r="A307" s="177"/>
      <c r="B307" s="177"/>
      <c r="C307" s="7">
        <v>900</v>
      </c>
      <c r="D307" s="9" t="s">
        <v>312</v>
      </c>
      <c r="E307" s="165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2">
        <v>1550</v>
      </c>
      <c r="K307" s="13"/>
    </row>
    <row r="308" spans="1:11" ht="15" customHeight="1" x14ac:dyDescent="0.4">
      <c r="A308" s="177"/>
      <c r="B308" s="177" t="s">
        <v>236</v>
      </c>
      <c r="C308" s="7">
        <v>110</v>
      </c>
      <c r="D308" s="9" t="s">
        <v>313</v>
      </c>
      <c r="E308" s="165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2">
        <v>185</v>
      </c>
      <c r="K308" s="13"/>
    </row>
    <row r="309" spans="1:11" ht="15" customHeight="1" x14ac:dyDescent="0.4">
      <c r="A309" s="177"/>
      <c r="B309" s="177"/>
      <c r="C309" s="7">
        <v>300</v>
      </c>
      <c r="D309" s="9" t="s">
        <v>313</v>
      </c>
      <c r="E309" s="165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2">
        <v>550</v>
      </c>
      <c r="K309" s="13"/>
    </row>
    <row r="310" spans="1:11" ht="15" customHeight="1" x14ac:dyDescent="0.4">
      <c r="A310" s="177"/>
      <c r="B310" s="177"/>
      <c r="C310" s="7">
        <v>600</v>
      </c>
      <c r="D310" s="9" t="s">
        <v>313</v>
      </c>
      <c r="E310" s="165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2">
        <v>1000</v>
      </c>
      <c r="K310" s="13"/>
    </row>
    <row r="311" spans="1:11" ht="15" customHeight="1" x14ac:dyDescent="0.4">
      <c r="A311" s="177"/>
      <c r="B311" s="177"/>
      <c r="C311" s="7">
        <v>900</v>
      </c>
      <c r="D311" s="9" t="s">
        <v>313</v>
      </c>
      <c r="E311" s="165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2">
        <v>1550</v>
      </c>
      <c r="K311" s="13"/>
    </row>
    <row r="312" spans="1:11" ht="15" customHeight="1" x14ac:dyDescent="0.4">
      <c r="A312" s="177"/>
      <c r="B312" s="177"/>
      <c r="C312" s="7">
        <v>300</v>
      </c>
      <c r="D312" s="9" t="s">
        <v>314</v>
      </c>
      <c r="E312" s="165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2">
        <v>550</v>
      </c>
      <c r="K312" s="13"/>
    </row>
    <row r="313" spans="1:11" ht="15" customHeight="1" x14ac:dyDescent="0.4">
      <c r="A313" s="177"/>
      <c r="B313" s="177"/>
      <c r="C313" s="7">
        <v>600</v>
      </c>
      <c r="D313" s="9" t="s">
        <v>314</v>
      </c>
      <c r="E313" s="165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2">
        <v>1000</v>
      </c>
      <c r="K313" s="13"/>
    </row>
    <row r="314" spans="1:11" ht="15" customHeight="1" x14ac:dyDescent="0.4">
      <c r="A314" s="177"/>
      <c r="B314" s="177"/>
      <c r="C314" s="7">
        <v>900</v>
      </c>
      <c r="D314" s="9" t="s">
        <v>314</v>
      </c>
      <c r="E314" s="165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2">
        <v>1550</v>
      </c>
      <c r="K314" s="13"/>
    </row>
    <row r="315" spans="1:11" ht="15" customHeight="1" x14ac:dyDescent="0.4">
      <c r="A315" s="177"/>
      <c r="B315" s="177"/>
      <c r="C315" s="7">
        <v>310</v>
      </c>
      <c r="D315" s="9" t="s">
        <v>315</v>
      </c>
      <c r="E315" s="165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2">
        <v>530</v>
      </c>
      <c r="K315" s="13"/>
    </row>
    <row r="316" spans="1:11" ht="15" customHeight="1" x14ac:dyDescent="0.4">
      <c r="A316" s="177"/>
      <c r="B316" s="177"/>
      <c r="C316" s="7">
        <v>610</v>
      </c>
      <c r="D316" s="9" t="s">
        <v>315</v>
      </c>
      <c r="E316" s="165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2">
        <v>1000</v>
      </c>
      <c r="K316" s="13"/>
    </row>
    <row r="317" spans="1:11" ht="15" customHeight="1" x14ac:dyDescent="0.4">
      <c r="A317" s="177"/>
      <c r="B317" s="177"/>
      <c r="C317" s="7">
        <v>910</v>
      </c>
      <c r="D317" s="9" t="s">
        <v>315</v>
      </c>
      <c r="E317" s="165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2">
        <v>1550</v>
      </c>
      <c r="K317" s="13"/>
    </row>
    <row r="318" spans="1:11" ht="15" customHeight="1" x14ac:dyDescent="0.4">
      <c r="A318" s="178" t="s">
        <v>316</v>
      </c>
      <c r="B318" s="177" t="s">
        <v>236</v>
      </c>
      <c r="C318" s="33">
        <v>300</v>
      </c>
      <c r="D318" s="21" t="s">
        <v>317</v>
      </c>
      <c r="E318" s="168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3"/>
      <c r="K318" s="13"/>
    </row>
    <row r="319" spans="1:11" ht="15" customHeight="1" x14ac:dyDescent="0.4">
      <c r="A319" s="177"/>
      <c r="B319" s="177"/>
      <c r="C319" s="33"/>
      <c r="D319" s="21" t="s">
        <v>240</v>
      </c>
      <c r="E319" s="168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3"/>
      <c r="K319" s="13"/>
    </row>
    <row r="320" spans="1:11" ht="15" customHeight="1" x14ac:dyDescent="0.4">
      <c r="A320" s="177"/>
      <c r="B320" s="177"/>
      <c r="C320" s="33"/>
      <c r="D320" s="21" t="s">
        <v>318</v>
      </c>
      <c r="E320" s="168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3"/>
      <c r="K320" s="13"/>
    </row>
    <row r="321" spans="1:11" ht="15" customHeight="1" x14ac:dyDescent="0.4">
      <c r="A321" s="177"/>
      <c r="B321" s="177"/>
      <c r="C321" s="33"/>
      <c r="D321" s="21" t="s">
        <v>319</v>
      </c>
      <c r="E321" s="168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3"/>
      <c r="K321" s="13"/>
    </row>
    <row r="322" spans="1:11" ht="15" customHeight="1" x14ac:dyDescent="0.4">
      <c r="A322" s="177"/>
      <c r="B322" s="177"/>
      <c r="C322" s="33"/>
      <c r="D322" s="21" t="s">
        <v>320</v>
      </c>
      <c r="E322" s="168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3"/>
      <c r="K322" s="13"/>
    </row>
    <row r="323" spans="1:11" ht="15" customHeight="1" x14ac:dyDescent="0.4">
      <c r="A323" s="177"/>
      <c r="B323" s="177"/>
      <c r="C323" s="33">
        <v>310</v>
      </c>
      <c r="D323" s="21" t="s">
        <v>321</v>
      </c>
      <c r="E323" s="168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3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3"/>
      <c r="K324" s="13"/>
    </row>
    <row r="325" spans="1:11" ht="15" customHeight="1" x14ac:dyDescent="0.4">
      <c r="A325" s="181" t="s">
        <v>325</v>
      </c>
      <c r="B325" s="181" t="s">
        <v>326</v>
      </c>
      <c r="C325" s="7">
        <v>245</v>
      </c>
      <c r="D325" s="9" t="s">
        <v>327</v>
      </c>
      <c r="E325" s="165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2">
        <v>350</v>
      </c>
      <c r="K325" s="13"/>
    </row>
    <row r="326" spans="1:11" ht="15" customHeight="1" x14ac:dyDescent="0.4">
      <c r="A326" s="175"/>
      <c r="B326" s="175"/>
      <c r="C326" s="7"/>
      <c r="D326" s="9" t="s">
        <v>328</v>
      </c>
      <c r="E326" s="165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2">
        <v>280</v>
      </c>
      <c r="K326" s="13"/>
    </row>
    <row r="327" spans="1:11" ht="15" customHeight="1" x14ac:dyDescent="0.4">
      <c r="A327" s="175"/>
      <c r="B327" s="175"/>
      <c r="C327" s="7"/>
      <c r="D327" s="9" t="s">
        <v>329</v>
      </c>
      <c r="E327" s="165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2">
        <v>330</v>
      </c>
      <c r="K327" s="13"/>
    </row>
    <row r="328" spans="1:11" ht="15" customHeight="1" x14ac:dyDescent="0.4">
      <c r="A328" s="175"/>
      <c r="B328" s="175"/>
      <c r="C328" s="7">
        <v>290</v>
      </c>
      <c r="D328" s="9" t="s">
        <v>327</v>
      </c>
      <c r="E328" s="165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2">
        <v>400</v>
      </c>
      <c r="K328" s="13"/>
    </row>
    <row r="329" spans="1:11" ht="15" customHeight="1" x14ac:dyDescent="0.4">
      <c r="A329" s="175"/>
      <c r="B329" s="175"/>
      <c r="C329" s="7"/>
      <c r="D329" s="9" t="s">
        <v>328</v>
      </c>
      <c r="E329" s="165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2">
        <v>350</v>
      </c>
      <c r="K329" s="13"/>
    </row>
    <row r="330" spans="1:11" ht="15" customHeight="1" x14ac:dyDescent="0.4">
      <c r="A330" s="175"/>
      <c r="B330" s="175"/>
      <c r="C330" s="7"/>
      <c r="D330" s="9" t="s">
        <v>329</v>
      </c>
      <c r="E330" s="165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2">
        <v>380</v>
      </c>
      <c r="K330" s="13"/>
    </row>
    <row r="331" spans="1:11" ht="15" customHeight="1" x14ac:dyDescent="0.4">
      <c r="A331" s="175"/>
      <c r="B331" s="175"/>
      <c r="C331" s="7">
        <v>335</v>
      </c>
      <c r="D331" s="9" t="s">
        <v>327</v>
      </c>
      <c r="E331" s="165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2">
        <v>480</v>
      </c>
      <c r="K331" s="13"/>
    </row>
    <row r="332" spans="1:11" ht="15" customHeight="1" x14ac:dyDescent="0.4">
      <c r="A332" s="175"/>
      <c r="B332" s="175"/>
      <c r="C332" s="7"/>
      <c r="D332" s="9" t="s">
        <v>328</v>
      </c>
      <c r="E332" s="165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2">
        <v>400</v>
      </c>
      <c r="K332" s="13"/>
    </row>
    <row r="333" spans="1:11" ht="15" customHeight="1" x14ac:dyDescent="0.4">
      <c r="A333" s="175"/>
      <c r="B333" s="176"/>
      <c r="C333" s="7"/>
      <c r="D333" s="9" t="s">
        <v>329</v>
      </c>
      <c r="E333" s="165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2">
        <v>450</v>
      </c>
      <c r="K333" s="13"/>
    </row>
    <row r="334" spans="1:11" ht="15" customHeight="1" x14ac:dyDescent="0.4">
      <c r="A334" s="175"/>
      <c r="B334" s="181" t="s">
        <v>330</v>
      </c>
      <c r="C334" s="7">
        <v>245</v>
      </c>
      <c r="D334" s="9" t="s">
        <v>327</v>
      </c>
      <c r="E334" s="165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2">
        <v>350</v>
      </c>
      <c r="K334" s="13"/>
    </row>
    <row r="335" spans="1:11" ht="15" customHeight="1" x14ac:dyDescent="0.4">
      <c r="A335" s="175"/>
      <c r="B335" s="175"/>
      <c r="C335" s="7"/>
      <c r="D335" s="9" t="s">
        <v>328</v>
      </c>
      <c r="E335" s="165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2">
        <v>280</v>
      </c>
      <c r="K335" s="13"/>
    </row>
    <row r="336" spans="1:11" ht="15" customHeight="1" x14ac:dyDescent="0.4">
      <c r="A336" s="175"/>
      <c r="B336" s="175"/>
      <c r="C336" s="7"/>
      <c r="D336" s="9" t="s">
        <v>329</v>
      </c>
      <c r="E336" s="165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2">
        <v>330</v>
      </c>
      <c r="K336" s="13"/>
    </row>
    <row r="337" spans="1:11" ht="15" customHeight="1" x14ac:dyDescent="0.4">
      <c r="A337" s="175"/>
      <c r="B337" s="175"/>
      <c r="C337" s="7">
        <v>290</v>
      </c>
      <c r="D337" s="9" t="s">
        <v>327</v>
      </c>
      <c r="E337" s="165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2">
        <v>400</v>
      </c>
      <c r="K337" s="13"/>
    </row>
    <row r="338" spans="1:11" ht="15" customHeight="1" x14ac:dyDescent="0.4">
      <c r="A338" s="175"/>
      <c r="B338" s="175"/>
      <c r="C338" s="7"/>
      <c r="D338" s="9" t="s">
        <v>328</v>
      </c>
      <c r="E338" s="165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2">
        <v>350</v>
      </c>
      <c r="K338" s="13"/>
    </row>
    <row r="339" spans="1:11" ht="15" customHeight="1" x14ac:dyDescent="0.4">
      <c r="A339" s="175"/>
      <c r="B339" s="175"/>
      <c r="C339" s="7"/>
      <c r="D339" s="9" t="s">
        <v>329</v>
      </c>
      <c r="E339" s="165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2">
        <v>380</v>
      </c>
      <c r="K339" s="13"/>
    </row>
    <row r="340" spans="1:11" ht="15" customHeight="1" x14ac:dyDescent="0.4">
      <c r="A340" s="175"/>
      <c r="B340" s="175"/>
      <c r="C340" s="7">
        <v>335</v>
      </c>
      <c r="D340" s="9" t="s">
        <v>327</v>
      </c>
      <c r="E340" s="165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2">
        <v>480</v>
      </c>
      <c r="K340" s="13"/>
    </row>
    <row r="341" spans="1:11" ht="15" customHeight="1" x14ac:dyDescent="0.4">
      <c r="A341" s="175"/>
      <c r="B341" s="175"/>
      <c r="C341" s="7"/>
      <c r="D341" s="9" t="s">
        <v>328</v>
      </c>
      <c r="E341" s="165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2">
        <v>400</v>
      </c>
      <c r="K341" s="13"/>
    </row>
    <row r="342" spans="1:11" ht="15" customHeight="1" x14ac:dyDescent="0.4">
      <c r="A342" s="175"/>
      <c r="B342" s="176"/>
      <c r="C342" s="7"/>
      <c r="D342" s="9" t="s">
        <v>329</v>
      </c>
      <c r="E342" s="165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2">
        <v>450</v>
      </c>
      <c r="K342" s="13"/>
    </row>
    <row r="343" spans="1:11" ht="15" customHeight="1" x14ac:dyDescent="0.4">
      <c r="A343" s="175"/>
      <c r="B343" s="181" t="s">
        <v>331</v>
      </c>
      <c r="C343" s="7">
        <v>245</v>
      </c>
      <c r="D343" s="9" t="s">
        <v>332</v>
      </c>
      <c r="E343" s="165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2">
        <v>340</v>
      </c>
      <c r="K343" s="13"/>
    </row>
    <row r="344" spans="1:11" ht="15" customHeight="1" x14ac:dyDescent="0.4">
      <c r="A344" s="175"/>
      <c r="B344" s="175"/>
      <c r="C344" s="7">
        <v>290</v>
      </c>
      <c r="D344" s="9" t="s">
        <v>332</v>
      </c>
      <c r="E344" s="165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2">
        <v>390</v>
      </c>
      <c r="K344" s="13"/>
    </row>
    <row r="345" spans="1:11" ht="15" customHeight="1" x14ac:dyDescent="0.4">
      <c r="A345" s="175"/>
      <c r="B345" s="175"/>
      <c r="C345" s="7">
        <v>335</v>
      </c>
      <c r="D345" s="9" t="s">
        <v>332</v>
      </c>
      <c r="E345" s="165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2">
        <v>450</v>
      </c>
      <c r="K345" s="13"/>
    </row>
    <row r="346" spans="1:11" ht="15" customHeight="1" x14ac:dyDescent="0.4">
      <c r="A346" s="175"/>
      <c r="B346" s="175"/>
      <c r="C346" s="14">
        <v>245</v>
      </c>
      <c r="D346" s="9" t="s">
        <v>333</v>
      </c>
      <c r="E346" s="165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2">
        <v>340</v>
      </c>
      <c r="K346" s="13"/>
    </row>
    <row r="347" spans="1:11" ht="15" customHeight="1" x14ac:dyDescent="0.4">
      <c r="A347" s="175"/>
      <c r="B347" s="175"/>
      <c r="C347" s="14">
        <v>290</v>
      </c>
      <c r="D347" s="9" t="s">
        <v>333</v>
      </c>
      <c r="E347" s="165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2">
        <v>420</v>
      </c>
      <c r="K347" s="13"/>
    </row>
    <row r="348" spans="1:11" ht="15" customHeight="1" x14ac:dyDescent="0.4">
      <c r="A348" s="175"/>
      <c r="B348" s="176"/>
      <c r="C348" s="14">
        <v>335</v>
      </c>
      <c r="D348" s="9" t="s">
        <v>333</v>
      </c>
      <c r="E348" s="165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2">
        <v>500</v>
      </c>
      <c r="K348" s="13"/>
    </row>
    <row r="349" spans="1:11" ht="15" customHeight="1" x14ac:dyDescent="0.4">
      <c r="A349" s="175"/>
      <c r="B349" s="177" t="s">
        <v>334</v>
      </c>
      <c r="C349" s="7">
        <v>245</v>
      </c>
      <c r="D349" s="9" t="s">
        <v>333</v>
      </c>
      <c r="E349" s="165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2">
        <v>340</v>
      </c>
      <c r="K349" s="13"/>
    </row>
    <row r="350" spans="1:11" ht="15" customHeight="1" x14ac:dyDescent="0.4">
      <c r="A350" s="175"/>
      <c r="B350" s="177"/>
      <c r="C350" s="7">
        <v>290</v>
      </c>
      <c r="D350" s="9" t="s">
        <v>333</v>
      </c>
      <c r="E350" s="165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2">
        <v>420</v>
      </c>
      <c r="K350" s="13"/>
    </row>
    <row r="351" spans="1:11" ht="15" customHeight="1" x14ac:dyDescent="0.4">
      <c r="A351" s="176"/>
      <c r="B351" s="177"/>
      <c r="C351" s="7">
        <v>335</v>
      </c>
      <c r="D351" s="9" t="s">
        <v>333</v>
      </c>
      <c r="E351" s="165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2">
        <v>500</v>
      </c>
      <c r="K351" s="13"/>
    </row>
    <row r="352" spans="1:11" ht="15" customHeight="1" x14ac:dyDescent="0.4">
      <c r="A352" s="177" t="s">
        <v>335</v>
      </c>
      <c r="B352" s="177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3"/>
      <c r="K352" s="13"/>
    </row>
    <row r="353" spans="1:11" ht="15" customHeight="1" x14ac:dyDescent="0.4">
      <c r="A353" s="177"/>
      <c r="B353" s="177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3"/>
      <c r="K353" s="13"/>
    </row>
    <row r="354" spans="1:11" ht="15" customHeight="1" x14ac:dyDescent="0.4">
      <c r="A354" s="177"/>
      <c r="B354" s="177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3"/>
      <c r="K354" s="13"/>
    </row>
    <row r="355" spans="1:11" ht="15" customHeight="1" x14ac:dyDescent="0.4">
      <c r="A355" s="177"/>
      <c r="B355" s="177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3"/>
      <c r="K355" s="13"/>
    </row>
    <row r="356" spans="1:11" ht="15" customHeight="1" x14ac:dyDescent="0.4">
      <c r="A356" s="177"/>
      <c r="B356" s="177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3"/>
      <c r="K356" s="13"/>
    </row>
    <row r="357" spans="1:11" ht="15" customHeight="1" x14ac:dyDescent="0.4">
      <c r="A357" s="180" t="s">
        <v>341</v>
      </c>
      <c r="B357" s="181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2">
        <v>233</v>
      </c>
      <c r="K357" s="13"/>
    </row>
    <row r="358" spans="1:11" ht="15" customHeight="1" x14ac:dyDescent="0.4">
      <c r="A358" s="183"/>
      <c r="B358" s="175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2">
        <v>295</v>
      </c>
      <c r="K358" s="13"/>
    </row>
    <row r="359" spans="1:11" ht="15" customHeight="1" x14ac:dyDescent="0.4">
      <c r="A359" s="183"/>
      <c r="B359" s="175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2">
        <v>365</v>
      </c>
      <c r="K359" s="13"/>
    </row>
    <row r="360" spans="1:11" ht="15" customHeight="1" x14ac:dyDescent="0.4">
      <c r="A360" s="183"/>
      <c r="B360" s="175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2">
        <v>423</v>
      </c>
      <c r="K360" s="13"/>
    </row>
    <row r="361" spans="1:11" ht="15" customHeight="1" x14ac:dyDescent="0.4">
      <c r="A361" s="183"/>
      <c r="B361" s="175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2">
        <v>494</v>
      </c>
      <c r="K361" s="13"/>
    </row>
    <row r="362" spans="1:11" ht="15" customHeight="1" x14ac:dyDescent="0.4">
      <c r="A362" s="183"/>
      <c r="B362" s="175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2">
        <v>250</v>
      </c>
      <c r="K362" s="13"/>
    </row>
    <row r="363" spans="1:11" ht="15" customHeight="1" x14ac:dyDescent="0.4">
      <c r="A363" s="183"/>
      <c r="B363" s="175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2">
        <v>325</v>
      </c>
      <c r="K363" s="13"/>
    </row>
    <row r="364" spans="1:11" ht="15" customHeight="1" x14ac:dyDescent="0.4">
      <c r="A364" s="183"/>
      <c r="B364" s="175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2">
        <v>375</v>
      </c>
      <c r="K364" s="13"/>
    </row>
    <row r="365" spans="1:11" ht="15" customHeight="1" x14ac:dyDescent="0.4">
      <c r="A365" s="183"/>
      <c r="B365" s="176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2">
        <v>425</v>
      </c>
      <c r="K365" s="13"/>
    </row>
    <row r="366" spans="1:11" ht="15" customHeight="1" x14ac:dyDescent="0.4">
      <c r="A366" s="183"/>
      <c r="B366" s="181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2">
        <v>233</v>
      </c>
      <c r="K366" s="13"/>
    </row>
    <row r="367" spans="1:11" ht="15" customHeight="1" x14ac:dyDescent="0.4">
      <c r="A367" s="183"/>
      <c r="B367" s="175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2">
        <v>295</v>
      </c>
      <c r="K367" s="13"/>
    </row>
    <row r="368" spans="1:11" ht="15" customHeight="1" x14ac:dyDescent="0.4">
      <c r="A368" s="183"/>
      <c r="B368" s="175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2">
        <v>365</v>
      </c>
      <c r="K368" s="13"/>
    </row>
    <row r="369" spans="1:11" ht="15" customHeight="1" x14ac:dyDescent="0.4">
      <c r="A369" s="183"/>
      <c r="B369" s="175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2">
        <v>423</v>
      </c>
      <c r="K369" s="13"/>
    </row>
    <row r="370" spans="1:11" ht="15" customHeight="1" x14ac:dyDescent="0.4">
      <c r="A370" s="183"/>
      <c r="B370" s="175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2">
        <v>494</v>
      </c>
      <c r="K370" s="13"/>
    </row>
    <row r="371" spans="1:11" ht="15" customHeight="1" x14ac:dyDescent="0.4">
      <c r="A371" s="183"/>
      <c r="B371" s="175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2">
        <v>250</v>
      </c>
      <c r="K371" s="13"/>
    </row>
    <row r="372" spans="1:11" ht="15" customHeight="1" x14ac:dyDescent="0.4">
      <c r="A372" s="183"/>
      <c r="B372" s="175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2">
        <v>325</v>
      </c>
      <c r="K372" s="13"/>
    </row>
    <row r="373" spans="1:11" ht="15" customHeight="1" x14ac:dyDescent="0.4">
      <c r="A373" s="183"/>
      <c r="B373" s="175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2">
        <v>375</v>
      </c>
      <c r="K373" s="13"/>
    </row>
    <row r="374" spans="1:11" ht="15" customHeight="1" x14ac:dyDescent="0.4">
      <c r="A374" s="183"/>
      <c r="B374" s="176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2">
        <v>425</v>
      </c>
      <c r="K374" s="13"/>
    </row>
    <row r="375" spans="1:11" ht="15" customHeight="1" x14ac:dyDescent="0.4">
      <c r="A375" s="183"/>
      <c r="B375" s="177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3"/>
      <c r="K375" s="13"/>
    </row>
    <row r="376" spans="1:11" ht="15" customHeight="1" x14ac:dyDescent="0.4">
      <c r="A376" s="183"/>
      <c r="B376" s="177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3"/>
      <c r="K376" s="13"/>
    </row>
    <row r="377" spans="1:11" ht="15" customHeight="1" x14ac:dyDescent="0.4">
      <c r="A377" s="177" t="s">
        <v>348</v>
      </c>
      <c r="B377" s="177" t="s">
        <v>248</v>
      </c>
      <c r="C377" s="33">
        <v>220</v>
      </c>
      <c r="D377" s="21" t="s">
        <v>349</v>
      </c>
      <c r="E377" s="168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3"/>
      <c r="K377" s="13"/>
    </row>
    <row r="378" spans="1:11" ht="15" customHeight="1" x14ac:dyDescent="0.4">
      <c r="A378" s="177"/>
      <c r="B378" s="177"/>
      <c r="C378" s="33">
        <v>300</v>
      </c>
      <c r="D378" s="21" t="s">
        <v>237</v>
      </c>
      <c r="E378" s="168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3"/>
      <c r="K378" s="13"/>
    </row>
    <row r="379" spans="1:11" ht="15" customHeight="1" x14ac:dyDescent="0.4">
      <c r="A379" s="177"/>
      <c r="B379" s="177"/>
      <c r="C379" s="33"/>
      <c r="D379" s="21" t="s">
        <v>350</v>
      </c>
      <c r="E379" s="168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3"/>
      <c r="K379" s="13"/>
    </row>
    <row r="380" spans="1:11" ht="15" customHeight="1" x14ac:dyDescent="0.4">
      <c r="A380" s="177"/>
      <c r="B380" s="7" t="s">
        <v>236</v>
      </c>
      <c r="C380" s="33">
        <v>310</v>
      </c>
      <c r="D380" s="21" t="s">
        <v>351</v>
      </c>
      <c r="E380" s="168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3"/>
      <c r="K380" s="13"/>
    </row>
    <row r="381" spans="1:11" ht="15" customHeight="1" x14ac:dyDescent="0.4">
      <c r="A381" s="24" t="s">
        <v>2908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3">
        <v>85</v>
      </c>
      <c r="K381" s="13"/>
    </row>
    <row r="382" spans="1:11" s="35" customFormat="1" ht="15" customHeight="1" x14ac:dyDescent="0.4">
      <c r="A382" s="178" t="s">
        <v>354</v>
      </c>
      <c r="B382" s="177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2">
        <v>130</v>
      </c>
      <c r="K382" s="13"/>
    </row>
    <row r="383" spans="1:11" s="35" customFormat="1" ht="15" customHeight="1" x14ac:dyDescent="0.4">
      <c r="A383" s="178"/>
      <c r="B383" s="177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2">
        <v>165</v>
      </c>
      <c r="K383" s="13"/>
    </row>
    <row r="384" spans="1:11" s="35" customFormat="1" ht="15" customHeight="1" x14ac:dyDescent="0.4">
      <c r="A384" s="178"/>
      <c r="B384" s="177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2">
        <v>205</v>
      </c>
      <c r="K384" s="13"/>
    </row>
    <row r="385" spans="1:11" s="35" customFormat="1" ht="15" customHeight="1" x14ac:dyDescent="0.4">
      <c r="A385" s="178"/>
      <c r="B385" s="177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2">
        <v>240</v>
      </c>
      <c r="K385" s="13"/>
    </row>
    <row r="386" spans="1:11" s="35" customFormat="1" ht="15" customHeight="1" x14ac:dyDescent="0.4">
      <c r="A386" s="178"/>
      <c r="B386" s="177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2">
        <v>305</v>
      </c>
      <c r="K386" s="13"/>
    </row>
    <row r="387" spans="1:11" s="35" customFormat="1" ht="15" customHeight="1" x14ac:dyDescent="0.4">
      <c r="A387" s="178"/>
      <c r="B387" s="177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2">
        <v>340</v>
      </c>
      <c r="K387" s="13"/>
    </row>
    <row r="388" spans="1:11" s="35" customFormat="1" ht="15" customHeight="1" x14ac:dyDescent="0.4">
      <c r="A388" s="178"/>
      <c r="B388" s="177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2">
        <v>130</v>
      </c>
      <c r="K388" s="13"/>
    </row>
    <row r="389" spans="1:11" s="35" customFormat="1" ht="15" customHeight="1" x14ac:dyDescent="0.4">
      <c r="A389" s="178"/>
      <c r="B389" s="177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2">
        <v>165</v>
      </c>
      <c r="K389" s="13"/>
    </row>
    <row r="390" spans="1:11" s="35" customFormat="1" ht="15" customHeight="1" x14ac:dyDescent="0.4">
      <c r="A390" s="178"/>
      <c r="B390" s="177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2">
        <v>205</v>
      </c>
      <c r="K390" s="13"/>
    </row>
    <row r="391" spans="1:11" s="35" customFormat="1" ht="15" customHeight="1" x14ac:dyDescent="0.4">
      <c r="A391" s="178"/>
      <c r="B391" s="177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2">
        <v>240</v>
      </c>
      <c r="K391" s="13"/>
    </row>
    <row r="392" spans="1:11" s="35" customFormat="1" ht="15" customHeight="1" x14ac:dyDescent="0.4">
      <c r="A392" s="178"/>
      <c r="B392" s="177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2">
        <v>305</v>
      </c>
      <c r="K392" s="13"/>
    </row>
    <row r="393" spans="1:11" s="35" customFormat="1" ht="15" customHeight="1" x14ac:dyDescent="0.4">
      <c r="A393" s="178"/>
      <c r="B393" s="177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2">
        <v>340</v>
      </c>
      <c r="K393" s="13"/>
    </row>
    <row r="394" spans="1:11" ht="15" customHeight="1" x14ac:dyDescent="0.4">
      <c r="A394" s="178" t="s">
        <v>357</v>
      </c>
      <c r="B394" s="177" t="s">
        <v>352</v>
      </c>
      <c r="C394" s="33">
        <v>245</v>
      </c>
      <c r="D394" s="21" t="s">
        <v>358</v>
      </c>
      <c r="E394" s="168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3"/>
      <c r="K394" s="13"/>
    </row>
    <row r="395" spans="1:11" ht="15" customHeight="1" x14ac:dyDescent="0.4">
      <c r="A395" s="177"/>
      <c r="B395" s="177"/>
      <c r="C395" s="33">
        <v>300</v>
      </c>
      <c r="D395" s="21" t="s">
        <v>359</v>
      </c>
      <c r="E395" s="168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3"/>
      <c r="K395" s="13"/>
    </row>
    <row r="396" spans="1:11" ht="15" customHeight="1" x14ac:dyDescent="0.4">
      <c r="A396" s="177"/>
      <c r="B396" s="177"/>
      <c r="C396" s="33">
        <v>360</v>
      </c>
      <c r="D396" s="21" t="s">
        <v>360</v>
      </c>
      <c r="E396" s="168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3"/>
      <c r="K396" s="13"/>
    </row>
    <row r="397" spans="1:11" ht="15" customHeight="1" x14ac:dyDescent="0.4">
      <c r="A397" s="178" t="s">
        <v>361</v>
      </c>
      <c r="B397" s="181" t="s">
        <v>213</v>
      </c>
      <c r="C397" s="16">
        <v>128</v>
      </c>
      <c r="D397" s="29" t="s">
        <v>362</v>
      </c>
      <c r="E397" s="165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3"/>
      <c r="K397" s="13"/>
    </row>
    <row r="398" spans="1:11" ht="15" customHeight="1" x14ac:dyDescent="0.4">
      <c r="A398" s="177"/>
      <c r="B398" s="175"/>
      <c r="C398" s="16"/>
      <c r="D398" s="29" t="s">
        <v>363</v>
      </c>
      <c r="E398" s="165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3"/>
      <c r="K398" s="13"/>
    </row>
    <row r="399" spans="1:11" ht="15" customHeight="1" x14ac:dyDescent="0.4">
      <c r="A399" s="177"/>
      <c r="B399" s="175"/>
      <c r="C399" s="16">
        <v>120</v>
      </c>
      <c r="D399" s="29" t="s">
        <v>364</v>
      </c>
      <c r="E399" s="165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3"/>
      <c r="K399" s="13"/>
    </row>
    <row r="400" spans="1:11" ht="15" customHeight="1" x14ac:dyDescent="0.4">
      <c r="A400" s="177"/>
      <c r="B400" s="177" t="s">
        <v>216</v>
      </c>
      <c r="C400" s="16">
        <v>128</v>
      </c>
      <c r="D400" s="29" t="s">
        <v>365</v>
      </c>
      <c r="E400" s="165">
        <v>0</v>
      </c>
      <c r="G400" s="8"/>
      <c r="H400" s="11"/>
      <c r="I400" s="12"/>
      <c r="J400" s="153"/>
      <c r="K400" s="13"/>
    </row>
    <row r="401" spans="1:11" ht="15" customHeight="1" x14ac:dyDescent="0.4">
      <c r="A401" s="177"/>
      <c r="B401" s="177"/>
      <c r="C401" s="16">
        <v>120</v>
      </c>
      <c r="D401" s="29" t="s">
        <v>364</v>
      </c>
      <c r="E401" s="165">
        <v>0</v>
      </c>
      <c r="G401" s="8"/>
      <c r="H401" s="11"/>
      <c r="I401" s="12"/>
      <c r="J401" s="153"/>
      <c r="K401" s="13"/>
    </row>
    <row r="402" spans="1:11" ht="15" customHeight="1" x14ac:dyDescent="0.4">
      <c r="A402" s="177"/>
      <c r="B402" s="177" t="s">
        <v>366</v>
      </c>
      <c r="C402" s="16">
        <v>128</v>
      </c>
      <c r="D402" s="29" t="s">
        <v>367</v>
      </c>
      <c r="E402" s="165">
        <v>0</v>
      </c>
      <c r="G402" s="8"/>
      <c r="H402" s="11"/>
      <c r="I402" s="12"/>
      <c r="J402" s="153"/>
      <c r="K402" s="13"/>
    </row>
    <row r="403" spans="1:11" ht="15" customHeight="1" x14ac:dyDescent="0.4">
      <c r="A403" s="177"/>
      <c r="B403" s="177"/>
      <c r="C403" s="16">
        <v>120</v>
      </c>
      <c r="D403" s="29" t="s">
        <v>364</v>
      </c>
      <c r="E403" s="165">
        <v>0</v>
      </c>
      <c r="G403" s="8"/>
      <c r="H403" s="11"/>
      <c r="I403" s="12"/>
      <c r="J403" s="153"/>
      <c r="K403" s="13"/>
    </row>
    <row r="404" spans="1:11" ht="15" customHeight="1" x14ac:dyDescent="0.4">
      <c r="A404" s="180" t="s">
        <v>368</v>
      </c>
      <c r="B404" s="138" t="s">
        <v>27</v>
      </c>
      <c r="C404" s="7">
        <v>110</v>
      </c>
      <c r="D404" s="9"/>
      <c r="E404" s="165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3"/>
      <c r="K404" s="13"/>
    </row>
    <row r="405" spans="1:11" ht="15" customHeight="1" x14ac:dyDescent="0.4">
      <c r="A405" s="183"/>
      <c r="B405" s="138" t="s">
        <v>27</v>
      </c>
      <c r="C405" s="7">
        <v>127</v>
      </c>
      <c r="D405" s="9"/>
      <c r="E405" s="165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3"/>
      <c r="K405" s="13"/>
    </row>
    <row r="406" spans="1:11" ht="15" customHeight="1" x14ac:dyDescent="0.4">
      <c r="A406" s="183"/>
      <c r="B406" s="138" t="s">
        <v>27</v>
      </c>
      <c r="C406" s="7">
        <v>150</v>
      </c>
      <c r="D406" s="9"/>
      <c r="E406" s="165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3"/>
      <c r="K406" s="13"/>
    </row>
    <row r="407" spans="1:11" ht="15" customHeight="1" x14ac:dyDescent="0.4">
      <c r="A407" s="183"/>
      <c r="B407" s="138" t="s">
        <v>27</v>
      </c>
      <c r="C407" s="7">
        <v>161</v>
      </c>
      <c r="D407" s="9"/>
      <c r="E407" s="165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3"/>
      <c r="K407" s="13"/>
    </row>
    <row r="408" spans="1:11" ht="15" customHeight="1" x14ac:dyDescent="0.4">
      <c r="A408" s="183"/>
      <c r="B408" s="138" t="s">
        <v>27</v>
      </c>
      <c r="C408" s="7">
        <v>175</v>
      </c>
      <c r="D408" s="36"/>
      <c r="E408" s="165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3"/>
      <c r="K408" s="13"/>
    </row>
    <row r="409" spans="1:11" ht="15" customHeight="1" x14ac:dyDescent="0.4">
      <c r="A409" s="183"/>
      <c r="B409" s="138" t="s">
        <v>27</v>
      </c>
      <c r="C409" s="7">
        <v>200</v>
      </c>
      <c r="D409" s="36"/>
      <c r="E409" s="165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3"/>
      <c r="K409" s="13"/>
    </row>
    <row r="410" spans="1:11" ht="15" customHeight="1" x14ac:dyDescent="0.4">
      <c r="A410" s="183"/>
      <c r="B410" s="138" t="s">
        <v>27</v>
      </c>
      <c r="C410" s="7">
        <v>225</v>
      </c>
      <c r="D410" s="36"/>
      <c r="E410" s="165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3"/>
      <c r="K410" s="13"/>
    </row>
    <row r="411" spans="1:11" ht="15" customHeight="1" x14ac:dyDescent="0.4">
      <c r="A411" s="183"/>
      <c r="B411" s="138" t="s">
        <v>27</v>
      </c>
      <c r="C411" s="7">
        <v>250</v>
      </c>
      <c r="D411" s="36"/>
      <c r="E411" s="165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3"/>
      <c r="K411" s="13"/>
    </row>
    <row r="412" spans="1:11" ht="15" customHeight="1" x14ac:dyDescent="0.4">
      <c r="A412" s="183"/>
      <c r="B412" s="138" t="s">
        <v>27</v>
      </c>
      <c r="C412" s="7">
        <v>280</v>
      </c>
      <c r="D412" s="36"/>
      <c r="E412" s="165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3"/>
      <c r="K412" s="13"/>
    </row>
    <row r="413" spans="1:11" ht="15" customHeight="1" x14ac:dyDescent="0.4">
      <c r="A413" s="183"/>
      <c r="B413" s="138" t="s">
        <v>27</v>
      </c>
      <c r="C413" s="7">
        <v>300</v>
      </c>
      <c r="D413" s="36"/>
      <c r="E413" s="165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3"/>
      <c r="K413" s="13"/>
    </row>
    <row r="414" spans="1:11" ht="15" customHeight="1" x14ac:dyDescent="0.4">
      <c r="A414" s="183"/>
      <c r="B414" s="138" t="s">
        <v>27</v>
      </c>
      <c r="C414" s="7">
        <v>337</v>
      </c>
      <c r="D414" s="36"/>
      <c r="E414" s="165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3"/>
      <c r="K414" s="13"/>
    </row>
    <row r="415" spans="1:11" ht="15" customHeight="1" x14ac:dyDescent="0.4">
      <c r="A415" s="183"/>
      <c r="B415" s="138" t="s">
        <v>27</v>
      </c>
      <c r="C415" s="7">
        <v>440</v>
      </c>
      <c r="D415" s="36"/>
      <c r="E415" s="165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3"/>
      <c r="K415" s="13"/>
    </row>
    <row r="416" spans="1:11" ht="15" customHeight="1" x14ac:dyDescent="0.4">
      <c r="A416" s="183"/>
      <c r="B416" s="138" t="s">
        <v>27</v>
      </c>
      <c r="C416" s="7">
        <v>469</v>
      </c>
      <c r="D416" s="36"/>
      <c r="E416" s="165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3"/>
      <c r="K416" s="13"/>
    </row>
    <row r="417" spans="1:11" ht="15" customHeight="1" x14ac:dyDescent="0.4">
      <c r="A417" s="183"/>
      <c r="B417" s="138" t="s">
        <v>353</v>
      </c>
      <c r="C417" s="7">
        <v>161</v>
      </c>
      <c r="D417" s="36"/>
      <c r="E417" s="165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3"/>
      <c r="K417" s="13"/>
    </row>
    <row r="418" spans="1:11" ht="15" customHeight="1" x14ac:dyDescent="0.4">
      <c r="A418" s="183"/>
      <c r="B418" s="138" t="s">
        <v>353</v>
      </c>
      <c r="C418" s="7">
        <v>175</v>
      </c>
      <c r="D418" s="36"/>
      <c r="E418" s="165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3"/>
      <c r="K418" s="13"/>
    </row>
    <row r="419" spans="1:11" ht="15" customHeight="1" x14ac:dyDescent="0.4">
      <c r="A419" s="183"/>
      <c r="B419" s="138" t="s">
        <v>353</v>
      </c>
      <c r="C419" s="7">
        <v>200</v>
      </c>
      <c r="D419" s="36"/>
      <c r="E419" s="165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3"/>
      <c r="K419" s="13"/>
    </row>
    <row r="420" spans="1:11" ht="15" customHeight="1" x14ac:dyDescent="0.4">
      <c r="A420" s="183"/>
      <c r="B420" s="138" t="s">
        <v>353</v>
      </c>
      <c r="C420" s="7">
        <v>225</v>
      </c>
      <c r="D420" s="36"/>
      <c r="E420" s="165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3"/>
      <c r="K420" s="13"/>
    </row>
    <row r="421" spans="1:11" ht="15" customHeight="1" x14ac:dyDescent="0.4">
      <c r="A421" s="183"/>
      <c r="B421" s="138" t="s">
        <v>353</v>
      </c>
      <c r="C421" s="7">
        <v>250</v>
      </c>
      <c r="D421" s="36"/>
      <c r="E421" s="165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3"/>
      <c r="K421" s="13"/>
    </row>
    <row r="422" spans="1:11" ht="15" customHeight="1" x14ac:dyDescent="0.4">
      <c r="A422" s="183"/>
      <c r="B422" s="138" t="s">
        <v>353</v>
      </c>
      <c r="C422" s="14">
        <v>280</v>
      </c>
      <c r="D422" s="36"/>
      <c r="E422" s="165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3"/>
      <c r="K422" s="13"/>
    </row>
    <row r="423" spans="1:11" ht="15" customHeight="1" x14ac:dyDescent="0.4">
      <c r="A423" s="183"/>
      <c r="B423" s="138" t="s">
        <v>353</v>
      </c>
      <c r="C423" s="7">
        <v>300</v>
      </c>
      <c r="D423" s="36"/>
      <c r="E423" s="165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3"/>
      <c r="K423" s="13"/>
    </row>
    <row r="424" spans="1:11" ht="15" customHeight="1" x14ac:dyDescent="0.4">
      <c r="A424" s="183"/>
      <c r="B424" s="138" t="s">
        <v>353</v>
      </c>
      <c r="C424" s="7">
        <v>337</v>
      </c>
      <c r="D424" s="36"/>
      <c r="E424" s="165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3"/>
      <c r="K424" s="13"/>
    </row>
    <row r="425" spans="1:11" ht="15" customHeight="1" x14ac:dyDescent="0.4">
      <c r="A425" s="183"/>
      <c r="B425" s="138" t="s">
        <v>353</v>
      </c>
      <c r="C425" s="7">
        <v>440</v>
      </c>
      <c r="D425" s="36"/>
      <c r="E425" s="165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3"/>
      <c r="K425" s="13"/>
    </row>
    <row r="426" spans="1:11" ht="15" customHeight="1" x14ac:dyDescent="0.4">
      <c r="A426" s="183"/>
      <c r="B426" s="138" t="s">
        <v>353</v>
      </c>
      <c r="C426" s="7">
        <v>469</v>
      </c>
      <c r="D426" s="36"/>
      <c r="E426" s="165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3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3"/>
      <c r="K427" s="13"/>
    </row>
    <row r="428" spans="1:11" ht="15" customHeight="1" x14ac:dyDescent="0.4">
      <c r="A428" s="177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3"/>
      <c r="K428" s="13"/>
    </row>
    <row r="429" spans="1:11" ht="15" customHeight="1" x14ac:dyDescent="0.4">
      <c r="A429" s="177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3"/>
      <c r="K429" s="13"/>
    </row>
    <row r="430" spans="1:11" ht="15" customHeight="1" x14ac:dyDescent="0.4">
      <c r="A430" s="181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3"/>
      <c r="K430" s="13"/>
    </row>
    <row r="431" spans="1:11" ht="15" customHeight="1" x14ac:dyDescent="0.4">
      <c r="A431" s="176"/>
      <c r="B431" s="19" t="s">
        <v>378</v>
      </c>
      <c r="C431" s="20"/>
      <c r="D431" s="21" t="s">
        <v>379</v>
      </c>
      <c r="G431" s="8"/>
      <c r="H431" s="11"/>
      <c r="I431" s="12"/>
      <c r="J431" s="153"/>
      <c r="K431" s="13"/>
    </row>
    <row r="432" spans="1:11" ht="15" customHeight="1" x14ac:dyDescent="0.4">
      <c r="A432" s="177" t="s">
        <v>380</v>
      </c>
      <c r="B432" s="181" t="s">
        <v>213</v>
      </c>
      <c r="C432" s="14">
        <v>70</v>
      </c>
      <c r="D432" s="9" t="s">
        <v>381</v>
      </c>
      <c r="E432" s="165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3"/>
      <c r="K432" s="13"/>
    </row>
    <row r="433" spans="1:11" ht="15" customHeight="1" x14ac:dyDescent="0.4">
      <c r="A433" s="177"/>
      <c r="B433" s="175"/>
      <c r="C433" s="7">
        <v>90</v>
      </c>
      <c r="D433" s="9" t="s">
        <v>382</v>
      </c>
      <c r="E433" s="165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3"/>
      <c r="K433" s="13"/>
    </row>
    <row r="434" spans="1:11" ht="15" customHeight="1" x14ac:dyDescent="0.4">
      <c r="A434" s="177"/>
      <c r="B434" s="175"/>
      <c r="C434" s="7">
        <v>105</v>
      </c>
      <c r="D434" s="9" t="s">
        <v>383</v>
      </c>
      <c r="E434" s="165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3"/>
      <c r="K434" s="13"/>
    </row>
    <row r="435" spans="1:11" ht="15" customHeight="1" x14ac:dyDescent="0.4">
      <c r="A435" s="177"/>
      <c r="B435" s="175"/>
      <c r="C435" s="7">
        <v>157</v>
      </c>
      <c r="D435" s="9" t="s">
        <v>384</v>
      </c>
      <c r="E435" s="165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3"/>
      <c r="K435" s="13"/>
    </row>
    <row r="436" spans="1:11" ht="15" customHeight="1" x14ac:dyDescent="0.4">
      <c r="A436" s="177"/>
      <c r="B436" s="175"/>
      <c r="C436" s="7">
        <v>209</v>
      </c>
      <c r="D436" s="9" t="s">
        <v>385</v>
      </c>
      <c r="E436" s="165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3"/>
      <c r="K436" s="13"/>
    </row>
    <row r="437" spans="1:11" ht="15" customHeight="1" x14ac:dyDescent="0.4">
      <c r="A437" s="177"/>
      <c r="B437" s="175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3"/>
      <c r="K437" s="13"/>
    </row>
    <row r="438" spans="1:11" ht="15" customHeight="1" x14ac:dyDescent="0.4">
      <c r="A438" s="177"/>
      <c r="B438" s="175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3"/>
      <c r="K438" s="13"/>
    </row>
    <row r="439" spans="1:11" ht="15" customHeight="1" x14ac:dyDescent="0.4">
      <c r="A439" s="177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3"/>
      <c r="K439" s="13"/>
    </row>
    <row r="440" spans="1:11" ht="15" customHeight="1" x14ac:dyDescent="0.4">
      <c r="A440" s="178" t="s">
        <v>389</v>
      </c>
      <c r="B440" s="177" t="s">
        <v>255</v>
      </c>
      <c r="C440" s="7">
        <v>330</v>
      </c>
      <c r="D440" s="9" t="s">
        <v>390</v>
      </c>
      <c r="E440" s="165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2">
        <v>500</v>
      </c>
      <c r="K440" s="13"/>
    </row>
    <row r="441" spans="1:11" ht="15" customHeight="1" x14ac:dyDescent="0.4">
      <c r="A441" s="177"/>
      <c r="B441" s="177"/>
      <c r="C441" s="7"/>
      <c r="D441" s="9" t="s">
        <v>391</v>
      </c>
      <c r="E441" s="165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2">
        <v>500</v>
      </c>
      <c r="K441" s="13"/>
    </row>
    <row r="442" spans="1:11" ht="15" customHeight="1" x14ac:dyDescent="0.4">
      <c r="A442" s="177"/>
      <c r="B442" s="177"/>
      <c r="C442" s="7">
        <v>430</v>
      </c>
      <c r="D442" s="9" t="s">
        <v>392</v>
      </c>
      <c r="E442" s="165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2">
        <v>700</v>
      </c>
      <c r="K442" s="13"/>
    </row>
    <row r="443" spans="1:11" ht="15" customHeight="1" x14ac:dyDescent="0.4">
      <c r="A443" s="177"/>
      <c r="B443" s="177"/>
      <c r="C443" s="7"/>
      <c r="D443" s="9" t="s">
        <v>393</v>
      </c>
      <c r="E443" s="165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2">
        <v>700</v>
      </c>
      <c r="K443" s="13"/>
    </row>
    <row r="444" spans="1:11" ht="15" customHeight="1" x14ac:dyDescent="0.4">
      <c r="A444" s="177"/>
      <c r="B444" s="177"/>
      <c r="C444" s="7">
        <v>600</v>
      </c>
      <c r="D444" s="9" t="s">
        <v>394</v>
      </c>
      <c r="E444" s="165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2">
        <v>950</v>
      </c>
      <c r="K444" s="13"/>
    </row>
    <row r="445" spans="1:11" ht="15" customHeight="1" x14ac:dyDescent="0.4">
      <c r="A445" s="177"/>
      <c r="B445" s="177"/>
      <c r="C445" s="7"/>
      <c r="D445" s="9" t="s">
        <v>391</v>
      </c>
      <c r="E445" s="165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2">
        <v>950</v>
      </c>
      <c r="K445" s="13"/>
    </row>
    <row r="446" spans="1:11" ht="15" customHeight="1" x14ac:dyDescent="0.4">
      <c r="A446" s="177" t="s">
        <v>395</v>
      </c>
      <c r="B446" s="177" t="s">
        <v>236</v>
      </c>
      <c r="C446" s="33">
        <v>100</v>
      </c>
      <c r="D446" s="21" t="s">
        <v>396</v>
      </c>
      <c r="E446" s="168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3"/>
      <c r="K446" s="13"/>
    </row>
    <row r="447" spans="1:11" ht="15" customHeight="1" x14ac:dyDescent="0.4">
      <c r="A447" s="177"/>
      <c r="B447" s="177"/>
      <c r="C447" s="33"/>
      <c r="D447" s="21" t="s">
        <v>397</v>
      </c>
      <c r="E447" s="168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3"/>
      <c r="K447" s="13"/>
    </row>
    <row r="448" spans="1:11" ht="15" customHeight="1" x14ac:dyDescent="0.4">
      <c r="A448" s="177"/>
      <c r="B448" s="177"/>
      <c r="C448" s="33">
        <v>300</v>
      </c>
      <c r="D448" s="21" t="s">
        <v>398</v>
      </c>
      <c r="E448" s="168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3"/>
      <c r="K448" s="13"/>
    </row>
    <row r="449" spans="1:11" ht="15" customHeight="1" x14ac:dyDescent="0.4">
      <c r="A449" s="177"/>
      <c r="B449" s="177"/>
      <c r="C449" s="33"/>
      <c r="D449" s="21" t="s">
        <v>399</v>
      </c>
      <c r="E449" s="168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3"/>
      <c r="K449" s="13"/>
    </row>
    <row r="450" spans="1:11" ht="15" customHeight="1" x14ac:dyDescent="0.4">
      <c r="A450" s="177"/>
      <c r="B450" s="177"/>
      <c r="C450" s="33"/>
      <c r="D450" s="21" t="s">
        <v>400</v>
      </c>
      <c r="E450" s="168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3"/>
      <c r="K450" s="13"/>
    </row>
    <row r="451" spans="1:11" ht="15" customHeight="1" x14ac:dyDescent="0.4">
      <c r="A451" s="177"/>
      <c r="B451" s="177"/>
      <c r="C451" s="33"/>
      <c r="D451" s="21" t="s">
        <v>401</v>
      </c>
      <c r="E451" s="168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3"/>
      <c r="K451" s="13"/>
    </row>
    <row r="452" spans="1:11" ht="15" customHeight="1" x14ac:dyDescent="0.4">
      <c r="A452" s="177"/>
      <c r="B452" s="177"/>
      <c r="C452" s="33">
        <v>400</v>
      </c>
      <c r="D452" s="21" t="s">
        <v>402</v>
      </c>
      <c r="E452" s="168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3"/>
      <c r="K452" s="13"/>
    </row>
    <row r="453" spans="1:11" ht="15" customHeight="1" x14ac:dyDescent="0.4">
      <c r="A453" s="177"/>
      <c r="B453" s="177"/>
      <c r="C453" s="33"/>
      <c r="D453" s="21" t="s">
        <v>403</v>
      </c>
      <c r="E453" s="168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3"/>
      <c r="K453" s="13"/>
    </row>
    <row r="454" spans="1:11" ht="15" customHeight="1" x14ac:dyDescent="0.4">
      <c r="A454" s="178" t="s">
        <v>404</v>
      </c>
      <c r="B454" s="177" t="s">
        <v>22</v>
      </c>
      <c r="C454" s="33">
        <v>174</v>
      </c>
      <c r="D454" s="21" t="s">
        <v>405</v>
      </c>
      <c r="E454" s="168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3"/>
      <c r="K454" s="13"/>
    </row>
    <row r="455" spans="1:11" ht="15" customHeight="1" x14ac:dyDescent="0.4">
      <c r="A455" s="178"/>
      <c r="B455" s="177"/>
      <c r="C455" s="33">
        <v>209</v>
      </c>
      <c r="D455" s="21" t="s">
        <v>406</v>
      </c>
      <c r="E455" s="168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3"/>
      <c r="K455" s="13"/>
    </row>
    <row r="456" spans="1:11" ht="15" customHeight="1" x14ac:dyDescent="0.4">
      <c r="A456" s="178"/>
      <c r="B456" s="177"/>
      <c r="C456" s="33"/>
      <c r="D456" s="21" t="s">
        <v>407</v>
      </c>
      <c r="E456" s="168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3"/>
      <c r="K456" s="13"/>
    </row>
    <row r="457" spans="1:11" ht="15" customHeight="1" x14ac:dyDescent="0.4">
      <c r="A457" s="178"/>
      <c r="B457" s="177"/>
      <c r="C457" s="33"/>
      <c r="D457" s="21" t="s">
        <v>408</v>
      </c>
      <c r="E457" s="168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3"/>
      <c r="K457" s="13"/>
    </row>
    <row r="458" spans="1:11" ht="15" customHeight="1" x14ac:dyDescent="0.4">
      <c r="A458" s="178"/>
      <c r="B458" s="177"/>
      <c r="C458" s="20">
        <v>221</v>
      </c>
      <c r="D458" s="21" t="s">
        <v>409</v>
      </c>
      <c r="E458" s="168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3"/>
      <c r="K458" s="13"/>
    </row>
    <row r="459" spans="1:11" ht="15" customHeight="1" x14ac:dyDescent="0.4">
      <c r="A459" s="178"/>
      <c r="B459" s="177"/>
      <c r="C459" s="33">
        <v>244</v>
      </c>
      <c r="D459" s="21" t="s">
        <v>410</v>
      </c>
      <c r="E459" s="168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3"/>
      <c r="K459" s="13"/>
    </row>
    <row r="460" spans="1:11" ht="15" customHeight="1" x14ac:dyDescent="0.4">
      <c r="A460" s="178"/>
      <c r="B460" s="177"/>
      <c r="C460" s="33">
        <v>250</v>
      </c>
      <c r="D460" s="21" t="s">
        <v>411</v>
      </c>
      <c r="E460" s="168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3"/>
      <c r="K460" s="13"/>
    </row>
    <row r="461" spans="1:11" ht="15" customHeight="1" x14ac:dyDescent="0.4">
      <c r="A461" s="180" t="s">
        <v>412</v>
      </c>
      <c r="B461" s="38" t="s">
        <v>413</v>
      </c>
      <c r="C461" s="39">
        <v>240</v>
      </c>
      <c r="D461" s="40" t="s">
        <v>414</v>
      </c>
      <c r="E461" s="165">
        <v>0</v>
      </c>
      <c r="G461" s="41"/>
      <c r="H461" s="11"/>
      <c r="I461" s="12"/>
      <c r="J461" s="153"/>
      <c r="K461" s="13"/>
    </row>
    <row r="462" spans="1:11" ht="15" customHeight="1" x14ac:dyDescent="0.4">
      <c r="A462" s="183"/>
      <c r="B462" s="206" t="s">
        <v>413</v>
      </c>
      <c r="C462" s="42"/>
      <c r="D462" s="43" t="s">
        <v>415</v>
      </c>
      <c r="E462" s="165">
        <v>0</v>
      </c>
      <c r="G462" s="41"/>
      <c r="H462" s="11"/>
      <c r="I462" s="12"/>
      <c r="J462" s="155">
        <v>150</v>
      </c>
      <c r="K462" s="13"/>
    </row>
    <row r="463" spans="1:11" ht="15" customHeight="1" x14ac:dyDescent="0.4">
      <c r="A463" s="183"/>
      <c r="B463" s="208"/>
      <c r="C463" s="42"/>
      <c r="D463" s="43" t="s">
        <v>415</v>
      </c>
      <c r="E463" s="165">
        <v>0</v>
      </c>
      <c r="G463" s="41"/>
      <c r="H463" s="11"/>
      <c r="I463" s="12"/>
      <c r="J463" s="155">
        <v>200</v>
      </c>
      <c r="K463" s="13"/>
    </row>
    <row r="464" spans="1:11" ht="15" customHeight="1" x14ac:dyDescent="0.4">
      <c r="A464" s="183"/>
      <c r="B464" s="208"/>
      <c r="C464" s="42"/>
      <c r="D464" s="43" t="s">
        <v>415</v>
      </c>
      <c r="E464" s="165">
        <v>0</v>
      </c>
      <c r="G464" s="41"/>
      <c r="H464" s="11"/>
      <c r="I464" s="12"/>
      <c r="J464" s="155">
        <v>250</v>
      </c>
      <c r="K464" s="13"/>
    </row>
    <row r="465" spans="1:11" ht="15" customHeight="1" x14ac:dyDescent="0.4">
      <c r="A465" s="183"/>
      <c r="B465" s="208"/>
      <c r="C465" s="42"/>
      <c r="D465" s="43" t="s">
        <v>415</v>
      </c>
      <c r="E465" s="165">
        <v>0</v>
      </c>
      <c r="G465" s="41"/>
      <c r="H465" s="11"/>
      <c r="I465" s="12"/>
      <c r="J465" s="155">
        <v>300</v>
      </c>
      <c r="K465" s="13"/>
    </row>
    <row r="466" spans="1:11" ht="15" customHeight="1" x14ac:dyDescent="0.4">
      <c r="A466" s="183"/>
      <c r="B466" s="196" t="s">
        <v>417</v>
      </c>
      <c r="C466" s="42"/>
      <c r="D466" s="44" t="s">
        <v>416</v>
      </c>
      <c r="E466" s="167">
        <v>0</v>
      </c>
      <c r="G466" s="41"/>
      <c r="H466" s="11"/>
      <c r="I466" s="12"/>
      <c r="J466" s="155">
        <v>150</v>
      </c>
      <c r="K466" s="13"/>
    </row>
    <row r="467" spans="1:11" ht="15" customHeight="1" x14ac:dyDescent="0.4">
      <c r="A467" s="183"/>
      <c r="B467" s="196"/>
      <c r="C467" s="42"/>
      <c r="D467" s="43" t="s">
        <v>415</v>
      </c>
      <c r="E467" s="165">
        <v>0</v>
      </c>
      <c r="G467" s="41"/>
      <c r="H467" s="11"/>
      <c r="I467" s="12"/>
      <c r="J467" s="155">
        <v>200</v>
      </c>
      <c r="K467" s="13"/>
    </row>
    <row r="468" spans="1:11" ht="15" customHeight="1" x14ac:dyDescent="0.4">
      <c r="A468" s="183"/>
      <c r="B468" s="196"/>
      <c r="C468" s="42"/>
      <c r="D468" s="43" t="s">
        <v>415</v>
      </c>
      <c r="E468" s="165">
        <v>0</v>
      </c>
      <c r="G468" s="41"/>
      <c r="H468" s="11"/>
      <c r="I468" s="12"/>
      <c r="J468" s="155">
        <v>250</v>
      </c>
      <c r="K468" s="13"/>
    </row>
    <row r="469" spans="1:11" ht="15" customHeight="1" x14ac:dyDescent="0.4">
      <c r="A469" s="183"/>
      <c r="B469" s="196"/>
      <c r="C469" s="42"/>
      <c r="D469" s="43" t="s">
        <v>415</v>
      </c>
      <c r="E469" s="165">
        <v>0</v>
      </c>
      <c r="G469" s="41"/>
      <c r="H469" s="11"/>
      <c r="I469" s="12"/>
      <c r="J469" s="155">
        <v>300</v>
      </c>
      <c r="K469" s="13"/>
    </row>
    <row r="470" spans="1:11" s="48" customFormat="1" ht="15" customHeight="1" x14ac:dyDescent="0.4">
      <c r="A470" s="183"/>
      <c r="B470" s="206" t="s">
        <v>418</v>
      </c>
      <c r="C470" s="45">
        <v>256</v>
      </c>
      <c r="D470" s="43" t="s">
        <v>415</v>
      </c>
      <c r="E470" s="165">
        <v>0</v>
      </c>
      <c r="F470" s="1"/>
      <c r="G470" s="41"/>
      <c r="H470" s="11"/>
      <c r="I470" s="12"/>
      <c r="J470" s="153"/>
      <c r="K470" s="13"/>
    </row>
    <row r="471" spans="1:11" ht="15" customHeight="1" x14ac:dyDescent="0.4">
      <c r="A471" s="183"/>
      <c r="B471" s="208"/>
      <c r="C471" s="45">
        <v>128</v>
      </c>
      <c r="D471" s="46" t="s">
        <v>419</v>
      </c>
      <c r="E471" s="168">
        <v>0</v>
      </c>
      <c r="G471" s="41"/>
      <c r="H471" s="11"/>
      <c r="I471" s="12"/>
      <c r="J471" s="153"/>
      <c r="K471" s="13"/>
    </row>
    <row r="472" spans="1:11" ht="15" customHeight="1" x14ac:dyDescent="0.4">
      <c r="A472" s="183"/>
      <c r="B472" s="207"/>
      <c r="C472" s="45">
        <v>157</v>
      </c>
      <c r="D472" s="46" t="s">
        <v>420</v>
      </c>
      <c r="E472" s="168">
        <v>0</v>
      </c>
      <c r="G472" s="41"/>
      <c r="H472" s="11"/>
      <c r="I472" s="12"/>
      <c r="J472" s="153"/>
      <c r="K472" s="13"/>
    </row>
    <row r="473" spans="1:11" s="1" customFormat="1" ht="15" customHeight="1" x14ac:dyDescent="0.4">
      <c r="A473" s="183"/>
      <c r="B473" s="38" t="s">
        <v>421</v>
      </c>
      <c r="C473" s="49">
        <v>150</v>
      </c>
      <c r="D473" s="46" t="s">
        <v>420</v>
      </c>
      <c r="E473" s="168">
        <v>0</v>
      </c>
      <c r="G473" s="41"/>
      <c r="H473" s="11"/>
      <c r="I473" s="12"/>
      <c r="J473" s="153"/>
      <c r="K473" s="13"/>
    </row>
    <row r="474" spans="1:11" s="1" customFormat="1" ht="15" customHeight="1" x14ac:dyDescent="0.4">
      <c r="A474" s="183"/>
      <c r="B474" s="196" t="s">
        <v>423</v>
      </c>
      <c r="C474" s="49">
        <v>200</v>
      </c>
      <c r="D474" s="50" t="s">
        <v>422</v>
      </c>
      <c r="E474" s="168">
        <v>0</v>
      </c>
      <c r="G474" s="41"/>
      <c r="H474" s="11"/>
      <c r="I474" s="12"/>
      <c r="J474" s="153"/>
      <c r="K474" s="13"/>
    </row>
    <row r="475" spans="1:11" s="1" customFormat="1" ht="15" customHeight="1" x14ac:dyDescent="0.4">
      <c r="A475" s="183"/>
      <c r="B475" s="196"/>
      <c r="C475" s="49">
        <v>275</v>
      </c>
      <c r="D475" s="50" t="s">
        <v>424</v>
      </c>
      <c r="E475" s="168">
        <v>0</v>
      </c>
      <c r="G475" s="41"/>
      <c r="H475" s="11"/>
      <c r="I475" s="12"/>
      <c r="J475" s="153"/>
      <c r="K475" s="13"/>
    </row>
    <row r="476" spans="1:11" ht="15" customHeight="1" x14ac:dyDescent="0.4">
      <c r="A476" s="183"/>
      <c r="B476" s="196"/>
      <c r="C476" s="49"/>
      <c r="D476" s="50" t="s">
        <v>425</v>
      </c>
      <c r="E476" s="168">
        <v>0</v>
      </c>
      <c r="G476" s="41"/>
      <c r="H476" s="11"/>
      <c r="I476" s="12"/>
      <c r="J476" s="153"/>
      <c r="K476" s="13"/>
    </row>
    <row r="477" spans="1:11" ht="15" customHeight="1" x14ac:dyDescent="0.4">
      <c r="A477" s="183"/>
      <c r="B477" s="196"/>
      <c r="C477" s="49"/>
      <c r="D477" s="52" t="s">
        <v>426</v>
      </c>
      <c r="E477" s="168">
        <v>0</v>
      </c>
      <c r="G477" s="41"/>
      <c r="H477" s="11"/>
      <c r="I477" s="12"/>
      <c r="J477" s="153"/>
      <c r="K477" s="13"/>
    </row>
    <row r="478" spans="1:11" ht="15" customHeight="1" x14ac:dyDescent="0.4">
      <c r="A478" s="183"/>
      <c r="B478" s="38" t="s">
        <v>428</v>
      </c>
      <c r="C478" s="49">
        <v>157</v>
      </c>
      <c r="D478" s="52" t="s">
        <v>427</v>
      </c>
      <c r="E478" s="168">
        <v>0</v>
      </c>
      <c r="G478" s="41"/>
      <c r="H478" s="11"/>
      <c r="I478" s="12"/>
      <c r="J478" s="153"/>
      <c r="K478" s="13"/>
    </row>
    <row r="479" spans="1:11" ht="15" customHeight="1" x14ac:dyDescent="0.4">
      <c r="A479" s="183"/>
      <c r="B479" s="196" t="s">
        <v>430</v>
      </c>
      <c r="C479" s="49">
        <v>118</v>
      </c>
      <c r="D479" s="53" t="s">
        <v>429</v>
      </c>
      <c r="E479" s="168">
        <v>0</v>
      </c>
      <c r="G479" s="41"/>
      <c r="H479" s="11"/>
      <c r="I479" s="12"/>
      <c r="J479" s="153"/>
      <c r="K479" s="13"/>
    </row>
    <row r="480" spans="1:11" ht="15" customHeight="1" x14ac:dyDescent="0.4">
      <c r="A480" s="183"/>
      <c r="B480" s="196"/>
      <c r="C480" s="49">
        <v>216</v>
      </c>
      <c r="D480" s="52" t="s">
        <v>431</v>
      </c>
      <c r="E480" s="168">
        <v>0</v>
      </c>
      <c r="G480" s="41"/>
      <c r="H480" s="11"/>
      <c r="I480" s="12"/>
      <c r="J480" s="153"/>
      <c r="K480" s="13"/>
    </row>
    <row r="481" spans="1:11" s="1" customFormat="1" ht="15" customHeight="1" x14ac:dyDescent="0.4">
      <c r="A481" s="183"/>
      <c r="B481" s="196"/>
      <c r="C481" s="49">
        <v>298</v>
      </c>
      <c r="D481" s="52" t="s">
        <v>431</v>
      </c>
      <c r="E481" s="168">
        <v>0</v>
      </c>
      <c r="G481" s="41"/>
      <c r="H481" s="11"/>
      <c r="I481" s="12"/>
      <c r="J481" s="153"/>
      <c r="K481" s="13"/>
    </row>
    <row r="482" spans="1:11" s="1" customFormat="1" ht="15" customHeight="1" x14ac:dyDescent="0.4">
      <c r="A482" s="183"/>
      <c r="B482" s="196"/>
      <c r="C482" s="49"/>
      <c r="D482" s="52" t="s">
        <v>432</v>
      </c>
      <c r="E482" s="168">
        <v>0</v>
      </c>
      <c r="G482" s="41"/>
      <c r="H482" s="11"/>
      <c r="I482" s="12"/>
      <c r="J482" s="153"/>
      <c r="K482" s="13"/>
    </row>
    <row r="483" spans="1:11" ht="15" customHeight="1" x14ac:dyDescent="0.4">
      <c r="A483" s="183"/>
      <c r="B483" s="206" t="s">
        <v>418</v>
      </c>
      <c r="C483" s="49">
        <v>128</v>
      </c>
      <c r="D483" s="52" t="s">
        <v>433</v>
      </c>
      <c r="E483" s="168">
        <v>0</v>
      </c>
      <c r="G483" s="41"/>
      <c r="H483" s="11"/>
      <c r="I483" s="12"/>
      <c r="J483" s="153"/>
      <c r="K483" s="13"/>
    </row>
    <row r="484" spans="1:11" ht="15" customHeight="1" x14ac:dyDescent="0.4">
      <c r="A484" s="183"/>
      <c r="B484" s="208"/>
      <c r="C484" s="49">
        <v>157</v>
      </c>
      <c r="D484" s="52" t="s">
        <v>433</v>
      </c>
      <c r="E484" s="168">
        <v>0</v>
      </c>
      <c r="G484" s="41"/>
      <c r="H484" s="11"/>
      <c r="I484" s="12"/>
      <c r="J484" s="153"/>
      <c r="K484" s="13"/>
    </row>
    <row r="485" spans="1:11" ht="15" customHeight="1" x14ac:dyDescent="0.4">
      <c r="A485" s="183"/>
      <c r="B485" s="208"/>
      <c r="C485" s="49">
        <v>209</v>
      </c>
      <c r="D485" s="52" t="s">
        <v>433</v>
      </c>
      <c r="E485" s="168">
        <v>0</v>
      </c>
      <c r="G485" s="41"/>
      <c r="H485" s="11"/>
      <c r="I485" s="12"/>
      <c r="J485" s="153"/>
      <c r="K485" s="13"/>
    </row>
    <row r="486" spans="1:11" s="1" customFormat="1" ht="15" customHeight="1" x14ac:dyDescent="0.4">
      <c r="A486" s="183"/>
      <c r="B486" s="208"/>
      <c r="C486" s="49">
        <v>128</v>
      </c>
      <c r="D486" s="52" t="s">
        <v>434</v>
      </c>
      <c r="E486" s="168">
        <v>0</v>
      </c>
      <c r="G486" s="41"/>
      <c r="H486" s="11"/>
      <c r="I486" s="12"/>
      <c r="J486" s="153"/>
      <c r="K486" s="13"/>
    </row>
    <row r="487" spans="1:11" ht="15" customHeight="1" x14ac:dyDescent="0.4">
      <c r="A487" s="183"/>
      <c r="B487" s="208"/>
      <c r="C487" s="49">
        <v>157</v>
      </c>
      <c r="D487" s="52" t="s">
        <v>434</v>
      </c>
      <c r="E487" s="168">
        <v>0</v>
      </c>
      <c r="G487" s="41"/>
      <c r="H487" s="11"/>
      <c r="I487" s="12"/>
      <c r="J487" s="153"/>
      <c r="K487" s="13"/>
    </row>
    <row r="488" spans="1:11" ht="15" customHeight="1" x14ac:dyDescent="0.4">
      <c r="A488" s="183"/>
      <c r="B488" s="208"/>
      <c r="C488" s="49">
        <v>209</v>
      </c>
      <c r="D488" s="52" t="s">
        <v>434</v>
      </c>
      <c r="E488" s="168">
        <v>0</v>
      </c>
      <c r="G488" s="41"/>
      <c r="H488" s="11"/>
      <c r="I488" s="12"/>
      <c r="J488" s="153"/>
      <c r="K488" s="13"/>
    </row>
    <row r="489" spans="1:11" ht="15" customHeight="1" x14ac:dyDescent="0.4">
      <c r="A489" s="183"/>
      <c r="B489" s="208"/>
      <c r="C489" s="49">
        <v>128</v>
      </c>
      <c r="D489" s="52" t="s">
        <v>435</v>
      </c>
      <c r="E489" s="168">
        <v>0</v>
      </c>
      <c r="G489" s="41"/>
      <c r="H489" s="11"/>
      <c r="I489" s="12"/>
      <c r="J489" s="153"/>
      <c r="K489" s="13"/>
    </row>
    <row r="490" spans="1:11" ht="15" customHeight="1" x14ac:dyDescent="0.4">
      <c r="A490" s="183"/>
      <c r="B490" s="207"/>
      <c r="C490" s="49">
        <v>157</v>
      </c>
      <c r="D490" s="52" t="s">
        <v>435</v>
      </c>
      <c r="E490" s="168">
        <v>0</v>
      </c>
      <c r="G490" s="41"/>
      <c r="H490" s="11"/>
      <c r="I490" s="12"/>
      <c r="J490" s="153"/>
      <c r="K490" s="13"/>
    </row>
    <row r="491" spans="1:11" ht="15" customHeight="1" x14ac:dyDescent="0.4">
      <c r="A491" s="183"/>
      <c r="B491" s="196" t="s">
        <v>436</v>
      </c>
      <c r="C491" s="49">
        <v>120</v>
      </c>
      <c r="D491" s="52" t="s">
        <v>437</v>
      </c>
      <c r="E491" s="168">
        <v>0</v>
      </c>
      <c r="G491" s="41"/>
      <c r="H491" s="11"/>
      <c r="I491" s="12"/>
      <c r="J491" s="153"/>
      <c r="K491" s="13"/>
    </row>
    <row r="492" spans="1:11" ht="15" customHeight="1" x14ac:dyDescent="0.4">
      <c r="A492" s="183"/>
      <c r="B492" s="196"/>
      <c r="C492" s="49">
        <v>200</v>
      </c>
      <c r="D492" s="52" t="s">
        <v>437</v>
      </c>
      <c r="E492" s="168">
        <v>0</v>
      </c>
      <c r="G492" s="41"/>
      <c r="H492" s="11"/>
      <c r="I492" s="12"/>
      <c r="J492" s="153"/>
      <c r="K492" s="13"/>
    </row>
    <row r="493" spans="1:11" ht="15" customHeight="1" x14ac:dyDescent="0.4">
      <c r="A493" s="183"/>
      <c r="B493" s="196"/>
      <c r="C493" s="49">
        <v>260</v>
      </c>
      <c r="D493" s="52" t="s">
        <v>437</v>
      </c>
      <c r="E493" s="168">
        <v>0</v>
      </c>
      <c r="G493" s="41"/>
      <c r="H493" s="11"/>
      <c r="I493" s="12"/>
      <c r="J493" s="153"/>
      <c r="K493" s="13"/>
    </row>
    <row r="494" spans="1:11" ht="15" customHeight="1" x14ac:dyDescent="0.4">
      <c r="A494" s="183"/>
      <c r="B494" s="196"/>
      <c r="C494" s="49">
        <v>100</v>
      </c>
      <c r="D494" s="52" t="s">
        <v>438</v>
      </c>
      <c r="E494" s="168">
        <v>0</v>
      </c>
      <c r="G494" s="41"/>
      <c r="H494" s="11"/>
      <c r="I494" s="12"/>
      <c r="J494" s="153"/>
      <c r="K494" s="13"/>
    </row>
    <row r="495" spans="1:11" ht="15" customHeight="1" x14ac:dyDescent="0.4">
      <c r="A495" s="183"/>
      <c r="B495" s="196"/>
      <c r="C495" s="49">
        <v>120</v>
      </c>
      <c r="D495" s="52" t="s">
        <v>438</v>
      </c>
      <c r="E495" s="168">
        <v>0</v>
      </c>
      <c r="G495" s="41"/>
      <c r="H495" s="11"/>
      <c r="I495" s="12"/>
      <c r="J495" s="153"/>
      <c r="K495" s="13"/>
    </row>
    <row r="496" spans="1:11" ht="15" customHeight="1" x14ac:dyDescent="0.4">
      <c r="A496" s="183"/>
      <c r="B496" s="196"/>
      <c r="C496" s="49">
        <v>150</v>
      </c>
      <c r="D496" s="52" t="s">
        <v>438</v>
      </c>
      <c r="E496" s="168">
        <v>0</v>
      </c>
      <c r="G496" s="41"/>
      <c r="H496" s="11"/>
      <c r="I496" s="12"/>
      <c r="J496" s="153"/>
      <c r="K496" s="13"/>
    </row>
    <row r="497" spans="1:11" ht="15" customHeight="1" x14ac:dyDescent="0.4">
      <c r="A497" s="183"/>
      <c r="B497" s="196" t="s">
        <v>413</v>
      </c>
      <c r="C497" s="49">
        <v>170</v>
      </c>
      <c r="D497" s="52" t="s">
        <v>438</v>
      </c>
      <c r="E497" s="168">
        <v>0</v>
      </c>
      <c r="G497" s="41"/>
      <c r="H497" s="11"/>
      <c r="I497" s="12"/>
      <c r="J497" s="153"/>
      <c r="K497" s="13"/>
    </row>
    <row r="498" spans="1:11" ht="15" customHeight="1" x14ac:dyDescent="0.4">
      <c r="A498" s="183"/>
      <c r="B498" s="196"/>
      <c r="C498" s="49">
        <v>200</v>
      </c>
      <c r="D498" s="52" t="s">
        <v>438</v>
      </c>
      <c r="E498" s="168">
        <v>0</v>
      </c>
      <c r="G498" s="41"/>
      <c r="H498" s="11"/>
      <c r="I498" s="12"/>
      <c r="J498" s="153"/>
      <c r="K498" s="13"/>
    </row>
    <row r="499" spans="1:11" ht="15" customHeight="1" x14ac:dyDescent="0.4">
      <c r="A499" s="183"/>
      <c r="B499" s="196"/>
      <c r="C499" s="49">
        <v>240</v>
      </c>
      <c r="D499" s="52" t="s">
        <v>438</v>
      </c>
      <c r="E499" s="168">
        <v>0</v>
      </c>
      <c r="G499" s="41"/>
      <c r="H499" s="11"/>
      <c r="I499" s="12"/>
      <c r="J499" s="153"/>
      <c r="K499" s="13"/>
    </row>
    <row r="500" spans="1:11" ht="15" customHeight="1" x14ac:dyDescent="0.4">
      <c r="A500" s="183"/>
      <c r="B500" s="196"/>
      <c r="C500" s="49">
        <v>300</v>
      </c>
      <c r="D500" s="52" t="s">
        <v>438</v>
      </c>
      <c r="E500" s="168">
        <v>0</v>
      </c>
      <c r="G500" s="41"/>
      <c r="H500" s="11"/>
      <c r="I500" s="12"/>
      <c r="J500" s="153"/>
      <c r="K500" s="13"/>
    </row>
    <row r="501" spans="1:11" ht="15" customHeight="1" x14ac:dyDescent="0.4">
      <c r="A501" s="183"/>
      <c r="B501" s="206" t="s">
        <v>418</v>
      </c>
      <c r="C501" s="49">
        <v>122</v>
      </c>
      <c r="D501" s="52" t="s">
        <v>439</v>
      </c>
      <c r="E501" s="168">
        <v>0</v>
      </c>
      <c r="G501" s="41"/>
      <c r="H501" s="11"/>
      <c r="I501" s="12"/>
      <c r="J501" s="153"/>
      <c r="K501" s="13"/>
    </row>
    <row r="502" spans="1:11" ht="15" customHeight="1" x14ac:dyDescent="0.4">
      <c r="A502" s="183"/>
      <c r="B502" s="208"/>
      <c r="C502" s="49">
        <v>151</v>
      </c>
      <c r="D502" s="52" t="s">
        <v>440</v>
      </c>
      <c r="E502" s="168">
        <v>0</v>
      </c>
      <c r="G502" s="41"/>
      <c r="H502" s="11"/>
      <c r="I502" s="12"/>
      <c r="J502" s="153"/>
      <c r="K502" s="13"/>
    </row>
    <row r="503" spans="1:11" ht="15" customHeight="1" x14ac:dyDescent="0.4">
      <c r="A503" s="183"/>
      <c r="B503" s="208"/>
      <c r="C503" s="49">
        <v>227</v>
      </c>
      <c r="D503" s="52" t="s">
        <v>439</v>
      </c>
      <c r="E503" s="168">
        <v>0</v>
      </c>
      <c r="G503" s="41"/>
      <c r="H503" s="11"/>
      <c r="I503" s="12"/>
      <c r="J503" s="153"/>
      <c r="K503" s="13"/>
    </row>
    <row r="504" spans="1:11" ht="15" customHeight="1" x14ac:dyDescent="0.4">
      <c r="A504" s="183"/>
      <c r="B504" s="208"/>
      <c r="C504" s="49">
        <v>320</v>
      </c>
      <c r="D504" s="52" t="s">
        <v>441</v>
      </c>
      <c r="E504" s="168">
        <v>0</v>
      </c>
      <c r="G504" s="41"/>
      <c r="H504" s="11"/>
      <c r="I504" s="12"/>
      <c r="J504" s="153"/>
      <c r="K504" s="13"/>
    </row>
    <row r="505" spans="1:11" ht="15" customHeight="1" x14ac:dyDescent="0.4">
      <c r="A505" s="183"/>
      <c r="B505" s="207"/>
      <c r="C505" s="49">
        <v>175</v>
      </c>
      <c r="D505" s="52" t="s">
        <v>440</v>
      </c>
      <c r="E505" s="168">
        <v>0</v>
      </c>
      <c r="G505" s="41"/>
      <c r="H505" s="11"/>
      <c r="I505" s="12"/>
      <c r="J505" s="153"/>
      <c r="K505" s="13"/>
    </row>
    <row r="506" spans="1:11" ht="15" customHeight="1" x14ac:dyDescent="0.4">
      <c r="A506" s="183"/>
      <c r="B506" s="196" t="s">
        <v>430</v>
      </c>
      <c r="C506" s="49">
        <v>118</v>
      </c>
      <c r="D506" s="52" t="s">
        <v>442</v>
      </c>
      <c r="E506" s="168">
        <v>0</v>
      </c>
      <c r="G506" s="41"/>
      <c r="H506" s="11"/>
      <c r="I506" s="12"/>
      <c r="J506" s="153"/>
      <c r="K506" s="13"/>
    </row>
    <row r="507" spans="1:11" s="1" customFormat="1" ht="15" customHeight="1" x14ac:dyDescent="0.4">
      <c r="A507" s="183"/>
      <c r="B507" s="196"/>
      <c r="C507" s="49">
        <v>216</v>
      </c>
      <c r="D507" s="52" t="s">
        <v>2909</v>
      </c>
      <c r="E507" s="168">
        <v>0</v>
      </c>
      <c r="G507" s="41"/>
      <c r="H507" s="11"/>
      <c r="I507" s="12"/>
      <c r="J507" s="153"/>
      <c r="K507" s="13"/>
    </row>
    <row r="508" spans="1:11" s="1" customFormat="1" ht="15" customHeight="1" x14ac:dyDescent="0.4">
      <c r="A508" s="183"/>
      <c r="B508" s="196"/>
      <c r="C508" s="49">
        <v>298</v>
      </c>
      <c r="D508" s="52" t="s">
        <v>442</v>
      </c>
      <c r="E508" s="168">
        <v>0</v>
      </c>
      <c r="G508" s="41"/>
      <c r="H508" s="11"/>
      <c r="I508" s="12"/>
      <c r="J508" s="153"/>
      <c r="K508" s="13"/>
    </row>
    <row r="509" spans="1:11" s="1" customFormat="1" ht="15" customHeight="1" x14ac:dyDescent="0.4">
      <c r="A509" s="183"/>
      <c r="B509" s="196"/>
      <c r="C509" s="51">
        <v>104</v>
      </c>
      <c r="D509" s="52" t="s">
        <v>443</v>
      </c>
      <c r="E509" s="168">
        <v>0</v>
      </c>
      <c r="G509" s="41"/>
      <c r="H509" s="11"/>
      <c r="I509" s="12"/>
      <c r="J509" s="153"/>
      <c r="K509" s="13"/>
    </row>
    <row r="510" spans="1:11" s="1" customFormat="1" ht="15" customHeight="1" x14ac:dyDescent="0.4">
      <c r="A510" s="183"/>
      <c r="B510" s="196"/>
      <c r="C510" s="51">
        <v>216</v>
      </c>
      <c r="D510" s="52" t="s">
        <v>443</v>
      </c>
      <c r="E510" s="168">
        <v>0</v>
      </c>
      <c r="G510" s="41"/>
      <c r="H510" s="11"/>
      <c r="I510" s="12"/>
      <c r="J510" s="153"/>
      <c r="K510" s="13"/>
    </row>
    <row r="511" spans="1:11" ht="15" customHeight="1" x14ac:dyDescent="0.4">
      <c r="A511" s="183"/>
      <c r="B511" s="196"/>
      <c r="C511" s="49">
        <v>298</v>
      </c>
      <c r="D511" s="52" t="s">
        <v>444</v>
      </c>
      <c r="E511" s="168">
        <v>0</v>
      </c>
      <c r="G511" s="41"/>
      <c r="H511" s="11"/>
      <c r="I511" s="12"/>
      <c r="J511" s="153"/>
      <c r="K511" s="13"/>
    </row>
    <row r="512" spans="1:11" ht="15" customHeight="1" x14ac:dyDescent="0.4">
      <c r="A512" s="183"/>
      <c r="B512" s="196"/>
      <c r="C512" s="49"/>
      <c r="D512" s="52" t="s">
        <v>445</v>
      </c>
      <c r="E512" s="168">
        <v>0</v>
      </c>
      <c r="G512" s="41"/>
      <c r="H512" s="11"/>
      <c r="I512" s="12"/>
      <c r="J512" s="153"/>
      <c r="K512" s="13"/>
    </row>
    <row r="513" spans="1:11" ht="15" customHeight="1" x14ac:dyDescent="0.4">
      <c r="A513" s="183"/>
      <c r="B513" s="206" t="s">
        <v>418</v>
      </c>
      <c r="C513" s="49">
        <v>128</v>
      </c>
      <c r="D513" s="52" t="s">
        <v>446</v>
      </c>
      <c r="E513" s="168">
        <v>0</v>
      </c>
      <c r="G513" s="41"/>
      <c r="H513" s="11"/>
      <c r="I513" s="12"/>
      <c r="J513" s="153"/>
      <c r="K513" s="13"/>
    </row>
    <row r="514" spans="1:11" ht="15" customHeight="1" x14ac:dyDescent="0.4">
      <c r="A514" s="183"/>
      <c r="B514" s="208"/>
      <c r="C514" s="49">
        <v>174</v>
      </c>
      <c r="D514" s="52" t="s">
        <v>446</v>
      </c>
      <c r="E514" s="168">
        <v>0</v>
      </c>
      <c r="G514" s="41"/>
      <c r="H514" s="11"/>
      <c r="I514" s="12"/>
      <c r="J514" s="153"/>
      <c r="K514" s="13"/>
    </row>
    <row r="515" spans="1:11" ht="15" customHeight="1" x14ac:dyDescent="0.4">
      <c r="A515" s="183"/>
      <c r="B515" s="208"/>
      <c r="C515" s="49">
        <v>209</v>
      </c>
      <c r="D515" s="52" t="s">
        <v>446</v>
      </c>
      <c r="E515" s="168">
        <v>0</v>
      </c>
      <c r="G515" s="41"/>
      <c r="H515" s="11"/>
      <c r="I515" s="12"/>
      <c r="J515" s="153"/>
      <c r="K515" s="13"/>
    </row>
    <row r="516" spans="1:11" ht="15" customHeight="1" x14ac:dyDescent="0.4">
      <c r="A516" s="183"/>
      <c r="B516" s="208"/>
      <c r="C516" s="49">
        <v>128</v>
      </c>
      <c r="D516" s="52" t="s">
        <v>447</v>
      </c>
      <c r="E516" s="168">
        <v>0</v>
      </c>
      <c r="G516" s="41"/>
      <c r="H516" s="11"/>
      <c r="I516" s="12"/>
      <c r="J516" s="153"/>
      <c r="K516" s="13"/>
    </row>
    <row r="517" spans="1:11" ht="15" customHeight="1" x14ac:dyDescent="0.4">
      <c r="A517" s="183"/>
      <c r="B517" s="208"/>
      <c r="C517" s="49">
        <v>186</v>
      </c>
      <c r="D517" s="52" t="s">
        <v>447</v>
      </c>
      <c r="E517" s="168">
        <v>0</v>
      </c>
      <c r="G517" s="41"/>
      <c r="H517" s="11"/>
      <c r="I517" s="12"/>
      <c r="J517" s="153"/>
      <c r="K517" s="13"/>
    </row>
    <row r="518" spans="1:11" ht="15" customHeight="1" x14ac:dyDescent="0.4">
      <c r="A518" s="183"/>
      <c r="B518" s="207"/>
      <c r="C518" s="49">
        <v>209</v>
      </c>
      <c r="D518" s="52" t="s">
        <v>447</v>
      </c>
      <c r="E518" s="168">
        <v>0</v>
      </c>
      <c r="G518" s="41"/>
      <c r="H518" s="11"/>
      <c r="I518" s="12"/>
      <c r="J518" s="153"/>
      <c r="K518" s="13"/>
    </row>
    <row r="519" spans="1:11" ht="15" customHeight="1" x14ac:dyDescent="0.4">
      <c r="A519" s="183"/>
      <c r="B519" s="38" t="s">
        <v>436</v>
      </c>
      <c r="C519" s="49">
        <v>120</v>
      </c>
      <c r="D519" s="50" t="s">
        <v>448</v>
      </c>
      <c r="E519" s="168">
        <v>0</v>
      </c>
      <c r="G519" s="41"/>
      <c r="H519" s="11"/>
      <c r="I519" s="12"/>
      <c r="J519" s="153"/>
      <c r="K519" s="13"/>
    </row>
    <row r="520" spans="1:11" ht="15" customHeight="1" x14ac:dyDescent="0.4">
      <c r="A520" s="183"/>
      <c r="B520" s="196" t="s">
        <v>418</v>
      </c>
      <c r="C520" s="49">
        <v>105</v>
      </c>
      <c r="D520" s="52" t="s">
        <v>449</v>
      </c>
      <c r="E520" s="168">
        <v>0</v>
      </c>
      <c r="G520" s="41"/>
      <c r="H520" s="11"/>
      <c r="I520" s="12"/>
      <c r="J520" s="153"/>
      <c r="K520" s="13"/>
    </row>
    <row r="521" spans="1:11" ht="15" customHeight="1" x14ac:dyDescent="0.4">
      <c r="A521" s="183"/>
      <c r="B521" s="196"/>
      <c r="C521" s="49">
        <v>128</v>
      </c>
      <c r="D521" s="52" t="s">
        <v>449</v>
      </c>
      <c r="E521" s="168">
        <v>0</v>
      </c>
      <c r="G521" s="41"/>
      <c r="H521" s="11"/>
      <c r="I521" s="12"/>
      <c r="J521" s="153"/>
      <c r="K521" s="13"/>
    </row>
    <row r="522" spans="1:11" ht="15" customHeight="1" x14ac:dyDescent="0.4">
      <c r="A522" s="183"/>
      <c r="B522" s="196"/>
      <c r="C522" s="49">
        <v>100</v>
      </c>
      <c r="D522" s="52" t="s">
        <v>450</v>
      </c>
      <c r="E522" s="168">
        <v>0</v>
      </c>
      <c r="G522" s="54"/>
      <c r="H522" s="11"/>
      <c r="I522" s="12"/>
      <c r="J522" s="153"/>
      <c r="K522" s="13"/>
    </row>
    <row r="523" spans="1:11" ht="15" customHeight="1" x14ac:dyDescent="0.4">
      <c r="A523" s="183"/>
      <c r="B523" s="196"/>
      <c r="C523" s="49">
        <v>115</v>
      </c>
      <c r="D523" s="52" t="s">
        <v>450</v>
      </c>
      <c r="E523" s="168">
        <v>0</v>
      </c>
      <c r="G523" s="54"/>
      <c r="H523" s="11"/>
      <c r="I523" s="12"/>
      <c r="J523" s="153"/>
      <c r="K523" s="13"/>
    </row>
    <row r="524" spans="1:11" ht="15" customHeight="1" x14ac:dyDescent="0.4">
      <c r="A524" s="183"/>
      <c r="B524" s="196"/>
      <c r="C524" s="49">
        <v>250</v>
      </c>
      <c r="D524" s="52" t="s">
        <v>450</v>
      </c>
      <c r="E524" s="168">
        <v>0</v>
      </c>
      <c r="G524" s="41"/>
      <c r="H524" s="11"/>
      <c r="I524" s="12"/>
      <c r="J524" s="153"/>
      <c r="K524" s="13"/>
    </row>
    <row r="525" spans="1:11" ht="15" customHeight="1" x14ac:dyDescent="0.4">
      <c r="A525" s="183"/>
      <c r="B525" s="196"/>
      <c r="C525" s="49">
        <v>116</v>
      </c>
      <c r="D525" s="52" t="s">
        <v>451</v>
      </c>
      <c r="E525" s="168">
        <v>0</v>
      </c>
      <c r="G525" s="41"/>
      <c r="H525" s="11"/>
      <c r="I525" s="12"/>
      <c r="J525" s="153"/>
      <c r="K525" s="13"/>
    </row>
    <row r="526" spans="1:11" ht="15" customHeight="1" x14ac:dyDescent="0.4">
      <c r="A526" s="183"/>
      <c r="B526" s="196"/>
      <c r="C526" s="49">
        <v>233</v>
      </c>
      <c r="D526" s="52" t="s">
        <v>451</v>
      </c>
      <c r="E526" s="168">
        <v>0</v>
      </c>
      <c r="G526" s="41"/>
      <c r="H526" s="11"/>
      <c r="I526" s="12"/>
      <c r="J526" s="153"/>
      <c r="K526" s="13"/>
    </row>
    <row r="527" spans="1:11" ht="15" customHeight="1" x14ac:dyDescent="0.4">
      <c r="A527" s="183"/>
      <c r="B527" s="196" t="s">
        <v>430</v>
      </c>
      <c r="C527" s="49">
        <v>148</v>
      </c>
      <c r="D527" s="52" t="s">
        <v>452</v>
      </c>
      <c r="E527" s="168">
        <v>0</v>
      </c>
      <c r="G527" s="41"/>
      <c r="H527" s="11"/>
      <c r="I527" s="12"/>
      <c r="J527" s="153"/>
      <c r="K527" s="13"/>
    </row>
    <row r="528" spans="1:11" ht="15" customHeight="1" x14ac:dyDescent="0.4">
      <c r="A528" s="183"/>
      <c r="B528" s="196"/>
      <c r="C528" s="49">
        <v>216</v>
      </c>
      <c r="D528" s="52" t="s">
        <v>452</v>
      </c>
      <c r="E528" s="168">
        <v>0</v>
      </c>
      <c r="G528" s="41"/>
      <c r="H528" s="11"/>
      <c r="I528" s="12"/>
      <c r="J528" s="153"/>
      <c r="K528" s="13"/>
    </row>
    <row r="529" spans="1:11" ht="15" customHeight="1" x14ac:dyDescent="0.4">
      <c r="A529" s="183"/>
      <c r="B529" s="196"/>
      <c r="C529" s="49">
        <v>270</v>
      </c>
      <c r="D529" s="52" t="s">
        <v>452</v>
      </c>
      <c r="E529" s="168">
        <v>0</v>
      </c>
      <c r="G529" s="41"/>
      <c r="H529" s="11"/>
      <c r="I529" s="12"/>
      <c r="J529" s="153"/>
      <c r="K529" s="13"/>
    </row>
    <row r="530" spans="1:11" ht="15" customHeight="1" x14ac:dyDescent="0.4">
      <c r="A530" s="183"/>
      <c r="B530" s="38" t="s">
        <v>453</v>
      </c>
      <c r="C530" s="49">
        <v>148</v>
      </c>
      <c r="D530" s="52" t="s">
        <v>454</v>
      </c>
      <c r="E530" s="168">
        <v>0</v>
      </c>
      <c r="G530" s="41"/>
      <c r="H530" s="11"/>
      <c r="I530" s="12"/>
      <c r="J530" s="153"/>
      <c r="K530" s="13"/>
    </row>
    <row r="531" spans="1:11" ht="15" customHeight="1" x14ac:dyDescent="0.4">
      <c r="A531" s="183"/>
      <c r="B531" s="196" t="s">
        <v>455</v>
      </c>
      <c r="C531" s="49">
        <v>176</v>
      </c>
      <c r="D531" s="52" t="s">
        <v>454</v>
      </c>
      <c r="E531" s="168">
        <v>0</v>
      </c>
      <c r="G531" s="41"/>
      <c r="H531" s="11"/>
      <c r="I531" s="12"/>
      <c r="J531" s="153"/>
      <c r="K531" s="13"/>
    </row>
    <row r="532" spans="1:11" ht="15" customHeight="1" x14ac:dyDescent="0.4">
      <c r="A532" s="183"/>
      <c r="B532" s="196"/>
      <c r="C532" s="49">
        <v>216</v>
      </c>
      <c r="D532" s="52" t="s">
        <v>454</v>
      </c>
      <c r="E532" s="168">
        <v>0</v>
      </c>
      <c r="G532" s="41"/>
      <c r="H532" s="11"/>
      <c r="I532" s="12"/>
      <c r="J532" s="153"/>
      <c r="K532" s="13"/>
    </row>
    <row r="533" spans="1:11" ht="15" customHeight="1" x14ac:dyDescent="0.4">
      <c r="A533" s="183"/>
      <c r="B533" s="196"/>
      <c r="C533" s="49">
        <v>300</v>
      </c>
      <c r="D533" s="52" t="s">
        <v>454</v>
      </c>
      <c r="E533" s="168">
        <v>0</v>
      </c>
      <c r="G533" s="41"/>
      <c r="H533" s="11"/>
      <c r="I533" s="12"/>
      <c r="J533" s="153"/>
      <c r="K533" s="13"/>
    </row>
    <row r="534" spans="1:11" ht="15" customHeight="1" x14ac:dyDescent="0.4">
      <c r="A534" s="183"/>
      <c r="B534" s="196"/>
      <c r="C534" s="49">
        <v>352</v>
      </c>
      <c r="D534" s="52" t="s">
        <v>454</v>
      </c>
      <c r="E534" s="168">
        <v>0</v>
      </c>
      <c r="G534" s="41"/>
      <c r="H534" s="11"/>
      <c r="I534" s="12"/>
      <c r="J534" s="153"/>
      <c r="K534" s="13"/>
    </row>
    <row r="535" spans="1:11" ht="15" customHeight="1" x14ac:dyDescent="0.4">
      <c r="A535" s="183"/>
      <c r="B535" s="206" t="s">
        <v>413</v>
      </c>
      <c r="C535" s="49"/>
      <c r="D535" s="52" t="s">
        <v>456</v>
      </c>
      <c r="E535" s="168">
        <v>0</v>
      </c>
      <c r="G535" s="41"/>
      <c r="H535" s="11"/>
      <c r="I535" s="12"/>
      <c r="J535" s="153"/>
      <c r="K535" s="13"/>
    </row>
    <row r="536" spans="1:11" ht="15" customHeight="1" x14ac:dyDescent="0.4">
      <c r="A536" s="183"/>
      <c r="B536" s="207"/>
      <c r="C536" s="49"/>
      <c r="D536" s="52" t="s">
        <v>456</v>
      </c>
      <c r="E536" s="168">
        <v>0</v>
      </c>
      <c r="G536" s="41"/>
      <c r="H536" s="11"/>
      <c r="I536" s="12"/>
      <c r="J536" s="153"/>
      <c r="K536" s="13"/>
    </row>
    <row r="537" spans="1:11" ht="15" customHeight="1" x14ac:dyDescent="0.4">
      <c r="A537" s="183"/>
      <c r="B537" s="206" t="s">
        <v>457</v>
      </c>
      <c r="C537" s="51">
        <v>260</v>
      </c>
      <c r="D537" s="52" t="s">
        <v>458</v>
      </c>
      <c r="E537" s="168"/>
      <c r="G537" s="41"/>
      <c r="H537" s="11"/>
      <c r="I537" s="12"/>
      <c r="J537" s="153"/>
      <c r="K537" s="13"/>
    </row>
    <row r="538" spans="1:11" ht="15" customHeight="1" x14ac:dyDescent="0.4">
      <c r="A538" s="183"/>
      <c r="B538" s="207"/>
      <c r="C538" s="51">
        <v>300</v>
      </c>
      <c r="D538" s="52" t="s">
        <v>458</v>
      </c>
      <c r="E538" s="168"/>
      <c r="G538" s="41"/>
      <c r="H538" s="11"/>
      <c r="I538" s="12"/>
      <c r="J538" s="153"/>
      <c r="K538" s="13"/>
    </row>
    <row r="539" spans="1:11" ht="15" customHeight="1" x14ac:dyDescent="0.4">
      <c r="A539" s="183"/>
      <c r="B539" s="38" t="s">
        <v>459</v>
      </c>
      <c r="C539" s="49">
        <v>220</v>
      </c>
      <c r="D539" s="53" t="s">
        <v>460</v>
      </c>
      <c r="E539" s="168">
        <v>0</v>
      </c>
      <c r="G539" s="41"/>
      <c r="H539" s="11"/>
      <c r="I539" s="12"/>
      <c r="J539" s="153"/>
      <c r="K539" s="13"/>
    </row>
    <row r="540" spans="1:11" ht="15" customHeight="1" x14ac:dyDescent="0.4">
      <c r="A540" s="183"/>
      <c r="B540" s="196" t="s">
        <v>413</v>
      </c>
      <c r="C540" s="49">
        <v>260</v>
      </c>
      <c r="D540" s="53" t="s">
        <v>460</v>
      </c>
      <c r="E540" s="168">
        <v>0</v>
      </c>
      <c r="G540" s="41"/>
      <c r="H540" s="11"/>
      <c r="I540" s="12"/>
      <c r="J540" s="153"/>
      <c r="K540" s="13"/>
    </row>
    <row r="541" spans="1:11" ht="15" customHeight="1" x14ac:dyDescent="0.4">
      <c r="A541" s="183"/>
      <c r="B541" s="196"/>
      <c r="C541" s="49">
        <v>300</v>
      </c>
      <c r="D541" s="53" t="s">
        <v>460</v>
      </c>
      <c r="E541" s="168">
        <v>0</v>
      </c>
      <c r="G541" s="41"/>
      <c r="H541" s="11"/>
      <c r="I541" s="12"/>
      <c r="J541" s="153"/>
      <c r="K541" s="13"/>
    </row>
    <row r="542" spans="1:11" ht="15" customHeight="1" x14ac:dyDescent="0.4">
      <c r="A542" s="183"/>
      <c r="B542" s="196"/>
      <c r="C542" s="49">
        <v>260</v>
      </c>
      <c r="D542" s="53" t="s">
        <v>461</v>
      </c>
      <c r="E542" s="168">
        <v>0</v>
      </c>
      <c r="G542" s="41"/>
      <c r="H542" s="11"/>
      <c r="I542" s="12"/>
      <c r="J542" s="153"/>
      <c r="K542" s="13"/>
    </row>
    <row r="543" spans="1:11" ht="15" customHeight="1" x14ac:dyDescent="0.4">
      <c r="A543" s="183"/>
      <c r="B543" s="196"/>
      <c r="C543" s="49">
        <v>330</v>
      </c>
      <c r="D543" s="53" t="s">
        <v>461</v>
      </c>
      <c r="E543" s="168">
        <v>0</v>
      </c>
      <c r="G543" s="41"/>
      <c r="H543" s="11"/>
      <c r="I543" s="12"/>
      <c r="J543" s="153"/>
      <c r="K543" s="13"/>
    </row>
    <row r="544" spans="1:11" ht="15" customHeight="1" x14ac:dyDescent="0.4">
      <c r="A544" s="183"/>
      <c r="B544" s="38" t="s">
        <v>459</v>
      </c>
      <c r="C544" s="49">
        <v>220</v>
      </c>
      <c r="D544" s="53" t="s">
        <v>461</v>
      </c>
      <c r="E544" s="168">
        <v>0</v>
      </c>
      <c r="G544" s="41"/>
      <c r="H544" s="11"/>
      <c r="I544" s="12"/>
      <c r="J544" s="153"/>
      <c r="K544" s="13"/>
    </row>
    <row r="545" spans="1:11" ht="15" customHeight="1" x14ac:dyDescent="0.4">
      <c r="A545" s="183"/>
      <c r="B545" s="206" t="s">
        <v>418</v>
      </c>
      <c r="C545" s="49">
        <v>128</v>
      </c>
      <c r="D545" s="52" t="s">
        <v>462</v>
      </c>
      <c r="E545" s="168">
        <v>0</v>
      </c>
      <c r="G545" s="41"/>
      <c r="H545" s="11"/>
      <c r="I545" s="12"/>
      <c r="J545" s="153"/>
      <c r="K545" s="13"/>
    </row>
    <row r="546" spans="1:11" ht="15" customHeight="1" x14ac:dyDescent="0.4">
      <c r="A546" s="183"/>
      <c r="B546" s="208"/>
      <c r="C546" s="49">
        <v>209</v>
      </c>
      <c r="D546" s="52" t="s">
        <v>462</v>
      </c>
      <c r="E546" s="168">
        <v>0</v>
      </c>
      <c r="G546" s="41"/>
      <c r="H546" s="11"/>
      <c r="I546" s="12"/>
      <c r="J546" s="153"/>
      <c r="K546" s="13"/>
    </row>
    <row r="547" spans="1:11" ht="15" customHeight="1" x14ac:dyDescent="0.4">
      <c r="A547" s="183"/>
      <c r="B547" s="208"/>
      <c r="C547" s="49">
        <v>128</v>
      </c>
      <c r="D547" s="52" t="s">
        <v>463</v>
      </c>
      <c r="E547" s="168">
        <v>0</v>
      </c>
      <c r="G547" s="41"/>
      <c r="H547" s="11"/>
      <c r="I547" s="12"/>
      <c r="J547" s="153"/>
      <c r="K547" s="13"/>
    </row>
    <row r="548" spans="1:11" ht="15" customHeight="1" x14ac:dyDescent="0.4">
      <c r="A548" s="183"/>
      <c r="B548" s="208"/>
      <c r="C548" s="49">
        <v>157</v>
      </c>
      <c r="D548" s="52" t="s">
        <v>463</v>
      </c>
      <c r="E548" s="168">
        <v>0</v>
      </c>
      <c r="G548" s="41"/>
      <c r="H548" s="11"/>
      <c r="I548" s="12"/>
      <c r="J548" s="153"/>
      <c r="K548" s="13"/>
    </row>
    <row r="549" spans="1:11" s="1" customFormat="1" ht="15" customHeight="1" x14ac:dyDescent="0.4">
      <c r="A549" s="183"/>
      <c r="B549" s="208"/>
      <c r="C549" s="49">
        <v>203</v>
      </c>
      <c r="D549" s="52" t="s">
        <v>463</v>
      </c>
      <c r="E549" s="168">
        <v>0</v>
      </c>
      <c r="G549" s="41"/>
      <c r="H549" s="11"/>
      <c r="I549" s="12"/>
      <c r="J549" s="153"/>
      <c r="K549" s="13"/>
    </row>
    <row r="550" spans="1:11" s="1" customFormat="1" ht="15" customHeight="1" x14ac:dyDescent="0.4">
      <c r="A550" s="184"/>
      <c r="B550" s="207"/>
      <c r="C550" s="49">
        <v>250</v>
      </c>
      <c r="D550" s="52" t="s">
        <v>463</v>
      </c>
      <c r="E550" s="168">
        <v>0</v>
      </c>
      <c r="G550" s="41"/>
      <c r="H550" s="11"/>
      <c r="I550" s="12"/>
      <c r="J550" s="153"/>
      <c r="K550" s="13"/>
    </row>
    <row r="551" spans="1:11" ht="15" customHeight="1" x14ac:dyDescent="0.4">
      <c r="A551" s="178" t="s">
        <v>464</v>
      </c>
      <c r="B551" s="177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3"/>
      <c r="K551" s="13"/>
    </row>
    <row r="552" spans="1:11" ht="15" customHeight="1" x14ac:dyDescent="0.4">
      <c r="A552" s="178"/>
      <c r="B552" s="177"/>
      <c r="C552" s="55">
        <v>209</v>
      </c>
      <c r="D552" s="56" t="s">
        <v>466</v>
      </c>
      <c r="E552" s="3">
        <v>0</v>
      </c>
      <c r="G552" s="54"/>
      <c r="H552" s="11"/>
      <c r="I552" s="12"/>
      <c r="J552" s="153"/>
      <c r="K552" s="13"/>
    </row>
    <row r="553" spans="1:11" ht="15" customHeight="1" x14ac:dyDescent="0.4">
      <c r="A553" s="178"/>
      <c r="B553" s="177"/>
      <c r="C553" s="55">
        <v>256</v>
      </c>
      <c r="D553" s="56" t="s">
        <v>467</v>
      </c>
      <c r="E553" s="3">
        <v>0</v>
      </c>
      <c r="G553" s="54"/>
      <c r="H553" s="11"/>
      <c r="I553" s="12"/>
      <c r="J553" s="153"/>
      <c r="K553" s="13"/>
    </row>
    <row r="554" spans="1:11" ht="15" customHeight="1" x14ac:dyDescent="0.4">
      <c r="A554" s="178"/>
      <c r="B554" s="177"/>
      <c r="C554" s="55">
        <v>128</v>
      </c>
      <c r="D554" s="56" t="s">
        <v>468</v>
      </c>
      <c r="E554" s="3">
        <v>0</v>
      </c>
      <c r="G554" s="54"/>
      <c r="H554" s="11"/>
      <c r="I554" s="12"/>
      <c r="J554" s="153"/>
      <c r="K554" s="13"/>
    </row>
    <row r="555" spans="1:11" ht="15" customHeight="1" x14ac:dyDescent="0.4">
      <c r="A555" s="178"/>
      <c r="B555" s="177"/>
      <c r="C555" s="55">
        <v>157</v>
      </c>
      <c r="D555" s="56" t="s">
        <v>469</v>
      </c>
      <c r="E555" s="3">
        <v>0</v>
      </c>
      <c r="G555" s="54"/>
      <c r="H555" s="11"/>
      <c r="I555" s="12"/>
      <c r="J555" s="153"/>
      <c r="K555" s="13"/>
    </row>
    <row r="556" spans="1:11" ht="15" customHeight="1" x14ac:dyDescent="0.4">
      <c r="A556" s="178"/>
      <c r="B556" s="177"/>
      <c r="C556" s="55">
        <v>233</v>
      </c>
      <c r="D556" s="56" t="s">
        <v>470</v>
      </c>
      <c r="E556" s="3">
        <v>0</v>
      </c>
      <c r="G556" s="54"/>
      <c r="H556" s="11"/>
      <c r="I556" s="12"/>
      <c r="J556" s="153"/>
      <c r="K556" s="13"/>
    </row>
    <row r="557" spans="1:11" ht="15" customHeight="1" x14ac:dyDescent="0.4">
      <c r="A557" s="178"/>
      <c r="B557" s="177"/>
      <c r="C557" s="55">
        <v>157</v>
      </c>
      <c r="D557" s="56" t="s">
        <v>471</v>
      </c>
      <c r="E557" s="3">
        <v>0</v>
      </c>
      <c r="G557" s="54"/>
      <c r="H557" s="11"/>
      <c r="I557" s="12"/>
      <c r="J557" s="153"/>
      <c r="K557" s="13"/>
    </row>
    <row r="558" spans="1:11" ht="15" customHeight="1" x14ac:dyDescent="0.4">
      <c r="A558" s="178"/>
      <c r="B558" s="177"/>
      <c r="C558" s="55">
        <v>233</v>
      </c>
      <c r="D558" s="56" t="s">
        <v>472</v>
      </c>
      <c r="E558" s="3">
        <v>0</v>
      </c>
      <c r="G558" s="54"/>
      <c r="H558" s="11"/>
      <c r="I558" s="12"/>
      <c r="J558" s="153"/>
      <c r="K558" s="13"/>
    </row>
    <row r="559" spans="1:11" ht="15" customHeight="1" x14ac:dyDescent="0.4">
      <c r="A559" s="178"/>
      <c r="B559" s="177"/>
      <c r="C559" s="55">
        <v>128</v>
      </c>
      <c r="D559" s="56" t="s">
        <v>473</v>
      </c>
      <c r="E559" s="3">
        <v>0</v>
      </c>
      <c r="G559" s="54"/>
      <c r="H559" s="11"/>
      <c r="I559" s="12"/>
      <c r="J559" s="153"/>
      <c r="K559" s="13"/>
    </row>
    <row r="560" spans="1:11" ht="15" customHeight="1" x14ac:dyDescent="0.4">
      <c r="A560" s="178"/>
      <c r="B560" s="177"/>
      <c r="C560" s="55">
        <v>174</v>
      </c>
      <c r="D560" s="56" t="s">
        <v>474</v>
      </c>
      <c r="E560" s="3">
        <v>0</v>
      </c>
      <c r="G560" s="54"/>
      <c r="H560" s="11"/>
      <c r="I560" s="12"/>
      <c r="J560" s="153"/>
      <c r="K560" s="13"/>
    </row>
    <row r="561" spans="1:11" ht="15" customHeight="1" x14ac:dyDescent="0.4">
      <c r="A561" s="178"/>
      <c r="B561" s="177"/>
      <c r="C561" s="55">
        <v>209</v>
      </c>
      <c r="D561" s="56" t="s">
        <v>475</v>
      </c>
      <c r="E561" s="3">
        <v>0</v>
      </c>
      <c r="G561" s="54"/>
      <c r="H561" s="11"/>
      <c r="I561" s="12"/>
      <c r="J561" s="153"/>
      <c r="K561" s="13"/>
    </row>
    <row r="562" spans="1:11" ht="15" customHeight="1" x14ac:dyDescent="0.4">
      <c r="A562" s="178"/>
      <c r="B562" s="177"/>
      <c r="C562" s="55">
        <v>80</v>
      </c>
      <c r="D562" s="56" t="s">
        <v>476</v>
      </c>
      <c r="E562" s="3">
        <v>0</v>
      </c>
      <c r="G562" s="54"/>
      <c r="H562" s="11"/>
      <c r="I562" s="12"/>
      <c r="J562" s="153"/>
      <c r="K562" s="13"/>
    </row>
    <row r="563" spans="1:11" ht="15" customHeight="1" x14ac:dyDescent="0.4">
      <c r="A563" s="178"/>
      <c r="B563" s="177"/>
      <c r="C563" s="55">
        <v>120</v>
      </c>
      <c r="D563" s="56" t="s">
        <v>477</v>
      </c>
      <c r="E563" s="3">
        <v>0</v>
      </c>
      <c r="G563" s="54"/>
      <c r="H563" s="11"/>
      <c r="I563" s="12"/>
      <c r="J563" s="153"/>
      <c r="K563" s="13"/>
    </row>
    <row r="564" spans="1:11" ht="15" customHeight="1" x14ac:dyDescent="0.4">
      <c r="A564" s="178"/>
      <c r="B564" s="177"/>
      <c r="C564" s="55">
        <v>185</v>
      </c>
      <c r="D564" s="56" t="s">
        <v>478</v>
      </c>
      <c r="E564" s="3">
        <v>0</v>
      </c>
      <c r="G564" s="54"/>
      <c r="H564" s="11"/>
      <c r="I564" s="12"/>
      <c r="J564" s="153"/>
      <c r="K564" s="13"/>
    </row>
    <row r="565" spans="1:11" ht="15" customHeight="1" x14ac:dyDescent="0.4">
      <c r="A565" s="178"/>
      <c r="B565" s="177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3"/>
      <c r="K565" s="13"/>
    </row>
    <row r="566" spans="1:11" ht="15" customHeight="1" x14ac:dyDescent="0.4">
      <c r="A566" s="179" t="s">
        <v>480</v>
      </c>
      <c r="B566" s="201" t="s">
        <v>352</v>
      </c>
      <c r="C566" s="57">
        <v>157</v>
      </c>
      <c r="D566" s="58">
        <v>150</v>
      </c>
      <c r="E566" s="165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6">
        <v>170</v>
      </c>
      <c r="K566" s="13"/>
    </row>
    <row r="567" spans="1:11" ht="15" customHeight="1" x14ac:dyDescent="0.4">
      <c r="A567" s="179"/>
      <c r="B567" s="201"/>
      <c r="C567" s="57"/>
      <c r="D567" s="58" t="s">
        <v>481</v>
      </c>
      <c r="E567" s="165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6">
        <v>170</v>
      </c>
      <c r="K567" s="13"/>
    </row>
    <row r="568" spans="1:11" ht="15" customHeight="1" x14ac:dyDescent="0.4">
      <c r="A568" s="179"/>
      <c r="B568" s="201"/>
      <c r="C568" s="57"/>
      <c r="D568" s="58" t="s">
        <v>482</v>
      </c>
      <c r="E568" s="165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6">
        <v>170</v>
      </c>
      <c r="K568" s="13"/>
    </row>
    <row r="569" spans="1:11" ht="15" customHeight="1" x14ac:dyDescent="0.4">
      <c r="A569" s="179"/>
      <c r="B569" s="201"/>
      <c r="C569" s="57"/>
      <c r="D569" s="58" t="s">
        <v>483</v>
      </c>
      <c r="E569" s="165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6">
        <v>170</v>
      </c>
      <c r="K569" s="13"/>
    </row>
    <row r="570" spans="1:11" ht="15" customHeight="1" x14ac:dyDescent="0.4">
      <c r="A570" s="179"/>
      <c r="B570" s="201"/>
      <c r="C570" s="57">
        <v>209</v>
      </c>
      <c r="D570" s="58" t="s">
        <v>484</v>
      </c>
      <c r="E570" s="165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6">
        <v>220</v>
      </c>
      <c r="K570" s="13"/>
    </row>
    <row r="571" spans="1:11" ht="15" customHeight="1" x14ac:dyDescent="0.4">
      <c r="A571" s="179"/>
      <c r="B571" s="201"/>
      <c r="C571" s="57"/>
      <c r="D571" s="59" t="s">
        <v>485</v>
      </c>
      <c r="E571" s="165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6">
        <v>220</v>
      </c>
      <c r="K571" s="13"/>
    </row>
    <row r="572" spans="1:11" ht="15" customHeight="1" x14ac:dyDescent="0.4">
      <c r="A572" s="179"/>
      <c r="B572" s="201"/>
      <c r="C572" s="57"/>
      <c r="D572" s="58" t="s">
        <v>486</v>
      </c>
      <c r="E572" s="165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6">
        <v>220</v>
      </c>
      <c r="K572" s="13"/>
    </row>
    <row r="573" spans="1:11" ht="15" customHeight="1" x14ac:dyDescent="0.4">
      <c r="A573" s="179"/>
      <c r="B573" s="201"/>
      <c r="C573" s="57"/>
      <c r="D573" s="58" t="s">
        <v>487</v>
      </c>
      <c r="E573" s="165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6">
        <v>220</v>
      </c>
      <c r="K573" s="13"/>
    </row>
    <row r="574" spans="1:11" ht="15" customHeight="1" x14ac:dyDescent="0.4">
      <c r="A574" s="179"/>
      <c r="B574" s="201"/>
      <c r="C574" s="57">
        <v>262</v>
      </c>
      <c r="D574" s="58" t="s">
        <v>488</v>
      </c>
      <c r="E574" s="165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6">
        <v>280</v>
      </c>
      <c r="K574" s="13"/>
    </row>
    <row r="575" spans="1:11" ht="15" customHeight="1" x14ac:dyDescent="0.4">
      <c r="A575" s="179"/>
      <c r="B575" s="201"/>
      <c r="C575" s="57"/>
      <c r="D575" s="58" t="s">
        <v>489</v>
      </c>
      <c r="E575" s="165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6">
        <v>280</v>
      </c>
      <c r="K575" s="13"/>
    </row>
    <row r="576" spans="1:11" ht="15" customHeight="1" x14ac:dyDescent="0.4">
      <c r="A576" s="179"/>
      <c r="B576" s="201"/>
      <c r="C576" s="57"/>
      <c r="D576" s="58" t="s">
        <v>490</v>
      </c>
      <c r="E576" s="165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6">
        <v>280</v>
      </c>
      <c r="K576" s="13"/>
    </row>
    <row r="577" spans="1:11" ht="15" customHeight="1" x14ac:dyDescent="0.4">
      <c r="A577" s="179"/>
      <c r="B577" s="201"/>
      <c r="C577" s="57"/>
      <c r="D577" s="58" t="s">
        <v>491</v>
      </c>
      <c r="E577" s="165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6">
        <v>280</v>
      </c>
      <c r="K577" s="13"/>
    </row>
    <row r="578" spans="1:11" ht="15" customHeight="1" x14ac:dyDescent="0.4">
      <c r="A578" s="179"/>
      <c r="B578" s="201"/>
      <c r="C578" s="57">
        <v>308</v>
      </c>
      <c r="D578" s="60" t="s">
        <v>492</v>
      </c>
      <c r="E578" s="165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6">
        <v>350</v>
      </c>
      <c r="K578" s="13"/>
    </row>
    <row r="579" spans="1:11" ht="15" customHeight="1" x14ac:dyDescent="0.4">
      <c r="A579" s="179"/>
      <c r="B579" s="201"/>
      <c r="C579" s="57"/>
      <c r="D579" s="60" t="s">
        <v>493</v>
      </c>
      <c r="E579" s="165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6">
        <v>350</v>
      </c>
      <c r="K579" s="13"/>
    </row>
    <row r="580" spans="1:11" ht="15" customHeight="1" x14ac:dyDescent="0.4">
      <c r="A580" s="179"/>
      <c r="B580" s="201"/>
      <c r="C580" s="57"/>
      <c r="D580" s="58" t="s">
        <v>494</v>
      </c>
      <c r="E580" s="165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6">
        <v>350</v>
      </c>
      <c r="K580" s="13"/>
    </row>
    <row r="581" spans="1:11" ht="15" customHeight="1" x14ac:dyDescent="0.4">
      <c r="A581" s="179"/>
      <c r="B581" s="201"/>
      <c r="C581" s="57"/>
      <c r="D581" s="58" t="s">
        <v>495</v>
      </c>
      <c r="E581" s="165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6">
        <v>350</v>
      </c>
      <c r="K581" s="13"/>
    </row>
    <row r="582" spans="1:11" ht="15" customHeight="1" x14ac:dyDescent="0.4">
      <c r="A582" s="179"/>
      <c r="B582" s="201"/>
      <c r="C582" s="57"/>
      <c r="D582" s="58" t="s">
        <v>496</v>
      </c>
      <c r="E582" s="165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6">
        <v>350</v>
      </c>
      <c r="K582" s="13"/>
    </row>
    <row r="583" spans="1:11" ht="15" customHeight="1" x14ac:dyDescent="0.4">
      <c r="A583" s="179"/>
      <c r="B583" s="201"/>
      <c r="C583" s="57">
        <v>360</v>
      </c>
      <c r="D583" s="58" t="s">
        <v>497</v>
      </c>
      <c r="E583" s="165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6">
        <v>390</v>
      </c>
      <c r="K583" s="13"/>
    </row>
    <row r="584" spans="1:11" ht="15" customHeight="1" x14ac:dyDescent="0.4">
      <c r="A584" s="179"/>
      <c r="B584" s="201"/>
      <c r="C584" s="57"/>
      <c r="D584" s="58" t="s">
        <v>498</v>
      </c>
      <c r="E584" s="165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6">
        <v>390</v>
      </c>
      <c r="K584" s="13"/>
    </row>
    <row r="585" spans="1:11" ht="15" customHeight="1" x14ac:dyDescent="0.4">
      <c r="A585" s="179"/>
      <c r="B585" s="201"/>
      <c r="C585" s="57"/>
      <c r="D585" s="58" t="s">
        <v>499</v>
      </c>
      <c r="E585" s="165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6">
        <v>390</v>
      </c>
      <c r="K585" s="13"/>
    </row>
    <row r="586" spans="1:11" ht="15" customHeight="1" x14ac:dyDescent="0.4">
      <c r="A586" s="179"/>
      <c r="B586" s="201"/>
      <c r="C586" s="57"/>
      <c r="D586" s="58" t="s">
        <v>500</v>
      </c>
      <c r="E586" s="165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6">
        <v>390</v>
      </c>
      <c r="K586" s="13"/>
    </row>
    <row r="587" spans="1:11" ht="15" customHeight="1" x14ac:dyDescent="0.4">
      <c r="A587" s="179"/>
      <c r="B587" s="201"/>
      <c r="C587" s="57"/>
      <c r="D587" s="58" t="s">
        <v>501</v>
      </c>
      <c r="E587" s="165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6">
        <v>390</v>
      </c>
      <c r="K587" s="13"/>
    </row>
    <row r="588" spans="1:11" ht="15" customHeight="1" x14ac:dyDescent="0.4">
      <c r="A588" s="179"/>
      <c r="B588" s="201"/>
      <c r="C588" s="57">
        <v>419</v>
      </c>
      <c r="D588" s="58" t="s">
        <v>502</v>
      </c>
      <c r="E588" s="165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6">
        <v>450</v>
      </c>
      <c r="K588" s="13"/>
    </row>
    <row r="589" spans="1:11" ht="15" customHeight="1" x14ac:dyDescent="0.4">
      <c r="A589" s="179"/>
      <c r="B589" s="201"/>
      <c r="C589" s="57"/>
      <c r="D589" s="58" t="s">
        <v>503</v>
      </c>
      <c r="E589" s="165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6">
        <v>450</v>
      </c>
      <c r="K589" s="13"/>
    </row>
    <row r="590" spans="1:11" ht="15" customHeight="1" x14ac:dyDescent="0.4">
      <c r="A590" s="179"/>
      <c r="B590" s="201"/>
      <c r="C590" s="57"/>
      <c r="D590" s="58" t="s">
        <v>504</v>
      </c>
      <c r="E590" s="165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6">
        <v>450</v>
      </c>
      <c r="K590" s="13"/>
    </row>
    <row r="591" spans="1:11" ht="15" customHeight="1" x14ac:dyDescent="0.4">
      <c r="A591" s="179"/>
      <c r="B591" s="201"/>
      <c r="C591" s="57"/>
      <c r="D591" s="58" t="s">
        <v>505</v>
      </c>
      <c r="E591" s="165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6">
        <v>450</v>
      </c>
      <c r="K591" s="13"/>
    </row>
    <row r="592" spans="1:11" ht="15" customHeight="1" x14ac:dyDescent="0.4">
      <c r="A592" s="179"/>
      <c r="B592" s="201"/>
      <c r="C592" s="57">
        <v>465</v>
      </c>
      <c r="D592" s="58" t="s">
        <v>506</v>
      </c>
      <c r="E592" s="165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6">
        <v>500</v>
      </c>
      <c r="K592" s="13"/>
    </row>
    <row r="593" spans="1:11" ht="15" customHeight="1" x14ac:dyDescent="0.4">
      <c r="A593" s="179"/>
      <c r="B593" s="201"/>
      <c r="C593" s="57"/>
      <c r="D593" s="58" t="s">
        <v>507</v>
      </c>
      <c r="E593" s="165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6">
        <v>500</v>
      </c>
      <c r="K593" s="13"/>
    </row>
    <row r="594" spans="1:11" ht="15" customHeight="1" x14ac:dyDescent="0.4">
      <c r="A594" s="179"/>
      <c r="B594" s="201"/>
      <c r="C594" s="57"/>
      <c r="D594" s="58" t="s">
        <v>508</v>
      </c>
      <c r="E594" s="165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6">
        <v>500</v>
      </c>
      <c r="K594" s="13"/>
    </row>
    <row r="595" spans="1:11" ht="15" customHeight="1" x14ac:dyDescent="0.4">
      <c r="A595" s="179"/>
      <c r="B595" s="201"/>
      <c r="C595" s="57"/>
      <c r="D595" s="58" t="s">
        <v>509</v>
      </c>
      <c r="E595" s="165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6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3"/>
      <c r="K596" s="13"/>
    </row>
    <row r="597" spans="1:11" ht="15" customHeight="1" x14ac:dyDescent="0.4">
      <c r="A597" s="178" t="s">
        <v>512</v>
      </c>
      <c r="B597" s="177" t="s">
        <v>27</v>
      </c>
      <c r="C597" s="7">
        <v>110</v>
      </c>
      <c r="D597" s="9"/>
      <c r="E597" s="165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3"/>
      <c r="K597" s="13"/>
    </row>
    <row r="598" spans="1:11" ht="15" customHeight="1" x14ac:dyDescent="0.4">
      <c r="A598" s="178"/>
      <c r="B598" s="177"/>
      <c r="C598" s="7">
        <v>190</v>
      </c>
      <c r="D598" s="9"/>
      <c r="E598" s="165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3"/>
      <c r="K598" s="13"/>
    </row>
    <row r="599" spans="1:11" ht="15" customHeight="1" x14ac:dyDescent="0.4">
      <c r="A599" s="178"/>
      <c r="B599" s="177"/>
      <c r="C599" s="7">
        <v>220</v>
      </c>
      <c r="D599" s="9"/>
      <c r="E599" s="165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3"/>
      <c r="K599" s="13"/>
    </row>
    <row r="600" spans="1:11" ht="15" customHeight="1" x14ac:dyDescent="0.4">
      <c r="A600" s="178"/>
      <c r="B600" s="177"/>
      <c r="C600" s="7">
        <v>250</v>
      </c>
      <c r="D600" s="9"/>
      <c r="E600" s="165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3"/>
      <c r="K600" s="13"/>
    </row>
    <row r="601" spans="1:11" ht="15" customHeight="1" x14ac:dyDescent="0.4">
      <c r="A601" s="180" t="s">
        <v>513</v>
      </c>
      <c r="B601" s="177" t="s">
        <v>218</v>
      </c>
      <c r="C601" s="14">
        <v>116</v>
      </c>
      <c r="D601" s="9" t="s">
        <v>514</v>
      </c>
      <c r="E601" s="167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3"/>
      <c r="K601" s="13"/>
    </row>
    <row r="602" spans="1:11" ht="15" customHeight="1" x14ac:dyDescent="0.4">
      <c r="A602" s="183"/>
      <c r="B602" s="177"/>
      <c r="C602" s="7"/>
      <c r="D602" s="9" t="s">
        <v>515</v>
      </c>
      <c r="E602" s="167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3"/>
      <c r="K602" s="13"/>
    </row>
    <row r="603" spans="1:11" ht="15" customHeight="1" x14ac:dyDescent="0.4">
      <c r="A603" s="183"/>
      <c r="B603" s="177"/>
      <c r="C603" s="62"/>
      <c r="D603" s="63" t="s">
        <v>516</v>
      </c>
      <c r="E603" s="169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3"/>
      <c r="K603" s="13"/>
    </row>
    <row r="604" spans="1:11" ht="15" customHeight="1" x14ac:dyDescent="0.4">
      <c r="A604" s="183"/>
      <c r="B604" s="177"/>
      <c r="C604" s="62"/>
      <c r="D604" s="63" t="s">
        <v>517</v>
      </c>
      <c r="E604" s="169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3"/>
      <c r="K604" s="13"/>
    </row>
    <row r="605" spans="1:11" ht="15" customHeight="1" x14ac:dyDescent="0.4">
      <c r="A605" s="183"/>
      <c r="B605" s="177"/>
      <c r="C605" s="62"/>
      <c r="D605" s="63" t="s">
        <v>518</v>
      </c>
      <c r="E605" s="169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3"/>
      <c r="K605" s="13"/>
    </row>
    <row r="606" spans="1:11" ht="15" customHeight="1" x14ac:dyDescent="0.4">
      <c r="A606" s="183"/>
      <c r="B606" s="177"/>
      <c r="C606" s="62"/>
      <c r="D606" s="63" t="s">
        <v>519</v>
      </c>
      <c r="E606" s="169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3"/>
      <c r="K606" s="13"/>
    </row>
    <row r="607" spans="1:11" ht="15" customHeight="1" x14ac:dyDescent="0.4">
      <c r="A607" s="183"/>
      <c r="B607" s="177"/>
      <c r="C607" s="62">
        <v>81.400000000000006</v>
      </c>
      <c r="D607" s="63" t="s">
        <v>520</v>
      </c>
      <c r="E607" s="169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3"/>
      <c r="K607" s="13"/>
    </row>
    <row r="608" spans="1:11" ht="15" customHeight="1" x14ac:dyDescent="0.4">
      <c r="A608" s="183"/>
      <c r="B608" s="177"/>
      <c r="C608" s="62"/>
      <c r="D608" s="63" t="s">
        <v>521</v>
      </c>
      <c r="E608" s="169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3"/>
      <c r="K608" s="13"/>
    </row>
    <row r="609" spans="1:11" ht="15" customHeight="1" x14ac:dyDescent="0.4">
      <c r="A609" s="183"/>
      <c r="B609" s="177"/>
      <c r="C609" s="62"/>
      <c r="D609" s="63" t="s">
        <v>522</v>
      </c>
      <c r="E609" s="169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3"/>
      <c r="K609" s="13"/>
    </row>
    <row r="610" spans="1:11" ht="15" customHeight="1" x14ac:dyDescent="0.4">
      <c r="A610" s="183"/>
      <c r="B610" s="177"/>
      <c r="C610" s="62"/>
      <c r="D610" s="63" t="s">
        <v>523</v>
      </c>
      <c r="E610" s="169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3"/>
      <c r="K610" s="13"/>
    </row>
    <row r="611" spans="1:11" ht="15" customHeight="1" x14ac:dyDescent="0.4">
      <c r="A611" s="183"/>
      <c r="B611" s="177"/>
      <c r="C611" s="62"/>
      <c r="D611" s="63" t="s">
        <v>518</v>
      </c>
      <c r="E611" s="169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3"/>
      <c r="K611" s="13"/>
    </row>
    <row r="612" spans="1:11" ht="15" customHeight="1" x14ac:dyDescent="0.4">
      <c r="A612" s="183"/>
      <c r="B612" s="177"/>
      <c r="C612" s="62"/>
      <c r="D612" s="63" t="s">
        <v>519</v>
      </c>
      <c r="E612" s="169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3"/>
      <c r="K612" s="13"/>
    </row>
    <row r="613" spans="1:11" ht="15" customHeight="1" x14ac:dyDescent="0.4">
      <c r="A613" s="183"/>
      <c r="B613" s="177"/>
      <c r="C613" s="62">
        <v>151</v>
      </c>
      <c r="D613" s="63" t="s">
        <v>524</v>
      </c>
      <c r="E613" s="169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3"/>
      <c r="K613" s="13"/>
    </row>
    <row r="614" spans="1:11" ht="15" customHeight="1" x14ac:dyDescent="0.4">
      <c r="A614" s="183"/>
      <c r="B614" s="177"/>
      <c r="C614" s="62"/>
      <c r="D614" s="63" t="s">
        <v>525</v>
      </c>
      <c r="E614" s="169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3"/>
      <c r="K614" s="13"/>
    </row>
    <row r="615" spans="1:11" ht="15" customHeight="1" x14ac:dyDescent="0.4">
      <c r="A615" s="183"/>
      <c r="B615" s="177"/>
      <c r="C615" s="62">
        <v>209</v>
      </c>
      <c r="D615" s="63" t="s">
        <v>524</v>
      </c>
      <c r="E615" s="169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3"/>
      <c r="K615" s="13"/>
    </row>
    <row r="616" spans="1:11" ht="15" customHeight="1" x14ac:dyDescent="0.4">
      <c r="A616" s="183"/>
      <c r="B616" s="177"/>
      <c r="C616" s="62"/>
      <c r="D616" s="63" t="s">
        <v>525</v>
      </c>
      <c r="E616" s="169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3"/>
      <c r="K616" s="13"/>
    </row>
    <row r="617" spans="1:11" ht="15" customHeight="1" x14ac:dyDescent="0.4">
      <c r="A617" s="183"/>
      <c r="B617" s="7" t="s">
        <v>2910</v>
      </c>
      <c r="C617" s="62" t="s">
        <v>2911</v>
      </c>
      <c r="D617" s="21" t="s">
        <v>526</v>
      </c>
      <c r="E617" s="168">
        <v>885000</v>
      </c>
      <c r="G617" s="8"/>
      <c r="H617" s="11"/>
      <c r="I617" s="12"/>
      <c r="J617" s="153"/>
      <c r="K617" s="13"/>
    </row>
    <row r="618" spans="1:11" ht="15" customHeight="1" x14ac:dyDescent="0.4">
      <c r="A618" s="183"/>
      <c r="B618" s="177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3"/>
      <c r="K618" s="13"/>
    </row>
    <row r="619" spans="1:11" ht="15" customHeight="1" x14ac:dyDescent="0.4">
      <c r="A619" s="183"/>
      <c r="B619" s="177"/>
      <c r="C619" s="16"/>
      <c r="D619" s="29" t="s">
        <v>528</v>
      </c>
      <c r="E619" s="3">
        <v>0</v>
      </c>
      <c r="G619" s="8">
        <v>116</v>
      </c>
      <c r="H619" s="11"/>
      <c r="I619" s="12"/>
      <c r="J619" s="153"/>
      <c r="K619" s="13"/>
    </row>
    <row r="620" spans="1:11" ht="15" customHeight="1" x14ac:dyDescent="0.4">
      <c r="A620" s="184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3"/>
      <c r="K620" s="13"/>
    </row>
    <row r="621" spans="1:11" ht="15" customHeight="1" x14ac:dyDescent="0.4">
      <c r="A621" s="178" t="s">
        <v>531</v>
      </c>
      <c r="B621" s="181" t="s">
        <v>218</v>
      </c>
      <c r="C621" s="16">
        <v>302</v>
      </c>
      <c r="D621" s="29" t="s">
        <v>532</v>
      </c>
      <c r="E621" s="165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3">
        <v>440</v>
      </c>
      <c r="K621" s="13"/>
    </row>
    <row r="622" spans="1:11" ht="15" customHeight="1" x14ac:dyDescent="0.4">
      <c r="A622" s="177"/>
      <c r="B622" s="176"/>
      <c r="C622" s="16"/>
      <c r="D622" s="29" t="s">
        <v>533</v>
      </c>
      <c r="E622" s="165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3">
        <v>440</v>
      </c>
      <c r="K622" s="13"/>
    </row>
    <row r="623" spans="1:11" ht="15" customHeight="1" x14ac:dyDescent="0.4">
      <c r="A623" s="178" t="s">
        <v>534</v>
      </c>
      <c r="B623" s="177" t="s">
        <v>218</v>
      </c>
      <c r="C623" s="33">
        <v>81.400000000000006</v>
      </c>
      <c r="D623" s="21" t="s">
        <v>535</v>
      </c>
      <c r="E623" s="168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3"/>
      <c r="K623" s="13"/>
    </row>
    <row r="624" spans="1:11" ht="15" customHeight="1" x14ac:dyDescent="0.4">
      <c r="A624" s="177"/>
      <c r="B624" s="177"/>
      <c r="C624" s="33">
        <v>116</v>
      </c>
      <c r="D624" s="21" t="s">
        <v>535</v>
      </c>
      <c r="E624" s="168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3"/>
      <c r="K624" s="13"/>
    </row>
    <row r="625" spans="1:11" ht="15" customHeight="1" x14ac:dyDescent="0.4">
      <c r="A625" s="204" t="s">
        <v>536</v>
      </c>
      <c r="B625" s="202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3"/>
      <c r="K625" s="13"/>
    </row>
    <row r="626" spans="1:11" ht="15" customHeight="1" x14ac:dyDescent="0.4">
      <c r="A626" s="204"/>
      <c r="B626" s="203"/>
      <c r="C626" s="64"/>
      <c r="D626" s="65" t="s">
        <v>539</v>
      </c>
      <c r="E626" s="3">
        <v>0</v>
      </c>
      <c r="G626" s="8"/>
      <c r="H626" s="11"/>
      <c r="I626" s="12"/>
      <c r="J626" s="153"/>
      <c r="K626" s="13"/>
    </row>
    <row r="627" spans="1:11" ht="15" customHeight="1" x14ac:dyDescent="0.4">
      <c r="A627" s="204"/>
      <c r="B627" s="202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3"/>
      <c r="K627" s="13"/>
    </row>
    <row r="628" spans="1:11" ht="15" customHeight="1" x14ac:dyDescent="0.4">
      <c r="A628" s="204"/>
      <c r="B628" s="203"/>
      <c r="C628" s="64"/>
      <c r="D628" s="65" t="s">
        <v>542</v>
      </c>
      <c r="E628" s="3">
        <v>0</v>
      </c>
      <c r="G628" s="8"/>
      <c r="H628" s="11"/>
      <c r="I628" s="12"/>
      <c r="J628" s="153"/>
      <c r="K628" s="13"/>
    </row>
    <row r="629" spans="1:11" ht="15" customHeight="1" x14ac:dyDescent="0.4">
      <c r="A629" s="204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3"/>
      <c r="K629" s="13"/>
    </row>
    <row r="630" spans="1:11" ht="15" customHeight="1" x14ac:dyDescent="0.4">
      <c r="A630" s="204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3"/>
      <c r="K630" s="13"/>
    </row>
    <row r="631" spans="1:11" ht="15" customHeight="1" x14ac:dyDescent="0.4">
      <c r="A631" s="204"/>
      <c r="B631" s="202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3"/>
      <c r="K631" s="13"/>
    </row>
    <row r="632" spans="1:11" ht="15" customHeight="1" x14ac:dyDescent="0.4">
      <c r="A632" s="204"/>
      <c r="B632" s="205"/>
      <c r="C632" s="64"/>
      <c r="D632" s="65" t="s">
        <v>548</v>
      </c>
      <c r="E632" s="3">
        <v>0</v>
      </c>
      <c r="G632" s="8"/>
      <c r="H632" s="11"/>
      <c r="I632" s="12"/>
      <c r="J632" s="153"/>
      <c r="K632" s="13"/>
    </row>
    <row r="633" spans="1:11" ht="15" customHeight="1" x14ac:dyDescent="0.4">
      <c r="A633" s="204"/>
      <c r="B633" s="203"/>
      <c r="C633" s="64"/>
      <c r="D633" s="65" t="s">
        <v>549</v>
      </c>
      <c r="E633" s="3">
        <v>0</v>
      </c>
      <c r="G633" s="8"/>
      <c r="H633" s="11"/>
      <c r="I633" s="12"/>
      <c r="J633" s="153"/>
      <c r="K633" s="13"/>
    </row>
    <row r="634" spans="1:11" ht="15" customHeight="1" x14ac:dyDescent="0.4">
      <c r="A634" s="204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3"/>
      <c r="K634" s="13"/>
    </row>
    <row r="635" spans="1:11" ht="15" customHeight="1" x14ac:dyDescent="0.4">
      <c r="A635" s="204"/>
      <c r="B635" s="202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3"/>
      <c r="K635" s="13"/>
    </row>
    <row r="636" spans="1:11" ht="15" customHeight="1" x14ac:dyDescent="0.4">
      <c r="A636" s="204"/>
      <c r="B636" s="205"/>
      <c r="C636" s="64"/>
      <c r="D636" s="65" t="s">
        <v>553</v>
      </c>
      <c r="E636" s="3">
        <v>0</v>
      </c>
      <c r="G636" s="8"/>
      <c r="H636" s="11"/>
      <c r="I636" s="12"/>
      <c r="J636" s="153"/>
      <c r="K636" s="13"/>
    </row>
    <row r="637" spans="1:11" ht="15" customHeight="1" x14ac:dyDescent="0.4">
      <c r="A637" s="204"/>
      <c r="B637" s="203"/>
      <c r="C637" s="64"/>
      <c r="D637" s="65" t="s">
        <v>554</v>
      </c>
      <c r="E637" s="3">
        <v>0</v>
      </c>
      <c r="G637" s="8"/>
      <c r="H637" s="11"/>
      <c r="I637" s="12"/>
      <c r="J637" s="153"/>
      <c r="K637" s="13"/>
    </row>
    <row r="638" spans="1:11" ht="15" customHeight="1" x14ac:dyDescent="0.4">
      <c r="A638" s="204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3"/>
      <c r="K638" s="13"/>
    </row>
    <row r="639" spans="1:11" ht="15" customHeight="1" x14ac:dyDescent="0.4">
      <c r="A639" s="204"/>
      <c r="B639" s="202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3"/>
      <c r="K639" s="13"/>
    </row>
    <row r="640" spans="1:11" ht="15" customHeight="1" x14ac:dyDescent="0.4">
      <c r="A640" s="204"/>
      <c r="B640" s="203"/>
      <c r="C640" s="64"/>
      <c r="D640" s="65" t="s">
        <v>559</v>
      </c>
      <c r="E640" s="3">
        <v>0</v>
      </c>
      <c r="G640" s="8"/>
      <c r="H640" s="11"/>
      <c r="I640" s="12"/>
      <c r="J640" s="153"/>
      <c r="K640" s="13"/>
    </row>
    <row r="641" spans="1:11" ht="15" customHeight="1" x14ac:dyDescent="0.4">
      <c r="A641" s="204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3"/>
      <c r="K641" s="13"/>
    </row>
    <row r="642" spans="1:11" ht="15" customHeight="1" x14ac:dyDescent="0.4">
      <c r="A642" s="204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3"/>
      <c r="K642" s="13"/>
    </row>
    <row r="643" spans="1:11" ht="15" customHeight="1" x14ac:dyDescent="0.4">
      <c r="A643" s="204"/>
      <c r="B643" s="202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3"/>
      <c r="K643" s="13"/>
    </row>
    <row r="644" spans="1:11" ht="15" customHeight="1" x14ac:dyDescent="0.4">
      <c r="A644" s="204"/>
      <c r="B644" s="203"/>
      <c r="C644" s="64"/>
      <c r="D644" s="65" t="s">
        <v>566</v>
      </c>
      <c r="E644" s="3">
        <v>0</v>
      </c>
      <c r="G644" s="8"/>
      <c r="H644" s="11"/>
      <c r="I644" s="12"/>
      <c r="J644" s="153"/>
      <c r="K644" s="13"/>
    </row>
    <row r="645" spans="1:11" ht="15" customHeight="1" x14ac:dyDescent="0.4">
      <c r="A645" s="204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3"/>
      <c r="K645" s="13"/>
    </row>
    <row r="646" spans="1:11" ht="15" customHeight="1" x14ac:dyDescent="0.4">
      <c r="A646" s="204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3"/>
      <c r="K646" s="13"/>
    </row>
    <row r="647" spans="1:11" ht="15" customHeight="1" x14ac:dyDescent="0.4">
      <c r="A647" s="204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3"/>
      <c r="K647" s="13"/>
    </row>
    <row r="648" spans="1:11" ht="15" customHeight="1" x14ac:dyDescent="0.4">
      <c r="A648" s="204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3"/>
      <c r="K648" s="13"/>
    </row>
    <row r="649" spans="1:11" ht="15" customHeight="1" x14ac:dyDescent="0.4">
      <c r="A649" s="204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3"/>
      <c r="K649" s="13"/>
    </row>
    <row r="650" spans="1:11" ht="15" customHeight="1" x14ac:dyDescent="0.4">
      <c r="A650" s="204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3"/>
      <c r="K650" s="13"/>
    </row>
    <row r="651" spans="1:11" ht="15" customHeight="1" x14ac:dyDescent="0.4">
      <c r="A651" s="204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3"/>
      <c r="K651" s="13"/>
    </row>
    <row r="652" spans="1:11" ht="15" customHeight="1" x14ac:dyDescent="0.4">
      <c r="A652" s="204"/>
      <c r="B652" s="202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3"/>
      <c r="K652" s="13"/>
    </row>
    <row r="653" spans="1:11" ht="15" customHeight="1" x14ac:dyDescent="0.4">
      <c r="A653" s="204"/>
      <c r="B653" s="203"/>
      <c r="C653" s="64"/>
      <c r="D653" s="65" t="s">
        <v>582</v>
      </c>
      <c r="E653" s="3">
        <v>0</v>
      </c>
      <c r="G653" s="8"/>
      <c r="H653" s="11"/>
      <c r="I653" s="12"/>
      <c r="J653" s="153"/>
      <c r="K653" s="13"/>
    </row>
    <row r="654" spans="1:11" ht="15" customHeight="1" x14ac:dyDescent="0.4">
      <c r="A654" s="177" t="s">
        <v>583</v>
      </c>
      <c r="B654" s="177" t="s">
        <v>352</v>
      </c>
      <c r="C654" s="7">
        <v>116</v>
      </c>
      <c r="D654" s="9" t="s">
        <v>584</v>
      </c>
      <c r="E654" s="165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2">
        <v>164</v>
      </c>
      <c r="K654" s="13"/>
    </row>
    <row r="655" spans="1:11" ht="15" customHeight="1" x14ac:dyDescent="0.4">
      <c r="A655" s="177"/>
      <c r="B655" s="177"/>
      <c r="C655" s="7"/>
      <c r="D655" s="9" t="s">
        <v>585</v>
      </c>
      <c r="E655" s="165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2">
        <v>164</v>
      </c>
      <c r="K655" s="13"/>
    </row>
    <row r="656" spans="1:11" ht="15" customHeight="1" x14ac:dyDescent="0.4">
      <c r="A656" s="177"/>
      <c r="B656" s="177"/>
      <c r="C656" s="7"/>
      <c r="D656" s="9" t="s">
        <v>586</v>
      </c>
      <c r="E656" s="165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2">
        <v>164</v>
      </c>
      <c r="K656" s="13"/>
    </row>
    <row r="657" spans="1:11" ht="15" customHeight="1" x14ac:dyDescent="0.4">
      <c r="A657" s="177"/>
      <c r="B657" s="177"/>
      <c r="C657" s="7"/>
      <c r="D657" s="9" t="s">
        <v>587</v>
      </c>
      <c r="E657" s="165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2">
        <v>164</v>
      </c>
      <c r="K657" s="13"/>
    </row>
    <row r="658" spans="1:11" ht="15" customHeight="1" x14ac:dyDescent="0.4">
      <c r="A658" s="177"/>
      <c r="B658" s="177"/>
      <c r="C658" s="7"/>
      <c r="D658" s="9" t="s">
        <v>588</v>
      </c>
      <c r="E658" s="165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2">
        <v>164</v>
      </c>
      <c r="K658" s="13"/>
    </row>
    <row r="659" spans="1:11" ht="15" customHeight="1" x14ac:dyDescent="0.4">
      <c r="A659" s="177"/>
      <c r="B659" s="177"/>
      <c r="C659" s="7">
        <v>256</v>
      </c>
      <c r="D659" s="9" t="s">
        <v>589</v>
      </c>
      <c r="E659" s="165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2">
        <v>330</v>
      </c>
      <c r="K659" s="13"/>
    </row>
    <row r="660" spans="1:11" ht="15" customHeight="1" x14ac:dyDescent="0.4">
      <c r="A660" s="177"/>
      <c r="B660" s="177"/>
      <c r="C660" s="7"/>
      <c r="D660" s="9" t="s">
        <v>590</v>
      </c>
      <c r="E660" s="165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2">
        <v>330</v>
      </c>
      <c r="K660" s="13"/>
    </row>
    <row r="661" spans="1:11" ht="15" customHeight="1" x14ac:dyDescent="0.4">
      <c r="A661" s="177"/>
      <c r="B661" s="177"/>
      <c r="C661" s="7"/>
      <c r="D661" s="9" t="s">
        <v>591</v>
      </c>
      <c r="E661" s="165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2">
        <v>330</v>
      </c>
      <c r="K661" s="13"/>
    </row>
    <row r="662" spans="1:11" ht="15" customHeight="1" x14ac:dyDescent="0.4">
      <c r="A662" s="177"/>
      <c r="B662" s="177"/>
      <c r="C662" s="7"/>
      <c r="D662" s="9" t="s">
        <v>592</v>
      </c>
      <c r="E662" s="165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2">
        <v>330</v>
      </c>
      <c r="K662" s="13"/>
    </row>
    <row r="663" spans="1:11" ht="15" customHeight="1" x14ac:dyDescent="0.4">
      <c r="A663" s="177"/>
      <c r="B663" s="177"/>
      <c r="C663" s="7"/>
      <c r="D663" s="9" t="s">
        <v>488</v>
      </c>
      <c r="E663" s="165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2">
        <v>330</v>
      </c>
      <c r="K663" s="13"/>
    </row>
    <row r="664" spans="1:11" ht="15" customHeight="1" x14ac:dyDescent="0.4">
      <c r="A664" s="177"/>
      <c r="B664" s="177"/>
      <c r="C664" s="7">
        <v>308</v>
      </c>
      <c r="D664" s="9" t="s">
        <v>593</v>
      </c>
      <c r="E664" s="165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2">
        <v>401</v>
      </c>
      <c r="K664" s="13"/>
    </row>
    <row r="665" spans="1:11" ht="15" customHeight="1" x14ac:dyDescent="0.4">
      <c r="A665" s="177"/>
      <c r="B665" s="177"/>
      <c r="C665" s="7"/>
      <c r="D665" s="9" t="s">
        <v>594</v>
      </c>
      <c r="E665" s="165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2">
        <v>401</v>
      </c>
      <c r="K665" s="13"/>
    </row>
    <row r="666" spans="1:11" ht="15" customHeight="1" x14ac:dyDescent="0.4">
      <c r="A666" s="177"/>
      <c r="B666" s="177"/>
      <c r="C666" s="7"/>
      <c r="D666" s="9" t="s">
        <v>595</v>
      </c>
      <c r="E666" s="165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2">
        <v>401</v>
      </c>
      <c r="K666" s="13"/>
    </row>
    <row r="667" spans="1:11" ht="15" customHeight="1" x14ac:dyDescent="0.4">
      <c r="A667" s="177"/>
      <c r="B667" s="177"/>
      <c r="C667" s="7"/>
      <c r="D667" s="9" t="s">
        <v>596</v>
      </c>
      <c r="E667" s="165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2">
        <v>401</v>
      </c>
      <c r="K667" s="13"/>
    </row>
    <row r="668" spans="1:11" ht="15" customHeight="1" x14ac:dyDescent="0.4">
      <c r="A668" s="177"/>
      <c r="B668" s="177"/>
      <c r="C668" s="7"/>
      <c r="D668" s="9" t="s">
        <v>597</v>
      </c>
      <c r="E668" s="165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2">
        <v>401</v>
      </c>
      <c r="K668" s="13"/>
    </row>
    <row r="669" spans="1:11" ht="15" customHeight="1" x14ac:dyDescent="0.4">
      <c r="A669" s="177"/>
      <c r="B669" s="177"/>
      <c r="C669" s="7">
        <v>419</v>
      </c>
      <c r="D669" s="9" t="s">
        <v>598</v>
      </c>
      <c r="E669" s="165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2">
        <v>540</v>
      </c>
      <c r="K669" s="13"/>
    </row>
    <row r="670" spans="1:11" ht="15" customHeight="1" x14ac:dyDescent="0.4">
      <c r="A670" s="177"/>
      <c r="B670" s="177"/>
      <c r="C670" s="7"/>
      <c r="D670" s="9" t="s">
        <v>599</v>
      </c>
      <c r="E670" s="165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2">
        <v>540</v>
      </c>
      <c r="K670" s="13"/>
    </row>
    <row r="671" spans="1:11" ht="15" customHeight="1" x14ac:dyDescent="0.4">
      <c r="A671" s="177"/>
      <c r="B671" s="177"/>
      <c r="C671" s="7"/>
      <c r="D671" s="9" t="s">
        <v>600</v>
      </c>
      <c r="E671" s="165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2">
        <v>540</v>
      </c>
      <c r="K671" s="13"/>
    </row>
    <row r="672" spans="1:11" ht="15" customHeight="1" x14ac:dyDescent="0.4">
      <c r="A672" s="177" t="s">
        <v>601</v>
      </c>
      <c r="B672" s="7" t="s">
        <v>602</v>
      </c>
      <c r="C672" s="33"/>
      <c r="D672" s="21"/>
      <c r="E672" s="168">
        <v>0</v>
      </c>
      <c r="G672" s="8"/>
      <c r="H672" s="11">
        <f>1.04*100</f>
        <v>104</v>
      </c>
      <c r="I672" s="12" t="e">
        <f>ROUNDDOWN(#REF!/H672,-2)</f>
        <v>#REF!</v>
      </c>
      <c r="J672" s="153"/>
      <c r="K672" s="13"/>
    </row>
    <row r="673" spans="1:11" ht="15" customHeight="1" x14ac:dyDescent="0.4">
      <c r="A673" s="177"/>
      <c r="B673" s="7" t="s">
        <v>374</v>
      </c>
      <c r="C673" s="33"/>
      <c r="D673" s="21"/>
      <c r="E673" s="168">
        <v>3245000</v>
      </c>
      <c r="G673" s="8"/>
      <c r="H673" s="11"/>
      <c r="I673" s="12"/>
      <c r="J673" s="153"/>
      <c r="K673" s="13"/>
    </row>
    <row r="674" spans="1:11" ht="15" customHeight="1" x14ac:dyDescent="0.4">
      <c r="A674" s="177"/>
      <c r="B674" s="7" t="s">
        <v>2912</v>
      </c>
      <c r="C674" s="33"/>
      <c r="D674" s="21"/>
      <c r="E674" s="168">
        <v>1100000</v>
      </c>
      <c r="G674" s="8"/>
      <c r="H674" s="11"/>
      <c r="I674" s="12"/>
      <c r="J674" s="153"/>
      <c r="K674" s="13"/>
    </row>
    <row r="675" spans="1:11" ht="15" customHeight="1" x14ac:dyDescent="0.4">
      <c r="A675" s="177"/>
      <c r="B675" s="7" t="s">
        <v>2913</v>
      </c>
      <c r="C675" s="33"/>
      <c r="D675" s="21"/>
      <c r="E675" s="168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3"/>
      <c r="K675" s="13"/>
    </row>
    <row r="676" spans="1:11" ht="15" customHeight="1" x14ac:dyDescent="0.4">
      <c r="A676" s="178" t="s">
        <v>603</v>
      </c>
      <c r="B676" s="177" t="s">
        <v>604</v>
      </c>
      <c r="C676" s="33">
        <v>120</v>
      </c>
      <c r="D676" s="21" t="s">
        <v>605</v>
      </c>
      <c r="E676" s="168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3"/>
      <c r="K676" s="13"/>
    </row>
    <row r="677" spans="1:11" ht="15" customHeight="1" x14ac:dyDescent="0.4">
      <c r="A677" s="177"/>
      <c r="B677" s="177"/>
      <c r="C677" s="33"/>
      <c r="D677" s="21" t="s">
        <v>606</v>
      </c>
      <c r="E677" s="168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3"/>
      <c r="K677" s="13"/>
    </row>
    <row r="678" spans="1:11" ht="15" customHeight="1" x14ac:dyDescent="0.4">
      <c r="A678" s="177"/>
      <c r="B678" s="177"/>
      <c r="C678" s="33">
        <v>220</v>
      </c>
      <c r="D678" s="21" t="s">
        <v>605</v>
      </c>
      <c r="E678" s="168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3"/>
      <c r="K678" s="13"/>
    </row>
    <row r="679" spans="1:11" ht="15" customHeight="1" x14ac:dyDescent="0.4">
      <c r="A679" s="177"/>
      <c r="B679" s="177"/>
      <c r="C679" s="33"/>
      <c r="D679" s="21" t="s">
        <v>606</v>
      </c>
      <c r="E679" s="168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3"/>
      <c r="K679" s="13"/>
    </row>
    <row r="680" spans="1:11" ht="15" customHeight="1" x14ac:dyDescent="0.4">
      <c r="A680" s="177"/>
      <c r="B680" s="177"/>
      <c r="C680" s="33">
        <v>350</v>
      </c>
      <c r="D680" s="21" t="s">
        <v>605</v>
      </c>
      <c r="E680" s="168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3"/>
      <c r="K680" s="13"/>
    </row>
    <row r="681" spans="1:11" ht="15" customHeight="1" x14ac:dyDescent="0.4">
      <c r="A681" s="177"/>
      <c r="B681" s="177"/>
      <c r="C681" s="33"/>
      <c r="D681" s="21" t="s">
        <v>606</v>
      </c>
      <c r="E681" s="168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3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8" t="s">
        <v>2390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3"/>
      <c r="K682" s="13"/>
    </row>
    <row r="683" spans="1:11" s="1" customFormat="1" ht="15" customHeight="1" x14ac:dyDescent="0.4">
      <c r="A683" s="178" t="s">
        <v>610</v>
      </c>
      <c r="B683" s="177" t="s">
        <v>611</v>
      </c>
      <c r="C683" s="7">
        <v>120</v>
      </c>
      <c r="D683" s="9" t="s">
        <v>230</v>
      </c>
      <c r="E683" s="165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3"/>
      <c r="K683" s="13"/>
    </row>
    <row r="684" spans="1:11" s="1" customFormat="1" ht="15" customHeight="1" x14ac:dyDescent="0.4">
      <c r="A684" s="178"/>
      <c r="B684" s="177"/>
      <c r="C684" s="7"/>
      <c r="D684" s="9" t="s">
        <v>612</v>
      </c>
      <c r="E684" s="165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3"/>
      <c r="K684" s="13"/>
    </row>
    <row r="685" spans="1:11" s="1" customFormat="1" ht="15" customHeight="1" x14ac:dyDescent="0.4">
      <c r="A685" s="178"/>
      <c r="B685" s="177"/>
      <c r="C685" s="7">
        <v>230</v>
      </c>
      <c r="D685" s="9" t="s">
        <v>613</v>
      </c>
      <c r="E685" s="165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3"/>
      <c r="K685" s="13"/>
    </row>
    <row r="686" spans="1:11" s="1" customFormat="1" ht="15" customHeight="1" x14ac:dyDescent="0.4">
      <c r="A686" s="178"/>
      <c r="B686" s="177"/>
      <c r="C686" s="7"/>
      <c r="D686" s="9" t="s">
        <v>614</v>
      </c>
      <c r="E686" s="165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3"/>
      <c r="K686" s="13"/>
    </row>
    <row r="687" spans="1:11" s="1" customFormat="1" ht="15" customHeight="1" x14ac:dyDescent="0.4">
      <c r="A687" s="178"/>
      <c r="B687" s="177"/>
      <c r="C687" s="7">
        <v>360</v>
      </c>
      <c r="D687" s="9" t="s">
        <v>615</v>
      </c>
      <c r="E687" s="165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3"/>
      <c r="K687" s="13"/>
    </row>
    <row r="688" spans="1:11" s="1" customFormat="1" ht="15" customHeight="1" x14ac:dyDescent="0.4">
      <c r="A688" s="178"/>
      <c r="B688" s="177"/>
      <c r="C688" s="7"/>
      <c r="D688" s="9" t="s">
        <v>616</v>
      </c>
      <c r="E688" s="165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3"/>
      <c r="K688" s="13"/>
    </row>
    <row r="689" spans="1:11" ht="15" customHeight="1" x14ac:dyDescent="0.4">
      <c r="A689" s="177" t="s">
        <v>617</v>
      </c>
      <c r="B689" s="177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3">
        <v>192</v>
      </c>
      <c r="K689" s="13"/>
    </row>
    <row r="690" spans="1:11" ht="15" customHeight="1" x14ac:dyDescent="0.4">
      <c r="A690" s="177"/>
      <c r="B690" s="177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3">
        <v>383</v>
      </c>
      <c r="K690" s="13"/>
    </row>
    <row r="691" spans="1:11" s="1" customFormat="1" ht="15" customHeight="1" x14ac:dyDescent="0.4">
      <c r="A691" s="178" t="s">
        <v>618</v>
      </c>
      <c r="B691" s="201" t="s">
        <v>346</v>
      </c>
      <c r="C691" s="33">
        <v>60</v>
      </c>
      <c r="D691" s="21" t="s">
        <v>619</v>
      </c>
      <c r="E691" s="168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3"/>
      <c r="K691" s="13"/>
    </row>
    <row r="692" spans="1:11" s="1" customFormat="1" ht="15" customHeight="1" x14ac:dyDescent="0.4">
      <c r="A692" s="178"/>
      <c r="B692" s="201"/>
      <c r="C692" s="33"/>
      <c r="D692" s="21" t="s">
        <v>620</v>
      </c>
      <c r="E692" s="168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3"/>
      <c r="K692" s="13"/>
    </row>
    <row r="693" spans="1:11" ht="15" customHeight="1" x14ac:dyDescent="0.4">
      <c r="A693" s="177" t="s">
        <v>621</v>
      </c>
      <c r="B693" s="177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3"/>
      <c r="K693" s="13"/>
    </row>
    <row r="694" spans="1:11" ht="15" customHeight="1" x14ac:dyDescent="0.4">
      <c r="A694" s="177"/>
      <c r="B694" s="177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3"/>
      <c r="K694" s="13"/>
    </row>
    <row r="695" spans="1:11" ht="15" customHeight="1" x14ac:dyDescent="0.4">
      <c r="A695" s="177"/>
      <c r="B695" s="177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3"/>
      <c r="K695" s="13"/>
    </row>
    <row r="696" spans="1:11" ht="15" customHeight="1" x14ac:dyDescent="0.4">
      <c r="A696" s="177"/>
      <c r="B696" s="177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3"/>
      <c r="K696" s="13"/>
    </row>
    <row r="697" spans="1:11" ht="15" customHeight="1" x14ac:dyDescent="0.4">
      <c r="A697" s="177"/>
      <c r="B697" s="177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3"/>
      <c r="K697" s="13"/>
    </row>
    <row r="698" spans="1:11" ht="15" customHeight="1" x14ac:dyDescent="0.4">
      <c r="A698" s="177"/>
      <c r="B698" s="177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3"/>
      <c r="K698" s="13"/>
    </row>
    <row r="699" spans="1:11" ht="15" customHeight="1" x14ac:dyDescent="0.4">
      <c r="A699" s="177" t="s">
        <v>622</v>
      </c>
      <c r="B699" s="177" t="s">
        <v>352</v>
      </c>
      <c r="C699" s="33">
        <v>203</v>
      </c>
      <c r="D699" s="21" t="s">
        <v>2914</v>
      </c>
      <c r="E699" s="168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3"/>
      <c r="K699" s="13"/>
    </row>
    <row r="700" spans="1:11" ht="15" customHeight="1" x14ac:dyDescent="0.4">
      <c r="A700" s="177"/>
      <c r="B700" s="177"/>
      <c r="C700" s="33"/>
      <c r="D700" s="21" t="s">
        <v>624</v>
      </c>
      <c r="E700" s="168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3"/>
      <c r="K700" s="13"/>
    </row>
    <row r="701" spans="1:11" ht="15" customHeight="1" x14ac:dyDescent="0.4">
      <c r="A701" s="178" t="s">
        <v>625</v>
      </c>
      <c r="B701" s="177" t="s">
        <v>604</v>
      </c>
      <c r="C701" s="31">
        <v>115</v>
      </c>
      <c r="D701" s="32"/>
      <c r="E701" s="168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3"/>
      <c r="K701" s="13"/>
    </row>
    <row r="702" spans="1:11" ht="15" customHeight="1" x14ac:dyDescent="0.4">
      <c r="A702" s="177"/>
      <c r="B702" s="177"/>
      <c r="C702" s="31">
        <v>135</v>
      </c>
      <c r="D702" s="32"/>
      <c r="E702" s="168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3"/>
      <c r="K702" s="13"/>
    </row>
    <row r="703" spans="1:11" ht="15" customHeight="1" x14ac:dyDescent="0.4">
      <c r="A703" s="177"/>
      <c r="B703" s="177"/>
      <c r="C703" s="31">
        <v>150</v>
      </c>
      <c r="D703" s="32"/>
      <c r="E703" s="168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3"/>
      <c r="K703" s="13"/>
    </row>
    <row r="704" spans="1:11" ht="15" customHeight="1" x14ac:dyDescent="0.4">
      <c r="A704" s="177"/>
      <c r="B704" s="177"/>
      <c r="C704" s="31">
        <v>200</v>
      </c>
      <c r="D704" s="32"/>
      <c r="E704" s="168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3"/>
      <c r="K704" s="13"/>
    </row>
    <row r="705" spans="1:11" ht="15" customHeight="1" x14ac:dyDescent="0.4">
      <c r="A705" s="177"/>
      <c r="B705" s="177"/>
      <c r="C705" s="31">
        <v>250</v>
      </c>
      <c r="D705" s="32"/>
      <c r="E705" s="168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3"/>
      <c r="K705" s="13"/>
    </row>
    <row r="706" spans="1:11" ht="15" customHeight="1" x14ac:dyDescent="0.4">
      <c r="A706" s="177"/>
      <c r="B706" s="177"/>
      <c r="C706" s="31">
        <v>300</v>
      </c>
      <c r="D706" s="32"/>
      <c r="E706" s="168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3"/>
      <c r="K706" s="13"/>
    </row>
    <row r="707" spans="1:11" ht="15" customHeight="1" x14ac:dyDescent="0.4">
      <c r="A707" s="177"/>
      <c r="B707" s="177" t="s">
        <v>28</v>
      </c>
      <c r="C707" s="31">
        <v>115</v>
      </c>
      <c r="D707" s="32"/>
      <c r="E707" s="168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3"/>
      <c r="K707" s="13"/>
    </row>
    <row r="708" spans="1:11" ht="15" customHeight="1" x14ac:dyDescent="0.4">
      <c r="A708" s="177"/>
      <c r="B708" s="177"/>
      <c r="C708" s="31">
        <v>135</v>
      </c>
      <c r="D708" s="32"/>
      <c r="E708" s="168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3"/>
      <c r="K708" s="13"/>
    </row>
    <row r="709" spans="1:11" ht="15" customHeight="1" x14ac:dyDescent="0.4">
      <c r="A709" s="177"/>
      <c r="B709" s="177"/>
      <c r="C709" s="31">
        <v>150</v>
      </c>
      <c r="D709" s="32"/>
      <c r="E709" s="168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3"/>
      <c r="K709" s="13"/>
    </row>
    <row r="710" spans="1:11" ht="15" customHeight="1" x14ac:dyDescent="0.4">
      <c r="A710" s="178" t="s">
        <v>626</v>
      </c>
      <c r="B710" s="178" t="s">
        <v>627</v>
      </c>
      <c r="C710" s="33">
        <v>120</v>
      </c>
      <c r="D710" s="21" t="s">
        <v>628</v>
      </c>
      <c r="E710" s="168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3"/>
      <c r="K710" s="13"/>
    </row>
    <row r="711" spans="1:11" ht="15" customHeight="1" x14ac:dyDescent="0.4">
      <c r="A711" s="178"/>
      <c r="B711" s="178"/>
      <c r="C711" s="33"/>
      <c r="D711" s="21" t="s">
        <v>629</v>
      </c>
      <c r="E711" s="168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3"/>
      <c r="K711" s="13"/>
    </row>
    <row r="712" spans="1:11" ht="15" customHeight="1" x14ac:dyDescent="0.4">
      <c r="A712" s="178"/>
      <c r="B712" s="178"/>
      <c r="C712" s="33"/>
      <c r="D712" s="21" t="s">
        <v>630</v>
      </c>
      <c r="E712" s="168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3"/>
      <c r="K712" s="13"/>
    </row>
    <row r="713" spans="1:11" ht="15" customHeight="1" x14ac:dyDescent="0.4">
      <c r="A713" s="178"/>
      <c r="B713" s="178" t="s">
        <v>631</v>
      </c>
      <c r="C713" s="33">
        <v>240</v>
      </c>
      <c r="D713" s="21" t="s">
        <v>632</v>
      </c>
      <c r="E713" s="168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3"/>
      <c r="K713" s="13"/>
    </row>
    <row r="714" spans="1:11" ht="15" customHeight="1" x14ac:dyDescent="0.4">
      <c r="A714" s="178"/>
      <c r="B714" s="178"/>
      <c r="C714" s="33"/>
      <c r="D714" s="21" t="s">
        <v>633</v>
      </c>
      <c r="E714" s="168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3"/>
      <c r="K714" s="13"/>
    </row>
    <row r="715" spans="1:11" ht="15" customHeight="1" x14ac:dyDescent="0.4">
      <c r="A715" s="178"/>
      <c r="B715" s="178"/>
      <c r="C715" s="33"/>
      <c r="D715" s="21" t="s">
        <v>634</v>
      </c>
      <c r="E715" s="168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3"/>
      <c r="K715" s="13"/>
    </row>
    <row r="716" spans="1:11" ht="15" customHeight="1" x14ac:dyDescent="0.4">
      <c r="A716" s="178"/>
      <c r="B716" s="178" t="s">
        <v>627</v>
      </c>
      <c r="C716" s="33">
        <v>340</v>
      </c>
      <c r="D716" s="21" t="s">
        <v>635</v>
      </c>
      <c r="E716" s="168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3"/>
      <c r="K716" s="13"/>
    </row>
    <row r="717" spans="1:11" ht="15" customHeight="1" x14ac:dyDescent="0.4">
      <c r="A717" s="178"/>
      <c r="B717" s="178"/>
      <c r="C717" s="33"/>
      <c r="D717" s="21" t="s">
        <v>636</v>
      </c>
      <c r="E717" s="168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3"/>
      <c r="K717" s="13"/>
    </row>
    <row r="718" spans="1:11" ht="15" customHeight="1" x14ac:dyDescent="0.4">
      <c r="A718" s="178"/>
      <c r="B718" s="178"/>
      <c r="C718" s="33"/>
      <c r="D718" s="21" t="s">
        <v>637</v>
      </c>
      <c r="E718" s="168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3"/>
      <c r="K718" s="13"/>
    </row>
    <row r="719" spans="1:11" ht="15" customHeight="1" x14ac:dyDescent="0.4">
      <c r="A719" s="177" t="s">
        <v>638</v>
      </c>
      <c r="B719" s="177" t="s">
        <v>22</v>
      </c>
      <c r="C719" s="7">
        <v>105</v>
      </c>
      <c r="D719" s="9" t="s">
        <v>639</v>
      </c>
      <c r="E719" s="165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2">
        <v>130</v>
      </c>
      <c r="K719" s="13"/>
    </row>
    <row r="720" spans="1:11" ht="15" customHeight="1" x14ac:dyDescent="0.4">
      <c r="A720" s="177"/>
      <c r="B720" s="177"/>
      <c r="C720" s="7">
        <v>128</v>
      </c>
      <c r="D720" s="9" t="s">
        <v>639</v>
      </c>
      <c r="E720" s="165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2">
        <v>160</v>
      </c>
      <c r="K720" s="13"/>
    </row>
    <row r="721" spans="1:11" ht="15" customHeight="1" x14ac:dyDescent="0.4">
      <c r="A721" s="177"/>
      <c r="B721" s="177"/>
      <c r="C721" s="7">
        <v>157</v>
      </c>
      <c r="D721" s="9" t="s">
        <v>639</v>
      </c>
      <c r="E721" s="165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2">
        <v>190</v>
      </c>
      <c r="K721" s="13"/>
    </row>
    <row r="722" spans="1:11" ht="15" customHeight="1" x14ac:dyDescent="0.4">
      <c r="A722" s="177"/>
      <c r="B722" s="177"/>
      <c r="C722" s="7">
        <v>209</v>
      </c>
      <c r="D722" s="9" t="s">
        <v>639</v>
      </c>
      <c r="E722" s="165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2">
        <v>260</v>
      </c>
      <c r="K722" s="13"/>
    </row>
    <row r="723" spans="1:11" ht="15" customHeight="1" x14ac:dyDescent="0.4">
      <c r="A723" s="177"/>
      <c r="B723" s="177"/>
      <c r="C723" s="7">
        <v>256</v>
      </c>
      <c r="D723" s="9" t="s">
        <v>639</v>
      </c>
      <c r="E723" s="165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2">
        <v>320</v>
      </c>
      <c r="K723" s="13"/>
    </row>
    <row r="724" spans="1:11" ht="15" customHeight="1" x14ac:dyDescent="0.4">
      <c r="A724" s="177"/>
      <c r="B724" s="177" t="s">
        <v>28</v>
      </c>
      <c r="C724" s="7">
        <v>105</v>
      </c>
      <c r="D724" s="9" t="s">
        <v>639</v>
      </c>
      <c r="E724" s="165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2">
        <v>130</v>
      </c>
      <c r="K724" s="13"/>
    </row>
    <row r="725" spans="1:11" ht="15" customHeight="1" x14ac:dyDescent="0.4">
      <c r="A725" s="177"/>
      <c r="B725" s="177"/>
      <c r="C725" s="7">
        <v>128</v>
      </c>
      <c r="D725" s="9" t="s">
        <v>639</v>
      </c>
      <c r="E725" s="165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2">
        <v>160</v>
      </c>
      <c r="K725" s="13"/>
    </row>
    <row r="726" spans="1:11" ht="15" customHeight="1" x14ac:dyDescent="0.4">
      <c r="A726" s="177"/>
      <c r="B726" s="177"/>
      <c r="C726" s="7">
        <v>157</v>
      </c>
      <c r="D726" s="9" t="s">
        <v>639</v>
      </c>
      <c r="E726" s="165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2">
        <v>190</v>
      </c>
      <c r="K726" s="13"/>
    </row>
    <row r="727" spans="1:11" ht="15" customHeight="1" x14ac:dyDescent="0.4">
      <c r="A727" s="177"/>
      <c r="B727" s="177"/>
      <c r="C727" s="7">
        <v>209</v>
      </c>
      <c r="D727" s="9" t="s">
        <v>639</v>
      </c>
      <c r="E727" s="165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2">
        <v>260</v>
      </c>
      <c r="K727" s="13"/>
    </row>
    <row r="728" spans="1:11" ht="15" customHeight="1" x14ac:dyDescent="0.4">
      <c r="A728" s="177"/>
      <c r="B728" s="177"/>
      <c r="C728" s="7">
        <v>256</v>
      </c>
      <c r="D728" s="9" t="s">
        <v>639</v>
      </c>
      <c r="E728" s="165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2">
        <v>320</v>
      </c>
      <c r="K728" s="13"/>
    </row>
    <row r="729" spans="1:11" ht="15" customHeight="1" x14ac:dyDescent="0.4">
      <c r="A729" s="177" t="s">
        <v>640</v>
      </c>
      <c r="B729" s="177" t="s">
        <v>27</v>
      </c>
      <c r="C729" s="33">
        <v>118</v>
      </c>
      <c r="D729" s="21" t="s">
        <v>641</v>
      </c>
      <c r="E729" s="168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3"/>
      <c r="K729" s="13"/>
    </row>
    <row r="730" spans="1:11" ht="15" customHeight="1" x14ac:dyDescent="0.4">
      <c r="A730" s="177"/>
      <c r="B730" s="177"/>
      <c r="C730" s="33">
        <v>216</v>
      </c>
      <c r="D730" s="21" t="s">
        <v>641</v>
      </c>
      <c r="E730" s="168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3"/>
      <c r="K730" s="13"/>
    </row>
    <row r="731" spans="1:11" ht="15" customHeight="1" x14ac:dyDescent="0.4">
      <c r="A731" s="177"/>
      <c r="B731" s="177"/>
      <c r="C731" s="33">
        <v>104</v>
      </c>
      <c r="D731" s="21" t="s">
        <v>2915</v>
      </c>
      <c r="E731" s="168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3"/>
      <c r="K731" s="13"/>
    </row>
    <row r="732" spans="1:11" ht="15" customHeight="1" x14ac:dyDescent="0.4">
      <c r="A732" s="177"/>
      <c r="B732" s="177"/>
      <c r="C732" s="33">
        <v>216</v>
      </c>
      <c r="D732" s="21" t="s">
        <v>642</v>
      </c>
      <c r="E732" s="168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3"/>
      <c r="K732" s="13"/>
    </row>
    <row r="733" spans="1:11" ht="15" customHeight="1" x14ac:dyDescent="0.4">
      <c r="A733" s="177" t="s">
        <v>643</v>
      </c>
      <c r="B733" s="181" t="s">
        <v>27</v>
      </c>
      <c r="C733" s="33">
        <v>118</v>
      </c>
      <c r="D733" s="21" t="s">
        <v>644</v>
      </c>
      <c r="E733" s="168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3"/>
      <c r="K733" s="13"/>
    </row>
    <row r="734" spans="1:11" ht="15" customHeight="1" x14ac:dyDescent="0.4">
      <c r="A734" s="177"/>
      <c r="B734" s="175"/>
      <c r="C734" s="33">
        <v>298</v>
      </c>
      <c r="D734" s="21" t="s">
        <v>644</v>
      </c>
      <c r="E734" s="168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3"/>
      <c r="K734" s="13"/>
    </row>
    <row r="735" spans="1:11" ht="15" customHeight="1" x14ac:dyDescent="0.4">
      <c r="A735" s="177"/>
      <c r="B735" s="176"/>
      <c r="C735" s="33">
        <v>148</v>
      </c>
      <c r="D735" s="21" t="s">
        <v>645</v>
      </c>
      <c r="E735" s="168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3"/>
      <c r="K735" s="13"/>
    </row>
    <row r="736" spans="1:11" ht="15" customHeight="1" x14ac:dyDescent="0.4">
      <c r="A736" s="177"/>
      <c r="B736" s="181" t="s">
        <v>28</v>
      </c>
      <c r="C736" s="33">
        <v>118</v>
      </c>
      <c r="D736" s="21" t="s">
        <v>644</v>
      </c>
      <c r="E736" s="168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3"/>
      <c r="K736" s="13"/>
    </row>
    <row r="737" spans="1:11" ht="15" customHeight="1" x14ac:dyDescent="0.4">
      <c r="A737" s="177"/>
      <c r="B737" s="175"/>
      <c r="C737" s="33">
        <v>148</v>
      </c>
      <c r="D737" s="21" t="s">
        <v>644</v>
      </c>
      <c r="E737" s="168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3"/>
      <c r="K737" s="13"/>
    </row>
    <row r="738" spans="1:11" ht="15" customHeight="1" x14ac:dyDescent="0.4">
      <c r="A738" s="177"/>
      <c r="B738" s="175"/>
      <c r="C738" s="20">
        <v>298</v>
      </c>
      <c r="D738" s="21" t="s">
        <v>644</v>
      </c>
      <c r="E738" s="168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3"/>
      <c r="K738" s="13"/>
    </row>
    <row r="739" spans="1:11" ht="15" customHeight="1" x14ac:dyDescent="0.4">
      <c r="A739" s="177"/>
      <c r="B739" s="176"/>
      <c r="C739" s="33">
        <v>148</v>
      </c>
      <c r="D739" s="21" t="s">
        <v>645</v>
      </c>
      <c r="E739" s="168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3"/>
      <c r="K739" s="13"/>
    </row>
    <row r="740" spans="1:11" ht="15" customHeight="1" x14ac:dyDescent="0.4">
      <c r="A740" s="177" t="s">
        <v>646</v>
      </c>
      <c r="B740" s="177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3"/>
      <c r="K740" s="13"/>
    </row>
    <row r="741" spans="1:11" ht="15" customHeight="1" x14ac:dyDescent="0.4">
      <c r="A741" s="177"/>
      <c r="B741" s="177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3"/>
      <c r="K741" s="13"/>
    </row>
    <row r="742" spans="1:11" ht="15" customHeight="1" x14ac:dyDescent="0.4">
      <c r="A742" s="177"/>
      <c r="B742" s="177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3"/>
      <c r="K742" s="13"/>
    </row>
    <row r="743" spans="1:11" ht="15" customHeight="1" x14ac:dyDescent="0.4">
      <c r="A743" s="177"/>
      <c r="B743" s="177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3"/>
      <c r="K743" s="13"/>
    </row>
    <row r="744" spans="1:11" s="1" customFormat="1" ht="15" customHeight="1" x14ac:dyDescent="0.4">
      <c r="A744" s="178" t="s">
        <v>651</v>
      </c>
      <c r="B744" s="177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2">
        <v>116</v>
      </c>
      <c r="K744" s="13"/>
    </row>
    <row r="745" spans="1:11" s="1" customFormat="1" ht="15" customHeight="1" x14ac:dyDescent="0.4">
      <c r="A745" s="177"/>
      <c r="B745" s="177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2">
        <v>140</v>
      </c>
      <c r="K745" s="13"/>
    </row>
    <row r="746" spans="1:11" s="1" customFormat="1" ht="15" customHeight="1" x14ac:dyDescent="0.4">
      <c r="A746" s="177"/>
      <c r="B746" s="177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2">
        <v>178</v>
      </c>
      <c r="K746" s="13"/>
    </row>
    <row r="747" spans="1:11" s="1" customFormat="1" ht="15" customHeight="1" x14ac:dyDescent="0.4">
      <c r="A747" s="177"/>
      <c r="B747" s="177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2">
        <v>238</v>
      </c>
      <c r="K747" s="13"/>
    </row>
    <row r="748" spans="1:11" s="1" customFormat="1" ht="15" customHeight="1" x14ac:dyDescent="0.4">
      <c r="A748" s="177"/>
      <c r="B748" s="177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2">
        <v>298</v>
      </c>
      <c r="K748" s="13"/>
    </row>
    <row r="749" spans="1:11" s="1" customFormat="1" ht="15" customHeight="1" x14ac:dyDescent="0.4">
      <c r="A749" s="177"/>
      <c r="B749" s="177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2">
        <v>417</v>
      </c>
      <c r="K749" s="13"/>
    </row>
    <row r="750" spans="1:11" ht="15" customHeight="1" x14ac:dyDescent="0.4">
      <c r="A750" s="177" t="s">
        <v>652</v>
      </c>
      <c r="B750" s="177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3"/>
      <c r="K750" s="13"/>
    </row>
    <row r="751" spans="1:11" ht="15" customHeight="1" x14ac:dyDescent="0.4">
      <c r="A751" s="177"/>
      <c r="B751" s="177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3"/>
      <c r="K751" s="13"/>
    </row>
    <row r="752" spans="1:11" s="1" customFormat="1" ht="15" customHeight="1" x14ac:dyDescent="0.4">
      <c r="A752" s="178" t="s">
        <v>656</v>
      </c>
      <c r="B752" s="177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3"/>
      <c r="K752" s="13"/>
    </row>
    <row r="753" spans="1:11" s="1" customFormat="1" ht="15" customHeight="1" x14ac:dyDescent="0.4">
      <c r="A753" s="178"/>
      <c r="B753" s="177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3"/>
      <c r="K753" s="13"/>
    </row>
    <row r="754" spans="1:11" s="1" customFormat="1" ht="15" customHeight="1" x14ac:dyDescent="0.4">
      <c r="A754" s="178"/>
      <c r="B754" s="177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3"/>
      <c r="K754" s="13"/>
    </row>
    <row r="755" spans="1:11" s="1" customFormat="1" ht="15" customHeight="1" x14ac:dyDescent="0.4">
      <c r="A755" s="178"/>
      <c r="B755" s="177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3"/>
      <c r="K755" s="13"/>
    </row>
    <row r="756" spans="1:11" s="1" customFormat="1" ht="15" customHeight="1" x14ac:dyDescent="0.4">
      <c r="A756" s="178" t="s">
        <v>660</v>
      </c>
      <c r="B756" s="199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3"/>
      <c r="K756" s="13"/>
    </row>
    <row r="757" spans="1:11" s="1" customFormat="1" ht="15" customHeight="1" x14ac:dyDescent="0.4">
      <c r="A757" s="178"/>
      <c r="B757" s="200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3"/>
      <c r="K757" s="13"/>
    </row>
    <row r="758" spans="1:11" s="1" customFormat="1" ht="15" customHeight="1" x14ac:dyDescent="0.4">
      <c r="A758" s="178"/>
      <c r="B758" s="200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3"/>
      <c r="K758" s="13"/>
    </row>
    <row r="759" spans="1:11" s="1" customFormat="1" ht="15" customHeight="1" x14ac:dyDescent="0.4">
      <c r="A759" s="178"/>
      <c r="B759" s="200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3"/>
      <c r="K759" s="13"/>
    </row>
    <row r="760" spans="1:11" s="1" customFormat="1" ht="15" customHeight="1" x14ac:dyDescent="0.4">
      <c r="A760" s="178"/>
      <c r="B760" s="200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3"/>
      <c r="K760" s="13"/>
    </row>
    <row r="761" spans="1:11" s="1" customFormat="1" ht="15" customHeight="1" x14ac:dyDescent="0.4">
      <c r="A761" s="178"/>
      <c r="B761" s="200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3"/>
      <c r="K761" s="13"/>
    </row>
    <row r="762" spans="1:11" s="1" customFormat="1" ht="15" customHeight="1" x14ac:dyDescent="0.4">
      <c r="A762" s="178"/>
      <c r="B762" s="200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3"/>
      <c r="K762" s="13"/>
    </row>
    <row r="763" spans="1:11" s="1" customFormat="1" ht="15" customHeight="1" x14ac:dyDescent="0.4">
      <c r="A763" s="178"/>
      <c r="B763" s="200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3"/>
      <c r="K763" s="13"/>
    </row>
    <row r="764" spans="1:11" s="1" customFormat="1" ht="15" customHeight="1" x14ac:dyDescent="0.4">
      <c r="A764" s="178"/>
      <c r="B764" s="200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3"/>
      <c r="K764" s="13"/>
    </row>
    <row r="765" spans="1:11" s="1" customFormat="1" ht="15" customHeight="1" x14ac:dyDescent="0.4">
      <c r="A765" s="178"/>
      <c r="B765" s="200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3"/>
      <c r="K765" s="13"/>
    </row>
    <row r="766" spans="1:11" s="1" customFormat="1" ht="15" customHeight="1" x14ac:dyDescent="0.4">
      <c r="A766" s="178" t="s">
        <v>669</v>
      </c>
      <c r="B766" s="177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3"/>
      <c r="K766" s="13"/>
    </row>
    <row r="767" spans="1:11" s="1" customFormat="1" ht="15" customHeight="1" x14ac:dyDescent="0.4">
      <c r="A767" s="178"/>
      <c r="B767" s="177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3"/>
      <c r="K767" s="13"/>
    </row>
    <row r="768" spans="1:11" ht="15" customHeight="1" x14ac:dyDescent="0.4">
      <c r="A768" s="180" t="s">
        <v>672</v>
      </c>
      <c r="B768" s="181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3"/>
      <c r="K768" s="13"/>
    </row>
    <row r="769" spans="1:11" ht="15" customHeight="1" x14ac:dyDescent="0.4">
      <c r="A769" s="175"/>
      <c r="B769" s="175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3"/>
      <c r="K769" s="13"/>
    </row>
    <row r="770" spans="1:11" ht="15" customHeight="1" x14ac:dyDescent="0.4">
      <c r="A770" s="175"/>
      <c r="B770" s="175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3"/>
      <c r="K770" s="13"/>
    </row>
    <row r="771" spans="1:11" ht="15" customHeight="1" x14ac:dyDescent="0.4">
      <c r="A771" s="181" t="s">
        <v>676</v>
      </c>
      <c r="B771" s="181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3"/>
      <c r="K771" s="13"/>
    </row>
    <row r="772" spans="1:11" ht="15" customHeight="1" x14ac:dyDescent="0.4">
      <c r="A772" s="175"/>
      <c r="B772" s="175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3"/>
      <c r="K772" s="13"/>
    </row>
    <row r="773" spans="1:11" ht="15" customHeight="1" x14ac:dyDescent="0.4">
      <c r="A773" s="175"/>
      <c r="B773" s="175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3"/>
      <c r="K773" s="13"/>
    </row>
    <row r="774" spans="1:11" ht="15" customHeight="1" x14ac:dyDescent="0.4">
      <c r="A774" s="175"/>
      <c r="B774" s="175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3"/>
      <c r="K774" s="13"/>
    </row>
    <row r="775" spans="1:11" ht="15" customHeight="1" x14ac:dyDescent="0.4">
      <c r="A775" s="175"/>
      <c r="B775" s="175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3"/>
      <c r="K775" s="13"/>
    </row>
    <row r="776" spans="1:11" ht="15" customHeight="1" x14ac:dyDescent="0.4">
      <c r="A776" s="175"/>
      <c r="B776" s="175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3"/>
      <c r="K776" s="13"/>
    </row>
    <row r="777" spans="1:11" ht="15" customHeight="1" x14ac:dyDescent="0.4">
      <c r="A777" s="175"/>
      <c r="B777" s="175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3"/>
      <c r="K777" s="13"/>
    </row>
    <row r="778" spans="1:11" ht="15" customHeight="1" x14ac:dyDescent="0.4">
      <c r="A778" s="175"/>
      <c r="B778" s="175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3"/>
      <c r="K778" s="13"/>
    </row>
    <row r="779" spans="1:11" ht="15" customHeight="1" x14ac:dyDescent="0.4">
      <c r="A779" s="175"/>
      <c r="B779" s="175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3"/>
      <c r="K779" s="13"/>
    </row>
    <row r="780" spans="1:11" ht="15" customHeight="1" x14ac:dyDescent="0.4">
      <c r="A780" s="175"/>
      <c r="B780" s="175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3"/>
      <c r="K780" s="13"/>
    </row>
    <row r="781" spans="1:11" ht="15" customHeight="1" x14ac:dyDescent="0.4">
      <c r="A781" s="175"/>
      <c r="B781" s="175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3"/>
      <c r="K781" s="13"/>
    </row>
    <row r="782" spans="1:11" ht="15" customHeight="1" x14ac:dyDescent="0.4">
      <c r="A782" s="176"/>
      <c r="B782" s="176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3"/>
      <c r="K782" s="13"/>
    </row>
    <row r="783" spans="1:11" ht="15" customHeight="1" x14ac:dyDescent="0.4">
      <c r="A783" s="177" t="s">
        <v>685</v>
      </c>
      <c r="B783" s="177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3"/>
      <c r="K783" s="13"/>
    </row>
    <row r="784" spans="1:11" ht="15" customHeight="1" x14ac:dyDescent="0.4">
      <c r="A784" s="177"/>
      <c r="B784" s="177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3"/>
      <c r="K784" s="13"/>
    </row>
    <row r="785" spans="1:11" ht="15" customHeight="1" x14ac:dyDescent="0.4">
      <c r="A785" s="177"/>
      <c r="B785" s="177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3"/>
      <c r="K785" s="13"/>
    </row>
    <row r="786" spans="1:11" ht="15" customHeight="1" x14ac:dyDescent="0.4">
      <c r="A786" s="177"/>
      <c r="B786" s="177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3"/>
      <c r="K786" s="13"/>
    </row>
    <row r="787" spans="1:11" ht="15" customHeight="1" x14ac:dyDescent="0.4">
      <c r="A787" s="177"/>
      <c r="B787" s="177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3"/>
      <c r="K787" s="13"/>
    </row>
    <row r="788" spans="1:11" ht="15" customHeight="1" x14ac:dyDescent="0.4">
      <c r="A788" s="177"/>
      <c r="B788" s="177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3"/>
      <c r="K788" s="13"/>
    </row>
    <row r="789" spans="1:11" ht="15" customHeight="1" x14ac:dyDescent="0.4">
      <c r="A789" s="177"/>
      <c r="B789" s="177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3"/>
      <c r="K789" s="13"/>
    </row>
    <row r="790" spans="1:11" ht="15" customHeight="1" x14ac:dyDescent="0.4">
      <c r="A790" s="177"/>
      <c r="B790" s="177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3"/>
      <c r="K790" s="13"/>
    </row>
    <row r="791" spans="1:11" ht="15" customHeight="1" x14ac:dyDescent="0.4">
      <c r="A791" s="198" t="s">
        <v>694</v>
      </c>
      <c r="B791" s="177" t="s">
        <v>218</v>
      </c>
      <c r="C791" s="30">
        <v>200</v>
      </c>
      <c r="D791" s="29"/>
      <c r="E791" s="165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2">
        <v>240</v>
      </c>
      <c r="K791" s="13"/>
    </row>
    <row r="792" spans="1:11" ht="15" customHeight="1" x14ac:dyDescent="0.4">
      <c r="A792" s="172"/>
      <c r="B792" s="177"/>
      <c r="C792" s="30">
        <v>250</v>
      </c>
      <c r="D792" s="29"/>
      <c r="E792" s="165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2">
        <v>300</v>
      </c>
      <c r="K792" s="13"/>
    </row>
    <row r="793" spans="1:11" ht="15" customHeight="1" x14ac:dyDescent="0.4">
      <c r="A793" s="172"/>
      <c r="B793" s="177"/>
      <c r="C793" s="30">
        <v>300</v>
      </c>
      <c r="D793" s="29"/>
      <c r="E793" s="165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2">
        <v>366</v>
      </c>
      <c r="K793" s="13"/>
    </row>
    <row r="794" spans="1:11" ht="15" customHeight="1" x14ac:dyDescent="0.4">
      <c r="A794" s="172"/>
      <c r="B794" s="177"/>
      <c r="C794" s="30">
        <v>350</v>
      </c>
      <c r="D794" s="29"/>
      <c r="E794" s="165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2">
        <v>427</v>
      </c>
      <c r="K794" s="13"/>
    </row>
    <row r="795" spans="1:11" ht="15" customHeight="1" x14ac:dyDescent="0.4">
      <c r="A795" s="172"/>
      <c r="B795" s="177" t="s">
        <v>345</v>
      </c>
      <c r="C795" s="30">
        <v>200</v>
      </c>
      <c r="D795" s="29"/>
      <c r="E795" s="165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2">
        <v>240</v>
      </c>
      <c r="K795" s="13"/>
    </row>
    <row r="796" spans="1:11" ht="15" customHeight="1" x14ac:dyDescent="0.4">
      <c r="A796" s="172"/>
      <c r="B796" s="177"/>
      <c r="C796" s="30">
        <v>250</v>
      </c>
      <c r="D796" s="29"/>
      <c r="E796" s="165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2">
        <v>300</v>
      </c>
      <c r="K796" s="13"/>
    </row>
    <row r="797" spans="1:11" ht="15" customHeight="1" x14ac:dyDescent="0.4">
      <c r="A797" s="172"/>
      <c r="B797" s="177"/>
      <c r="C797" s="30">
        <v>300</v>
      </c>
      <c r="D797" s="29"/>
      <c r="E797" s="165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2">
        <v>366</v>
      </c>
      <c r="K797" s="13"/>
    </row>
    <row r="798" spans="1:11" ht="15" customHeight="1" x14ac:dyDescent="0.4">
      <c r="A798" s="173"/>
      <c r="B798" s="177"/>
      <c r="C798" s="30">
        <v>350</v>
      </c>
      <c r="D798" s="29"/>
      <c r="E798" s="165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2">
        <v>427</v>
      </c>
      <c r="K798" s="13"/>
    </row>
    <row r="799" spans="1:11" ht="15" customHeight="1" x14ac:dyDescent="0.4">
      <c r="A799" s="177" t="s">
        <v>695</v>
      </c>
      <c r="B799" s="177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3"/>
      <c r="K799" s="13"/>
    </row>
    <row r="800" spans="1:11" ht="15" customHeight="1" x14ac:dyDescent="0.4">
      <c r="A800" s="177"/>
      <c r="B800" s="177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3"/>
      <c r="K800" s="13"/>
    </row>
    <row r="801" spans="1:11" ht="15" customHeight="1" x14ac:dyDescent="0.4">
      <c r="A801" s="177" t="s">
        <v>698</v>
      </c>
      <c r="B801" s="177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3"/>
      <c r="K801" s="13"/>
    </row>
    <row r="802" spans="1:11" ht="15" customHeight="1" x14ac:dyDescent="0.4">
      <c r="A802" s="177"/>
      <c r="B802" s="177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3"/>
      <c r="K802" s="13"/>
    </row>
    <row r="803" spans="1:11" ht="15" customHeight="1" x14ac:dyDescent="0.4">
      <c r="A803" s="177"/>
      <c r="B803" s="177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3"/>
      <c r="K803" s="13"/>
    </row>
    <row r="804" spans="1:11" ht="15" customHeight="1" x14ac:dyDescent="0.4">
      <c r="A804" s="177"/>
      <c r="B804" s="177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3"/>
      <c r="K804" s="13"/>
    </row>
    <row r="805" spans="1:11" ht="15" customHeight="1" x14ac:dyDescent="0.4">
      <c r="A805" s="177"/>
      <c r="B805" s="177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3"/>
      <c r="K805" s="13"/>
    </row>
    <row r="806" spans="1:11" ht="15" customHeight="1" x14ac:dyDescent="0.4">
      <c r="A806" s="177" t="s">
        <v>699</v>
      </c>
      <c r="B806" s="177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3"/>
      <c r="K806" s="13"/>
    </row>
    <row r="807" spans="1:11" ht="15" customHeight="1" x14ac:dyDescent="0.4">
      <c r="A807" s="177"/>
      <c r="B807" s="177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3"/>
      <c r="K807" s="13"/>
    </row>
    <row r="808" spans="1:11" ht="15" customHeight="1" x14ac:dyDescent="0.4">
      <c r="A808" s="177"/>
      <c r="B808" s="177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3"/>
      <c r="K808" s="13"/>
    </row>
    <row r="809" spans="1:11" ht="15" customHeight="1" x14ac:dyDescent="0.4">
      <c r="A809" s="181" t="s">
        <v>703</v>
      </c>
      <c r="B809" s="177" t="s">
        <v>213</v>
      </c>
      <c r="C809" s="7">
        <v>105</v>
      </c>
      <c r="D809" s="9" t="s">
        <v>704</v>
      </c>
      <c r="E809" s="165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2">
        <v>123</v>
      </c>
      <c r="K809" s="13"/>
    </row>
    <row r="810" spans="1:11" ht="15" customHeight="1" x14ac:dyDescent="0.4">
      <c r="A810" s="175"/>
      <c r="B810" s="177"/>
      <c r="C810" s="7">
        <v>128</v>
      </c>
      <c r="D810" s="9" t="s">
        <v>704</v>
      </c>
      <c r="E810" s="165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2">
        <v>150</v>
      </c>
      <c r="K810" s="13"/>
    </row>
    <row r="811" spans="1:11" ht="15" customHeight="1" x14ac:dyDescent="0.4">
      <c r="A811" s="175"/>
      <c r="B811" s="177"/>
      <c r="C811" s="7">
        <v>157</v>
      </c>
      <c r="D811" s="9" t="s">
        <v>704</v>
      </c>
      <c r="E811" s="165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2">
        <v>180</v>
      </c>
      <c r="K811" s="13"/>
    </row>
    <row r="812" spans="1:11" ht="15" customHeight="1" x14ac:dyDescent="0.4">
      <c r="A812" s="175"/>
      <c r="B812" s="177"/>
      <c r="C812" s="7">
        <v>186</v>
      </c>
      <c r="D812" s="9" t="s">
        <v>704</v>
      </c>
      <c r="E812" s="165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2">
        <v>211</v>
      </c>
      <c r="K812" s="13"/>
    </row>
    <row r="813" spans="1:11" ht="15" customHeight="1" x14ac:dyDescent="0.4">
      <c r="A813" s="175"/>
      <c r="B813" s="177"/>
      <c r="C813" s="7">
        <v>209</v>
      </c>
      <c r="D813" s="9" t="s">
        <v>704</v>
      </c>
      <c r="E813" s="165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2">
        <v>235</v>
      </c>
      <c r="K813" s="13"/>
    </row>
    <row r="814" spans="1:11" ht="15" customHeight="1" x14ac:dyDescent="0.4">
      <c r="A814" s="175"/>
      <c r="B814" s="177"/>
      <c r="C814" s="7">
        <v>233</v>
      </c>
      <c r="D814" s="9" t="s">
        <v>704</v>
      </c>
      <c r="E814" s="165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2">
        <v>255</v>
      </c>
      <c r="K814" s="13"/>
    </row>
    <row r="815" spans="1:11" ht="15" customHeight="1" x14ac:dyDescent="0.4">
      <c r="A815" s="175"/>
      <c r="B815" s="177"/>
      <c r="C815" s="7">
        <v>262</v>
      </c>
      <c r="D815" s="9" t="s">
        <v>704</v>
      </c>
      <c r="E815" s="165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2">
        <v>286</v>
      </c>
      <c r="K815" s="13"/>
    </row>
    <row r="816" spans="1:11" ht="15" customHeight="1" x14ac:dyDescent="0.4">
      <c r="A816" s="175"/>
      <c r="B816" s="177"/>
      <c r="C816" s="7">
        <v>81.400000000000006</v>
      </c>
      <c r="D816" s="9" t="s">
        <v>705</v>
      </c>
      <c r="E816" s="165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2">
        <v>94</v>
      </c>
      <c r="K816" s="13"/>
    </row>
    <row r="817" spans="1:11" ht="15" customHeight="1" x14ac:dyDescent="0.4">
      <c r="A817" s="175"/>
      <c r="B817" s="177"/>
      <c r="C817" s="7">
        <v>105</v>
      </c>
      <c r="D817" s="9" t="s">
        <v>705</v>
      </c>
      <c r="E817" s="165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2">
        <v>123</v>
      </c>
      <c r="K817" s="13"/>
    </row>
    <row r="818" spans="1:11" ht="15" customHeight="1" x14ac:dyDescent="0.4">
      <c r="A818" s="175"/>
      <c r="B818" s="177"/>
      <c r="C818" s="7">
        <v>128</v>
      </c>
      <c r="D818" s="9" t="s">
        <v>705</v>
      </c>
      <c r="E818" s="165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2">
        <v>150</v>
      </c>
      <c r="K818" s="13"/>
    </row>
    <row r="819" spans="1:11" ht="15" customHeight="1" x14ac:dyDescent="0.4">
      <c r="A819" s="175"/>
      <c r="B819" s="177"/>
      <c r="C819" s="7">
        <v>157</v>
      </c>
      <c r="D819" s="9" t="s">
        <v>705</v>
      </c>
      <c r="E819" s="165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2">
        <v>180</v>
      </c>
      <c r="K819" s="13"/>
    </row>
    <row r="820" spans="1:11" ht="15" customHeight="1" x14ac:dyDescent="0.4">
      <c r="A820" s="175"/>
      <c r="B820" s="177"/>
      <c r="C820" s="7">
        <v>186</v>
      </c>
      <c r="D820" s="9" t="s">
        <v>705</v>
      </c>
      <c r="E820" s="165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2">
        <v>211</v>
      </c>
      <c r="K820" s="13"/>
    </row>
    <row r="821" spans="1:11" ht="15" customHeight="1" x14ac:dyDescent="0.4">
      <c r="A821" s="175"/>
      <c r="B821" s="177"/>
      <c r="C821" s="7">
        <v>209</v>
      </c>
      <c r="D821" s="9" t="s">
        <v>705</v>
      </c>
      <c r="E821" s="165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2">
        <v>235</v>
      </c>
      <c r="K821" s="13"/>
    </row>
    <row r="822" spans="1:11" ht="15" customHeight="1" x14ac:dyDescent="0.4">
      <c r="A822" s="175"/>
      <c r="B822" s="177"/>
      <c r="C822" s="7">
        <v>233</v>
      </c>
      <c r="D822" s="9" t="s">
        <v>705</v>
      </c>
      <c r="E822" s="165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2">
        <v>255</v>
      </c>
      <c r="K822" s="13"/>
    </row>
    <row r="823" spans="1:11" ht="15" customHeight="1" x14ac:dyDescent="0.4">
      <c r="A823" s="175"/>
      <c r="B823" s="177"/>
      <c r="C823" s="7">
        <v>262</v>
      </c>
      <c r="D823" s="9" t="s">
        <v>705</v>
      </c>
      <c r="E823" s="165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2">
        <v>286</v>
      </c>
      <c r="K823" s="13"/>
    </row>
    <row r="824" spans="1:11" s="67" customFormat="1" ht="15" customHeight="1" x14ac:dyDescent="0.4">
      <c r="A824" s="175"/>
      <c r="B824" s="181" t="s">
        <v>356</v>
      </c>
      <c r="C824" s="7">
        <v>105</v>
      </c>
      <c r="D824" s="9" t="s">
        <v>704</v>
      </c>
      <c r="E824" s="165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2">
        <v>123</v>
      </c>
      <c r="K824" s="13"/>
    </row>
    <row r="825" spans="1:11" ht="15" customHeight="1" x14ac:dyDescent="0.4">
      <c r="A825" s="175"/>
      <c r="B825" s="175"/>
      <c r="C825" s="7">
        <v>128</v>
      </c>
      <c r="D825" s="9" t="s">
        <v>704</v>
      </c>
      <c r="E825" s="165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2">
        <v>150</v>
      </c>
      <c r="K825" s="13"/>
    </row>
    <row r="826" spans="1:11" ht="15" customHeight="1" x14ac:dyDescent="0.4">
      <c r="A826" s="175"/>
      <c r="B826" s="175"/>
      <c r="C826" s="7">
        <v>157</v>
      </c>
      <c r="D826" s="9" t="s">
        <v>704</v>
      </c>
      <c r="E826" s="165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2">
        <v>180</v>
      </c>
      <c r="K826" s="13"/>
    </row>
    <row r="827" spans="1:11" ht="15" customHeight="1" x14ac:dyDescent="0.4">
      <c r="A827" s="175"/>
      <c r="B827" s="175"/>
      <c r="C827" s="7">
        <v>186</v>
      </c>
      <c r="D827" s="9" t="s">
        <v>704</v>
      </c>
      <c r="E827" s="165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2">
        <v>211</v>
      </c>
      <c r="K827" s="13"/>
    </row>
    <row r="828" spans="1:11" ht="15" customHeight="1" x14ac:dyDescent="0.4">
      <c r="A828" s="175"/>
      <c r="B828" s="175"/>
      <c r="C828" s="7">
        <v>209</v>
      </c>
      <c r="D828" s="9" t="s">
        <v>704</v>
      </c>
      <c r="E828" s="165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2">
        <v>235</v>
      </c>
      <c r="K828" s="13"/>
    </row>
    <row r="829" spans="1:11" ht="15" customHeight="1" x14ac:dyDescent="0.4">
      <c r="A829" s="175"/>
      <c r="B829" s="175"/>
      <c r="C829" s="7">
        <v>233</v>
      </c>
      <c r="D829" s="9" t="s">
        <v>704</v>
      </c>
      <c r="E829" s="165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2">
        <v>255</v>
      </c>
      <c r="K829" s="13"/>
    </row>
    <row r="830" spans="1:11" ht="15" customHeight="1" x14ac:dyDescent="0.4">
      <c r="A830" s="175"/>
      <c r="B830" s="175"/>
      <c r="C830" s="7">
        <v>262</v>
      </c>
      <c r="D830" s="9" t="s">
        <v>704</v>
      </c>
      <c r="E830" s="165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2">
        <v>286</v>
      </c>
      <c r="K830" s="13"/>
    </row>
    <row r="831" spans="1:11" ht="15" customHeight="1" x14ac:dyDescent="0.4">
      <c r="A831" s="175"/>
      <c r="B831" s="175"/>
      <c r="C831" s="7">
        <v>81.400000000000006</v>
      </c>
      <c r="D831" s="9" t="s">
        <v>705</v>
      </c>
      <c r="E831" s="165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2">
        <v>94</v>
      </c>
      <c r="K831" s="13"/>
    </row>
    <row r="832" spans="1:11" ht="15" customHeight="1" x14ac:dyDescent="0.4">
      <c r="A832" s="175"/>
      <c r="B832" s="175"/>
      <c r="C832" s="7">
        <v>105</v>
      </c>
      <c r="D832" s="9" t="s">
        <v>705</v>
      </c>
      <c r="E832" s="165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2">
        <v>123</v>
      </c>
      <c r="K832" s="13"/>
    </row>
    <row r="833" spans="1:11" ht="15" customHeight="1" x14ac:dyDescent="0.4">
      <c r="A833" s="175"/>
      <c r="B833" s="175"/>
      <c r="C833" s="7">
        <v>128</v>
      </c>
      <c r="D833" s="9" t="s">
        <v>705</v>
      </c>
      <c r="E833" s="165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2">
        <v>150</v>
      </c>
      <c r="K833" s="13"/>
    </row>
    <row r="834" spans="1:11" ht="15" customHeight="1" x14ac:dyDescent="0.4">
      <c r="A834" s="175"/>
      <c r="B834" s="175"/>
      <c r="C834" s="7">
        <v>157</v>
      </c>
      <c r="D834" s="9" t="s">
        <v>705</v>
      </c>
      <c r="E834" s="165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2">
        <v>180</v>
      </c>
      <c r="K834" s="13"/>
    </row>
    <row r="835" spans="1:11" ht="15" customHeight="1" x14ac:dyDescent="0.4">
      <c r="A835" s="175"/>
      <c r="B835" s="175"/>
      <c r="C835" s="7">
        <v>186</v>
      </c>
      <c r="D835" s="9" t="s">
        <v>705</v>
      </c>
      <c r="E835" s="165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2">
        <v>211</v>
      </c>
      <c r="K835" s="13"/>
    </row>
    <row r="836" spans="1:11" ht="15" customHeight="1" x14ac:dyDescent="0.4">
      <c r="A836" s="175"/>
      <c r="B836" s="175"/>
      <c r="C836" s="7">
        <v>209</v>
      </c>
      <c r="D836" s="9" t="s">
        <v>705</v>
      </c>
      <c r="E836" s="165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2">
        <v>235</v>
      </c>
      <c r="K836" s="13"/>
    </row>
    <row r="837" spans="1:11" ht="15" customHeight="1" x14ac:dyDescent="0.4">
      <c r="A837" s="175"/>
      <c r="B837" s="175"/>
      <c r="C837" s="7">
        <v>233</v>
      </c>
      <c r="D837" s="9" t="s">
        <v>705</v>
      </c>
      <c r="E837" s="165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2">
        <v>255</v>
      </c>
      <c r="K837" s="13"/>
    </row>
    <row r="838" spans="1:11" ht="15" customHeight="1" x14ac:dyDescent="0.4">
      <c r="A838" s="175"/>
      <c r="B838" s="175"/>
      <c r="C838" s="7">
        <v>262</v>
      </c>
      <c r="D838" s="9" t="s">
        <v>705</v>
      </c>
      <c r="E838" s="165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2">
        <v>286</v>
      </c>
      <c r="K838" s="13"/>
    </row>
    <row r="839" spans="1:11" ht="15" customHeight="1" x14ac:dyDescent="0.4">
      <c r="A839" s="175"/>
      <c r="B839" s="175"/>
      <c r="C839" s="33">
        <v>64</v>
      </c>
      <c r="D839" s="21" t="s">
        <v>706</v>
      </c>
      <c r="E839" s="168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2">
        <v>84</v>
      </c>
      <c r="K839" s="13"/>
    </row>
    <row r="840" spans="1:11" ht="15" customHeight="1" x14ac:dyDescent="0.4">
      <c r="A840" s="175"/>
      <c r="B840" s="175"/>
      <c r="C840" s="33">
        <v>186</v>
      </c>
      <c r="D840" s="21" t="s">
        <v>706</v>
      </c>
      <c r="E840" s="168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2">
        <v>247</v>
      </c>
      <c r="K840" s="13"/>
    </row>
    <row r="841" spans="1:11" ht="15" customHeight="1" x14ac:dyDescent="0.4">
      <c r="A841" s="175"/>
      <c r="B841" s="15" t="s">
        <v>218</v>
      </c>
      <c r="C841" s="33">
        <v>64</v>
      </c>
      <c r="D841" s="21" t="s">
        <v>706</v>
      </c>
      <c r="E841" s="168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2">
        <v>84</v>
      </c>
      <c r="K841" s="13"/>
    </row>
    <row r="842" spans="1:11" ht="15" customHeight="1" x14ac:dyDescent="0.4">
      <c r="A842" s="178" t="s">
        <v>707</v>
      </c>
      <c r="B842" s="181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3"/>
      <c r="K842" s="13"/>
    </row>
    <row r="843" spans="1:11" ht="15" customHeight="1" x14ac:dyDescent="0.4">
      <c r="A843" s="178"/>
      <c r="B843" s="175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3"/>
      <c r="K843" s="13"/>
    </row>
    <row r="844" spans="1:11" ht="15" customHeight="1" x14ac:dyDescent="0.4">
      <c r="A844" s="178"/>
      <c r="B844" s="175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3"/>
      <c r="K844" s="13"/>
    </row>
    <row r="845" spans="1:11" ht="15" customHeight="1" x14ac:dyDescent="0.4">
      <c r="A845" s="178"/>
      <c r="B845" s="175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3"/>
      <c r="K845" s="13"/>
    </row>
    <row r="846" spans="1:11" ht="15" customHeight="1" x14ac:dyDescent="0.4">
      <c r="A846" s="178"/>
      <c r="B846" s="175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3"/>
      <c r="K846" s="13"/>
    </row>
    <row r="847" spans="1:11" ht="15" customHeight="1" x14ac:dyDescent="0.4">
      <c r="A847" s="178"/>
      <c r="B847" s="175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3"/>
      <c r="K847" s="13"/>
    </row>
    <row r="848" spans="1:11" ht="15" customHeight="1" x14ac:dyDescent="0.4">
      <c r="A848" s="178"/>
      <c r="B848" s="176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3"/>
      <c r="K848" s="13"/>
    </row>
    <row r="849" spans="1:11" ht="15" customHeight="1" x14ac:dyDescent="0.4">
      <c r="A849" s="178"/>
      <c r="B849" s="178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3"/>
      <c r="K849" s="13"/>
    </row>
    <row r="850" spans="1:11" ht="15" customHeight="1" x14ac:dyDescent="0.4">
      <c r="A850" s="178"/>
      <c r="B850" s="178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3"/>
      <c r="K850" s="13"/>
    </row>
    <row r="851" spans="1:11" ht="15" customHeight="1" x14ac:dyDescent="0.4">
      <c r="A851" s="178"/>
      <c r="B851" s="178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3"/>
      <c r="K851" s="13"/>
    </row>
    <row r="852" spans="1:11" ht="15" customHeight="1" x14ac:dyDescent="0.4">
      <c r="A852" s="178" t="s">
        <v>718</v>
      </c>
      <c r="B852" s="177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3"/>
      <c r="K852" s="13"/>
    </row>
    <row r="853" spans="1:11" ht="15" customHeight="1" x14ac:dyDescent="0.4">
      <c r="A853" s="178"/>
      <c r="B853" s="177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3"/>
      <c r="K853" s="13"/>
    </row>
    <row r="854" spans="1:11" ht="15" customHeight="1" x14ac:dyDescent="0.4">
      <c r="A854" s="178"/>
      <c r="B854" s="177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3"/>
      <c r="K854" s="13"/>
    </row>
    <row r="855" spans="1:11" ht="15" customHeight="1" x14ac:dyDescent="0.4">
      <c r="A855" s="178"/>
      <c r="B855" s="177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3"/>
      <c r="K855" s="13"/>
    </row>
    <row r="856" spans="1:11" ht="15" customHeight="1" x14ac:dyDescent="0.4">
      <c r="A856" s="178"/>
      <c r="B856" s="177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3"/>
      <c r="K856" s="13"/>
    </row>
    <row r="857" spans="1:11" ht="15" customHeight="1" x14ac:dyDescent="0.4">
      <c r="A857" s="178"/>
      <c r="B857" s="177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3"/>
      <c r="K857" s="13"/>
    </row>
    <row r="858" spans="1:11" ht="15" customHeight="1" x14ac:dyDescent="0.4">
      <c r="A858" s="178"/>
      <c r="B858" s="177"/>
      <c r="C858" s="7"/>
      <c r="D858" s="9" t="s">
        <v>722</v>
      </c>
      <c r="E858" s="3">
        <v>0</v>
      </c>
      <c r="G858" s="8"/>
      <c r="H858" s="11"/>
      <c r="I858" s="12"/>
      <c r="J858" s="153"/>
      <c r="K858" s="13"/>
    </row>
    <row r="859" spans="1:11" ht="15" customHeight="1" x14ac:dyDescent="0.4">
      <c r="A859" s="178"/>
      <c r="B859" s="177"/>
      <c r="C859" s="7"/>
      <c r="D859" s="9" t="s">
        <v>724</v>
      </c>
      <c r="E859" s="3">
        <v>0</v>
      </c>
      <c r="G859" s="8"/>
      <c r="H859" s="11"/>
      <c r="I859" s="12"/>
      <c r="J859" s="153"/>
      <c r="K859" s="13"/>
    </row>
    <row r="860" spans="1:11" ht="15" customHeight="1" x14ac:dyDescent="0.4">
      <c r="A860" s="178"/>
      <c r="B860" s="7" t="s">
        <v>61</v>
      </c>
      <c r="C860" s="7"/>
      <c r="D860" s="9"/>
      <c r="E860" s="3">
        <v>0</v>
      </c>
      <c r="G860" s="8"/>
      <c r="H860" s="11"/>
      <c r="I860" s="12"/>
      <c r="J860" s="153"/>
      <c r="K860" s="13"/>
    </row>
    <row r="861" spans="1:11" ht="15" customHeight="1" x14ac:dyDescent="0.4">
      <c r="A861" s="180" t="s">
        <v>725</v>
      </c>
      <c r="B861" s="181" t="s">
        <v>604</v>
      </c>
      <c r="C861" s="14">
        <v>190</v>
      </c>
      <c r="D861" s="9"/>
      <c r="E861" s="167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2">
        <v>335</v>
      </c>
      <c r="K861" s="13"/>
    </row>
    <row r="862" spans="1:11" ht="15" customHeight="1" x14ac:dyDescent="0.4">
      <c r="A862" s="183"/>
      <c r="B862" s="175"/>
      <c r="C862" s="14">
        <v>225</v>
      </c>
      <c r="D862" s="9"/>
      <c r="E862" s="167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2">
        <v>415</v>
      </c>
      <c r="K862" s="13"/>
    </row>
    <row r="863" spans="1:11" ht="15" customHeight="1" x14ac:dyDescent="0.4">
      <c r="A863" s="183"/>
      <c r="B863" s="175"/>
      <c r="C863" s="14">
        <v>260</v>
      </c>
      <c r="D863" s="9"/>
      <c r="E863" s="167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2">
        <v>485</v>
      </c>
      <c r="K863" s="13"/>
    </row>
    <row r="864" spans="1:11" ht="15" customHeight="1" x14ac:dyDescent="0.4">
      <c r="A864" s="183"/>
      <c r="B864" s="175"/>
      <c r="C864" s="14">
        <v>295</v>
      </c>
      <c r="D864" s="9"/>
      <c r="E864" s="167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2">
        <v>555</v>
      </c>
      <c r="K864" s="13"/>
    </row>
    <row r="865" spans="1:11" ht="15" customHeight="1" x14ac:dyDescent="0.4">
      <c r="A865" s="183"/>
      <c r="B865" s="175"/>
      <c r="C865" s="14">
        <v>325</v>
      </c>
      <c r="D865" s="9"/>
      <c r="E865" s="167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2">
        <v>610</v>
      </c>
      <c r="K865" s="13"/>
    </row>
    <row r="866" spans="1:11" ht="15" customHeight="1" x14ac:dyDescent="0.4">
      <c r="A866" s="183"/>
      <c r="B866" s="181" t="s">
        <v>345</v>
      </c>
      <c r="C866" s="14">
        <v>190</v>
      </c>
      <c r="D866" s="9"/>
      <c r="E866" s="167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2">
        <v>335</v>
      </c>
      <c r="K866" s="13"/>
    </row>
    <row r="867" spans="1:11" ht="15" customHeight="1" x14ac:dyDescent="0.4">
      <c r="A867" s="183"/>
      <c r="B867" s="175"/>
      <c r="C867" s="14">
        <v>225</v>
      </c>
      <c r="D867" s="9"/>
      <c r="E867" s="167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2">
        <v>415</v>
      </c>
      <c r="K867" s="13"/>
    </row>
    <row r="868" spans="1:11" ht="15" customHeight="1" x14ac:dyDescent="0.4">
      <c r="A868" s="183"/>
      <c r="B868" s="175"/>
      <c r="C868" s="14">
        <v>260</v>
      </c>
      <c r="D868" s="9"/>
      <c r="E868" s="167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2">
        <v>485</v>
      </c>
      <c r="K868" s="13"/>
    </row>
    <row r="869" spans="1:11" ht="15" customHeight="1" x14ac:dyDescent="0.4">
      <c r="A869" s="183"/>
      <c r="B869" s="175"/>
      <c r="C869" s="14">
        <v>295</v>
      </c>
      <c r="D869" s="9"/>
      <c r="E869" s="167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2">
        <v>555</v>
      </c>
      <c r="K869" s="13"/>
    </row>
    <row r="870" spans="1:11" ht="15" customHeight="1" x14ac:dyDescent="0.4">
      <c r="A870" s="184"/>
      <c r="B870" s="175"/>
      <c r="C870" s="14">
        <v>325</v>
      </c>
      <c r="D870" s="9"/>
      <c r="E870" s="167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2">
        <v>610</v>
      </c>
      <c r="K870" s="13"/>
    </row>
    <row r="871" spans="1:11" ht="15" customHeight="1" x14ac:dyDescent="0.4">
      <c r="A871" s="178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3"/>
      <c r="K871" s="13"/>
    </row>
    <row r="872" spans="1:11" ht="15" customHeight="1" x14ac:dyDescent="0.4">
      <c r="A872" s="178"/>
      <c r="B872" s="181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3"/>
      <c r="K872" s="13"/>
    </row>
    <row r="873" spans="1:11" ht="15" customHeight="1" x14ac:dyDescent="0.4">
      <c r="A873" s="178"/>
      <c r="B873" s="176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3"/>
      <c r="K873" s="13"/>
    </row>
    <row r="874" spans="1:11" ht="15" customHeight="1" x14ac:dyDescent="0.4">
      <c r="A874" s="180" t="s">
        <v>732</v>
      </c>
      <c r="B874" s="181" t="s">
        <v>218</v>
      </c>
      <c r="C874" s="14">
        <v>110</v>
      </c>
      <c r="D874" s="9" t="s">
        <v>2916</v>
      </c>
      <c r="E874" s="165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3"/>
      <c r="K874" s="13"/>
    </row>
    <row r="875" spans="1:11" ht="15" customHeight="1" x14ac:dyDescent="0.4">
      <c r="A875" s="183"/>
      <c r="B875" s="175"/>
      <c r="C875" s="14"/>
      <c r="D875" s="9" t="s">
        <v>2917</v>
      </c>
      <c r="E875" s="165">
        <v>635000</v>
      </c>
      <c r="G875" s="8"/>
      <c r="H875" s="11"/>
      <c r="I875" s="12"/>
      <c r="J875" s="153"/>
      <c r="K875" s="13"/>
    </row>
    <row r="876" spans="1:11" ht="15" customHeight="1" x14ac:dyDescent="0.4">
      <c r="A876" s="183"/>
      <c r="B876" s="175"/>
      <c r="C876" s="14"/>
      <c r="D876" s="9" t="s">
        <v>2918</v>
      </c>
      <c r="E876" s="165">
        <v>660000</v>
      </c>
      <c r="G876" s="8"/>
      <c r="H876" s="11"/>
      <c r="I876" s="12"/>
      <c r="J876" s="153"/>
      <c r="K876" s="13"/>
    </row>
    <row r="877" spans="1:11" ht="15" customHeight="1" x14ac:dyDescent="0.4">
      <c r="A877" s="183"/>
      <c r="B877" s="175"/>
      <c r="C877" s="14"/>
      <c r="D877" s="9" t="s">
        <v>2919</v>
      </c>
      <c r="E877" s="165">
        <v>700000</v>
      </c>
      <c r="G877" s="8"/>
      <c r="H877" s="11"/>
      <c r="I877" s="12"/>
      <c r="J877" s="153"/>
      <c r="K877" s="13"/>
    </row>
    <row r="878" spans="1:11" ht="15" customHeight="1" x14ac:dyDescent="0.4">
      <c r="A878" s="183"/>
      <c r="B878" s="175"/>
      <c r="C878" s="14"/>
      <c r="D878" s="9" t="s">
        <v>2920</v>
      </c>
      <c r="E878" s="165">
        <v>760000</v>
      </c>
      <c r="G878" s="8"/>
      <c r="H878" s="11"/>
      <c r="I878" s="12"/>
      <c r="J878" s="153"/>
      <c r="K878" s="13"/>
    </row>
    <row r="879" spans="1:11" ht="15" customHeight="1" x14ac:dyDescent="0.4">
      <c r="A879" s="184"/>
      <c r="B879" s="176"/>
      <c r="C879" s="14">
        <v>350</v>
      </c>
      <c r="D879" s="9" t="s">
        <v>2921</v>
      </c>
      <c r="E879" s="165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3"/>
      <c r="K879" s="13"/>
    </row>
    <row r="880" spans="1:11" ht="15" customHeight="1" x14ac:dyDescent="0.4">
      <c r="A880" s="185" t="s">
        <v>2922</v>
      </c>
      <c r="B880" s="174" t="s">
        <v>604</v>
      </c>
      <c r="C880" s="14">
        <v>145</v>
      </c>
      <c r="D880" s="9" t="s">
        <v>2924</v>
      </c>
      <c r="E880" s="165">
        <v>370000</v>
      </c>
      <c r="G880" s="8"/>
      <c r="H880" s="11"/>
      <c r="I880" s="12"/>
      <c r="J880" s="153"/>
      <c r="K880" s="13"/>
    </row>
    <row r="881" spans="1:11" ht="15" customHeight="1" x14ac:dyDescent="0.4">
      <c r="A881" s="183"/>
      <c r="B881" s="175"/>
      <c r="C881" s="14">
        <v>200</v>
      </c>
      <c r="D881" s="9" t="s">
        <v>2924</v>
      </c>
      <c r="E881" s="165">
        <v>510000</v>
      </c>
      <c r="G881" s="8"/>
      <c r="H881" s="11"/>
      <c r="I881" s="12"/>
      <c r="J881" s="153"/>
      <c r="K881" s="13"/>
    </row>
    <row r="882" spans="1:11" ht="15" customHeight="1" x14ac:dyDescent="0.4">
      <c r="A882" s="183"/>
      <c r="B882" s="175"/>
      <c r="C882" s="14">
        <v>260</v>
      </c>
      <c r="D882" s="9" t="s">
        <v>2924</v>
      </c>
      <c r="E882" s="165">
        <v>670000</v>
      </c>
      <c r="G882" s="8"/>
      <c r="H882" s="11"/>
      <c r="I882" s="12"/>
      <c r="J882" s="153"/>
      <c r="K882" s="13"/>
    </row>
    <row r="883" spans="1:11" ht="15" customHeight="1" x14ac:dyDescent="0.4">
      <c r="A883" s="183"/>
      <c r="B883" s="176"/>
      <c r="C883" s="14">
        <v>320</v>
      </c>
      <c r="D883" s="9" t="s">
        <v>2924</v>
      </c>
      <c r="E883" s="165">
        <v>820000</v>
      </c>
      <c r="G883" s="8"/>
      <c r="H883" s="11"/>
      <c r="I883" s="12"/>
      <c r="J883" s="153"/>
      <c r="K883" s="13"/>
    </row>
    <row r="884" spans="1:11" ht="15" customHeight="1" x14ac:dyDescent="0.4">
      <c r="A884" s="183"/>
      <c r="B884" s="166" t="s">
        <v>2923</v>
      </c>
      <c r="C884" s="14">
        <v>260</v>
      </c>
      <c r="D884" s="9" t="s">
        <v>2925</v>
      </c>
      <c r="E884" s="165">
        <v>565000</v>
      </c>
      <c r="G884" s="8"/>
      <c r="H884" s="11"/>
      <c r="I884" s="12"/>
      <c r="J884" s="153"/>
      <c r="K884" s="13"/>
    </row>
    <row r="885" spans="1:11" ht="15" customHeight="1" x14ac:dyDescent="0.4">
      <c r="A885" s="178" t="s">
        <v>733</v>
      </c>
      <c r="B885" s="177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3"/>
      <c r="K885" s="13"/>
    </row>
    <row r="886" spans="1:11" ht="15" customHeight="1" x14ac:dyDescent="0.4">
      <c r="A886" s="178"/>
      <c r="B886" s="177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3"/>
      <c r="K886" s="13"/>
    </row>
    <row r="887" spans="1:11" ht="15" customHeight="1" x14ac:dyDescent="0.4">
      <c r="A887" s="178" t="s">
        <v>735</v>
      </c>
      <c r="B887" s="177" t="s">
        <v>27</v>
      </c>
      <c r="C887" s="7">
        <v>80</v>
      </c>
      <c r="D887" s="11" t="s">
        <v>736</v>
      </c>
      <c r="E887" s="165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2">
        <v>105</v>
      </c>
      <c r="K887" s="13"/>
    </row>
    <row r="888" spans="1:11" ht="15" customHeight="1" x14ac:dyDescent="0.4">
      <c r="A888" s="178"/>
      <c r="B888" s="177"/>
      <c r="C888" s="7">
        <v>100</v>
      </c>
      <c r="D888" s="11" t="s">
        <v>737</v>
      </c>
      <c r="E888" s="165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2">
        <v>113</v>
      </c>
      <c r="K888" s="13"/>
    </row>
    <row r="889" spans="1:11" ht="15" customHeight="1" x14ac:dyDescent="0.4">
      <c r="A889" s="178"/>
      <c r="B889" s="177"/>
      <c r="C889" s="7">
        <v>120</v>
      </c>
      <c r="D889" s="11" t="s">
        <v>737</v>
      </c>
      <c r="E889" s="165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2">
        <v>136</v>
      </c>
      <c r="K889" s="13"/>
    </row>
    <row r="890" spans="1:11" ht="15" customHeight="1" x14ac:dyDescent="0.4">
      <c r="A890" s="178"/>
      <c r="B890" s="177"/>
      <c r="C890" s="7">
        <v>150</v>
      </c>
      <c r="D890" s="11" t="s">
        <v>737</v>
      </c>
      <c r="E890" s="165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2">
        <v>170</v>
      </c>
      <c r="K890" s="13"/>
    </row>
    <row r="891" spans="1:11" ht="15" customHeight="1" x14ac:dyDescent="0.4">
      <c r="A891" s="178"/>
      <c r="B891" s="177"/>
      <c r="C891" s="7">
        <v>170</v>
      </c>
      <c r="D891" s="11" t="s">
        <v>737</v>
      </c>
      <c r="E891" s="165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2">
        <v>192</v>
      </c>
      <c r="K891" s="13"/>
    </row>
    <row r="892" spans="1:11" ht="15" customHeight="1" x14ac:dyDescent="0.4">
      <c r="A892" s="178"/>
      <c r="B892" s="177"/>
      <c r="C892" s="7">
        <v>200</v>
      </c>
      <c r="D892" s="11" t="s">
        <v>737</v>
      </c>
      <c r="E892" s="165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2">
        <v>226</v>
      </c>
      <c r="K892" s="13"/>
    </row>
    <row r="893" spans="1:11" ht="15" customHeight="1" x14ac:dyDescent="0.4">
      <c r="A893" s="178"/>
      <c r="B893" s="177"/>
      <c r="C893" s="7">
        <v>240</v>
      </c>
      <c r="D893" s="11" t="s">
        <v>737</v>
      </c>
      <c r="E893" s="165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2">
        <v>271</v>
      </c>
      <c r="K893" s="13"/>
    </row>
    <row r="894" spans="1:11" ht="15" customHeight="1" x14ac:dyDescent="0.4">
      <c r="A894" s="178"/>
      <c r="B894" s="177"/>
      <c r="C894" s="7">
        <v>300</v>
      </c>
      <c r="D894" s="11" t="s">
        <v>737</v>
      </c>
      <c r="E894" s="165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2">
        <v>339</v>
      </c>
      <c r="K894" s="13"/>
    </row>
    <row r="895" spans="1:11" ht="15" customHeight="1" x14ac:dyDescent="0.4">
      <c r="A895" s="178"/>
      <c r="B895" s="177"/>
      <c r="C895" s="7">
        <v>400</v>
      </c>
      <c r="D895" s="9" t="s">
        <v>738</v>
      </c>
      <c r="E895" s="165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2">
        <v>452</v>
      </c>
      <c r="K895" s="13"/>
    </row>
    <row r="896" spans="1:11" ht="15" customHeight="1" x14ac:dyDescent="0.4">
      <c r="A896" s="178"/>
      <c r="B896" s="177"/>
      <c r="C896" s="7">
        <v>100</v>
      </c>
      <c r="D896" s="11" t="s">
        <v>739</v>
      </c>
      <c r="E896" s="165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2">
        <v>140</v>
      </c>
      <c r="K896" s="13"/>
    </row>
    <row r="897" spans="1:11" ht="15" customHeight="1" x14ac:dyDescent="0.4">
      <c r="A897" s="178"/>
      <c r="B897" s="177"/>
      <c r="C897" s="7">
        <v>120</v>
      </c>
      <c r="D897" s="11" t="s">
        <v>739</v>
      </c>
      <c r="E897" s="165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2">
        <v>168</v>
      </c>
      <c r="K897" s="13"/>
    </row>
    <row r="898" spans="1:11" ht="15" customHeight="1" x14ac:dyDescent="0.4">
      <c r="A898" s="178"/>
      <c r="B898" s="177"/>
      <c r="C898" s="7">
        <v>150</v>
      </c>
      <c r="D898" s="11" t="s">
        <v>739</v>
      </c>
      <c r="E898" s="165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2">
        <v>210</v>
      </c>
      <c r="K898" s="13"/>
    </row>
    <row r="899" spans="1:11" ht="15" customHeight="1" x14ac:dyDescent="0.4">
      <c r="A899" s="178"/>
      <c r="B899" s="177"/>
      <c r="C899" s="7">
        <v>170</v>
      </c>
      <c r="D899" s="11" t="s">
        <v>739</v>
      </c>
      <c r="E899" s="165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2">
        <v>238</v>
      </c>
      <c r="K899" s="13"/>
    </row>
    <row r="900" spans="1:11" ht="15" customHeight="1" x14ac:dyDescent="0.4">
      <c r="A900" s="178"/>
      <c r="B900" s="177"/>
      <c r="C900" s="7">
        <v>300</v>
      </c>
      <c r="D900" s="11" t="s">
        <v>739</v>
      </c>
      <c r="E900" s="165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2">
        <v>420</v>
      </c>
      <c r="K900" s="13"/>
    </row>
    <row r="901" spans="1:11" ht="15" customHeight="1" x14ac:dyDescent="0.4">
      <c r="A901" s="178"/>
      <c r="B901" s="177"/>
      <c r="C901" s="14">
        <v>100</v>
      </c>
      <c r="D901" s="11" t="s">
        <v>740</v>
      </c>
      <c r="E901" s="165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2">
        <v>113</v>
      </c>
      <c r="K901" s="13"/>
    </row>
    <row r="902" spans="1:11" ht="15" customHeight="1" x14ac:dyDescent="0.4">
      <c r="A902" s="178"/>
      <c r="B902" s="177"/>
      <c r="C902" s="14">
        <v>130</v>
      </c>
      <c r="D902" s="11" t="s">
        <v>740</v>
      </c>
      <c r="E902" s="165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2">
        <v>147</v>
      </c>
      <c r="K902" s="13"/>
    </row>
    <row r="903" spans="1:11" ht="15" customHeight="1" x14ac:dyDescent="0.4">
      <c r="A903" s="178"/>
      <c r="B903" s="177"/>
      <c r="C903" s="14">
        <v>150</v>
      </c>
      <c r="D903" s="11" t="s">
        <v>740</v>
      </c>
      <c r="E903" s="165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2">
        <v>170</v>
      </c>
      <c r="K903" s="13"/>
    </row>
    <row r="904" spans="1:11" ht="15" customHeight="1" x14ac:dyDescent="0.4">
      <c r="A904" s="178"/>
      <c r="B904" s="177"/>
      <c r="C904" s="14">
        <v>200</v>
      </c>
      <c r="D904" s="11" t="s">
        <v>740</v>
      </c>
      <c r="E904" s="165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2">
        <v>226</v>
      </c>
      <c r="K904" s="13"/>
    </row>
    <row r="905" spans="1:11" ht="15" customHeight="1" x14ac:dyDescent="0.4">
      <c r="A905" s="178"/>
      <c r="B905" s="177"/>
      <c r="C905" s="14">
        <v>240</v>
      </c>
      <c r="D905" s="11" t="s">
        <v>740</v>
      </c>
      <c r="E905" s="165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2">
        <v>271</v>
      </c>
      <c r="K905" s="13"/>
    </row>
    <row r="906" spans="1:11" ht="15" customHeight="1" x14ac:dyDescent="0.4">
      <c r="A906" s="178"/>
      <c r="B906" s="177"/>
      <c r="C906" s="14">
        <v>300</v>
      </c>
      <c r="D906" s="11" t="s">
        <v>740</v>
      </c>
      <c r="E906" s="165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2">
        <v>339</v>
      </c>
      <c r="K906" s="13"/>
    </row>
    <row r="907" spans="1:11" ht="15" customHeight="1" x14ac:dyDescent="0.4">
      <c r="A907" s="178"/>
      <c r="B907" s="181" t="s">
        <v>28</v>
      </c>
      <c r="C907" s="7">
        <v>80</v>
      </c>
      <c r="D907" s="11" t="s">
        <v>736</v>
      </c>
      <c r="E907" s="165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2">
        <v>105</v>
      </c>
      <c r="K907" s="13"/>
    </row>
    <row r="908" spans="1:11" ht="15" customHeight="1" x14ac:dyDescent="0.4">
      <c r="A908" s="178"/>
      <c r="B908" s="175"/>
      <c r="C908" s="7">
        <v>100</v>
      </c>
      <c r="D908" s="11" t="s">
        <v>737</v>
      </c>
      <c r="E908" s="165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2">
        <v>113</v>
      </c>
      <c r="K908" s="13"/>
    </row>
    <row r="909" spans="1:11" ht="15" customHeight="1" x14ac:dyDescent="0.4">
      <c r="A909" s="178"/>
      <c r="B909" s="175"/>
      <c r="C909" s="7">
        <v>120</v>
      </c>
      <c r="D909" s="11" t="s">
        <v>737</v>
      </c>
      <c r="E909" s="165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2">
        <v>136</v>
      </c>
      <c r="K909" s="13"/>
    </row>
    <row r="910" spans="1:11" ht="15" customHeight="1" x14ac:dyDescent="0.4">
      <c r="A910" s="178"/>
      <c r="B910" s="175"/>
      <c r="C910" s="7">
        <v>150</v>
      </c>
      <c r="D910" s="11" t="s">
        <v>737</v>
      </c>
      <c r="E910" s="165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2">
        <v>170</v>
      </c>
      <c r="K910" s="13"/>
    </row>
    <row r="911" spans="1:11" ht="15" customHeight="1" x14ac:dyDescent="0.4">
      <c r="A911" s="178"/>
      <c r="B911" s="175"/>
      <c r="C911" s="7">
        <v>170</v>
      </c>
      <c r="D911" s="11" t="s">
        <v>737</v>
      </c>
      <c r="E911" s="165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2">
        <v>192</v>
      </c>
      <c r="K911" s="13"/>
    </row>
    <row r="912" spans="1:11" ht="15" customHeight="1" x14ac:dyDescent="0.4">
      <c r="A912" s="178"/>
      <c r="B912" s="175"/>
      <c r="C912" s="7">
        <v>200</v>
      </c>
      <c r="D912" s="11" t="s">
        <v>737</v>
      </c>
      <c r="E912" s="165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2">
        <v>226</v>
      </c>
      <c r="K912" s="13"/>
    </row>
    <row r="913" spans="1:11" ht="15" customHeight="1" x14ac:dyDescent="0.4">
      <c r="A913" s="178"/>
      <c r="B913" s="175"/>
      <c r="C913" s="7">
        <v>240</v>
      </c>
      <c r="D913" s="11" t="s">
        <v>737</v>
      </c>
      <c r="E913" s="165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2">
        <v>271</v>
      </c>
      <c r="K913" s="13"/>
    </row>
    <row r="914" spans="1:11" ht="15" customHeight="1" x14ac:dyDescent="0.4">
      <c r="A914" s="178"/>
      <c r="B914" s="175"/>
      <c r="C914" s="7">
        <v>300</v>
      </c>
      <c r="D914" s="11" t="s">
        <v>737</v>
      </c>
      <c r="E914" s="165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2">
        <v>339</v>
      </c>
      <c r="K914" s="13"/>
    </row>
    <row r="915" spans="1:11" ht="15" customHeight="1" x14ac:dyDescent="0.4">
      <c r="A915" s="178"/>
      <c r="B915" s="175"/>
      <c r="C915" s="7">
        <v>400</v>
      </c>
      <c r="D915" s="11" t="s">
        <v>741</v>
      </c>
      <c r="E915" s="165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2">
        <v>452</v>
      </c>
      <c r="K915" s="13"/>
    </row>
    <row r="916" spans="1:11" ht="15" customHeight="1" x14ac:dyDescent="0.4">
      <c r="A916" s="178"/>
      <c r="B916" s="175"/>
      <c r="C916" s="7">
        <v>100</v>
      </c>
      <c r="D916" s="11" t="s">
        <v>739</v>
      </c>
      <c r="E916" s="165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2">
        <v>140</v>
      </c>
      <c r="K916" s="13"/>
    </row>
    <row r="917" spans="1:11" ht="15" customHeight="1" x14ac:dyDescent="0.4">
      <c r="A917" s="178"/>
      <c r="B917" s="175"/>
      <c r="C917" s="7">
        <v>120</v>
      </c>
      <c r="D917" s="11" t="s">
        <v>739</v>
      </c>
      <c r="E917" s="165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2">
        <v>168</v>
      </c>
      <c r="K917" s="13"/>
    </row>
    <row r="918" spans="1:11" ht="15" customHeight="1" x14ac:dyDescent="0.4">
      <c r="A918" s="178"/>
      <c r="B918" s="175"/>
      <c r="C918" s="7">
        <v>150</v>
      </c>
      <c r="D918" s="11" t="s">
        <v>739</v>
      </c>
      <c r="E918" s="165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2">
        <v>210</v>
      </c>
      <c r="K918" s="13"/>
    </row>
    <row r="919" spans="1:11" ht="15" customHeight="1" x14ac:dyDescent="0.4">
      <c r="A919" s="178"/>
      <c r="B919" s="175"/>
      <c r="C919" s="7">
        <v>170</v>
      </c>
      <c r="D919" s="11" t="s">
        <v>739</v>
      </c>
      <c r="E919" s="165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2">
        <v>238</v>
      </c>
      <c r="K919" s="13"/>
    </row>
    <row r="920" spans="1:11" ht="15" customHeight="1" x14ac:dyDescent="0.4">
      <c r="A920" s="178"/>
      <c r="B920" s="175"/>
      <c r="C920" s="7">
        <v>300</v>
      </c>
      <c r="D920" s="11" t="s">
        <v>739</v>
      </c>
      <c r="E920" s="165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2">
        <v>420</v>
      </c>
      <c r="K920" s="13"/>
    </row>
    <row r="921" spans="1:11" ht="15" customHeight="1" x14ac:dyDescent="0.4">
      <c r="A921" s="178"/>
      <c r="B921" s="175"/>
      <c r="C921" s="14">
        <v>100</v>
      </c>
      <c r="D921" s="9" t="s">
        <v>740</v>
      </c>
      <c r="E921" s="165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2">
        <v>113</v>
      </c>
      <c r="K921" s="13"/>
    </row>
    <row r="922" spans="1:11" ht="15" customHeight="1" x14ac:dyDescent="0.4">
      <c r="A922" s="178"/>
      <c r="B922" s="175"/>
      <c r="C922" s="14">
        <v>130</v>
      </c>
      <c r="D922" s="9" t="s">
        <v>740</v>
      </c>
      <c r="E922" s="165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2">
        <v>147</v>
      </c>
      <c r="K922" s="13"/>
    </row>
    <row r="923" spans="1:11" ht="15" customHeight="1" x14ac:dyDescent="0.4">
      <c r="A923" s="178"/>
      <c r="B923" s="175"/>
      <c r="C923" s="14">
        <v>150</v>
      </c>
      <c r="D923" s="9" t="s">
        <v>740</v>
      </c>
      <c r="E923" s="165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2">
        <v>170</v>
      </c>
      <c r="K923" s="13"/>
    </row>
    <row r="924" spans="1:11" s="1" customFormat="1" ht="15" customHeight="1" x14ac:dyDescent="0.4">
      <c r="A924" s="178"/>
      <c r="B924" s="175"/>
      <c r="C924" s="14">
        <v>200</v>
      </c>
      <c r="D924" s="9" t="s">
        <v>740</v>
      </c>
      <c r="E924" s="165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2">
        <v>226</v>
      </c>
      <c r="K924" s="13"/>
    </row>
    <row r="925" spans="1:11" ht="15" customHeight="1" x14ac:dyDescent="0.4">
      <c r="A925" s="178"/>
      <c r="B925" s="175"/>
      <c r="C925" s="14">
        <v>240</v>
      </c>
      <c r="D925" s="9" t="s">
        <v>740</v>
      </c>
      <c r="E925" s="165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2">
        <v>271</v>
      </c>
      <c r="K925" s="13"/>
    </row>
    <row r="926" spans="1:11" ht="15" customHeight="1" x14ac:dyDescent="0.4">
      <c r="A926" s="178"/>
      <c r="B926" s="176"/>
      <c r="C926" s="14">
        <v>300</v>
      </c>
      <c r="D926" s="9" t="s">
        <v>740</v>
      </c>
      <c r="E926" s="165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2">
        <v>339</v>
      </c>
      <c r="K926" s="13"/>
    </row>
    <row r="927" spans="1:11" ht="15" customHeight="1" x14ac:dyDescent="0.4">
      <c r="A927" s="178" t="s">
        <v>742</v>
      </c>
      <c r="B927" s="177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2">
        <v>124</v>
      </c>
      <c r="K927" s="13"/>
    </row>
    <row r="928" spans="1:11" ht="15" customHeight="1" x14ac:dyDescent="0.4">
      <c r="A928" s="178"/>
      <c r="B928" s="177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2">
        <v>144</v>
      </c>
      <c r="K928" s="13"/>
    </row>
    <row r="929" spans="1:11" ht="15" customHeight="1" x14ac:dyDescent="0.4">
      <c r="A929" s="178"/>
      <c r="B929" s="177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2">
        <v>162</v>
      </c>
      <c r="K929" s="13"/>
    </row>
    <row r="930" spans="1:11" ht="15" customHeight="1" x14ac:dyDescent="0.4">
      <c r="A930" s="178"/>
      <c r="B930" s="177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2">
        <v>120</v>
      </c>
      <c r="K930" s="13"/>
    </row>
    <row r="931" spans="1:11" ht="15" customHeight="1" x14ac:dyDescent="0.4">
      <c r="A931" s="178"/>
      <c r="B931" s="177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2">
        <v>144</v>
      </c>
      <c r="K931" s="13"/>
    </row>
    <row r="932" spans="1:11" ht="15" customHeight="1" x14ac:dyDescent="0.4">
      <c r="A932" s="178"/>
      <c r="B932" s="177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2">
        <v>162</v>
      </c>
      <c r="K932" s="13"/>
    </row>
    <row r="933" spans="1:11" ht="15" customHeight="1" x14ac:dyDescent="0.4">
      <c r="A933" s="178"/>
      <c r="B933" s="177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2">
        <v>209</v>
      </c>
      <c r="K933" s="13"/>
    </row>
    <row r="934" spans="1:11" ht="15" customHeight="1" x14ac:dyDescent="0.4">
      <c r="A934" s="178"/>
      <c r="B934" s="177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2">
        <v>270</v>
      </c>
      <c r="K934" s="13"/>
    </row>
    <row r="935" spans="1:11" ht="15" customHeight="1" x14ac:dyDescent="0.4">
      <c r="A935" s="178" t="s">
        <v>743</v>
      </c>
      <c r="B935" s="177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2">
        <v>120</v>
      </c>
      <c r="K935" s="13"/>
    </row>
    <row r="936" spans="1:11" ht="15" customHeight="1" x14ac:dyDescent="0.4">
      <c r="A936" s="178"/>
      <c r="B936" s="177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2">
        <v>135</v>
      </c>
      <c r="K936" s="13"/>
    </row>
    <row r="937" spans="1:11" ht="15" customHeight="1" x14ac:dyDescent="0.4">
      <c r="A937" s="178"/>
      <c r="B937" s="177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2">
        <v>172</v>
      </c>
      <c r="K937" s="13"/>
    </row>
    <row r="938" spans="1:11" ht="15" customHeight="1" x14ac:dyDescent="0.4">
      <c r="A938" s="178"/>
      <c r="B938" s="177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2">
        <v>225</v>
      </c>
      <c r="K938" s="13"/>
    </row>
    <row r="939" spans="1:11" ht="15" customHeight="1" x14ac:dyDescent="0.4">
      <c r="A939" s="178"/>
      <c r="B939" s="177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2">
        <v>120</v>
      </c>
      <c r="K939" s="13"/>
    </row>
    <row r="940" spans="1:11" ht="15" customHeight="1" x14ac:dyDescent="0.4">
      <c r="A940" s="178"/>
      <c r="B940" s="177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2">
        <v>135</v>
      </c>
      <c r="K940" s="13"/>
    </row>
    <row r="941" spans="1:11" ht="15" customHeight="1" x14ac:dyDescent="0.4">
      <c r="A941" s="178"/>
      <c r="B941" s="177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2">
        <v>172</v>
      </c>
      <c r="K941" s="13"/>
    </row>
    <row r="942" spans="1:11" ht="15" customHeight="1" x14ac:dyDescent="0.4">
      <c r="A942" s="178"/>
      <c r="B942" s="177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2">
        <v>225</v>
      </c>
      <c r="K942" s="13"/>
    </row>
    <row r="943" spans="1:11" s="1" customFormat="1" ht="15" customHeight="1" x14ac:dyDescent="0.4">
      <c r="A943" s="178" t="s">
        <v>745</v>
      </c>
      <c r="B943" s="177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2">
        <v>120</v>
      </c>
      <c r="K943" s="13"/>
    </row>
    <row r="944" spans="1:11" s="1" customFormat="1" ht="15" customHeight="1" x14ac:dyDescent="0.4">
      <c r="A944" s="177"/>
      <c r="B944" s="177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2">
        <v>140</v>
      </c>
      <c r="K944" s="13"/>
    </row>
    <row r="945" spans="1:11" s="1" customFormat="1" ht="15" customHeight="1" x14ac:dyDescent="0.4">
      <c r="A945" s="177"/>
      <c r="B945" s="177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2">
        <v>200</v>
      </c>
      <c r="K945" s="13"/>
    </row>
    <row r="946" spans="1:11" s="1" customFormat="1" ht="15" customHeight="1" x14ac:dyDescent="0.4">
      <c r="A946" s="177"/>
      <c r="B946" s="177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2">
        <v>300</v>
      </c>
      <c r="K946" s="13"/>
    </row>
    <row r="947" spans="1:11" s="1" customFormat="1" ht="15" customHeight="1" x14ac:dyDescent="0.4">
      <c r="A947" s="177"/>
      <c r="B947" s="177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2">
        <v>400</v>
      </c>
      <c r="K947" s="13"/>
    </row>
    <row r="948" spans="1:11" s="1" customFormat="1" ht="15" customHeight="1" x14ac:dyDescent="0.4">
      <c r="A948" s="177"/>
      <c r="B948" s="177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2">
        <v>120</v>
      </c>
      <c r="K948" s="13"/>
    </row>
    <row r="949" spans="1:11" s="1" customFormat="1" ht="15" customHeight="1" x14ac:dyDescent="0.4">
      <c r="A949" s="177"/>
      <c r="B949" s="177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2">
        <v>140</v>
      </c>
      <c r="K949" s="13"/>
    </row>
    <row r="950" spans="1:11" s="1" customFormat="1" ht="15" customHeight="1" x14ac:dyDescent="0.4">
      <c r="A950" s="177"/>
      <c r="B950" s="177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2">
        <v>200</v>
      </c>
      <c r="K950" s="13"/>
    </row>
    <row r="951" spans="1:11" s="1" customFormat="1" ht="15" customHeight="1" x14ac:dyDescent="0.4">
      <c r="A951" s="177"/>
      <c r="B951" s="177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2">
        <v>300</v>
      </c>
      <c r="K951" s="13"/>
    </row>
    <row r="952" spans="1:11" s="1" customFormat="1" ht="15" customHeight="1" x14ac:dyDescent="0.4">
      <c r="A952" s="177"/>
      <c r="B952" s="177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2">
        <v>400</v>
      </c>
      <c r="K952" s="13"/>
    </row>
    <row r="953" spans="1:11" ht="15" customHeight="1" x14ac:dyDescent="0.4">
      <c r="A953" s="180" t="s">
        <v>751</v>
      </c>
      <c r="B953" s="181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3"/>
      <c r="K953" s="13"/>
    </row>
    <row r="954" spans="1:11" ht="15" customHeight="1" x14ac:dyDescent="0.4">
      <c r="A954" s="183"/>
      <c r="B954" s="175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3"/>
      <c r="K954" s="13"/>
    </row>
    <row r="955" spans="1:11" ht="15" customHeight="1" x14ac:dyDescent="0.4">
      <c r="A955" s="183"/>
      <c r="B955" s="176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3"/>
      <c r="K955" s="13"/>
    </row>
    <row r="956" spans="1:11" ht="15" customHeight="1" x14ac:dyDescent="0.4">
      <c r="A956" s="183"/>
      <c r="B956" s="181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3"/>
      <c r="K956" s="13"/>
    </row>
    <row r="957" spans="1:11" ht="15" customHeight="1" x14ac:dyDescent="0.4">
      <c r="A957" s="183"/>
      <c r="B957" s="175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3"/>
      <c r="K957" s="13"/>
    </row>
    <row r="958" spans="1:11" ht="15" customHeight="1" x14ac:dyDescent="0.4">
      <c r="A958" s="184"/>
      <c r="B958" s="176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3"/>
      <c r="K958" s="13"/>
    </row>
    <row r="959" spans="1:11" s="1" customFormat="1" ht="15" customHeight="1" x14ac:dyDescent="0.4">
      <c r="A959" s="180" t="s">
        <v>754</v>
      </c>
      <c r="B959" s="177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3">
        <v>130</v>
      </c>
      <c r="K959" s="13"/>
    </row>
    <row r="960" spans="1:11" s="1" customFormat="1" ht="15" customHeight="1" x14ac:dyDescent="0.4">
      <c r="A960" s="184"/>
      <c r="B960" s="177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3">
        <v>150</v>
      </c>
      <c r="K960" s="13"/>
    </row>
    <row r="961" spans="1:11" ht="15" customHeight="1" x14ac:dyDescent="0.4">
      <c r="A961" s="177" t="s">
        <v>757</v>
      </c>
      <c r="B961" s="177" t="s">
        <v>352</v>
      </c>
      <c r="C961" s="33">
        <v>105</v>
      </c>
      <c r="D961" s="21" t="s">
        <v>752</v>
      </c>
      <c r="E961" s="168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3"/>
      <c r="K961" s="13"/>
    </row>
    <row r="962" spans="1:11" ht="15" customHeight="1" x14ac:dyDescent="0.4">
      <c r="A962" s="177"/>
      <c r="B962" s="177"/>
      <c r="C962" s="33">
        <v>157</v>
      </c>
      <c r="D962" s="21" t="s">
        <v>758</v>
      </c>
      <c r="E962" s="168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3"/>
      <c r="K962" s="13"/>
    </row>
    <row r="963" spans="1:11" ht="15" customHeight="1" x14ac:dyDescent="0.4">
      <c r="A963" s="177"/>
      <c r="B963" s="177"/>
      <c r="C963" s="33">
        <v>209</v>
      </c>
      <c r="D963" s="21" t="s">
        <v>759</v>
      </c>
      <c r="E963" s="168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3"/>
      <c r="K963" s="13"/>
    </row>
    <row r="964" spans="1:11" ht="15" customHeight="1" x14ac:dyDescent="0.4">
      <c r="A964" s="177"/>
      <c r="B964" s="177" t="s">
        <v>28</v>
      </c>
      <c r="C964" s="33">
        <v>105</v>
      </c>
      <c r="D964" s="21" t="s">
        <v>752</v>
      </c>
      <c r="E964" s="168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3"/>
      <c r="K964" s="13"/>
    </row>
    <row r="965" spans="1:11" ht="15" customHeight="1" x14ac:dyDescent="0.4">
      <c r="A965" s="177"/>
      <c r="B965" s="177"/>
      <c r="C965" s="33">
        <v>128</v>
      </c>
      <c r="D965" s="21" t="s">
        <v>760</v>
      </c>
      <c r="E965" s="168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3"/>
      <c r="K965" s="13"/>
    </row>
    <row r="966" spans="1:11" ht="15" customHeight="1" x14ac:dyDescent="0.4">
      <c r="A966" s="177"/>
      <c r="B966" s="177"/>
      <c r="C966" s="33">
        <v>157</v>
      </c>
      <c r="D966" s="21" t="s">
        <v>752</v>
      </c>
      <c r="E966" s="168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3"/>
      <c r="K966" s="13"/>
    </row>
    <row r="967" spans="1:11" ht="15" customHeight="1" x14ac:dyDescent="0.4">
      <c r="A967" s="177"/>
      <c r="B967" s="177"/>
      <c r="C967" s="33">
        <v>209</v>
      </c>
      <c r="D967" s="21" t="s">
        <v>759</v>
      </c>
      <c r="E967" s="168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3"/>
      <c r="K967" s="13"/>
    </row>
    <row r="968" spans="1:11" ht="15" customHeight="1" x14ac:dyDescent="0.4">
      <c r="A968" s="177"/>
      <c r="B968" s="177"/>
      <c r="C968" s="33"/>
      <c r="D968" s="21" t="s">
        <v>758</v>
      </c>
      <c r="E968" s="168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3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3"/>
      <c r="K969" s="13"/>
    </row>
    <row r="970" spans="1:11" s="1" customFormat="1" ht="15" customHeight="1" x14ac:dyDescent="0.4">
      <c r="A970" s="180" t="s">
        <v>762</v>
      </c>
      <c r="B970" s="181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3"/>
      <c r="K970" s="13"/>
    </row>
    <row r="971" spans="1:11" s="1" customFormat="1" ht="15" customHeight="1" x14ac:dyDescent="0.4">
      <c r="A971" s="183"/>
      <c r="B971" s="175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3"/>
      <c r="K971" s="13"/>
    </row>
    <row r="972" spans="1:11" s="1" customFormat="1" ht="15" customHeight="1" x14ac:dyDescent="0.4">
      <c r="A972" s="183"/>
      <c r="B972" s="176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3"/>
      <c r="K972" s="13"/>
    </row>
    <row r="973" spans="1:11" s="1" customFormat="1" ht="15" customHeight="1" x14ac:dyDescent="0.4">
      <c r="A973" s="183"/>
      <c r="B973" s="181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3"/>
      <c r="K973" s="13"/>
    </row>
    <row r="974" spans="1:11" s="1" customFormat="1" ht="15" customHeight="1" x14ac:dyDescent="0.4">
      <c r="A974" s="184"/>
      <c r="B974" s="176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3"/>
      <c r="K974" s="13"/>
    </row>
    <row r="975" spans="1:11" ht="15" customHeight="1" x14ac:dyDescent="0.4">
      <c r="A975" s="178" t="s">
        <v>768</v>
      </c>
      <c r="B975" s="177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2">
        <v>170</v>
      </c>
      <c r="K975" s="13"/>
    </row>
    <row r="976" spans="1:11" ht="15" customHeight="1" x14ac:dyDescent="0.4">
      <c r="A976" s="178"/>
      <c r="B976" s="177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2">
        <v>200</v>
      </c>
      <c r="K976" s="13"/>
    </row>
    <row r="977" spans="1:11" ht="15" customHeight="1" x14ac:dyDescent="0.4">
      <c r="A977" s="178"/>
      <c r="B977" s="177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2">
        <v>235</v>
      </c>
      <c r="K977" s="13"/>
    </row>
    <row r="978" spans="1:11" ht="15" customHeight="1" x14ac:dyDescent="0.4">
      <c r="A978" s="178"/>
      <c r="B978" s="177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2">
        <v>270</v>
      </c>
      <c r="K978" s="13"/>
    </row>
    <row r="979" spans="1:11" ht="15" customHeight="1" x14ac:dyDescent="0.4">
      <c r="A979" s="178"/>
      <c r="B979" s="177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2">
        <v>305</v>
      </c>
      <c r="K979" s="13"/>
    </row>
    <row r="980" spans="1:11" ht="15" customHeight="1" x14ac:dyDescent="0.4">
      <c r="A980" s="178"/>
      <c r="B980" s="177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2">
        <v>325</v>
      </c>
      <c r="K980" s="13"/>
    </row>
    <row r="981" spans="1:11" ht="15" customHeight="1" x14ac:dyDescent="0.4">
      <c r="A981" s="178"/>
      <c r="B981" s="177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2">
        <v>370</v>
      </c>
      <c r="K981" s="13"/>
    </row>
    <row r="982" spans="1:11" ht="15" customHeight="1" x14ac:dyDescent="0.4">
      <c r="A982" s="178"/>
      <c r="B982" s="177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2">
        <v>430</v>
      </c>
      <c r="K982" s="13"/>
    </row>
    <row r="983" spans="1:11" ht="15" customHeight="1" x14ac:dyDescent="0.4">
      <c r="A983" s="178"/>
      <c r="B983" s="177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2">
        <v>170</v>
      </c>
      <c r="K983" s="13"/>
    </row>
    <row r="984" spans="1:11" ht="15" customHeight="1" x14ac:dyDescent="0.4">
      <c r="A984" s="178"/>
      <c r="B984" s="177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2">
        <v>200</v>
      </c>
      <c r="K984" s="13"/>
    </row>
    <row r="985" spans="1:11" ht="15" customHeight="1" x14ac:dyDescent="0.4">
      <c r="A985" s="178"/>
      <c r="B985" s="177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2">
        <v>235</v>
      </c>
      <c r="K985" s="13"/>
    </row>
    <row r="986" spans="1:11" ht="15" customHeight="1" x14ac:dyDescent="0.4">
      <c r="A986" s="178"/>
      <c r="B986" s="177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2">
        <v>270</v>
      </c>
      <c r="K986" s="13"/>
    </row>
    <row r="987" spans="1:11" ht="15" customHeight="1" x14ac:dyDescent="0.4">
      <c r="A987" s="178"/>
      <c r="B987" s="177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2">
        <v>305</v>
      </c>
      <c r="K987" s="13"/>
    </row>
    <row r="988" spans="1:11" ht="15" customHeight="1" x14ac:dyDescent="0.4">
      <c r="A988" s="178"/>
      <c r="B988" s="177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2">
        <v>325</v>
      </c>
      <c r="K988" s="13"/>
    </row>
    <row r="989" spans="1:11" ht="15" customHeight="1" x14ac:dyDescent="0.4">
      <c r="A989" s="178"/>
      <c r="B989" s="177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2">
        <v>370</v>
      </c>
      <c r="K989" s="13"/>
    </row>
    <row r="990" spans="1:11" ht="15" customHeight="1" x14ac:dyDescent="0.4">
      <c r="A990" s="178"/>
      <c r="B990" s="177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2">
        <v>430</v>
      </c>
      <c r="K990" s="13"/>
    </row>
    <row r="991" spans="1:11" ht="15" customHeight="1" x14ac:dyDescent="0.4">
      <c r="A991" s="178"/>
      <c r="B991" s="181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2">
        <v>170</v>
      </c>
      <c r="K991" s="13"/>
    </row>
    <row r="992" spans="1:11" ht="15" customHeight="1" x14ac:dyDescent="0.4">
      <c r="A992" s="178"/>
      <c r="B992" s="175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2">
        <v>200</v>
      </c>
      <c r="K992" s="13"/>
    </row>
    <row r="993" spans="1:11" ht="15" customHeight="1" x14ac:dyDescent="0.4">
      <c r="A993" s="178"/>
      <c r="B993" s="175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2">
        <v>235</v>
      </c>
      <c r="K993" s="13"/>
    </row>
    <row r="994" spans="1:11" ht="15" customHeight="1" x14ac:dyDescent="0.4">
      <c r="A994" s="178"/>
      <c r="B994" s="175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2">
        <v>270</v>
      </c>
      <c r="K994" s="13"/>
    </row>
    <row r="995" spans="1:11" ht="15" customHeight="1" x14ac:dyDescent="0.4">
      <c r="A995" s="178"/>
      <c r="B995" s="175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2">
        <v>305</v>
      </c>
      <c r="K995" s="13"/>
    </row>
    <row r="996" spans="1:11" ht="15" customHeight="1" x14ac:dyDescent="0.4">
      <c r="A996" s="178"/>
      <c r="B996" s="175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2">
        <v>325</v>
      </c>
      <c r="K996" s="13"/>
    </row>
    <row r="997" spans="1:11" ht="15" customHeight="1" x14ac:dyDescent="0.4">
      <c r="A997" s="178"/>
      <c r="B997" s="175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2">
        <v>370</v>
      </c>
      <c r="K997" s="13"/>
    </row>
    <row r="998" spans="1:11" ht="15" customHeight="1" x14ac:dyDescent="0.4">
      <c r="A998" s="178"/>
      <c r="B998" s="176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2">
        <v>430</v>
      </c>
      <c r="K998" s="13"/>
    </row>
    <row r="999" spans="1:11" ht="15" customHeight="1" x14ac:dyDescent="0.4">
      <c r="A999" s="178" t="s">
        <v>774</v>
      </c>
      <c r="B999" s="177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3"/>
      <c r="K999" s="13"/>
    </row>
    <row r="1000" spans="1:11" ht="15" customHeight="1" x14ac:dyDescent="0.4">
      <c r="A1000" s="178"/>
      <c r="B1000" s="177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3"/>
      <c r="K1000" s="13"/>
    </row>
    <row r="1001" spans="1:11" ht="15" customHeight="1" x14ac:dyDescent="0.4">
      <c r="A1001" s="178"/>
      <c r="B1001" s="177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3"/>
      <c r="K1001" s="13"/>
    </row>
    <row r="1002" spans="1:11" ht="15" customHeight="1" x14ac:dyDescent="0.4">
      <c r="A1002" s="178"/>
      <c r="B1002" s="177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3"/>
      <c r="K1002" s="13"/>
    </row>
    <row r="1003" spans="1:11" ht="15" customHeight="1" x14ac:dyDescent="0.4">
      <c r="A1003" s="178" t="s">
        <v>776</v>
      </c>
      <c r="B1003" s="177" t="s">
        <v>236</v>
      </c>
      <c r="C1003" s="33">
        <v>110</v>
      </c>
      <c r="D1003" s="21" t="s">
        <v>777</v>
      </c>
      <c r="E1003" s="168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3"/>
      <c r="K1003" s="13"/>
    </row>
    <row r="1004" spans="1:11" ht="15" customHeight="1" x14ac:dyDescent="0.4">
      <c r="A1004" s="178"/>
      <c r="B1004" s="177"/>
      <c r="C1004" s="33">
        <v>300</v>
      </c>
      <c r="D1004" s="21" t="s">
        <v>778</v>
      </c>
      <c r="E1004" s="168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3"/>
      <c r="K1004" s="13"/>
    </row>
    <row r="1005" spans="1:11" ht="15" customHeight="1" x14ac:dyDescent="0.4">
      <c r="A1005" s="178"/>
      <c r="B1005" s="177"/>
      <c r="C1005" s="33"/>
      <c r="D1005" s="21" t="s">
        <v>779</v>
      </c>
      <c r="E1005" s="168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3"/>
      <c r="K1005" s="13"/>
    </row>
    <row r="1006" spans="1:11" ht="15" customHeight="1" x14ac:dyDescent="0.4">
      <c r="A1006" s="178"/>
      <c r="B1006" s="7" t="s">
        <v>248</v>
      </c>
      <c r="C1006" s="33">
        <v>300</v>
      </c>
      <c r="D1006" s="21" t="s">
        <v>780</v>
      </c>
      <c r="E1006" s="168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3"/>
      <c r="K1006" s="13"/>
    </row>
    <row r="1007" spans="1:11" ht="15" customHeight="1" x14ac:dyDescent="0.4">
      <c r="A1007" s="178"/>
      <c r="B1007" s="177" t="s">
        <v>213</v>
      </c>
      <c r="C1007" s="33">
        <v>110</v>
      </c>
      <c r="D1007" s="21" t="s">
        <v>781</v>
      </c>
      <c r="E1007" s="168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3"/>
      <c r="K1007" s="13"/>
    </row>
    <row r="1008" spans="1:11" ht="15" customHeight="1" x14ac:dyDescent="0.4">
      <c r="A1008" s="178"/>
      <c r="B1008" s="177"/>
      <c r="C1008" s="33">
        <v>300</v>
      </c>
      <c r="D1008" s="21" t="s">
        <v>782</v>
      </c>
      <c r="E1008" s="168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3"/>
      <c r="K1008" s="13"/>
    </row>
    <row r="1009" spans="1:11" ht="15" customHeight="1" x14ac:dyDescent="0.4">
      <c r="A1009" s="177" t="s">
        <v>783</v>
      </c>
      <c r="B1009" s="177" t="s">
        <v>604</v>
      </c>
      <c r="C1009" s="33">
        <v>115</v>
      </c>
      <c r="D1009" s="21" t="s">
        <v>785</v>
      </c>
      <c r="E1009" s="168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3"/>
      <c r="K1009" s="13"/>
    </row>
    <row r="1010" spans="1:11" ht="15" customHeight="1" x14ac:dyDescent="0.4">
      <c r="A1010" s="177"/>
      <c r="B1010" s="177"/>
      <c r="C1010" s="33">
        <v>300</v>
      </c>
      <c r="D1010" s="21" t="s">
        <v>786</v>
      </c>
      <c r="E1010" s="168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3"/>
      <c r="K1010" s="13"/>
    </row>
    <row r="1011" spans="1:11" ht="15" customHeight="1" x14ac:dyDescent="0.4">
      <c r="A1011" s="177"/>
      <c r="B1011" s="177" t="s">
        <v>345</v>
      </c>
      <c r="C1011" s="33">
        <v>90</v>
      </c>
      <c r="D1011" s="21" t="s">
        <v>784</v>
      </c>
      <c r="E1011" s="168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3"/>
      <c r="K1011" s="13"/>
    </row>
    <row r="1012" spans="1:11" ht="15" customHeight="1" x14ac:dyDescent="0.4">
      <c r="A1012" s="177"/>
      <c r="B1012" s="177"/>
      <c r="C1012" s="33">
        <v>115</v>
      </c>
      <c r="D1012" s="21" t="s">
        <v>785</v>
      </c>
      <c r="E1012" s="168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3"/>
      <c r="K1012" s="13"/>
    </row>
    <row r="1013" spans="1:11" ht="15" customHeight="1" x14ac:dyDescent="0.4">
      <c r="A1013" s="177"/>
      <c r="B1013" s="177"/>
      <c r="C1013" s="33">
        <v>170</v>
      </c>
      <c r="D1013" s="21" t="s">
        <v>785</v>
      </c>
      <c r="E1013" s="168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3"/>
      <c r="K1013" s="13"/>
    </row>
    <row r="1014" spans="1:11" ht="15" customHeight="1" x14ac:dyDescent="0.4">
      <c r="A1014" s="177"/>
      <c r="B1014" s="177"/>
      <c r="C1014" s="33">
        <v>300</v>
      </c>
      <c r="D1014" s="21" t="s">
        <v>786</v>
      </c>
      <c r="E1014" s="168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3"/>
      <c r="K1014" s="13"/>
    </row>
    <row r="1015" spans="1:11" ht="15" customHeight="1" x14ac:dyDescent="0.4">
      <c r="A1015" s="177"/>
      <c r="B1015" s="177"/>
      <c r="C1015" s="20">
        <v>350</v>
      </c>
      <c r="D1015" s="21"/>
      <c r="E1015" s="168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3"/>
      <c r="K1015" s="13"/>
    </row>
    <row r="1016" spans="1:11" ht="15" customHeight="1" x14ac:dyDescent="0.4">
      <c r="A1016" s="178" t="s">
        <v>787</v>
      </c>
      <c r="B1016" s="177" t="s">
        <v>604</v>
      </c>
      <c r="C1016" s="33">
        <v>120</v>
      </c>
      <c r="D1016" s="21" t="s">
        <v>788</v>
      </c>
      <c r="E1016" s="168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3"/>
      <c r="K1016" s="13"/>
    </row>
    <row r="1017" spans="1:11" ht="15" customHeight="1" x14ac:dyDescent="0.4">
      <c r="A1017" s="177"/>
      <c r="B1017" s="177"/>
      <c r="C1017" s="33"/>
      <c r="D1017" s="21" t="s">
        <v>789</v>
      </c>
      <c r="E1017" s="168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3"/>
      <c r="K1017" s="13"/>
    </row>
    <row r="1018" spans="1:11" ht="15" customHeight="1" x14ac:dyDescent="0.4">
      <c r="A1018" s="177"/>
      <c r="B1018" s="177"/>
      <c r="C1018" s="33"/>
      <c r="D1018" s="21" t="s">
        <v>790</v>
      </c>
      <c r="E1018" s="168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3"/>
      <c r="K1018" s="13"/>
    </row>
    <row r="1019" spans="1:11" ht="15" customHeight="1" x14ac:dyDescent="0.4">
      <c r="A1019" s="177"/>
      <c r="B1019" s="177"/>
      <c r="C1019" s="33">
        <v>300</v>
      </c>
      <c r="D1019" s="21" t="s">
        <v>791</v>
      </c>
      <c r="E1019" s="168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3"/>
      <c r="K1019" s="13"/>
    </row>
    <row r="1020" spans="1:11" ht="15" customHeight="1" x14ac:dyDescent="0.4">
      <c r="A1020" s="177"/>
      <c r="B1020" s="177"/>
      <c r="C1020" s="33"/>
      <c r="D1020" s="21" t="s">
        <v>792</v>
      </c>
      <c r="E1020" s="168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3"/>
      <c r="K1020" s="13"/>
    </row>
    <row r="1021" spans="1:11" ht="15" customHeight="1" x14ac:dyDescent="0.4">
      <c r="A1021" s="177"/>
      <c r="B1021" s="177"/>
      <c r="C1021" s="33"/>
      <c r="D1021" s="21" t="s">
        <v>793</v>
      </c>
      <c r="E1021" s="168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3"/>
      <c r="K1021" s="13"/>
    </row>
    <row r="1022" spans="1:11" ht="15" customHeight="1" x14ac:dyDescent="0.4">
      <c r="A1022" s="180" t="s">
        <v>794</v>
      </c>
      <c r="B1022" s="181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3"/>
      <c r="K1022" s="13"/>
    </row>
    <row r="1023" spans="1:11" ht="15" customHeight="1" x14ac:dyDescent="0.4">
      <c r="A1023" s="184"/>
      <c r="B1023" s="176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3"/>
      <c r="K1023" s="13"/>
    </row>
    <row r="1024" spans="1:11" ht="15" customHeight="1" x14ac:dyDescent="0.4">
      <c r="A1024" s="177" t="s">
        <v>797</v>
      </c>
      <c r="B1024" s="177" t="s">
        <v>604</v>
      </c>
      <c r="C1024" s="7">
        <v>157</v>
      </c>
      <c r="D1024" s="9"/>
      <c r="E1024" s="165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2">
        <v>158</v>
      </c>
      <c r="K1024" s="13"/>
    </row>
    <row r="1025" spans="1:11" ht="15" customHeight="1" x14ac:dyDescent="0.4">
      <c r="A1025" s="177"/>
      <c r="B1025" s="177"/>
      <c r="C1025" s="7">
        <v>186</v>
      </c>
      <c r="D1025" s="9"/>
      <c r="E1025" s="165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2">
        <v>193</v>
      </c>
      <c r="K1025" s="13"/>
    </row>
    <row r="1026" spans="1:11" ht="15" customHeight="1" x14ac:dyDescent="0.4">
      <c r="A1026" s="177"/>
      <c r="B1026" s="177"/>
      <c r="C1026" s="7">
        <v>209</v>
      </c>
      <c r="D1026" s="9"/>
      <c r="E1026" s="165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2">
        <v>220</v>
      </c>
      <c r="K1026" s="13"/>
    </row>
    <row r="1027" spans="1:11" ht="15" customHeight="1" x14ac:dyDescent="0.4">
      <c r="A1027" s="177"/>
      <c r="B1027" s="177"/>
      <c r="C1027" s="7">
        <v>233</v>
      </c>
      <c r="D1027" s="9"/>
      <c r="E1027" s="165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2">
        <v>247</v>
      </c>
      <c r="K1027" s="13"/>
    </row>
    <row r="1028" spans="1:11" ht="15" customHeight="1" x14ac:dyDescent="0.4">
      <c r="A1028" s="177"/>
      <c r="B1028" s="177"/>
      <c r="C1028" s="7">
        <v>256</v>
      </c>
      <c r="D1028" s="9"/>
      <c r="E1028" s="165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2">
        <v>280</v>
      </c>
      <c r="K1028" s="13"/>
    </row>
    <row r="1029" spans="1:11" ht="15" customHeight="1" x14ac:dyDescent="0.4">
      <c r="A1029" s="177"/>
      <c r="B1029" s="177" t="s">
        <v>28</v>
      </c>
      <c r="C1029" s="7">
        <v>157</v>
      </c>
      <c r="D1029" s="9"/>
      <c r="E1029" s="165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2">
        <v>158</v>
      </c>
      <c r="K1029" s="13"/>
    </row>
    <row r="1030" spans="1:11" ht="15" customHeight="1" x14ac:dyDescent="0.4">
      <c r="A1030" s="177"/>
      <c r="B1030" s="177"/>
      <c r="C1030" s="7">
        <v>186</v>
      </c>
      <c r="D1030" s="9"/>
      <c r="E1030" s="165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2">
        <v>193</v>
      </c>
      <c r="K1030" s="13"/>
    </row>
    <row r="1031" spans="1:11" ht="15" customHeight="1" x14ac:dyDescent="0.4">
      <c r="A1031" s="177"/>
      <c r="B1031" s="177"/>
      <c r="C1031" s="7">
        <v>209</v>
      </c>
      <c r="D1031" s="9"/>
      <c r="E1031" s="165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2">
        <v>220</v>
      </c>
      <c r="K1031" s="13"/>
    </row>
    <row r="1032" spans="1:11" ht="15" customHeight="1" x14ac:dyDescent="0.4">
      <c r="A1032" s="177"/>
      <c r="B1032" s="177"/>
      <c r="C1032" s="7">
        <v>233</v>
      </c>
      <c r="D1032" s="9"/>
      <c r="E1032" s="165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2">
        <v>247</v>
      </c>
      <c r="K1032" s="13"/>
    </row>
    <row r="1033" spans="1:11" ht="15" customHeight="1" x14ac:dyDescent="0.4">
      <c r="A1033" s="177"/>
      <c r="B1033" s="177"/>
      <c r="C1033" s="7">
        <v>256</v>
      </c>
      <c r="D1033" s="9"/>
      <c r="E1033" s="165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2">
        <v>280</v>
      </c>
      <c r="K1033" s="13"/>
    </row>
    <row r="1034" spans="1:11" ht="15" customHeight="1" x14ac:dyDescent="0.4">
      <c r="A1034" s="178" t="s">
        <v>798</v>
      </c>
      <c r="B1034" s="177" t="s">
        <v>213</v>
      </c>
      <c r="C1034" s="7">
        <v>125</v>
      </c>
      <c r="D1034" s="9" t="s">
        <v>799</v>
      </c>
      <c r="E1034" s="165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3"/>
      <c r="K1034" s="13"/>
    </row>
    <row r="1035" spans="1:11" ht="15" customHeight="1" x14ac:dyDescent="0.4">
      <c r="A1035" s="178"/>
      <c r="B1035" s="177"/>
      <c r="C1035" s="7">
        <v>135</v>
      </c>
      <c r="D1035" s="9" t="s">
        <v>799</v>
      </c>
      <c r="E1035" s="165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3"/>
      <c r="K1035" s="13"/>
    </row>
    <row r="1036" spans="1:11" ht="15" customHeight="1" x14ac:dyDescent="0.4">
      <c r="A1036" s="178"/>
      <c r="B1036" s="177"/>
      <c r="C1036" s="7">
        <v>175</v>
      </c>
      <c r="D1036" s="9" t="s">
        <v>799</v>
      </c>
      <c r="E1036" s="165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3"/>
      <c r="K1036" s="13"/>
    </row>
    <row r="1037" spans="1:11" ht="15" customHeight="1" x14ac:dyDescent="0.4">
      <c r="A1037" s="178"/>
      <c r="B1037" s="177"/>
      <c r="C1037" s="7">
        <v>200</v>
      </c>
      <c r="D1037" s="9" t="s">
        <v>799</v>
      </c>
      <c r="E1037" s="165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3"/>
      <c r="K1037" s="13"/>
    </row>
    <row r="1038" spans="1:11" ht="15" customHeight="1" x14ac:dyDescent="0.4">
      <c r="A1038" s="178"/>
      <c r="B1038" s="177"/>
      <c r="C1038" s="7">
        <v>250</v>
      </c>
      <c r="D1038" s="9"/>
      <c r="E1038" s="165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3"/>
      <c r="K1038" s="13"/>
    </row>
    <row r="1039" spans="1:11" ht="15" customHeight="1" x14ac:dyDescent="0.4">
      <c r="A1039" s="178"/>
      <c r="B1039" s="177"/>
      <c r="C1039" s="33">
        <v>280</v>
      </c>
      <c r="D1039" s="21" t="s">
        <v>800</v>
      </c>
      <c r="E1039" s="168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3"/>
      <c r="K1039" s="13"/>
    </row>
    <row r="1040" spans="1:11" ht="15" customHeight="1" x14ac:dyDescent="0.4">
      <c r="A1040" s="178"/>
      <c r="B1040" s="177"/>
      <c r="C1040" s="33">
        <v>325</v>
      </c>
      <c r="D1040" s="21" t="s">
        <v>800</v>
      </c>
      <c r="E1040" s="168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3"/>
      <c r="K1040" s="13"/>
    </row>
    <row r="1041" spans="1:11" ht="15" customHeight="1" x14ac:dyDescent="0.4">
      <c r="A1041" s="181" t="s">
        <v>801</v>
      </c>
      <c r="B1041" s="181" t="s">
        <v>802</v>
      </c>
      <c r="C1041" s="14">
        <v>110</v>
      </c>
      <c r="D1041" s="9" t="s">
        <v>2926</v>
      </c>
      <c r="E1041" s="165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3"/>
      <c r="K1041" s="13"/>
    </row>
    <row r="1042" spans="1:11" ht="15" customHeight="1" x14ac:dyDescent="0.4">
      <c r="A1042" s="176"/>
      <c r="B1042" s="176"/>
      <c r="C1042" s="33"/>
      <c r="D1042" s="63" t="s">
        <v>2927</v>
      </c>
      <c r="E1042" s="169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3"/>
      <c r="K1042" s="13"/>
    </row>
    <row r="1043" spans="1:11" ht="15" customHeight="1" x14ac:dyDescent="0.4">
      <c r="A1043" s="198" t="s">
        <v>803</v>
      </c>
      <c r="B1043" s="180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3"/>
      <c r="K1043" s="13"/>
    </row>
    <row r="1044" spans="1:11" ht="15" customHeight="1" x14ac:dyDescent="0.4">
      <c r="A1044" s="172"/>
      <c r="B1044" s="176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3"/>
      <c r="K1044" s="13"/>
    </row>
    <row r="1045" spans="1:11" ht="15" customHeight="1" x14ac:dyDescent="0.4">
      <c r="A1045" s="172"/>
      <c r="B1045" s="189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3"/>
      <c r="K1045" s="13"/>
    </row>
    <row r="1046" spans="1:11" ht="15" customHeight="1" x14ac:dyDescent="0.4">
      <c r="A1046" s="172"/>
      <c r="B1046" s="190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3"/>
      <c r="K1046" s="13"/>
    </row>
    <row r="1047" spans="1:11" ht="15" customHeight="1" x14ac:dyDescent="0.4">
      <c r="A1047" s="172"/>
      <c r="B1047" s="191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3"/>
      <c r="K1047" s="13"/>
    </row>
    <row r="1048" spans="1:11" ht="15" customHeight="1" x14ac:dyDescent="0.4">
      <c r="A1048" s="172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3"/>
      <c r="K1048" s="13"/>
    </row>
    <row r="1049" spans="1:11" ht="15" customHeight="1" x14ac:dyDescent="0.4">
      <c r="A1049" s="172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3"/>
      <c r="K1049" s="13"/>
    </row>
    <row r="1050" spans="1:11" ht="15" customHeight="1" x14ac:dyDescent="0.4">
      <c r="A1050" s="172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3"/>
      <c r="K1050" s="13"/>
    </row>
    <row r="1051" spans="1:11" ht="15" customHeight="1" x14ac:dyDescent="0.4">
      <c r="A1051" s="172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3"/>
      <c r="K1051" s="13"/>
    </row>
    <row r="1052" spans="1:11" ht="15" customHeight="1" x14ac:dyDescent="0.4">
      <c r="A1052" s="172"/>
      <c r="B1052" s="181" t="s">
        <v>255</v>
      </c>
      <c r="C1052" s="33"/>
      <c r="D1052" s="21" t="s">
        <v>805</v>
      </c>
      <c r="E1052" s="168">
        <v>3815000</v>
      </c>
      <c r="G1052" s="8"/>
      <c r="H1052" s="11">
        <f>0.7*1</f>
        <v>0.7</v>
      </c>
      <c r="I1052" s="12" t="e">
        <f>ROUNDDOWN(#REF!/H1052,-2)</f>
        <v>#REF!</v>
      </c>
      <c r="J1052" s="153"/>
      <c r="K1052" s="13"/>
    </row>
    <row r="1053" spans="1:11" ht="15" customHeight="1" x14ac:dyDescent="0.4">
      <c r="A1053" s="172"/>
      <c r="B1053" s="176"/>
      <c r="C1053" s="33"/>
      <c r="D1053" s="21" t="s">
        <v>806</v>
      </c>
      <c r="E1053" s="168">
        <v>3090000</v>
      </c>
      <c r="G1053" s="8"/>
      <c r="H1053" s="11">
        <f>0.7*1</f>
        <v>0.7</v>
      </c>
      <c r="I1053" s="12" t="e">
        <f>ROUNDDOWN(#REF!/H1053,-2)</f>
        <v>#REF!</v>
      </c>
      <c r="J1053" s="153"/>
      <c r="K1053" s="13"/>
    </row>
    <row r="1054" spans="1:11" ht="15" customHeight="1" x14ac:dyDescent="0.4">
      <c r="A1054" s="172"/>
      <c r="B1054" s="181" t="s">
        <v>298</v>
      </c>
      <c r="C1054" s="33"/>
      <c r="D1054" s="21" t="s">
        <v>808</v>
      </c>
      <c r="E1054" s="168">
        <v>6785000</v>
      </c>
      <c r="G1054" s="8"/>
      <c r="H1054" s="11">
        <f>0.7*1</f>
        <v>0.7</v>
      </c>
      <c r="I1054" s="12" t="e">
        <f>ROUNDDOWN(#REF!/H1054,-2)</f>
        <v>#REF!</v>
      </c>
      <c r="J1054" s="153"/>
      <c r="K1054" s="13"/>
    </row>
    <row r="1055" spans="1:11" ht="15" customHeight="1" x14ac:dyDescent="0.4">
      <c r="A1055" s="172"/>
      <c r="B1055" s="175"/>
      <c r="C1055" s="33"/>
      <c r="D1055" s="21" t="s">
        <v>809</v>
      </c>
      <c r="E1055" s="168">
        <v>6785000</v>
      </c>
      <c r="G1055" s="8"/>
      <c r="H1055" s="11">
        <f>0.7*1</f>
        <v>0.7</v>
      </c>
      <c r="I1055" s="12" t="e">
        <f>ROUNDDOWN(#REF!/H1055,-2)</f>
        <v>#REF!</v>
      </c>
      <c r="J1055" s="153"/>
      <c r="K1055" s="13"/>
    </row>
    <row r="1056" spans="1:11" ht="15" customHeight="1" x14ac:dyDescent="0.4">
      <c r="A1056" s="172"/>
      <c r="B1056" s="176"/>
      <c r="C1056" s="33"/>
      <c r="D1056" s="21" t="s">
        <v>810</v>
      </c>
      <c r="E1056" s="168">
        <v>5200000</v>
      </c>
      <c r="G1056" s="8"/>
      <c r="H1056" s="11">
        <f>0.7*1</f>
        <v>0.7</v>
      </c>
      <c r="I1056" s="12" t="e">
        <f>ROUNDDOWN(#REF!/H1056,-2)</f>
        <v>#REF!</v>
      </c>
      <c r="J1056" s="153"/>
      <c r="K1056" s="13"/>
    </row>
    <row r="1057" spans="1:11" ht="15" customHeight="1" x14ac:dyDescent="0.4">
      <c r="A1057" s="172"/>
      <c r="B1057" s="7" t="s">
        <v>818</v>
      </c>
      <c r="C1057" s="33"/>
      <c r="D1057" s="21" t="s">
        <v>812</v>
      </c>
      <c r="E1057" s="168">
        <v>8500000</v>
      </c>
      <c r="G1057" s="8"/>
      <c r="H1057" s="11">
        <f>0.78*1</f>
        <v>0.78</v>
      </c>
      <c r="I1057" s="12" t="e">
        <f>ROUNDDOWN(#REF!/H1057,-2)</f>
        <v>#REF!</v>
      </c>
      <c r="J1057" s="153"/>
      <c r="K1057" s="13"/>
    </row>
    <row r="1058" spans="1:11" ht="15" customHeight="1" x14ac:dyDescent="0.4">
      <c r="A1058" s="172"/>
      <c r="B1058" s="19" t="s">
        <v>819</v>
      </c>
      <c r="C1058" s="33"/>
      <c r="D1058" s="21" t="s">
        <v>820</v>
      </c>
      <c r="E1058" s="168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3"/>
      <c r="K1058" s="13"/>
    </row>
    <row r="1059" spans="1:11" ht="15" customHeight="1" x14ac:dyDescent="0.4">
      <c r="A1059" s="173"/>
      <c r="B1059" s="7" t="s">
        <v>821</v>
      </c>
      <c r="C1059" s="33"/>
      <c r="D1059" s="21" t="s">
        <v>822</v>
      </c>
      <c r="E1059" s="168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3"/>
      <c r="K1059" s="13"/>
    </row>
    <row r="1060" spans="1:11" ht="15" customHeight="1" x14ac:dyDescent="0.4">
      <c r="A1060" s="182" t="s">
        <v>823</v>
      </c>
      <c r="B1060" s="182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3"/>
      <c r="K1060" s="13"/>
    </row>
    <row r="1061" spans="1:11" ht="15" customHeight="1" x14ac:dyDescent="0.4">
      <c r="A1061" s="182"/>
      <c r="B1061" s="182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3"/>
      <c r="K1061" s="13"/>
    </row>
    <row r="1062" spans="1:11" ht="15" customHeight="1" x14ac:dyDescent="0.4">
      <c r="A1062" s="186" t="s">
        <v>824</v>
      </c>
      <c r="B1062" s="189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3"/>
      <c r="K1062" s="13"/>
    </row>
    <row r="1063" spans="1:11" ht="15" customHeight="1" x14ac:dyDescent="0.4">
      <c r="A1063" s="190"/>
      <c r="B1063" s="190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3"/>
      <c r="K1063" s="13"/>
    </row>
    <row r="1064" spans="1:11" ht="15" customHeight="1" x14ac:dyDescent="0.4">
      <c r="A1064" s="190"/>
      <c r="B1064" s="190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3"/>
      <c r="K1064" s="13"/>
    </row>
    <row r="1065" spans="1:11" ht="15" customHeight="1" x14ac:dyDescent="0.4">
      <c r="A1065" s="190"/>
      <c r="B1065" s="190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3"/>
      <c r="K1065" s="13"/>
    </row>
    <row r="1066" spans="1:11" ht="15" customHeight="1" x14ac:dyDescent="0.4">
      <c r="A1066" s="190"/>
      <c r="B1066" s="190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3"/>
      <c r="K1066" s="13"/>
    </row>
    <row r="1067" spans="1:11" ht="15" customHeight="1" x14ac:dyDescent="0.4">
      <c r="A1067" s="190"/>
      <c r="B1067" s="191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3"/>
      <c r="K1067" s="13"/>
    </row>
    <row r="1068" spans="1:11" ht="15" customHeight="1" x14ac:dyDescent="0.4">
      <c r="A1068" s="190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3"/>
      <c r="K1068" s="13"/>
    </row>
    <row r="1069" spans="1:11" ht="15" customHeight="1" x14ac:dyDescent="0.4">
      <c r="A1069" s="190"/>
      <c r="B1069" s="182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3"/>
      <c r="K1069" s="13"/>
    </row>
    <row r="1070" spans="1:11" ht="15" customHeight="1" x14ac:dyDescent="0.4">
      <c r="A1070" s="190"/>
      <c r="B1070" s="182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3"/>
      <c r="K1070" s="13"/>
    </row>
    <row r="1071" spans="1:11" ht="15" customHeight="1" x14ac:dyDescent="0.4">
      <c r="A1071" s="190"/>
      <c r="B1071" s="182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3"/>
      <c r="K1071" s="13"/>
    </row>
    <row r="1072" spans="1:11" ht="15" customHeight="1" x14ac:dyDescent="0.4">
      <c r="A1072" s="190"/>
      <c r="B1072" s="182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3"/>
      <c r="K1072" s="13"/>
    </row>
    <row r="1073" spans="1:11" ht="15" customHeight="1" x14ac:dyDescent="0.4">
      <c r="A1073" s="190"/>
      <c r="B1073" s="182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3"/>
      <c r="K1073" s="13"/>
    </row>
    <row r="1074" spans="1:11" ht="15" customHeight="1" x14ac:dyDescent="0.4">
      <c r="A1074" s="190"/>
      <c r="B1074" s="182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3"/>
      <c r="K1074" s="13"/>
    </row>
    <row r="1075" spans="1:11" ht="15" customHeight="1" x14ac:dyDescent="0.4">
      <c r="A1075" s="191"/>
      <c r="B1075" s="182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3"/>
      <c r="K1075" s="13"/>
    </row>
    <row r="1076" spans="1:11" ht="15" customHeight="1" x14ac:dyDescent="0.4">
      <c r="A1076" s="182" t="s">
        <v>825</v>
      </c>
      <c r="B1076" s="182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3"/>
      <c r="K1076" s="13"/>
    </row>
    <row r="1077" spans="1:11" ht="15" customHeight="1" x14ac:dyDescent="0.4">
      <c r="A1077" s="182"/>
      <c r="B1077" s="182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3"/>
      <c r="K1077" s="13"/>
    </row>
    <row r="1078" spans="1:11" ht="15" customHeight="1" x14ac:dyDescent="0.4">
      <c r="A1078" s="182"/>
      <c r="B1078" s="182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3"/>
      <c r="K1078" s="13"/>
    </row>
    <row r="1079" spans="1:11" ht="15" customHeight="1" x14ac:dyDescent="0.4">
      <c r="A1079" s="182"/>
      <c r="B1079" s="182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3"/>
      <c r="K1079" s="13"/>
    </row>
    <row r="1080" spans="1:11" ht="15" customHeight="1" x14ac:dyDescent="0.4">
      <c r="A1080" s="182" t="s">
        <v>827</v>
      </c>
      <c r="B1080" s="182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7">
        <v>85</v>
      </c>
      <c r="K1080" s="13"/>
    </row>
    <row r="1081" spans="1:11" ht="15" customHeight="1" x14ac:dyDescent="0.4">
      <c r="A1081" s="182"/>
      <c r="B1081" s="182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7">
        <v>110</v>
      </c>
      <c r="K1081" s="13"/>
    </row>
    <row r="1082" spans="1:11" ht="15" customHeight="1" x14ac:dyDescent="0.4">
      <c r="A1082" s="182"/>
      <c r="B1082" s="182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7">
        <v>140</v>
      </c>
      <c r="K1082" s="13"/>
    </row>
    <row r="1083" spans="1:11" ht="15" customHeight="1" x14ac:dyDescent="0.4">
      <c r="A1083" s="182"/>
      <c r="B1083" s="182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7">
        <v>300</v>
      </c>
      <c r="K1083" s="13"/>
    </row>
    <row r="1084" spans="1:11" ht="15" customHeight="1" x14ac:dyDescent="0.4">
      <c r="A1084" s="178" t="s">
        <v>828</v>
      </c>
      <c r="B1084" s="177" t="s">
        <v>352</v>
      </c>
      <c r="C1084" s="7">
        <v>110</v>
      </c>
      <c r="D1084" s="9" t="s">
        <v>2928</v>
      </c>
      <c r="E1084" s="165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3"/>
      <c r="K1084" s="13"/>
    </row>
    <row r="1085" spans="1:11" ht="15" customHeight="1" x14ac:dyDescent="0.4">
      <c r="A1085" s="178"/>
      <c r="B1085" s="177"/>
      <c r="C1085" s="7"/>
      <c r="D1085" s="9" t="s">
        <v>829</v>
      </c>
      <c r="E1085" s="165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3"/>
      <c r="K1085" s="13"/>
    </row>
    <row r="1086" spans="1:11" ht="15" customHeight="1" x14ac:dyDescent="0.4">
      <c r="A1086" s="178"/>
      <c r="B1086" s="177"/>
      <c r="C1086" s="7">
        <v>185</v>
      </c>
      <c r="D1086" s="9" t="s">
        <v>2929</v>
      </c>
      <c r="E1086" s="165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3"/>
      <c r="K1086" s="13"/>
    </row>
    <row r="1087" spans="1:11" ht="15" customHeight="1" x14ac:dyDescent="0.4">
      <c r="A1087" s="178"/>
      <c r="B1087" s="177"/>
      <c r="C1087" s="7"/>
      <c r="D1087" s="9" t="s">
        <v>830</v>
      </c>
      <c r="E1087" s="165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3"/>
      <c r="K1087" s="13"/>
    </row>
    <row r="1088" spans="1:11" ht="15" customHeight="1" x14ac:dyDescent="0.4">
      <c r="A1088" s="178"/>
      <c r="B1088" s="177" t="s">
        <v>216</v>
      </c>
      <c r="C1088" s="7">
        <v>185</v>
      </c>
      <c r="D1088" s="9" t="s">
        <v>831</v>
      </c>
      <c r="E1088" s="165">
        <v>0</v>
      </c>
      <c r="G1088" s="8">
        <v>185</v>
      </c>
      <c r="H1088" s="11"/>
      <c r="I1088" s="12"/>
      <c r="J1088" s="153"/>
      <c r="K1088" s="13"/>
    </row>
    <row r="1089" spans="1:11" ht="15" customHeight="1" x14ac:dyDescent="0.4">
      <c r="A1089" s="178"/>
      <c r="B1089" s="177"/>
      <c r="C1089" s="7"/>
      <c r="D1089" s="9" t="s">
        <v>830</v>
      </c>
      <c r="E1089" s="165">
        <v>0</v>
      </c>
      <c r="G1089" s="8"/>
      <c r="H1089" s="11"/>
      <c r="I1089" s="12"/>
      <c r="J1089" s="153"/>
      <c r="K1089" s="13"/>
    </row>
    <row r="1090" spans="1:11" ht="15" customHeight="1" x14ac:dyDescent="0.4">
      <c r="A1090" s="180" t="s">
        <v>832</v>
      </c>
      <c r="B1090" s="181" t="s">
        <v>22</v>
      </c>
      <c r="C1090" s="16">
        <v>92</v>
      </c>
      <c r="D1090" s="29" t="s">
        <v>833</v>
      </c>
      <c r="E1090" s="165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2">
        <v>125</v>
      </c>
      <c r="K1090" s="13"/>
    </row>
    <row r="1091" spans="1:11" ht="15" customHeight="1" x14ac:dyDescent="0.4">
      <c r="A1091" s="183"/>
      <c r="B1091" s="175"/>
      <c r="C1091" s="16">
        <v>100</v>
      </c>
      <c r="D1091" s="29" t="s">
        <v>833</v>
      </c>
      <c r="E1091" s="165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2">
        <v>140</v>
      </c>
      <c r="K1091" s="13"/>
    </row>
    <row r="1092" spans="1:11" ht="15" customHeight="1" x14ac:dyDescent="0.4">
      <c r="A1092" s="183"/>
      <c r="B1092" s="175"/>
      <c r="C1092" s="16">
        <v>115</v>
      </c>
      <c r="D1092" s="29" t="s">
        <v>833</v>
      </c>
      <c r="E1092" s="165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2">
        <v>163</v>
      </c>
      <c r="K1092" s="13"/>
    </row>
    <row r="1093" spans="1:11" ht="15" customHeight="1" x14ac:dyDescent="0.4">
      <c r="A1093" s="183"/>
      <c r="B1093" s="175"/>
      <c r="C1093" s="16">
        <v>140</v>
      </c>
      <c r="D1093" s="29" t="s">
        <v>834</v>
      </c>
      <c r="E1093" s="165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2">
        <v>198</v>
      </c>
      <c r="K1093" s="13"/>
    </row>
    <row r="1094" spans="1:11" ht="15" customHeight="1" x14ac:dyDescent="0.4">
      <c r="A1094" s="183"/>
      <c r="B1094" s="176"/>
      <c r="C1094" s="33">
        <v>83</v>
      </c>
      <c r="D1094" s="21" t="s">
        <v>834</v>
      </c>
      <c r="E1094" s="168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2">
        <v>110</v>
      </c>
      <c r="K1094" s="13"/>
    </row>
    <row r="1095" spans="1:11" ht="15" customHeight="1" x14ac:dyDescent="0.4">
      <c r="A1095" s="183"/>
      <c r="B1095" s="181" t="s">
        <v>28</v>
      </c>
      <c r="C1095" s="7">
        <v>92</v>
      </c>
      <c r="D1095" s="9" t="s">
        <v>833</v>
      </c>
      <c r="E1095" s="165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2">
        <v>125</v>
      </c>
      <c r="K1095" s="13"/>
    </row>
    <row r="1096" spans="1:11" ht="15" customHeight="1" x14ac:dyDescent="0.4">
      <c r="A1096" s="183"/>
      <c r="B1096" s="175"/>
      <c r="C1096" s="7">
        <v>100</v>
      </c>
      <c r="D1096" s="9" t="s">
        <v>833</v>
      </c>
      <c r="E1096" s="165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2">
        <v>140</v>
      </c>
      <c r="K1096" s="13"/>
    </row>
    <row r="1097" spans="1:11" ht="15" customHeight="1" x14ac:dyDescent="0.4">
      <c r="A1097" s="183"/>
      <c r="B1097" s="175"/>
      <c r="C1097" s="7">
        <v>115</v>
      </c>
      <c r="D1097" s="9" t="s">
        <v>833</v>
      </c>
      <c r="E1097" s="165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2">
        <v>163</v>
      </c>
      <c r="K1097" s="13"/>
    </row>
    <row r="1098" spans="1:11" ht="15" customHeight="1" x14ac:dyDescent="0.4">
      <c r="A1098" s="183"/>
      <c r="B1098" s="175"/>
      <c r="C1098" s="7">
        <v>140</v>
      </c>
      <c r="D1098" s="9" t="s">
        <v>834</v>
      </c>
      <c r="E1098" s="165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2">
        <v>198</v>
      </c>
      <c r="K1098" s="13"/>
    </row>
    <row r="1099" spans="1:11" s="1" customFormat="1" ht="15" customHeight="1" x14ac:dyDescent="0.4">
      <c r="A1099" s="178" t="s">
        <v>835</v>
      </c>
      <c r="B1099" s="177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2">
        <v>132</v>
      </c>
      <c r="K1099" s="13"/>
    </row>
    <row r="1100" spans="1:11" s="1" customFormat="1" ht="15" customHeight="1" x14ac:dyDescent="0.4">
      <c r="A1100" s="178"/>
      <c r="B1100" s="177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2">
        <v>176</v>
      </c>
      <c r="K1100" s="13"/>
    </row>
    <row r="1101" spans="1:11" s="1" customFormat="1" ht="15" customHeight="1" x14ac:dyDescent="0.4">
      <c r="A1101" s="178"/>
      <c r="B1101" s="177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2">
        <v>216</v>
      </c>
      <c r="K1101" s="13"/>
    </row>
    <row r="1102" spans="1:11" s="1" customFormat="1" ht="15" customHeight="1" x14ac:dyDescent="0.4">
      <c r="A1102" s="178"/>
      <c r="B1102" s="177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2">
        <v>268</v>
      </c>
      <c r="K1102" s="13"/>
    </row>
    <row r="1103" spans="1:11" s="1" customFormat="1" ht="15" customHeight="1" x14ac:dyDescent="0.4">
      <c r="A1103" s="178"/>
      <c r="B1103" s="177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2">
        <v>318</v>
      </c>
      <c r="K1103" s="13"/>
    </row>
    <row r="1104" spans="1:11" s="1" customFormat="1" ht="15" customHeight="1" x14ac:dyDescent="0.4">
      <c r="A1104" s="178"/>
      <c r="B1104" s="177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2">
        <v>368</v>
      </c>
      <c r="K1104" s="13"/>
    </row>
    <row r="1105" spans="1:11" s="1" customFormat="1" ht="15" customHeight="1" x14ac:dyDescent="0.4">
      <c r="A1105" s="178"/>
      <c r="B1105" s="177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2">
        <v>420</v>
      </c>
      <c r="K1105" s="13"/>
    </row>
    <row r="1106" spans="1:11" s="1" customFormat="1" ht="15" customHeight="1" x14ac:dyDescent="0.4">
      <c r="A1106" s="178"/>
      <c r="B1106" s="177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2">
        <v>530</v>
      </c>
      <c r="K1106" s="13"/>
    </row>
    <row r="1107" spans="1:11" s="1" customFormat="1" ht="15" customHeight="1" x14ac:dyDescent="0.4">
      <c r="A1107" s="178"/>
      <c r="B1107" s="177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2">
        <v>740</v>
      </c>
      <c r="K1107" s="13"/>
    </row>
    <row r="1108" spans="1:11" ht="15" customHeight="1" x14ac:dyDescent="0.4">
      <c r="A1108" s="178"/>
      <c r="B1108" s="177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2">
        <v>136</v>
      </c>
      <c r="K1108" s="13"/>
    </row>
    <row r="1109" spans="1:11" ht="15" customHeight="1" x14ac:dyDescent="0.4">
      <c r="A1109" s="178"/>
      <c r="B1109" s="177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2">
        <v>189</v>
      </c>
      <c r="K1109" s="13"/>
    </row>
    <row r="1110" spans="1:11" ht="15" customHeight="1" x14ac:dyDescent="0.4">
      <c r="A1110" s="178"/>
      <c r="B1110" s="177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2">
        <v>220</v>
      </c>
      <c r="K1110" s="13"/>
    </row>
    <row r="1111" spans="1:11" ht="15" customHeight="1" x14ac:dyDescent="0.4">
      <c r="A1111" s="178"/>
      <c r="B1111" s="177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2">
        <v>264</v>
      </c>
      <c r="K1111" s="13"/>
    </row>
    <row r="1112" spans="1:11" ht="15" customHeight="1" x14ac:dyDescent="0.4">
      <c r="A1112" s="178"/>
      <c r="B1112" s="177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2">
        <v>305</v>
      </c>
      <c r="K1112" s="13"/>
    </row>
    <row r="1113" spans="1:11" ht="15" customHeight="1" x14ac:dyDescent="0.4">
      <c r="A1113" s="178"/>
      <c r="B1113" s="177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2">
        <v>342</v>
      </c>
      <c r="K1113" s="13"/>
    </row>
    <row r="1114" spans="1:11" ht="15" customHeight="1" x14ac:dyDescent="0.4">
      <c r="A1114" s="178"/>
      <c r="B1114" s="177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2">
        <v>382</v>
      </c>
      <c r="K1114" s="13"/>
    </row>
    <row r="1115" spans="1:11" ht="15" customHeight="1" x14ac:dyDescent="0.4">
      <c r="A1115" s="178"/>
      <c r="B1115" s="177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2">
        <v>424</v>
      </c>
      <c r="K1115" s="13"/>
    </row>
    <row r="1116" spans="1:11" ht="15" customHeight="1" x14ac:dyDescent="0.4">
      <c r="A1116" s="178"/>
      <c r="B1116" s="177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2">
        <v>128</v>
      </c>
      <c r="K1116" s="13"/>
    </row>
    <row r="1117" spans="1:11" ht="15" customHeight="1" x14ac:dyDescent="0.4">
      <c r="A1117" s="178"/>
      <c r="B1117" s="177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2">
        <v>183</v>
      </c>
      <c r="K1117" s="13"/>
    </row>
    <row r="1118" spans="1:11" ht="15" customHeight="1" x14ac:dyDescent="0.4">
      <c r="A1118" s="178"/>
      <c r="B1118" s="177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2">
        <v>214</v>
      </c>
      <c r="K1118" s="13"/>
    </row>
    <row r="1119" spans="1:11" ht="15" customHeight="1" x14ac:dyDescent="0.4">
      <c r="A1119" s="178"/>
      <c r="B1119" s="177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2">
        <v>266</v>
      </c>
      <c r="K1119" s="13"/>
    </row>
    <row r="1120" spans="1:11" ht="15" customHeight="1" x14ac:dyDescent="0.4">
      <c r="A1120" s="178"/>
      <c r="B1120" s="177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2">
        <v>322</v>
      </c>
      <c r="K1120" s="13"/>
    </row>
    <row r="1121" spans="1:11" ht="15" customHeight="1" x14ac:dyDescent="0.4">
      <c r="A1121" s="178"/>
      <c r="B1121" s="177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2">
        <v>375</v>
      </c>
      <c r="K1121" s="13"/>
    </row>
    <row r="1122" spans="1:11" ht="15" customHeight="1" x14ac:dyDescent="0.4">
      <c r="A1122" s="181" t="s">
        <v>840</v>
      </c>
      <c r="B1122" s="181" t="s">
        <v>236</v>
      </c>
      <c r="C1122" s="7">
        <v>250</v>
      </c>
      <c r="D1122" s="9" t="s">
        <v>2930</v>
      </c>
      <c r="E1122" s="165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3"/>
      <c r="K1122" s="13"/>
    </row>
    <row r="1123" spans="1:11" ht="15" customHeight="1" x14ac:dyDescent="0.4">
      <c r="A1123" s="175"/>
      <c r="B1123" s="175"/>
      <c r="C1123" s="7"/>
      <c r="D1123" s="9" t="s">
        <v>842</v>
      </c>
      <c r="E1123" s="165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3"/>
      <c r="K1123" s="13"/>
    </row>
    <row r="1124" spans="1:11" ht="15" customHeight="1" x14ac:dyDescent="0.4">
      <c r="A1124" s="175"/>
      <c r="B1124" s="175"/>
      <c r="C1124" s="33">
        <v>170</v>
      </c>
      <c r="D1124" s="21" t="s">
        <v>843</v>
      </c>
      <c r="E1124" s="168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3"/>
      <c r="K1124" s="13"/>
    </row>
    <row r="1125" spans="1:11" ht="15" customHeight="1" x14ac:dyDescent="0.4">
      <c r="A1125" s="176"/>
      <c r="B1125" s="176"/>
      <c r="C1125" s="33"/>
      <c r="D1125" s="21" t="s">
        <v>844</v>
      </c>
      <c r="E1125" s="168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3"/>
      <c r="K1125" s="13"/>
    </row>
    <row r="1126" spans="1:11" ht="15" customHeight="1" x14ac:dyDescent="0.4">
      <c r="A1126" s="181" t="s">
        <v>845</v>
      </c>
      <c r="B1126" s="181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3"/>
      <c r="K1126" s="13"/>
    </row>
    <row r="1127" spans="1:11" ht="15" customHeight="1" x14ac:dyDescent="0.4">
      <c r="A1127" s="175"/>
      <c r="B1127" s="175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3"/>
      <c r="K1127" s="13"/>
    </row>
    <row r="1128" spans="1:11" ht="15" customHeight="1" x14ac:dyDescent="0.4">
      <c r="A1128" s="175"/>
      <c r="B1128" s="175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3"/>
      <c r="K1128" s="13"/>
    </row>
    <row r="1129" spans="1:11" ht="15" customHeight="1" x14ac:dyDescent="0.4">
      <c r="A1129" s="176"/>
      <c r="B1129" s="176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3"/>
      <c r="K1129" s="13"/>
    </row>
    <row r="1130" spans="1:11" ht="15" customHeight="1" x14ac:dyDescent="0.4">
      <c r="A1130" s="177" t="s">
        <v>850</v>
      </c>
      <c r="B1130" s="181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3"/>
      <c r="K1130" s="13"/>
    </row>
    <row r="1131" spans="1:11" ht="15" customHeight="1" x14ac:dyDescent="0.4">
      <c r="A1131" s="177"/>
      <c r="B1131" s="176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3"/>
      <c r="K1131" s="13"/>
    </row>
    <row r="1132" spans="1:11" ht="15" customHeight="1" x14ac:dyDescent="0.4">
      <c r="A1132" s="177"/>
      <c r="B1132" s="181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3"/>
      <c r="K1132" s="13"/>
    </row>
    <row r="1133" spans="1:11" ht="15" customHeight="1" x14ac:dyDescent="0.4">
      <c r="A1133" s="177"/>
      <c r="B1133" s="176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3"/>
      <c r="K1133" s="13"/>
    </row>
    <row r="1134" spans="1:11" ht="15" customHeight="1" x14ac:dyDescent="0.4">
      <c r="A1134" s="177" t="s">
        <v>856</v>
      </c>
      <c r="B1134" s="177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3"/>
      <c r="K1134" s="13"/>
    </row>
    <row r="1135" spans="1:11" ht="15" customHeight="1" x14ac:dyDescent="0.4">
      <c r="A1135" s="177"/>
      <c r="B1135" s="177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3"/>
      <c r="K1135" s="13"/>
    </row>
    <row r="1136" spans="1:11" ht="15" customHeight="1" x14ac:dyDescent="0.4">
      <c r="A1136" s="177"/>
      <c r="B1136" s="177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3"/>
      <c r="K1136" s="13"/>
    </row>
    <row r="1137" spans="1:11" ht="15" customHeight="1" x14ac:dyDescent="0.4">
      <c r="A1137" s="177"/>
      <c r="B1137" s="177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3"/>
      <c r="K1137" s="13"/>
    </row>
    <row r="1138" spans="1:11" ht="15" customHeight="1" x14ac:dyDescent="0.4">
      <c r="A1138" s="181" t="s">
        <v>858</v>
      </c>
      <c r="B1138" s="181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3"/>
      <c r="K1138" s="13"/>
    </row>
    <row r="1139" spans="1:11" ht="15" customHeight="1" x14ac:dyDescent="0.4">
      <c r="A1139" s="175"/>
      <c r="B1139" s="175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3"/>
      <c r="K1139" s="13"/>
    </row>
    <row r="1140" spans="1:11" ht="15" customHeight="1" x14ac:dyDescent="0.4">
      <c r="A1140" s="176"/>
      <c r="B1140" s="176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3"/>
      <c r="K1140" s="13"/>
    </row>
    <row r="1141" spans="1:11" ht="15" customHeight="1" x14ac:dyDescent="0.4">
      <c r="A1141" s="178" t="s">
        <v>862</v>
      </c>
      <c r="B1141" s="177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3"/>
      <c r="K1141" s="13"/>
    </row>
    <row r="1142" spans="1:11" ht="15" customHeight="1" x14ac:dyDescent="0.4">
      <c r="A1142" s="178"/>
      <c r="B1142" s="177"/>
      <c r="C1142" s="7"/>
      <c r="D1142" s="9" t="s">
        <v>865</v>
      </c>
      <c r="E1142" s="3">
        <v>0</v>
      </c>
      <c r="G1142" s="8"/>
      <c r="H1142" s="11"/>
      <c r="I1142" s="12"/>
      <c r="J1142" s="153"/>
      <c r="K1142" s="13"/>
    </row>
    <row r="1143" spans="1:11" ht="15" customHeight="1" x14ac:dyDescent="0.4">
      <c r="A1143" s="178"/>
      <c r="B1143" s="177"/>
      <c r="C1143" s="7"/>
      <c r="D1143" s="9" t="s">
        <v>866</v>
      </c>
      <c r="E1143" s="3">
        <v>0</v>
      </c>
      <c r="G1143" s="8"/>
      <c r="H1143" s="11"/>
      <c r="I1143" s="12"/>
      <c r="J1143" s="153"/>
      <c r="K1143" s="13"/>
    </row>
    <row r="1144" spans="1:11" ht="15" customHeight="1" x14ac:dyDescent="0.4">
      <c r="A1144" s="178"/>
      <c r="B1144" s="177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3"/>
      <c r="K1144" s="13"/>
    </row>
    <row r="1145" spans="1:11" ht="15" customHeight="1" x14ac:dyDescent="0.4">
      <c r="A1145" s="178"/>
      <c r="B1145" s="177"/>
      <c r="C1145" s="7"/>
      <c r="D1145" s="9" t="s">
        <v>865</v>
      </c>
      <c r="E1145" s="3">
        <v>0</v>
      </c>
      <c r="G1145" s="8"/>
      <c r="H1145" s="11"/>
      <c r="I1145" s="12"/>
      <c r="J1145" s="153"/>
      <c r="K1145" s="13"/>
    </row>
    <row r="1146" spans="1:11" ht="15" customHeight="1" x14ac:dyDescent="0.4">
      <c r="A1146" s="178"/>
      <c r="B1146" s="177"/>
      <c r="C1146" s="7"/>
      <c r="D1146" s="9" t="s">
        <v>866</v>
      </c>
      <c r="E1146" s="3">
        <v>0</v>
      </c>
      <c r="G1146" s="8"/>
      <c r="H1146" s="11"/>
      <c r="I1146" s="12"/>
      <c r="J1146" s="153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3"/>
      <c r="K1147" s="13"/>
    </row>
    <row r="1148" spans="1:11" ht="15" customHeight="1" x14ac:dyDescent="0.4">
      <c r="A1148" s="177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3"/>
      <c r="K1148" s="13"/>
    </row>
    <row r="1149" spans="1:11" ht="15" customHeight="1" x14ac:dyDescent="0.4">
      <c r="A1149" s="177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3"/>
      <c r="K1149" s="13"/>
    </row>
    <row r="1150" spans="1:11" ht="15" customHeight="1" x14ac:dyDescent="0.4">
      <c r="A1150" s="177" t="s">
        <v>871</v>
      </c>
      <c r="B1150" s="177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3"/>
      <c r="K1150" s="13"/>
    </row>
    <row r="1151" spans="1:11" ht="15" customHeight="1" x14ac:dyDescent="0.4">
      <c r="A1151" s="177"/>
      <c r="B1151" s="177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3"/>
      <c r="K1151" s="13"/>
    </row>
    <row r="1152" spans="1:11" ht="15" customHeight="1" x14ac:dyDescent="0.4">
      <c r="A1152" s="177"/>
      <c r="B1152" s="177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3"/>
      <c r="K1152" s="13"/>
    </row>
    <row r="1153" spans="1:11" ht="15" customHeight="1" x14ac:dyDescent="0.4">
      <c r="A1153" s="177"/>
      <c r="B1153" s="177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3"/>
      <c r="K1153" s="13"/>
    </row>
    <row r="1154" spans="1:11" ht="15" customHeight="1" x14ac:dyDescent="0.4">
      <c r="A1154" s="177"/>
      <c r="B1154" s="177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3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3"/>
      <c r="K1155" s="13"/>
    </row>
    <row r="1156" spans="1:11" ht="15" customHeight="1" x14ac:dyDescent="0.4">
      <c r="A1156" s="181" t="s">
        <v>876</v>
      </c>
      <c r="B1156" s="181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3"/>
      <c r="K1156" s="13"/>
    </row>
    <row r="1157" spans="1:11" ht="15" customHeight="1" x14ac:dyDescent="0.4">
      <c r="A1157" s="176"/>
      <c r="B1157" s="176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3"/>
      <c r="K1157" s="13"/>
    </row>
    <row r="1158" spans="1:11" ht="15" customHeight="1" x14ac:dyDescent="0.4">
      <c r="A1158" s="177" t="s">
        <v>878</v>
      </c>
      <c r="B1158" s="174" t="s">
        <v>352</v>
      </c>
      <c r="C1158" s="33">
        <v>118</v>
      </c>
      <c r="D1158" s="21" t="s">
        <v>879</v>
      </c>
      <c r="E1158" s="168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3"/>
      <c r="K1158" s="13"/>
    </row>
    <row r="1159" spans="1:11" ht="15" customHeight="1" x14ac:dyDescent="0.4">
      <c r="A1159" s="177"/>
      <c r="B1159" s="175"/>
      <c r="C1159" s="33">
        <v>216</v>
      </c>
      <c r="D1159" s="21" t="s">
        <v>880</v>
      </c>
      <c r="E1159" s="168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3"/>
      <c r="K1159" s="13"/>
    </row>
    <row r="1160" spans="1:11" ht="15" customHeight="1" x14ac:dyDescent="0.4">
      <c r="A1160" s="177"/>
      <c r="B1160" s="175"/>
      <c r="C1160" s="33"/>
      <c r="D1160" s="21" t="s">
        <v>881</v>
      </c>
      <c r="E1160" s="168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3"/>
      <c r="K1160" s="13"/>
    </row>
    <row r="1161" spans="1:11" ht="15" customHeight="1" x14ac:dyDescent="0.4">
      <c r="A1161" s="177"/>
      <c r="B1161" s="175"/>
      <c r="C1161" s="33"/>
      <c r="D1161" s="21" t="s">
        <v>882</v>
      </c>
      <c r="E1161" s="168">
        <v>1185000</v>
      </c>
      <c r="G1161" s="8"/>
      <c r="H1161" s="11"/>
      <c r="I1161" s="12"/>
      <c r="J1161" s="153"/>
      <c r="K1161" s="13"/>
    </row>
    <row r="1162" spans="1:11" ht="15" customHeight="1" x14ac:dyDescent="0.4">
      <c r="A1162" s="177"/>
      <c r="B1162" s="176"/>
      <c r="C1162" s="33"/>
      <c r="D1162" s="21" t="s">
        <v>883</v>
      </c>
      <c r="E1162" s="168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3"/>
      <c r="K1162" s="13"/>
    </row>
    <row r="1163" spans="1:11" ht="15" customHeight="1" x14ac:dyDescent="0.4">
      <c r="A1163" s="177"/>
      <c r="B1163" s="24" t="s">
        <v>2931</v>
      </c>
      <c r="C1163" s="20">
        <v>216</v>
      </c>
      <c r="D1163" s="21" t="s">
        <v>884</v>
      </c>
      <c r="E1163" s="168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3"/>
      <c r="K1163" s="13"/>
    </row>
    <row r="1164" spans="1:11" ht="15" customHeight="1" x14ac:dyDescent="0.4">
      <c r="A1164" s="177"/>
      <c r="B1164" s="7" t="s">
        <v>353</v>
      </c>
      <c r="C1164" s="20">
        <v>216</v>
      </c>
      <c r="D1164" s="21" t="s">
        <v>884</v>
      </c>
      <c r="E1164" s="168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3"/>
      <c r="K1164" s="13"/>
    </row>
    <row r="1165" spans="1:11" ht="15" customHeight="1" x14ac:dyDescent="0.4">
      <c r="A1165" s="181" t="s">
        <v>885</v>
      </c>
      <c r="B1165" s="181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3"/>
      <c r="K1165" s="13"/>
    </row>
    <row r="1166" spans="1:11" ht="15" customHeight="1" x14ac:dyDescent="0.4">
      <c r="A1166" s="175"/>
      <c r="B1166" s="175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3"/>
      <c r="K1166" s="13"/>
    </row>
    <row r="1167" spans="1:11" ht="15" customHeight="1" x14ac:dyDescent="0.4">
      <c r="A1167" s="175"/>
      <c r="B1167" s="175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3"/>
      <c r="K1167" s="13"/>
    </row>
    <row r="1168" spans="1:11" ht="15" customHeight="1" x14ac:dyDescent="0.4">
      <c r="A1168" s="175"/>
      <c r="B1168" s="175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3"/>
      <c r="K1168" s="13"/>
    </row>
    <row r="1169" spans="1:11" ht="15" customHeight="1" x14ac:dyDescent="0.4">
      <c r="A1169" s="175"/>
      <c r="B1169" s="176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3"/>
      <c r="K1169" s="13"/>
    </row>
    <row r="1170" spans="1:11" ht="15" customHeight="1" x14ac:dyDescent="0.4">
      <c r="A1170" s="175"/>
      <c r="B1170" s="177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3"/>
      <c r="K1170" s="13"/>
    </row>
    <row r="1171" spans="1:11" ht="15" customHeight="1" x14ac:dyDescent="0.4">
      <c r="A1171" s="176"/>
      <c r="B1171" s="177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3"/>
      <c r="K1171" s="13"/>
    </row>
    <row r="1172" spans="1:11" ht="15" customHeight="1" x14ac:dyDescent="0.4">
      <c r="A1172" s="178" t="s">
        <v>890</v>
      </c>
      <c r="B1172" s="177" t="s">
        <v>891</v>
      </c>
      <c r="C1172" s="33">
        <v>99</v>
      </c>
      <c r="D1172" s="21" t="s">
        <v>892</v>
      </c>
      <c r="E1172" s="168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3"/>
      <c r="K1172" s="13"/>
    </row>
    <row r="1173" spans="1:11" ht="15" customHeight="1" x14ac:dyDescent="0.4">
      <c r="A1173" s="178"/>
      <c r="B1173" s="177"/>
      <c r="C1173" s="33">
        <v>122</v>
      </c>
      <c r="D1173" s="21" t="s">
        <v>892</v>
      </c>
      <c r="E1173" s="168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3"/>
      <c r="K1173" s="13"/>
    </row>
    <row r="1174" spans="1:11" ht="15" customHeight="1" x14ac:dyDescent="0.4">
      <c r="A1174" s="178"/>
      <c r="B1174" s="177"/>
      <c r="C1174" s="33"/>
      <c r="D1174" s="21" t="s">
        <v>893</v>
      </c>
      <c r="E1174" s="168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3"/>
      <c r="K1174" s="13"/>
    </row>
    <row r="1175" spans="1:11" ht="15" customHeight="1" x14ac:dyDescent="0.4">
      <c r="A1175" s="178"/>
      <c r="B1175" s="177"/>
      <c r="C1175" s="33"/>
      <c r="D1175" s="21" t="s">
        <v>894</v>
      </c>
      <c r="E1175" s="168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3"/>
      <c r="K1175" s="13"/>
    </row>
    <row r="1176" spans="1:11" ht="15" customHeight="1" x14ac:dyDescent="0.4">
      <c r="A1176" s="178"/>
      <c r="B1176" s="177"/>
      <c r="C1176" s="33"/>
      <c r="D1176" s="21" t="s">
        <v>895</v>
      </c>
      <c r="E1176" s="168">
        <v>945000</v>
      </c>
      <c r="G1176" s="8"/>
      <c r="H1176" s="11"/>
      <c r="I1176" s="12"/>
      <c r="J1176" s="153"/>
      <c r="K1176" s="13"/>
    </row>
    <row r="1177" spans="1:11" ht="15" customHeight="1" x14ac:dyDescent="0.4">
      <c r="A1177" s="178"/>
      <c r="B1177" s="177"/>
      <c r="C1177" s="33"/>
      <c r="D1177" s="21" t="s">
        <v>896</v>
      </c>
      <c r="E1177" s="168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3"/>
      <c r="K1177" s="13"/>
    </row>
    <row r="1178" spans="1:11" ht="15" customHeight="1" x14ac:dyDescent="0.4">
      <c r="A1178" s="178"/>
      <c r="B1178" s="177"/>
      <c r="C1178" s="20">
        <v>157</v>
      </c>
      <c r="D1178" s="21" t="s">
        <v>892</v>
      </c>
      <c r="E1178" s="168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3"/>
      <c r="K1178" s="13"/>
    </row>
    <row r="1179" spans="1:11" ht="15" customHeight="1" x14ac:dyDescent="0.4">
      <c r="A1179" s="178"/>
      <c r="B1179" s="177"/>
      <c r="C1179" s="33">
        <v>204</v>
      </c>
      <c r="D1179" s="21" t="s">
        <v>892</v>
      </c>
      <c r="E1179" s="168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3"/>
      <c r="K1179" s="13"/>
    </row>
    <row r="1180" spans="1:11" ht="15" customHeight="1" x14ac:dyDescent="0.4">
      <c r="A1180" s="178"/>
      <c r="B1180" s="177"/>
      <c r="C1180" s="33">
        <v>250</v>
      </c>
      <c r="D1180" s="21" t="s">
        <v>892</v>
      </c>
      <c r="E1180" s="168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3"/>
      <c r="K1180" s="13"/>
    </row>
    <row r="1181" spans="1:11" ht="15" customHeight="1" x14ac:dyDescent="0.4">
      <c r="A1181" s="181" t="s">
        <v>897</v>
      </c>
      <c r="B1181" s="181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3"/>
      <c r="K1181" s="13"/>
    </row>
    <row r="1182" spans="1:11" ht="15" customHeight="1" x14ac:dyDescent="0.4">
      <c r="A1182" s="176"/>
      <c r="B1182" s="176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3"/>
      <c r="K1182" s="13"/>
    </row>
    <row r="1183" spans="1:11" ht="15" customHeight="1" x14ac:dyDescent="0.4">
      <c r="A1183" s="181" t="s">
        <v>900</v>
      </c>
      <c r="B1183" s="181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3"/>
      <c r="K1183" s="13"/>
    </row>
    <row r="1184" spans="1:11" ht="15" customHeight="1" x14ac:dyDescent="0.4">
      <c r="A1184" s="175"/>
      <c r="B1184" s="175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3"/>
      <c r="K1184" s="13"/>
    </row>
    <row r="1185" spans="1:11" ht="15" customHeight="1" x14ac:dyDescent="0.4">
      <c r="A1185" s="175"/>
      <c r="B1185" s="175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3"/>
      <c r="K1185" s="13"/>
    </row>
    <row r="1186" spans="1:11" ht="15" customHeight="1" x14ac:dyDescent="0.4">
      <c r="A1186" s="177" t="s">
        <v>903</v>
      </c>
      <c r="B1186" s="177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3"/>
      <c r="K1186" s="13"/>
    </row>
    <row r="1187" spans="1:11" ht="15" customHeight="1" x14ac:dyDescent="0.4">
      <c r="A1187" s="177"/>
      <c r="B1187" s="177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3"/>
      <c r="K1187" s="13"/>
    </row>
    <row r="1188" spans="1:11" ht="15" customHeight="1" x14ac:dyDescent="0.4">
      <c r="A1188" s="177"/>
      <c r="B1188" s="177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3"/>
      <c r="K1188" s="13"/>
    </row>
    <row r="1189" spans="1:11" s="1" customFormat="1" ht="15" customHeight="1" x14ac:dyDescent="0.4">
      <c r="A1189" s="178" t="s">
        <v>904</v>
      </c>
      <c r="B1189" s="177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2">
        <v>260</v>
      </c>
      <c r="K1189" s="13"/>
    </row>
    <row r="1190" spans="1:11" s="1" customFormat="1" ht="15" customHeight="1" x14ac:dyDescent="0.4">
      <c r="A1190" s="178"/>
      <c r="B1190" s="177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2">
        <v>340</v>
      </c>
      <c r="K1190" s="13"/>
    </row>
    <row r="1191" spans="1:11" s="1" customFormat="1" ht="15" customHeight="1" x14ac:dyDescent="0.4">
      <c r="A1191" s="178"/>
      <c r="B1191" s="177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2">
        <v>410</v>
      </c>
      <c r="K1191" s="13"/>
    </row>
    <row r="1192" spans="1:11" s="1" customFormat="1" ht="15" customHeight="1" x14ac:dyDescent="0.4">
      <c r="A1192" s="178"/>
      <c r="B1192" s="177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2">
        <v>450</v>
      </c>
      <c r="K1192" s="13"/>
    </row>
    <row r="1193" spans="1:11" s="1" customFormat="1" ht="15" customHeight="1" x14ac:dyDescent="0.4">
      <c r="A1193" s="178"/>
      <c r="B1193" s="177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2">
        <v>530</v>
      </c>
      <c r="K1193" s="13"/>
    </row>
    <row r="1194" spans="1:11" s="1" customFormat="1" ht="15" customHeight="1" x14ac:dyDescent="0.4">
      <c r="A1194" s="178"/>
      <c r="B1194" s="177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2">
        <v>920</v>
      </c>
      <c r="K1194" s="13"/>
    </row>
    <row r="1195" spans="1:11" s="1" customFormat="1" ht="15" customHeight="1" x14ac:dyDescent="0.4">
      <c r="A1195" s="178"/>
      <c r="B1195" s="177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2">
        <v>1050</v>
      </c>
      <c r="K1195" s="13"/>
    </row>
    <row r="1196" spans="1:11" s="1" customFormat="1" ht="15" customHeight="1" x14ac:dyDescent="0.4">
      <c r="A1196" s="178" t="s">
        <v>905</v>
      </c>
      <c r="B1196" s="178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3"/>
      <c r="K1196" s="13"/>
    </row>
    <row r="1197" spans="1:11" s="1" customFormat="1" ht="15" customHeight="1" x14ac:dyDescent="0.4">
      <c r="A1197" s="178"/>
      <c r="B1197" s="177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3"/>
      <c r="K1197" s="13"/>
    </row>
    <row r="1198" spans="1:11" s="1" customFormat="1" ht="15" customHeight="1" x14ac:dyDescent="0.4">
      <c r="A1198" s="178"/>
      <c r="B1198" s="177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3"/>
      <c r="K1198" s="13"/>
    </row>
    <row r="1199" spans="1:11" s="1" customFormat="1" ht="15" customHeight="1" x14ac:dyDescent="0.4">
      <c r="A1199" s="178"/>
      <c r="B1199" s="177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3"/>
      <c r="K1199" s="13"/>
    </row>
    <row r="1200" spans="1:11" s="1" customFormat="1" ht="15" customHeight="1" x14ac:dyDescent="0.4">
      <c r="A1200" s="180" t="s">
        <v>907</v>
      </c>
      <c r="B1200" s="178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2">
        <v>1000</v>
      </c>
      <c r="K1200" s="13"/>
    </row>
    <row r="1201" spans="1:11" s="1" customFormat="1" ht="15" customHeight="1" x14ac:dyDescent="0.4">
      <c r="A1201" s="183"/>
      <c r="B1201" s="178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2">
        <v>1000</v>
      </c>
      <c r="K1201" s="13"/>
    </row>
    <row r="1202" spans="1:11" s="1" customFormat="1" ht="15" customHeight="1" x14ac:dyDescent="0.4">
      <c r="A1202" s="183"/>
      <c r="B1202" s="178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2">
        <v>1000</v>
      </c>
      <c r="K1202" s="13"/>
    </row>
    <row r="1203" spans="1:11" s="1" customFormat="1" ht="15" customHeight="1" x14ac:dyDescent="0.4">
      <c r="A1203" s="183"/>
      <c r="B1203" s="178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2">
        <v>1000</v>
      </c>
      <c r="K1203" s="13"/>
    </row>
    <row r="1204" spans="1:11" s="1" customFormat="1" ht="15" customHeight="1" x14ac:dyDescent="0.4">
      <c r="A1204" s="183"/>
      <c r="B1204" s="178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2">
        <v>100</v>
      </c>
      <c r="K1204" s="13"/>
    </row>
    <row r="1205" spans="1:11" s="1" customFormat="1" ht="15" customHeight="1" x14ac:dyDescent="0.4">
      <c r="A1205" s="183"/>
      <c r="B1205" s="178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2">
        <v>1500</v>
      </c>
      <c r="K1205" s="13"/>
    </row>
    <row r="1206" spans="1:11" s="1" customFormat="1" ht="15" customHeight="1" x14ac:dyDescent="0.4">
      <c r="A1206" s="183"/>
      <c r="B1206" s="178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2">
        <v>1500</v>
      </c>
      <c r="K1206" s="13"/>
    </row>
    <row r="1207" spans="1:11" s="1" customFormat="1" ht="15" customHeight="1" x14ac:dyDescent="0.4">
      <c r="A1207" s="183"/>
      <c r="B1207" s="178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2">
        <v>2000</v>
      </c>
      <c r="K1207" s="13"/>
    </row>
    <row r="1208" spans="1:11" s="1" customFormat="1" ht="15" customHeight="1" x14ac:dyDescent="0.4">
      <c r="A1208" s="183"/>
      <c r="B1208" s="178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2">
        <v>2000</v>
      </c>
      <c r="K1208" s="13"/>
    </row>
    <row r="1209" spans="1:11" s="1" customFormat="1" ht="15" customHeight="1" x14ac:dyDescent="0.4">
      <c r="A1209" s="183"/>
      <c r="B1209" s="178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2">
        <v>3000</v>
      </c>
      <c r="K1209" s="13"/>
    </row>
    <row r="1210" spans="1:11" s="1" customFormat="1" ht="15" customHeight="1" x14ac:dyDescent="0.4">
      <c r="A1210" s="183"/>
      <c r="B1210" s="178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2">
        <v>3000</v>
      </c>
      <c r="K1210" s="13"/>
    </row>
    <row r="1211" spans="1:11" ht="15" customHeight="1" x14ac:dyDescent="0.4">
      <c r="A1211" s="178" t="s">
        <v>913</v>
      </c>
      <c r="B1211" s="177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3"/>
      <c r="K1211" s="13"/>
    </row>
    <row r="1212" spans="1:11" ht="15" customHeight="1" x14ac:dyDescent="0.4">
      <c r="A1212" s="178"/>
      <c r="B1212" s="177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3"/>
      <c r="K1212" s="13"/>
    </row>
    <row r="1213" spans="1:11" ht="15" customHeight="1" x14ac:dyDescent="0.4">
      <c r="A1213" s="178"/>
      <c r="B1213" s="177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3"/>
      <c r="K1213" s="13"/>
    </row>
    <row r="1214" spans="1:11" ht="15" customHeight="1" x14ac:dyDescent="0.4">
      <c r="A1214" s="180" t="s">
        <v>917</v>
      </c>
      <c r="B1214" s="181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3"/>
      <c r="K1214" s="13"/>
    </row>
    <row r="1215" spans="1:11" ht="15" customHeight="1" x14ac:dyDescent="0.4">
      <c r="A1215" s="183"/>
      <c r="B1215" s="175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3"/>
      <c r="K1215" s="13"/>
    </row>
    <row r="1216" spans="1:11" ht="15" customHeight="1" x14ac:dyDescent="0.4">
      <c r="A1216" s="183"/>
      <c r="B1216" s="175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3"/>
      <c r="K1216" s="13"/>
    </row>
    <row r="1217" spans="1:11" ht="15" customHeight="1" x14ac:dyDescent="0.4">
      <c r="A1217" s="183"/>
      <c r="B1217" s="175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3"/>
      <c r="K1217" s="13"/>
    </row>
    <row r="1218" spans="1:11" ht="15" customHeight="1" x14ac:dyDescent="0.4">
      <c r="A1218" s="183"/>
      <c r="B1218" s="175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3"/>
      <c r="K1218" s="13"/>
    </row>
    <row r="1219" spans="1:11" ht="15" customHeight="1" x14ac:dyDescent="0.4">
      <c r="A1219" s="183"/>
      <c r="B1219" s="175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3"/>
      <c r="K1219" s="13"/>
    </row>
    <row r="1220" spans="1:11" ht="15" customHeight="1" x14ac:dyDescent="0.4">
      <c r="A1220" s="183"/>
      <c r="B1220" s="175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3"/>
      <c r="K1220" s="13"/>
    </row>
    <row r="1221" spans="1:11" ht="15" customHeight="1" x14ac:dyDescent="0.4">
      <c r="A1221" s="184"/>
      <c r="B1221" s="176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3"/>
      <c r="K1221" s="13"/>
    </row>
    <row r="1222" spans="1:11" ht="15" customHeight="1" x14ac:dyDescent="0.4">
      <c r="A1222" s="180" t="s">
        <v>925</v>
      </c>
      <c r="B1222" s="177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3"/>
      <c r="K1222" s="13"/>
    </row>
    <row r="1223" spans="1:11" ht="15" customHeight="1" x14ac:dyDescent="0.4">
      <c r="A1223" s="183"/>
      <c r="B1223" s="177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3"/>
      <c r="K1223" s="13"/>
    </row>
    <row r="1224" spans="1:11" ht="15" customHeight="1" x14ac:dyDescent="0.4">
      <c r="A1224" s="183"/>
      <c r="B1224" s="177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3"/>
      <c r="K1224" s="13"/>
    </row>
    <row r="1225" spans="1:11" ht="15" customHeight="1" x14ac:dyDescent="0.4">
      <c r="A1225" s="183"/>
      <c r="B1225" s="177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3"/>
      <c r="K1225" s="13"/>
    </row>
    <row r="1226" spans="1:11" ht="15" customHeight="1" x14ac:dyDescent="0.4">
      <c r="A1226" s="183"/>
      <c r="B1226" s="177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3"/>
      <c r="K1226" s="13"/>
    </row>
    <row r="1227" spans="1:11" ht="15" customHeight="1" x14ac:dyDescent="0.4">
      <c r="A1227" s="183"/>
      <c r="B1227" s="177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3"/>
      <c r="K1227" s="13"/>
    </row>
    <row r="1228" spans="1:11" ht="15" customHeight="1" x14ac:dyDescent="0.4">
      <c r="A1228" s="183"/>
      <c r="B1228" s="177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3"/>
      <c r="K1228" s="13"/>
    </row>
    <row r="1229" spans="1:11" ht="15" customHeight="1" x14ac:dyDescent="0.4">
      <c r="A1229" s="183"/>
      <c r="B1229" s="177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3"/>
      <c r="K1229" s="13"/>
    </row>
    <row r="1230" spans="1:11" ht="15" customHeight="1" x14ac:dyDescent="0.4">
      <c r="A1230" s="183"/>
      <c r="B1230" s="177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3"/>
      <c r="K1230" s="13"/>
    </row>
    <row r="1231" spans="1:11" ht="15" customHeight="1" x14ac:dyDescent="0.4">
      <c r="A1231" s="183"/>
      <c r="B1231" s="177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3"/>
      <c r="K1231" s="13"/>
    </row>
    <row r="1232" spans="1:11" ht="15" customHeight="1" x14ac:dyDescent="0.4">
      <c r="A1232" s="183"/>
      <c r="B1232" s="177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3"/>
      <c r="K1232" s="13"/>
    </row>
    <row r="1233" spans="1:11" ht="15" customHeight="1" x14ac:dyDescent="0.4">
      <c r="A1233" s="183"/>
      <c r="B1233" s="177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3"/>
      <c r="K1233" s="13"/>
    </row>
    <row r="1234" spans="1:11" ht="15" customHeight="1" x14ac:dyDescent="0.4">
      <c r="A1234" s="183"/>
      <c r="B1234" s="177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3"/>
      <c r="K1234" s="13"/>
    </row>
    <row r="1235" spans="1:11" ht="15" customHeight="1" x14ac:dyDescent="0.4">
      <c r="A1235" s="183"/>
      <c r="B1235" s="177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3"/>
      <c r="K1235" s="13"/>
    </row>
    <row r="1236" spans="1:11" ht="15" customHeight="1" x14ac:dyDescent="0.4">
      <c r="A1236" s="183"/>
      <c r="B1236" s="177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3"/>
      <c r="K1236" s="13"/>
    </row>
    <row r="1237" spans="1:11" ht="15" customHeight="1" x14ac:dyDescent="0.4">
      <c r="A1237" s="183"/>
      <c r="B1237" s="177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3"/>
      <c r="K1237" s="13"/>
    </row>
    <row r="1238" spans="1:11" ht="15" customHeight="1" x14ac:dyDescent="0.4">
      <c r="A1238" s="183"/>
      <c r="B1238" s="177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3"/>
      <c r="K1238" s="13"/>
    </row>
    <row r="1239" spans="1:11" ht="15" customHeight="1" x14ac:dyDescent="0.4">
      <c r="A1239" s="183"/>
      <c r="B1239" s="177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3"/>
      <c r="K1239" s="13"/>
    </row>
    <row r="1240" spans="1:11" ht="15" customHeight="1" x14ac:dyDescent="0.4">
      <c r="A1240" s="183"/>
      <c r="B1240" s="177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3"/>
      <c r="K1240" s="13"/>
    </row>
    <row r="1241" spans="1:11" ht="15" customHeight="1" x14ac:dyDescent="0.4">
      <c r="A1241" s="183"/>
      <c r="B1241" s="177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3"/>
      <c r="K1241" s="13"/>
    </row>
    <row r="1242" spans="1:11" ht="15" customHeight="1" x14ac:dyDescent="0.4">
      <c r="A1242" s="183"/>
      <c r="B1242" s="177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3"/>
      <c r="K1242" s="13"/>
    </row>
    <row r="1243" spans="1:11" ht="15" customHeight="1" x14ac:dyDescent="0.4">
      <c r="A1243" s="183"/>
      <c r="B1243" s="177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3"/>
      <c r="K1243" s="13"/>
    </row>
    <row r="1244" spans="1:11" ht="15" customHeight="1" x14ac:dyDescent="0.4">
      <c r="A1244" s="183"/>
      <c r="B1244" s="177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3"/>
      <c r="K1244" s="13"/>
    </row>
    <row r="1245" spans="1:11" ht="15" customHeight="1" x14ac:dyDescent="0.4">
      <c r="A1245" s="183"/>
      <c r="B1245" s="177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3"/>
      <c r="K1245" s="13"/>
    </row>
    <row r="1246" spans="1:11" ht="15" customHeight="1" x14ac:dyDescent="0.4">
      <c r="A1246" s="183"/>
      <c r="B1246" s="177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3"/>
      <c r="K1246" s="13"/>
    </row>
    <row r="1247" spans="1:11" ht="15" customHeight="1" x14ac:dyDescent="0.4">
      <c r="A1247" s="183"/>
      <c r="B1247" s="177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3"/>
      <c r="K1247" s="13"/>
    </row>
    <row r="1248" spans="1:11" ht="15" customHeight="1" x14ac:dyDescent="0.4">
      <c r="A1248" s="183"/>
      <c r="B1248" s="177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3"/>
      <c r="K1248" s="13"/>
    </row>
    <row r="1249" spans="1:11" ht="15" customHeight="1" x14ac:dyDescent="0.4">
      <c r="A1249" s="183"/>
      <c r="B1249" s="177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3"/>
      <c r="K1249" s="13"/>
    </row>
    <row r="1250" spans="1:11" ht="15" customHeight="1" x14ac:dyDescent="0.4">
      <c r="A1250" s="183"/>
      <c r="B1250" s="177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3"/>
      <c r="K1250" s="13"/>
    </row>
    <row r="1251" spans="1:11" ht="15" customHeight="1" x14ac:dyDescent="0.4">
      <c r="A1251" s="183"/>
      <c r="B1251" s="177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3"/>
      <c r="K1251" s="13"/>
    </row>
    <row r="1252" spans="1:11" ht="15" customHeight="1" x14ac:dyDescent="0.4">
      <c r="A1252" s="183"/>
      <c r="B1252" s="177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3"/>
      <c r="K1252" s="13"/>
    </row>
    <row r="1253" spans="1:11" ht="15" customHeight="1" x14ac:dyDescent="0.4">
      <c r="A1253" s="183"/>
      <c r="B1253" s="177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3"/>
      <c r="K1253" s="13"/>
    </row>
    <row r="1254" spans="1:11" ht="15" customHeight="1" x14ac:dyDescent="0.4">
      <c r="A1254" s="183"/>
      <c r="B1254" s="177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3"/>
      <c r="K1254" s="13"/>
    </row>
    <row r="1255" spans="1:11" ht="15" customHeight="1" x14ac:dyDescent="0.4">
      <c r="A1255" s="183"/>
      <c r="B1255" s="177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3"/>
      <c r="K1255" s="13"/>
    </row>
    <row r="1256" spans="1:11" ht="15" customHeight="1" x14ac:dyDescent="0.4">
      <c r="A1256" s="183"/>
      <c r="B1256" s="177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3"/>
      <c r="K1256" s="13"/>
    </row>
    <row r="1257" spans="1:11" ht="15" customHeight="1" x14ac:dyDescent="0.4">
      <c r="A1257" s="183"/>
      <c r="B1257" s="177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3"/>
      <c r="K1257" s="13"/>
    </row>
    <row r="1258" spans="1:11" ht="15" customHeight="1" x14ac:dyDescent="0.4">
      <c r="A1258" s="183"/>
      <c r="B1258" s="177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3"/>
      <c r="K1258" s="13"/>
    </row>
    <row r="1259" spans="1:11" ht="15" customHeight="1" x14ac:dyDescent="0.4">
      <c r="A1259" s="183"/>
      <c r="B1259" s="177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3"/>
      <c r="K1259" s="13"/>
    </row>
    <row r="1260" spans="1:11" ht="15" customHeight="1" x14ac:dyDescent="0.4">
      <c r="A1260" s="183"/>
      <c r="B1260" s="177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3"/>
      <c r="K1260" s="13"/>
    </row>
    <row r="1261" spans="1:11" ht="15" customHeight="1" x14ac:dyDescent="0.4">
      <c r="A1261" s="183"/>
      <c r="B1261" s="177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3"/>
      <c r="K1261" s="13"/>
    </row>
    <row r="1262" spans="1:11" ht="15" customHeight="1" x14ac:dyDescent="0.4">
      <c r="A1262" s="183"/>
      <c r="B1262" s="177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3"/>
      <c r="K1262" s="13"/>
    </row>
    <row r="1263" spans="1:11" ht="15" customHeight="1" x14ac:dyDescent="0.4">
      <c r="A1263" s="183"/>
      <c r="B1263" s="177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3"/>
      <c r="K1263" s="13"/>
    </row>
    <row r="1264" spans="1:11" ht="15" customHeight="1" x14ac:dyDescent="0.4">
      <c r="A1264" s="183"/>
      <c r="B1264" s="177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3"/>
      <c r="K1264" s="13"/>
    </row>
    <row r="1265" spans="1:11" ht="15" customHeight="1" x14ac:dyDescent="0.4">
      <c r="A1265" s="183"/>
      <c r="B1265" s="177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3"/>
      <c r="K1265" s="13"/>
    </row>
    <row r="1266" spans="1:11" ht="15" customHeight="1" x14ac:dyDescent="0.4">
      <c r="A1266" s="183"/>
      <c r="B1266" s="177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3"/>
      <c r="K1266" s="13"/>
    </row>
    <row r="1267" spans="1:11" ht="15" customHeight="1" x14ac:dyDescent="0.4">
      <c r="A1267" s="183"/>
      <c r="B1267" s="181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3"/>
      <c r="K1267" s="13"/>
    </row>
    <row r="1268" spans="1:11" ht="15" customHeight="1" x14ac:dyDescent="0.4">
      <c r="A1268" s="183"/>
      <c r="B1268" s="175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3"/>
      <c r="K1268" s="13"/>
    </row>
    <row r="1269" spans="1:11" ht="15" customHeight="1" x14ac:dyDescent="0.4">
      <c r="A1269" s="183"/>
      <c r="B1269" s="175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3"/>
      <c r="K1269" s="13"/>
    </row>
    <row r="1270" spans="1:11" ht="15" customHeight="1" x14ac:dyDescent="0.4">
      <c r="A1270" s="183"/>
      <c r="B1270" s="175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3"/>
      <c r="K1270" s="13"/>
    </row>
    <row r="1271" spans="1:11" ht="15" customHeight="1" x14ac:dyDescent="0.4">
      <c r="A1271" s="184"/>
      <c r="B1271" s="176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3"/>
      <c r="K1271" s="13"/>
    </row>
    <row r="1272" spans="1:11" ht="15" customHeight="1" x14ac:dyDescent="0.4">
      <c r="A1272" s="178" t="s">
        <v>972</v>
      </c>
      <c r="B1272" s="179" t="s">
        <v>27</v>
      </c>
      <c r="C1272" s="16">
        <v>110</v>
      </c>
      <c r="D1272" s="29" t="s">
        <v>973</v>
      </c>
      <c r="E1272" s="165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3"/>
      <c r="K1272" s="13"/>
    </row>
    <row r="1273" spans="1:11" ht="15" customHeight="1" x14ac:dyDescent="0.4">
      <c r="A1273" s="178"/>
      <c r="B1273" s="179"/>
      <c r="C1273" s="33"/>
      <c r="D1273" s="21" t="s">
        <v>974</v>
      </c>
      <c r="E1273" s="168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3"/>
      <c r="K1273" s="13"/>
    </row>
    <row r="1274" spans="1:11" ht="15" customHeight="1" x14ac:dyDescent="0.4">
      <c r="A1274" s="178"/>
      <c r="B1274" s="179"/>
      <c r="C1274" s="16">
        <v>240</v>
      </c>
      <c r="D1274" s="29" t="s">
        <v>975</v>
      </c>
      <c r="E1274" s="165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3"/>
      <c r="K1274" s="13"/>
    </row>
    <row r="1275" spans="1:11" ht="15" customHeight="1" x14ac:dyDescent="0.4">
      <c r="A1275" s="178"/>
      <c r="B1275" s="179"/>
      <c r="C1275" s="33"/>
      <c r="D1275" s="21" t="s">
        <v>976</v>
      </c>
      <c r="E1275" s="168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3"/>
      <c r="K1275" s="13"/>
    </row>
    <row r="1276" spans="1:11" ht="15" customHeight="1" x14ac:dyDescent="0.4">
      <c r="A1276" s="178" t="s">
        <v>977</v>
      </c>
      <c r="B1276" s="179" t="s">
        <v>27</v>
      </c>
      <c r="C1276" s="16">
        <v>110</v>
      </c>
      <c r="D1276" s="29" t="s">
        <v>978</v>
      </c>
      <c r="E1276" s="165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3"/>
      <c r="K1276" s="13"/>
    </row>
    <row r="1277" spans="1:11" ht="15" customHeight="1" x14ac:dyDescent="0.4">
      <c r="A1277" s="178"/>
      <c r="B1277" s="179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3"/>
      <c r="K1277" s="13"/>
    </row>
    <row r="1278" spans="1:11" ht="15" customHeight="1" x14ac:dyDescent="0.4">
      <c r="A1278" s="178"/>
      <c r="B1278" s="179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3"/>
      <c r="K1278" s="13"/>
    </row>
    <row r="1279" spans="1:11" ht="15" customHeight="1" x14ac:dyDescent="0.4">
      <c r="A1279" s="178"/>
      <c r="B1279" s="179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3"/>
      <c r="K1279" s="13"/>
    </row>
    <row r="1280" spans="1:11" ht="15" customHeight="1" x14ac:dyDescent="0.4">
      <c r="A1280" s="178"/>
      <c r="B1280" s="179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3"/>
      <c r="K1280" s="13"/>
    </row>
    <row r="1281" spans="1:11" ht="15" customHeight="1" x14ac:dyDescent="0.4">
      <c r="A1281" s="178"/>
      <c r="B1281" s="179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3"/>
      <c r="K1281" s="13"/>
    </row>
    <row r="1282" spans="1:11" ht="15" customHeight="1" x14ac:dyDescent="0.4">
      <c r="A1282" s="178"/>
      <c r="B1282" s="179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3"/>
      <c r="K1282" s="13"/>
    </row>
    <row r="1283" spans="1:11" ht="15" customHeight="1" x14ac:dyDescent="0.4">
      <c r="A1283" s="178"/>
      <c r="B1283" s="179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3"/>
      <c r="K1283" s="13"/>
    </row>
    <row r="1284" spans="1:11" s="1" customFormat="1" ht="15" customHeight="1" x14ac:dyDescent="0.4">
      <c r="A1284" s="178" t="s">
        <v>986</v>
      </c>
      <c r="B1284" s="178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3"/>
      <c r="K1284" s="13"/>
    </row>
    <row r="1285" spans="1:11" s="1" customFormat="1" ht="15" customHeight="1" x14ac:dyDescent="0.4">
      <c r="A1285" s="178"/>
      <c r="B1285" s="178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3"/>
      <c r="K1285" s="13"/>
    </row>
    <row r="1286" spans="1:11" s="1" customFormat="1" ht="15" customHeight="1" x14ac:dyDescent="0.4">
      <c r="A1286" s="178"/>
      <c r="B1286" s="178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3"/>
      <c r="K1286" s="13"/>
    </row>
    <row r="1287" spans="1:11" s="1" customFormat="1" ht="15" customHeight="1" x14ac:dyDescent="0.4">
      <c r="A1287" s="178"/>
      <c r="B1287" s="178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3"/>
      <c r="K1287" s="13"/>
    </row>
    <row r="1288" spans="1:11" s="1" customFormat="1" ht="15" customHeight="1" x14ac:dyDescent="0.4">
      <c r="A1288" s="178"/>
      <c r="B1288" s="178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3"/>
      <c r="K1288" s="13"/>
    </row>
    <row r="1289" spans="1:11" s="1" customFormat="1" ht="15" customHeight="1" x14ac:dyDescent="0.4">
      <c r="A1289" s="178"/>
      <c r="B1289" s="178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3"/>
      <c r="K1289" s="13"/>
    </row>
    <row r="1290" spans="1:11" ht="15" customHeight="1" x14ac:dyDescent="0.4">
      <c r="A1290" s="177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3"/>
      <c r="K1290" s="13"/>
    </row>
    <row r="1291" spans="1:11" ht="15" customHeight="1" x14ac:dyDescent="0.4">
      <c r="A1291" s="177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3"/>
      <c r="K1291" s="13"/>
    </row>
    <row r="1292" spans="1:11" ht="15" customHeight="1" x14ac:dyDescent="0.4">
      <c r="A1292" s="177" t="s">
        <v>995</v>
      </c>
      <c r="B1292" s="177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3"/>
      <c r="K1292" s="13"/>
    </row>
    <row r="1293" spans="1:11" ht="15" customHeight="1" x14ac:dyDescent="0.4">
      <c r="A1293" s="177"/>
      <c r="B1293" s="177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3"/>
      <c r="K1293" s="13"/>
    </row>
    <row r="1294" spans="1:11" ht="15" customHeight="1" x14ac:dyDescent="0.4">
      <c r="A1294" s="177"/>
      <c r="B1294" s="177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3"/>
      <c r="K1294" s="13"/>
    </row>
    <row r="1295" spans="1:11" ht="15" customHeight="1" x14ac:dyDescent="0.4">
      <c r="A1295" s="177"/>
      <c r="B1295" s="177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3"/>
      <c r="K1295" s="13"/>
    </row>
    <row r="1296" spans="1:11" ht="15" customHeight="1" x14ac:dyDescent="0.4">
      <c r="A1296" s="178" t="s">
        <v>1000</v>
      </c>
      <c r="B1296" s="177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3"/>
      <c r="K1296" s="13"/>
    </row>
    <row r="1297" spans="1:11" ht="15" customHeight="1" x14ac:dyDescent="0.4">
      <c r="A1297" s="178"/>
      <c r="B1297" s="177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3"/>
      <c r="K1297" s="13"/>
    </row>
    <row r="1298" spans="1:11" ht="15" customHeight="1" x14ac:dyDescent="0.4">
      <c r="A1298" s="178"/>
      <c r="B1298" s="177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3"/>
      <c r="K1298" s="13"/>
    </row>
    <row r="1299" spans="1:11" ht="15" customHeight="1" x14ac:dyDescent="0.4">
      <c r="A1299" s="178"/>
      <c r="B1299" s="177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3"/>
      <c r="K1299" s="13"/>
    </row>
    <row r="1300" spans="1:11" ht="15" customHeight="1" x14ac:dyDescent="0.4">
      <c r="A1300" s="178"/>
      <c r="B1300" s="177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3"/>
      <c r="K1300" s="13"/>
    </row>
    <row r="1301" spans="1:11" ht="15" customHeight="1" x14ac:dyDescent="0.4">
      <c r="A1301" s="178"/>
      <c r="B1301" s="177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3"/>
      <c r="K1301" s="13"/>
    </row>
    <row r="1302" spans="1:11" ht="15" customHeight="1" x14ac:dyDescent="0.4">
      <c r="A1302" s="180" t="s">
        <v>1003</v>
      </c>
      <c r="B1302" s="181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3"/>
      <c r="K1302" s="13"/>
    </row>
    <row r="1303" spans="1:11" ht="15" customHeight="1" x14ac:dyDescent="0.4">
      <c r="A1303" s="183"/>
      <c r="B1303" s="175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3"/>
      <c r="K1303" s="13"/>
    </row>
    <row r="1304" spans="1:11" ht="15" customHeight="1" x14ac:dyDescent="0.4">
      <c r="A1304" s="183"/>
      <c r="B1304" s="175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3"/>
      <c r="K1304" s="13"/>
    </row>
    <row r="1305" spans="1:11" ht="15" customHeight="1" x14ac:dyDescent="0.4">
      <c r="A1305" s="183"/>
      <c r="B1305" s="175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3"/>
      <c r="K1305" s="13"/>
    </row>
    <row r="1306" spans="1:11" ht="15" customHeight="1" x14ac:dyDescent="0.4">
      <c r="A1306" s="183"/>
      <c r="B1306" s="175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3"/>
      <c r="K1306" s="13"/>
    </row>
    <row r="1307" spans="1:11" ht="15" customHeight="1" x14ac:dyDescent="0.4">
      <c r="A1307" s="183"/>
      <c r="B1307" s="175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3"/>
      <c r="K1307" s="13"/>
    </row>
    <row r="1308" spans="1:11" ht="15" customHeight="1" x14ac:dyDescent="0.4">
      <c r="A1308" s="183"/>
      <c r="B1308" s="175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3"/>
      <c r="K1308" s="13"/>
    </row>
    <row r="1309" spans="1:11" ht="15" customHeight="1" x14ac:dyDescent="0.4">
      <c r="A1309" s="183"/>
      <c r="B1309" s="175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3"/>
      <c r="K1309" s="13"/>
    </row>
    <row r="1310" spans="1:11" ht="15" customHeight="1" x14ac:dyDescent="0.4">
      <c r="A1310" s="183"/>
      <c r="B1310" s="175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3"/>
      <c r="K1310" s="13"/>
    </row>
    <row r="1311" spans="1:11" ht="15" customHeight="1" x14ac:dyDescent="0.4">
      <c r="A1311" s="183"/>
      <c r="B1311" s="176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3"/>
      <c r="K1311" s="13"/>
    </row>
    <row r="1312" spans="1:11" ht="15" customHeight="1" x14ac:dyDescent="0.4">
      <c r="A1312" s="183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3"/>
      <c r="K1312" s="13"/>
    </row>
    <row r="1313" spans="1:11" ht="15" customHeight="1" x14ac:dyDescent="0.4">
      <c r="A1313" s="183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3"/>
      <c r="K1313" s="13"/>
    </row>
    <row r="1314" spans="1:11" ht="15" customHeight="1" x14ac:dyDescent="0.4">
      <c r="A1314" s="183"/>
      <c r="B1314" s="181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3"/>
      <c r="K1314" s="13"/>
    </row>
    <row r="1315" spans="1:11" ht="15" customHeight="1" x14ac:dyDescent="0.4">
      <c r="A1315" s="183"/>
      <c r="B1315" s="175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3"/>
      <c r="K1315" s="13"/>
    </row>
    <row r="1316" spans="1:11" ht="15" customHeight="1" x14ac:dyDescent="0.4">
      <c r="A1316" s="183"/>
      <c r="B1316" s="175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3"/>
      <c r="K1316" s="13"/>
    </row>
    <row r="1317" spans="1:11" ht="15" customHeight="1" x14ac:dyDescent="0.4">
      <c r="A1317" s="183"/>
      <c r="B1317" s="176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3"/>
      <c r="K1317" s="13"/>
    </row>
    <row r="1318" spans="1:11" ht="15" customHeight="1" x14ac:dyDescent="0.4">
      <c r="A1318" s="183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3"/>
      <c r="K1318" s="13"/>
    </row>
    <row r="1319" spans="1:11" ht="15" customHeight="1" x14ac:dyDescent="0.4">
      <c r="A1319" s="181" t="s">
        <v>1025</v>
      </c>
      <c r="B1319" s="181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3"/>
      <c r="K1319" s="13"/>
    </row>
    <row r="1320" spans="1:11" ht="15" customHeight="1" x14ac:dyDescent="0.4">
      <c r="A1320" s="175"/>
      <c r="B1320" s="175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3"/>
      <c r="K1320" s="13"/>
    </row>
    <row r="1321" spans="1:11" ht="15" customHeight="1" x14ac:dyDescent="0.4">
      <c r="A1321" s="175"/>
      <c r="B1321" s="175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3"/>
      <c r="K1321" s="13"/>
    </row>
    <row r="1322" spans="1:11" ht="15" customHeight="1" x14ac:dyDescent="0.4">
      <c r="A1322" s="175"/>
      <c r="B1322" s="175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3"/>
      <c r="K1322" s="13"/>
    </row>
    <row r="1323" spans="1:11" ht="15" customHeight="1" x14ac:dyDescent="0.4">
      <c r="A1323" s="175"/>
      <c r="B1323" s="178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3"/>
      <c r="K1323" s="13"/>
    </row>
    <row r="1324" spans="1:11" ht="15" customHeight="1" x14ac:dyDescent="0.4">
      <c r="A1324" s="175"/>
      <c r="B1324" s="178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3"/>
      <c r="K1324" s="13"/>
    </row>
    <row r="1325" spans="1:11" ht="15" customHeight="1" x14ac:dyDescent="0.4">
      <c r="A1325" s="175"/>
      <c r="B1325" s="178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3"/>
      <c r="K1325" s="13"/>
    </row>
    <row r="1326" spans="1:11" ht="15" customHeight="1" x14ac:dyDescent="0.4">
      <c r="A1326" s="176"/>
      <c r="B1326" s="178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3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3"/>
      <c r="K1327" s="13"/>
    </row>
    <row r="1328" spans="1:11" ht="15" customHeight="1" x14ac:dyDescent="0.4">
      <c r="A1328" s="180" t="s">
        <v>1035</v>
      </c>
      <c r="B1328" s="181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3"/>
      <c r="K1328" s="13"/>
    </row>
    <row r="1329" spans="1:11" ht="15" customHeight="1" x14ac:dyDescent="0.4">
      <c r="A1329" s="183"/>
      <c r="B1329" s="175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3"/>
      <c r="K1329" s="13"/>
    </row>
    <row r="1330" spans="1:11" ht="15" customHeight="1" x14ac:dyDescent="0.4">
      <c r="A1330" s="183"/>
      <c r="B1330" s="175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3"/>
      <c r="K1330" s="13"/>
    </row>
    <row r="1331" spans="1:11" ht="15" customHeight="1" x14ac:dyDescent="0.4">
      <c r="A1331" s="183"/>
      <c r="B1331" s="175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3"/>
      <c r="K1331" s="13"/>
    </row>
    <row r="1332" spans="1:11" ht="15" customHeight="1" x14ac:dyDescent="0.4">
      <c r="A1332" s="183"/>
      <c r="B1332" s="175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3"/>
      <c r="K1332" s="13"/>
    </row>
    <row r="1333" spans="1:11" ht="15" customHeight="1" x14ac:dyDescent="0.4">
      <c r="A1333" s="183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3"/>
      <c r="K1333" s="13"/>
    </row>
    <row r="1334" spans="1:11" s="1" customFormat="1" ht="15" customHeight="1" x14ac:dyDescent="0.4">
      <c r="A1334" s="178" t="s">
        <v>1042</v>
      </c>
      <c r="B1334" s="177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3"/>
      <c r="K1334" s="13"/>
    </row>
    <row r="1335" spans="1:11" s="1" customFormat="1" ht="15" customHeight="1" x14ac:dyDescent="0.4">
      <c r="A1335" s="178"/>
      <c r="B1335" s="177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3"/>
      <c r="K1335" s="13"/>
    </row>
    <row r="1336" spans="1:11" s="1" customFormat="1" ht="15" customHeight="1" x14ac:dyDescent="0.4">
      <c r="A1336" s="178"/>
      <c r="B1336" s="177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3"/>
      <c r="K1336" s="13"/>
    </row>
    <row r="1337" spans="1:11" s="1" customFormat="1" ht="15" customHeight="1" x14ac:dyDescent="0.4">
      <c r="A1337" s="178"/>
      <c r="B1337" s="177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3"/>
      <c r="K1337" s="13"/>
    </row>
    <row r="1338" spans="1:11" ht="15" customHeight="1" x14ac:dyDescent="0.4">
      <c r="A1338" s="177" t="s">
        <v>1044</v>
      </c>
      <c r="B1338" s="177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3"/>
      <c r="K1338" s="13"/>
    </row>
    <row r="1339" spans="1:11" ht="15" customHeight="1" x14ac:dyDescent="0.4">
      <c r="A1339" s="177"/>
      <c r="B1339" s="177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3"/>
      <c r="K1339" s="13"/>
    </row>
    <row r="1340" spans="1:11" ht="15" customHeight="1" x14ac:dyDescent="0.4">
      <c r="A1340" s="177"/>
      <c r="B1340" s="177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3"/>
      <c r="K1340" s="13"/>
    </row>
    <row r="1341" spans="1:11" ht="15" customHeight="1" x14ac:dyDescent="0.4">
      <c r="A1341" s="177"/>
      <c r="B1341" s="177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3"/>
      <c r="K1341" s="13"/>
    </row>
    <row r="1342" spans="1:11" ht="15" customHeight="1" x14ac:dyDescent="0.4">
      <c r="A1342" s="177"/>
      <c r="B1342" s="177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3"/>
      <c r="K1342" s="13"/>
    </row>
    <row r="1343" spans="1:11" ht="15" customHeight="1" x14ac:dyDescent="0.4">
      <c r="A1343" s="177"/>
      <c r="B1343" s="177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3"/>
      <c r="K1343" s="13"/>
    </row>
    <row r="1344" spans="1:11" ht="15" customHeight="1" x14ac:dyDescent="0.4">
      <c r="A1344" s="180" t="s">
        <v>1050</v>
      </c>
      <c r="B1344" s="174" t="s">
        <v>213</v>
      </c>
      <c r="C1344" s="7">
        <v>81.400000000000006</v>
      </c>
      <c r="D1344" s="9"/>
      <c r="E1344" s="165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2">
        <v>95</v>
      </c>
      <c r="K1344" s="13"/>
    </row>
    <row r="1345" spans="1:11" ht="15" customHeight="1" x14ac:dyDescent="0.4">
      <c r="A1345" s="183"/>
      <c r="B1345" s="175"/>
      <c r="C1345" s="7">
        <v>105</v>
      </c>
      <c r="D1345" s="9"/>
      <c r="E1345" s="165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2">
        <v>123</v>
      </c>
      <c r="K1345" s="13"/>
    </row>
    <row r="1346" spans="1:11" ht="15" customHeight="1" x14ac:dyDescent="0.4">
      <c r="A1346" s="183"/>
      <c r="B1346" s="175"/>
      <c r="C1346" s="7">
        <v>128</v>
      </c>
      <c r="D1346" s="9"/>
      <c r="E1346" s="165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2">
        <v>148</v>
      </c>
      <c r="K1346" s="13"/>
    </row>
    <row r="1347" spans="1:11" ht="15" customHeight="1" x14ac:dyDescent="0.4">
      <c r="A1347" s="183"/>
      <c r="B1347" s="175"/>
      <c r="C1347" s="7">
        <v>157</v>
      </c>
      <c r="D1347" s="9"/>
      <c r="E1347" s="165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2">
        <v>181</v>
      </c>
      <c r="K1347" s="13"/>
    </row>
    <row r="1348" spans="1:11" ht="15" customHeight="1" x14ac:dyDescent="0.4">
      <c r="A1348" s="183"/>
      <c r="B1348" s="175"/>
      <c r="C1348" s="7">
        <v>209</v>
      </c>
      <c r="D1348" s="9"/>
      <c r="E1348" s="165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2">
        <v>234</v>
      </c>
      <c r="K1348" s="13"/>
    </row>
    <row r="1349" spans="1:11" ht="15" customHeight="1" x14ac:dyDescent="0.4">
      <c r="A1349" s="183"/>
      <c r="B1349" s="174" t="s">
        <v>28</v>
      </c>
      <c r="C1349" s="7">
        <v>81.400000000000006</v>
      </c>
      <c r="D1349" s="9"/>
      <c r="E1349" s="165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2">
        <v>95</v>
      </c>
      <c r="K1349" s="13"/>
    </row>
    <row r="1350" spans="1:11" ht="15" customHeight="1" x14ac:dyDescent="0.4">
      <c r="A1350" s="183"/>
      <c r="B1350" s="175"/>
      <c r="C1350" s="7">
        <v>105</v>
      </c>
      <c r="D1350" s="9"/>
      <c r="E1350" s="165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2">
        <v>123</v>
      </c>
      <c r="K1350" s="13"/>
    </row>
    <row r="1351" spans="1:11" ht="15" customHeight="1" x14ac:dyDescent="0.4">
      <c r="A1351" s="183"/>
      <c r="B1351" s="175"/>
      <c r="C1351" s="7">
        <v>128</v>
      </c>
      <c r="D1351" s="9"/>
      <c r="E1351" s="165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2">
        <v>181</v>
      </c>
      <c r="K1351" s="13"/>
    </row>
    <row r="1352" spans="1:11" ht="15" customHeight="1" x14ac:dyDescent="0.4">
      <c r="A1352" s="183"/>
      <c r="B1352" s="175"/>
      <c r="C1352" s="7">
        <v>157</v>
      </c>
      <c r="D1352" s="9"/>
      <c r="E1352" s="165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2">
        <v>234</v>
      </c>
      <c r="K1352" s="13"/>
    </row>
    <row r="1353" spans="1:11" ht="15" customHeight="1" x14ac:dyDescent="0.4">
      <c r="A1353" s="184"/>
      <c r="B1353" s="175"/>
      <c r="C1353" s="7">
        <v>209</v>
      </c>
      <c r="D1353" s="21"/>
      <c r="E1353" s="165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2">
        <v>79</v>
      </c>
      <c r="K1353" s="13"/>
    </row>
    <row r="1354" spans="1:11" ht="15" customHeight="1" x14ac:dyDescent="0.4">
      <c r="A1354" s="178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3"/>
      <c r="K1354" s="13"/>
    </row>
    <row r="1355" spans="1:11" ht="15" customHeight="1" x14ac:dyDescent="0.4">
      <c r="A1355" s="177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3"/>
      <c r="K1355" s="13"/>
    </row>
    <row r="1356" spans="1:11" ht="15" customHeight="1" x14ac:dyDescent="0.4">
      <c r="A1356" s="178" t="s">
        <v>1052</v>
      </c>
      <c r="B1356" s="177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2">
        <v>130</v>
      </c>
      <c r="K1356" s="13"/>
    </row>
    <row r="1357" spans="1:11" ht="15" customHeight="1" x14ac:dyDescent="0.4">
      <c r="A1357" s="178"/>
      <c r="B1357" s="177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2">
        <v>145</v>
      </c>
      <c r="K1357" s="13"/>
    </row>
    <row r="1358" spans="1:11" ht="15" customHeight="1" x14ac:dyDescent="0.4">
      <c r="A1358" s="178"/>
      <c r="B1358" s="177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2">
        <v>130</v>
      </c>
      <c r="K1358" s="13"/>
    </row>
    <row r="1359" spans="1:11" ht="15" customHeight="1" x14ac:dyDescent="0.4">
      <c r="A1359" s="178"/>
      <c r="B1359" s="177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2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3"/>
      <c r="K1360" s="13"/>
    </row>
    <row r="1361" spans="1:11" ht="15" customHeight="1" x14ac:dyDescent="0.4">
      <c r="A1361" s="178" t="s">
        <v>1056</v>
      </c>
      <c r="B1361" s="177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2">
        <v>145</v>
      </c>
      <c r="K1361" s="13"/>
    </row>
    <row r="1362" spans="1:11" ht="15" customHeight="1" x14ac:dyDescent="0.4">
      <c r="A1362" s="178"/>
      <c r="B1362" s="177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2">
        <v>145</v>
      </c>
      <c r="K1362" s="13"/>
    </row>
    <row r="1363" spans="1:11" ht="15" customHeight="1" x14ac:dyDescent="0.4">
      <c r="A1363" s="177"/>
      <c r="B1363" s="177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2">
        <v>180</v>
      </c>
      <c r="K1363" s="13"/>
    </row>
    <row r="1364" spans="1:11" ht="15" customHeight="1" x14ac:dyDescent="0.4">
      <c r="A1364" s="177"/>
      <c r="B1364" s="177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2">
        <v>210</v>
      </c>
      <c r="K1364" s="13"/>
    </row>
    <row r="1365" spans="1:11" ht="15" customHeight="1" x14ac:dyDescent="0.4">
      <c r="A1365" s="177"/>
      <c r="B1365" s="177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2">
        <v>210</v>
      </c>
      <c r="K1365" s="13"/>
    </row>
    <row r="1366" spans="1:11" ht="15" customHeight="1" x14ac:dyDescent="0.4">
      <c r="A1366" s="177"/>
      <c r="B1366" s="177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2">
        <v>260</v>
      </c>
      <c r="K1366" s="13"/>
    </row>
    <row r="1367" spans="1:11" ht="15" customHeight="1" x14ac:dyDescent="0.4">
      <c r="A1367" s="177"/>
      <c r="B1367" s="177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2">
        <v>325</v>
      </c>
      <c r="K1367" s="13"/>
    </row>
    <row r="1368" spans="1:11" ht="15" customHeight="1" x14ac:dyDescent="0.4">
      <c r="A1368" s="177"/>
      <c r="B1368" s="178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2">
        <v>145</v>
      </c>
      <c r="K1368" s="13"/>
    </row>
    <row r="1369" spans="1:11" ht="15" customHeight="1" x14ac:dyDescent="0.4">
      <c r="A1369" s="177"/>
      <c r="B1369" s="178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2">
        <v>180</v>
      </c>
      <c r="K1369" s="13"/>
    </row>
    <row r="1370" spans="1:11" ht="15" customHeight="1" x14ac:dyDescent="0.4">
      <c r="A1370" s="177"/>
      <c r="B1370" s="178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2">
        <v>210</v>
      </c>
      <c r="K1370" s="13"/>
    </row>
    <row r="1371" spans="1:11" ht="15" customHeight="1" x14ac:dyDescent="0.4">
      <c r="A1371" s="177"/>
      <c r="B1371" s="178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2">
        <v>260</v>
      </c>
      <c r="K1371" s="13"/>
    </row>
    <row r="1372" spans="1:11" ht="15" customHeight="1" x14ac:dyDescent="0.4">
      <c r="A1372" s="177"/>
      <c r="B1372" s="178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2">
        <v>325</v>
      </c>
      <c r="K1372" s="13"/>
    </row>
    <row r="1373" spans="1:11" s="1" customFormat="1" ht="15" customHeight="1" x14ac:dyDescent="0.4">
      <c r="A1373" s="178" t="s">
        <v>1060</v>
      </c>
      <c r="B1373" s="177" t="s">
        <v>604</v>
      </c>
      <c r="C1373" s="7">
        <v>160</v>
      </c>
      <c r="D1373" s="9"/>
      <c r="E1373" s="165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2">
        <v>224</v>
      </c>
      <c r="K1373" s="13"/>
    </row>
    <row r="1374" spans="1:11" s="1" customFormat="1" ht="15" customHeight="1" x14ac:dyDescent="0.4">
      <c r="A1374" s="178"/>
      <c r="B1374" s="177"/>
      <c r="C1374" s="7">
        <v>200</v>
      </c>
      <c r="D1374" s="9"/>
      <c r="E1374" s="165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2">
        <v>280</v>
      </c>
      <c r="K1374" s="13"/>
    </row>
    <row r="1375" spans="1:11" s="1" customFormat="1" ht="15" customHeight="1" x14ac:dyDescent="0.4">
      <c r="A1375" s="178"/>
      <c r="B1375" s="177"/>
      <c r="C1375" s="7">
        <v>240</v>
      </c>
      <c r="D1375" s="9"/>
      <c r="E1375" s="165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2">
        <v>336</v>
      </c>
      <c r="K1375" s="13"/>
    </row>
    <row r="1376" spans="1:11" s="1" customFormat="1" ht="15" customHeight="1" x14ac:dyDescent="0.4">
      <c r="A1376" s="178"/>
      <c r="B1376" s="177"/>
      <c r="C1376" s="7">
        <v>280</v>
      </c>
      <c r="D1376" s="9"/>
      <c r="E1376" s="165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2">
        <v>392</v>
      </c>
      <c r="K1376" s="13"/>
    </row>
    <row r="1377" spans="1:11" s="1" customFormat="1" ht="15" customHeight="1" x14ac:dyDescent="0.4">
      <c r="A1377" s="178"/>
      <c r="B1377" s="177"/>
      <c r="C1377" s="7">
        <v>320</v>
      </c>
      <c r="D1377" s="9"/>
      <c r="E1377" s="165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2">
        <v>450</v>
      </c>
      <c r="K1377" s="13"/>
    </row>
    <row r="1378" spans="1:11" s="1" customFormat="1" ht="15" customHeight="1" x14ac:dyDescent="0.4">
      <c r="A1378" s="178"/>
      <c r="B1378" s="177"/>
      <c r="C1378" s="7">
        <v>350</v>
      </c>
      <c r="D1378" s="9"/>
      <c r="E1378" s="165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2">
        <v>490</v>
      </c>
      <c r="K1378" s="13"/>
    </row>
    <row r="1379" spans="1:11" s="1" customFormat="1" ht="15" customHeight="1" x14ac:dyDescent="0.4">
      <c r="A1379" s="178"/>
      <c r="B1379" s="177"/>
      <c r="C1379" s="7">
        <v>450</v>
      </c>
      <c r="D1379" s="9"/>
      <c r="E1379" s="165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2">
        <v>630</v>
      </c>
      <c r="K1379" s="13"/>
    </row>
    <row r="1380" spans="1:11" s="1" customFormat="1" ht="15" customHeight="1" x14ac:dyDescent="0.4">
      <c r="A1380" s="178" t="s">
        <v>1061</v>
      </c>
      <c r="B1380" s="177" t="s">
        <v>604</v>
      </c>
      <c r="C1380" s="7">
        <v>125</v>
      </c>
      <c r="D1380" s="9"/>
      <c r="E1380" s="165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2">
        <v>168</v>
      </c>
      <c r="K1380" s="13"/>
    </row>
    <row r="1381" spans="1:11" s="1" customFormat="1" ht="15" customHeight="1" x14ac:dyDescent="0.4">
      <c r="A1381" s="177"/>
      <c r="B1381" s="177"/>
      <c r="C1381" s="7">
        <v>145</v>
      </c>
      <c r="D1381" s="9"/>
      <c r="E1381" s="165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2">
        <v>194</v>
      </c>
      <c r="K1381" s="13"/>
    </row>
    <row r="1382" spans="1:11" s="1" customFormat="1" ht="15" customHeight="1" x14ac:dyDescent="0.4">
      <c r="A1382" s="177"/>
      <c r="B1382" s="177"/>
      <c r="C1382" s="7">
        <v>200</v>
      </c>
      <c r="D1382" s="9"/>
      <c r="E1382" s="165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2">
        <v>270</v>
      </c>
      <c r="K1382" s="13"/>
    </row>
    <row r="1383" spans="1:11" s="1" customFormat="1" ht="15" customHeight="1" x14ac:dyDescent="0.4">
      <c r="A1383" s="177"/>
      <c r="B1383" s="177"/>
      <c r="C1383" s="7">
        <v>250</v>
      </c>
      <c r="D1383" s="9"/>
      <c r="E1383" s="165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2">
        <v>326</v>
      </c>
      <c r="K1383" s="13"/>
    </row>
    <row r="1384" spans="1:11" s="1" customFormat="1" ht="15" customHeight="1" x14ac:dyDescent="0.4">
      <c r="A1384" s="177"/>
      <c r="B1384" s="177"/>
      <c r="C1384" s="7">
        <v>280</v>
      </c>
      <c r="D1384" s="9"/>
      <c r="E1384" s="165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2">
        <v>368</v>
      </c>
      <c r="K1384" s="13"/>
    </row>
    <row r="1385" spans="1:11" s="1" customFormat="1" ht="15" customHeight="1" x14ac:dyDescent="0.4">
      <c r="A1385" s="177"/>
      <c r="B1385" s="177"/>
      <c r="C1385" s="7">
        <v>320</v>
      </c>
      <c r="D1385" s="9"/>
      <c r="E1385" s="165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2">
        <v>425</v>
      </c>
      <c r="K1385" s="13"/>
    </row>
    <row r="1386" spans="1:11" s="1" customFormat="1" ht="15" customHeight="1" x14ac:dyDescent="0.4">
      <c r="A1386" s="177"/>
      <c r="B1386" s="177"/>
      <c r="C1386" s="7">
        <v>350</v>
      </c>
      <c r="D1386" s="9"/>
      <c r="E1386" s="165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2">
        <v>465</v>
      </c>
      <c r="K1386" s="13"/>
    </row>
    <row r="1387" spans="1:11" s="1" customFormat="1" ht="15" customHeight="1" x14ac:dyDescent="0.4">
      <c r="A1387" s="177"/>
      <c r="B1387" s="177"/>
      <c r="C1387" s="7">
        <v>400</v>
      </c>
      <c r="D1387" s="9"/>
      <c r="E1387" s="165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2">
        <v>520</v>
      </c>
      <c r="K1387" s="13"/>
    </row>
    <row r="1388" spans="1:11" s="1" customFormat="1" ht="15" customHeight="1" x14ac:dyDescent="0.4">
      <c r="A1388" s="178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3"/>
      <c r="K1388" s="13"/>
    </row>
    <row r="1389" spans="1:11" s="1" customFormat="1" ht="15" customHeight="1" x14ac:dyDescent="0.4">
      <c r="A1389" s="178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3"/>
      <c r="K1389" s="13"/>
    </row>
    <row r="1390" spans="1:11" s="1" customFormat="1" ht="15" customHeight="1" x14ac:dyDescent="0.4">
      <c r="A1390" s="183" t="s">
        <v>1064</v>
      </c>
      <c r="B1390" s="181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3"/>
      <c r="K1390" s="13"/>
    </row>
    <row r="1391" spans="1:11" s="1" customFormat="1" ht="15" customHeight="1" x14ac:dyDescent="0.4">
      <c r="A1391" s="183"/>
      <c r="B1391" s="175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3"/>
      <c r="K1391" s="13"/>
    </row>
    <row r="1392" spans="1:11" s="1" customFormat="1" ht="15" customHeight="1" x14ac:dyDescent="0.4">
      <c r="A1392" s="183"/>
      <c r="B1392" s="175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3"/>
      <c r="K1392" s="13"/>
    </row>
    <row r="1393" spans="1:11" s="1" customFormat="1" ht="15" customHeight="1" x14ac:dyDescent="0.4">
      <c r="A1393" s="183"/>
      <c r="B1393" s="175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3"/>
      <c r="K1393" s="13"/>
    </row>
    <row r="1394" spans="1:11" s="1" customFormat="1" ht="15" customHeight="1" x14ac:dyDescent="0.4">
      <c r="A1394" s="183"/>
      <c r="B1394" s="175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3"/>
      <c r="K1394" s="13"/>
    </row>
    <row r="1395" spans="1:11" s="1" customFormat="1" ht="15" customHeight="1" x14ac:dyDescent="0.4">
      <c r="A1395" s="183"/>
      <c r="B1395" s="175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3"/>
      <c r="K1395" s="13"/>
    </row>
    <row r="1396" spans="1:11" s="1" customFormat="1" ht="15" customHeight="1" x14ac:dyDescent="0.4">
      <c r="A1396" s="183"/>
      <c r="B1396" s="175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3"/>
      <c r="K1396" s="13"/>
    </row>
    <row r="1397" spans="1:11" s="1" customFormat="1" ht="15" customHeight="1" x14ac:dyDescent="0.4">
      <c r="A1397" s="183"/>
      <c r="B1397" s="175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3"/>
      <c r="K1397" s="13"/>
    </row>
    <row r="1398" spans="1:11" s="1" customFormat="1" ht="15" customHeight="1" x14ac:dyDescent="0.4">
      <c r="A1398" s="184"/>
      <c r="B1398" s="176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3"/>
      <c r="K1398" s="13"/>
    </row>
    <row r="1399" spans="1:11" ht="15" customHeight="1" x14ac:dyDescent="0.4">
      <c r="A1399" s="195" t="s">
        <v>1067</v>
      </c>
      <c r="B1399" s="195"/>
      <c r="C1399" s="69"/>
      <c r="D1399" s="9" t="s">
        <v>1068</v>
      </c>
      <c r="E1399" s="3">
        <v>0</v>
      </c>
      <c r="G1399" s="78"/>
      <c r="H1399" s="11"/>
      <c r="I1399" s="12"/>
      <c r="J1399" s="153"/>
      <c r="K1399" s="13"/>
    </row>
    <row r="1400" spans="1:11" ht="15" customHeight="1" x14ac:dyDescent="0.4">
      <c r="A1400" s="195"/>
      <c r="B1400" s="195"/>
      <c r="C1400" s="69"/>
      <c r="D1400" s="9" t="s">
        <v>1069</v>
      </c>
      <c r="E1400" s="3">
        <v>0</v>
      </c>
      <c r="G1400" s="78"/>
      <c r="H1400" s="11"/>
      <c r="I1400" s="12"/>
      <c r="J1400" s="153"/>
      <c r="K1400" s="13"/>
    </row>
    <row r="1401" spans="1:11" ht="15" customHeight="1" x14ac:dyDescent="0.4">
      <c r="A1401" s="195"/>
      <c r="B1401" s="195"/>
      <c r="C1401" s="69"/>
      <c r="D1401" s="9" t="s">
        <v>1070</v>
      </c>
      <c r="E1401" s="3">
        <v>0</v>
      </c>
      <c r="G1401" s="78"/>
      <c r="H1401" s="11"/>
      <c r="I1401" s="12"/>
      <c r="J1401" s="153"/>
      <c r="K1401" s="13"/>
    </row>
    <row r="1402" spans="1:11" ht="15" customHeight="1" x14ac:dyDescent="0.4">
      <c r="A1402" s="195"/>
      <c r="B1402" s="195"/>
      <c r="C1402" s="69"/>
      <c r="D1402" s="9" t="s">
        <v>1071</v>
      </c>
      <c r="E1402" s="3">
        <v>0</v>
      </c>
      <c r="G1402" s="78"/>
      <c r="H1402" s="11"/>
      <c r="I1402" s="12"/>
      <c r="J1402" s="153"/>
      <c r="K1402" s="13"/>
    </row>
    <row r="1403" spans="1:11" ht="15" customHeight="1" x14ac:dyDescent="0.4">
      <c r="A1403" s="195"/>
      <c r="B1403" s="195"/>
      <c r="C1403" s="69"/>
      <c r="D1403" s="9" t="s">
        <v>1072</v>
      </c>
      <c r="E1403" s="3">
        <v>0</v>
      </c>
      <c r="G1403" s="78"/>
      <c r="H1403" s="11"/>
      <c r="I1403" s="12"/>
      <c r="J1403" s="153"/>
      <c r="K1403" s="13"/>
    </row>
    <row r="1404" spans="1:11" ht="15" customHeight="1" x14ac:dyDescent="0.4">
      <c r="A1404" s="195"/>
      <c r="B1404" s="195"/>
      <c r="C1404" s="69"/>
      <c r="D1404" s="9" t="s">
        <v>1073</v>
      </c>
      <c r="E1404" s="3">
        <v>0</v>
      </c>
      <c r="G1404" s="78"/>
      <c r="H1404" s="11"/>
      <c r="I1404" s="12"/>
      <c r="J1404" s="153"/>
      <c r="K1404" s="13"/>
    </row>
    <row r="1405" spans="1:11" ht="15" customHeight="1" x14ac:dyDescent="0.4">
      <c r="A1405" s="195"/>
      <c r="B1405" s="195"/>
      <c r="C1405" s="69"/>
      <c r="D1405" s="9" t="s">
        <v>1074</v>
      </c>
      <c r="E1405" s="3">
        <v>0</v>
      </c>
      <c r="G1405" s="78"/>
      <c r="H1405" s="11"/>
      <c r="I1405" s="12"/>
      <c r="J1405" s="153"/>
      <c r="K1405" s="13"/>
    </row>
    <row r="1406" spans="1:11" ht="15" customHeight="1" x14ac:dyDescent="0.4">
      <c r="A1406" s="195"/>
      <c r="B1406" s="195"/>
      <c r="C1406" s="69"/>
      <c r="D1406" s="9" t="s">
        <v>1075</v>
      </c>
      <c r="E1406" s="3">
        <v>0</v>
      </c>
      <c r="G1406" s="78"/>
      <c r="H1406" s="11"/>
      <c r="I1406" s="12"/>
      <c r="J1406" s="153"/>
      <c r="K1406" s="13"/>
    </row>
    <row r="1407" spans="1:11" ht="15" customHeight="1" x14ac:dyDescent="0.4">
      <c r="A1407" s="195"/>
      <c r="B1407" s="195"/>
      <c r="C1407" s="69"/>
      <c r="D1407" s="9" t="s">
        <v>1076</v>
      </c>
      <c r="E1407" s="3">
        <v>0</v>
      </c>
      <c r="G1407" s="78"/>
      <c r="H1407" s="11"/>
      <c r="I1407" s="12"/>
      <c r="J1407" s="153"/>
      <c r="K1407" s="13"/>
    </row>
    <row r="1408" spans="1:11" ht="15" customHeight="1" x14ac:dyDescent="0.4">
      <c r="A1408" s="195"/>
      <c r="B1408" s="195"/>
      <c r="C1408" s="69"/>
      <c r="D1408" s="9" t="s">
        <v>1077</v>
      </c>
      <c r="E1408" s="3">
        <v>0</v>
      </c>
      <c r="G1408" s="78"/>
      <c r="H1408" s="11"/>
      <c r="I1408" s="12"/>
      <c r="J1408" s="153"/>
      <c r="K1408" s="13"/>
    </row>
    <row r="1409" spans="1:11" ht="15" customHeight="1" x14ac:dyDescent="0.4">
      <c r="A1409" s="177" t="s">
        <v>1078</v>
      </c>
      <c r="B1409" s="177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2">
        <v>106</v>
      </c>
      <c r="K1409" s="13"/>
    </row>
    <row r="1410" spans="1:11" ht="15" customHeight="1" x14ac:dyDescent="0.4">
      <c r="A1410" s="177"/>
      <c r="B1410" s="177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2">
        <v>136</v>
      </c>
      <c r="K1410" s="13"/>
    </row>
    <row r="1411" spans="1:11" ht="15" customHeight="1" x14ac:dyDescent="0.4">
      <c r="A1411" s="177"/>
      <c r="B1411" s="177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2">
        <v>193</v>
      </c>
      <c r="K1411" s="13"/>
    </row>
    <row r="1412" spans="1:11" ht="15" customHeight="1" x14ac:dyDescent="0.4">
      <c r="A1412" s="177"/>
      <c r="B1412" s="177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2">
        <v>261</v>
      </c>
      <c r="K1412" s="13"/>
    </row>
    <row r="1413" spans="1:11" ht="15" customHeight="1" x14ac:dyDescent="0.4">
      <c r="A1413" s="177"/>
      <c r="B1413" s="177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2">
        <v>106</v>
      </c>
      <c r="K1413" s="13"/>
    </row>
    <row r="1414" spans="1:11" ht="15" customHeight="1" x14ac:dyDescent="0.4">
      <c r="A1414" s="177"/>
      <c r="B1414" s="177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2">
        <v>136</v>
      </c>
      <c r="K1414" s="13"/>
    </row>
    <row r="1415" spans="1:11" ht="15" customHeight="1" x14ac:dyDescent="0.4">
      <c r="A1415" s="177"/>
      <c r="B1415" s="177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2">
        <v>193</v>
      </c>
      <c r="K1415" s="13"/>
    </row>
    <row r="1416" spans="1:11" ht="15" customHeight="1" x14ac:dyDescent="0.4">
      <c r="A1416" s="177"/>
      <c r="B1416" s="177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2">
        <v>261</v>
      </c>
      <c r="K1416" s="13"/>
    </row>
    <row r="1417" spans="1:11" ht="15" customHeight="1" x14ac:dyDescent="0.4">
      <c r="A1417" s="178" t="s">
        <v>1079</v>
      </c>
      <c r="B1417" s="69" t="s">
        <v>1080</v>
      </c>
      <c r="C1417" s="197">
        <v>110</v>
      </c>
      <c r="D1417" s="36" t="s">
        <v>1081</v>
      </c>
      <c r="E1417" s="3">
        <v>0</v>
      </c>
      <c r="G1417" s="8"/>
      <c r="H1417" s="11"/>
      <c r="I1417" s="12"/>
      <c r="J1417" s="153"/>
      <c r="K1417" s="13"/>
    </row>
    <row r="1418" spans="1:11" ht="15" customHeight="1" x14ac:dyDescent="0.4">
      <c r="A1418" s="177"/>
      <c r="B1418" s="69" t="s">
        <v>1082</v>
      </c>
      <c r="C1418" s="175"/>
      <c r="D1418" s="36" t="s">
        <v>1083</v>
      </c>
      <c r="E1418" s="3">
        <v>0</v>
      </c>
      <c r="G1418" s="8"/>
      <c r="H1418" s="11"/>
      <c r="I1418" s="12"/>
      <c r="J1418" s="153"/>
      <c r="K1418" s="13"/>
    </row>
    <row r="1419" spans="1:11" ht="15" customHeight="1" x14ac:dyDescent="0.4">
      <c r="A1419" s="177"/>
      <c r="B1419" s="69" t="s">
        <v>1084</v>
      </c>
      <c r="C1419" s="175"/>
      <c r="D1419" s="36" t="s">
        <v>1085</v>
      </c>
      <c r="E1419" s="3">
        <v>0</v>
      </c>
      <c r="G1419" s="8"/>
      <c r="H1419" s="11"/>
      <c r="I1419" s="12"/>
      <c r="J1419" s="153"/>
      <c r="K1419" s="13"/>
    </row>
    <row r="1420" spans="1:11" ht="15" customHeight="1" x14ac:dyDescent="0.4">
      <c r="A1420" s="177"/>
      <c r="B1420" s="69" t="s">
        <v>1086</v>
      </c>
      <c r="C1420" s="175"/>
      <c r="D1420" s="36" t="s">
        <v>1087</v>
      </c>
      <c r="E1420" s="3">
        <v>0</v>
      </c>
      <c r="G1420" s="8"/>
      <c r="H1420" s="11"/>
      <c r="I1420" s="12"/>
      <c r="J1420" s="153"/>
      <c r="K1420" s="13"/>
    </row>
    <row r="1421" spans="1:11" ht="15" customHeight="1" x14ac:dyDescent="0.4">
      <c r="A1421" s="177"/>
      <c r="B1421" s="69" t="s">
        <v>1084</v>
      </c>
      <c r="C1421" s="175"/>
      <c r="D1421" s="36" t="s">
        <v>1088</v>
      </c>
      <c r="E1421" s="3">
        <v>0</v>
      </c>
      <c r="G1421" s="8"/>
      <c r="H1421" s="11"/>
      <c r="I1421" s="12"/>
      <c r="J1421" s="153"/>
      <c r="K1421" s="13"/>
    </row>
    <row r="1422" spans="1:11" ht="15" customHeight="1" x14ac:dyDescent="0.4">
      <c r="A1422" s="177"/>
      <c r="B1422" s="77" t="s">
        <v>1086</v>
      </c>
      <c r="C1422" s="176"/>
      <c r="D1422" s="36" t="s">
        <v>1089</v>
      </c>
      <c r="E1422" s="3">
        <v>0</v>
      </c>
      <c r="G1422" s="8"/>
      <c r="H1422" s="11"/>
      <c r="I1422" s="12"/>
      <c r="J1422" s="153"/>
      <c r="K1422" s="13"/>
    </row>
    <row r="1423" spans="1:11" ht="15" customHeight="1" x14ac:dyDescent="0.4">
      <c r="A1423" s="177"/>
      <c r="B1423" s="77" t="s">
        <v>1080</v>
      </c>
      <c r="C1423" s="197">
        <v>190</v>
      </c>
      <c r="D1423" s="36" t="s">
        <v>1090</v>
      </c>
      <c r="E1423" s="3">
        <v>0</v>
      </c>
      <c r="G1423" s="8"/>
      <c r="H1423" s="11"/>
      <c r="I1423" s="12"/>
      <c r="J1423" s="153"/>
      <c r="K1423" s="13"/>
    </row>
    <row r="1424" spans="1:11" ht="15" customHeight="1" x14ac:dyDescent="0.4">
      <c r="A1424" s="177"/>
      <c r="B1424" s="77" t="s">
        <v>1082</v>
      </c>
      <c r="C1424" s="175"/>
      <c r="D1424" s="36" t="s">
        <v>1091</v>
      </c>
      <c r="E1424" s="3">
        <v>0</v>
      </c>
      <c r="G1424" s="8"/>
      <c r="H1424" s="11"/>
      <c r="I1424" s="12"/>
      <c r="J1424" s="153"/>
      <c r="K1424" s="13"/>
    </row>
    <row r="1425" spans="1:11" ht="15" customHeight="1" x14ac:dyDescent="0.4">
      <c r="A1425" s="177"/>
      <c r="B1425" s="77" t="s">
        <v>1084</v>
      </c>
      <c r="C1425" s="175"/>
      <c r="D1425" s="36" t="s">
        <v>1092</v>
      </c>
      <c r="E1425" s="3">
        <v>0</v>
      </c>
      <c r="G1425" s="8"/>
      <c r="H1425" s="11"/>
      <c r="I1425" s="12"/>
      <c r="J1425" s="153"/>
      <c r="K1425" s="13"/>
    </row>
    <row r="1426" spans="1:11" ht="15" customHeight="1" x14ac:dyDescent="0.4">
      <c r="A1426" s="177"/>
      <c r="B1426" s="77" t="s">
        <v>1086</v>
      </c>
      <c r="C1426" s="175"/>
      <c r="D1426" s="36" t="s">
        <v>1093</v>
      </c>
      <c r="E1426" s="3">
        <v>0</v>
      </c>
      <c r="G1426" s="8"/>
      <c r="H1426" s="11"/>
      <c r="I1426" s="12"/>
      <c r="J1426" s="153"/>
      <c r="K1426" s="13"/>
    </row>
    <row r="1427" spans="1:11" ht="15" customHeight="1" x14ac:dyDescent="0.4">
      <c r="A1427" s="177"/>
      <c r="B1427" s="77" t="s">
        <v>1094</v>
      </c>
      <c r="C1427" s="175"/>
      <c r="D1427" s="36" t="s">
        <v>1095</v>
      </c>
      <c r="E1427" s="3">
        <v>0</v>
      </c>
      <c r="G1427" s="8"/>
      <c r="H1427" s="11"/>
      <c r="I1427" s="12"/>
      <c r="J1427" s="153"/>
      <c r="K1427" s="13"/>
    </row>
    <row r="1428" spans="1:11" ht="15" customHeight="1" x14ac:dyDescent="0.4">
      <c r="A1428" s="177"/>
      <c r="B1428" s="77" t="s">
        <v>1084</v>
      </c>
      <c r="C1428" s="175"/>
      <c r="D1428" s="36" t="s">
        <v>1096</v>
      </c>
      <c r="E1428" s="3">
        <v>0</v>
      </c>
      <c r="G1428" s="8"/>
      <c r="H1428" s="11"/>
      <c r="I1428" s="12"/>
      <c r="J1428" s="153"/>
      <c r="K1428" s="13"/>
    </row>
    <row r="1429" spans="1:11" ht="15" customHeight="1" x14ac:dyDescent="0.4">
      <c r="A1429" s="177"/>
      <c r="B1429" s="77" t="s">
        <v>1086</v>
      </c>
      <c r="C1429" s="175"/>
      <c r="D1429" s="36" t="s">
        <v>1097</v>
      </c>
      <c r="E1429" s="3">
        <v>0</v>
      </c>
      <c r="G1429" s="8"/>
      <c r="H1429" s="11"/>
      <c r="I1429" s="12"/>
      <c r="J1429" s="153"/>
      <c r="K1429" s="13"/>
    </row>
    <row r="1430" spans="1:11" ht="15" customHeight="1" x14ac:dyDescent="0.4">
      <c r="A1430" s="177"/>
      <c r="B1430" s="77" t="s">
        <v>1094</v>
      </c>
      <c r="C1430" s="176"/>
      <c r="D1430" s="36" t="s">
        <v>1098</v>
      </c>
      <c r="E1430" s="3">
        <v>0</v>
      </c>
      <c r="G1430" s="8"/>
      <c r="H1430" s="11"/>
      <c r="I1430" s="12"/>
      <c r="J1430" s="153"/>
      <c r="K1430" s="13"/>
    </row>
    <row r="1431" spans="1:11" ht="15" customHeight="1" x14ac:dyDescent="0.4">
      <c r="A1431" s="177"/>
      <c r="B1431" s="77" t="s">
        <v>1099</v>
      </c>
      <c r="C1431" s="197">
        <v>220</v>
      </c>
      <c r="D1431" s="36" t="s">
        <v>1100</v>
      </c>
      <c r="E1431" s="3">
        <v>0</v>
      </c>
      <c r="G1431" s="8"/>
      <c r="H1431" s="11"/>
      <c r="I1431" s="12"/>
      <c r="J1431" s="153"/>
      <c r="K1431" s="13"/>
    </row>
    <row r="1432" spans="1:11" ht="15" customHeight="1" x14ac:dyDescent="0.4">
      <c r="A1432" s="177"/>
      <c r="B1432" s="77" t="s">
        <v>1102</v>
      </c>
      <c r="C1432" s="175"/>
      <c r="D1432" s="36" t="s">
        <v>1103</v>
      </c>
      <c r="E1432" s="3">
        <v>0</v>
      </c>
      <c r="G1432" s="8"/>
      <c r="H1432" s="11"/>
      <c r="I1432" s="12"/>
      <c r="J1432" s="153"/>
      <c r="K1432" s="13"/>
    </row>
    <row r="1433" spans="1:11" ht="15" customHeight="1" x14ac:dyDescent="0.4">
      <c r="A1433" s="177"/>
      <c r="B1433" s="77" t="s">
        <v>1080</v>
      </c>
      <c r="C1433" s="175"/>
      <c r="D1433" s="36" t="s">
        <v>1104</v>
      </c>
      <c r="E1433" s="3">
        <v>0</v>
      </c>
      <c r="G1433" s="8"/>
      <c r="H1433" s="11"/>
      <c r="I1433" s="12"/>
      <c r="J1433" s="153"/>
      <c r="K1433" s="13"/>
    </row>
    <row r="1434" spans="1:11" ht="15" customHeight="1" x14ac:dyDescent="0.4">
      <c r="A1434" s="177"/>
      <c r="B1434" s="77" t="s">
        <v>1084</v>
      </c>
      <c r="C1434" s="175"/>
      <c r="D1434" s="36" t="s">
        <v>1105</v>
      </c>
      <c r="E1434" s="3">
        <v>0</v>
      </c>
      <c r="G1434" s="8"/>
      <c r="H1434" s="11"/>
      <c r="I1434" s="12"/>
      <c r="J1434" s="153"/>
      <c r="K1434" s="13"/>
    </row>
    <row r="1435" spans="1:11" ht="15" customHeight="1" x14ac:dyDescent="0.4">
      <c r="A1435" s="177"/>
      <c r="B1435" s="77" t="s">
        <v>1086</v>
      </c>
      <c r="C1435" s="175"/>
      <c r="D1435" s="36" t="s">
        <v>1106</v>
      </c>
      <c r="E1435" s="3">
        <v>0</v>
      </c>
      <c r="G1435" s="8"/>
      <c r="H1435" s="11"/>
      <c r="I1435" s="12"/>
      <c r="J1435" s="153"/>
      <c r="K1435" s="13"/>
    </row>
    <row r="1436" spans="1:11" ht="15" customHeight="1" x14ac:dyDescent="0.4">
      <c r="A1436" s="177"/>
      <c r="B1436" s="77" t="s">
        <v>1094</v>
      </c>
      <c r="C1436" s="175"/>
      <c r="D1436" s="36" t="s">
        <v>1107</v>
      </c>
      <c r="E1436" s="3">
        <v>0</v>
      </c>
      <c r="G1436" s="8"/>
      <c r="H1436" s="11"/>
      <c r="I1436" s="12"/>
      <c r="J1436" s="153"/>
      <c r="K1436" s="13"/>
    </row>
    <row r="1437" spans="1:11" ht="15" customHeight="1" x14ac:dyDescent="0.4">
      <c r="A1437" s="177"/>
      <c r="B1437" s="77" t="s">
        <v>1108</v>
      </c>
      <c r="C1437" s="175"/>
      <c r="D1437" s="36" t="s">
        <v>1109</v>
      </c>
      <c r="E1437" s="3">
        <v>0</v>
      </c>
      <c r="G1437" s="8"/>
      <c r="H1437" s="11"/>
      <c r="I1437" s="12"/>
      <c r="J1437" s="153"/>
      <c r="K1437" s="13"/>
    </row>
    <row r="1438" spans="1:11" ht="15" customHeight="1" x14ac:dyDescent="0.4">
      <c r="A1438" s="177"/>
      <c r="B1438" s="77" t="s">
        <v>1084</v>
      </c>
      <c r="C1438" s="175"/>
      <c r="D1438" s="36" t="s">
        <v>1110</v>
      </c>
      <c r="E1438" s="3">
        <v>0</v>
      </c>
      <c r="G1438" s="8"/>
      <c r="H1438" s="11"/>
      <c r="I1438" s="12"/>
      <c r="J1438" s="153"/>
      <c r="K1438" s="13"/>
    </row>
    <row r="1439" spans="1:11" ht="15" customHeight="1" x14ac:dyDescent="0.4">
      <c r="A1439" s="177"/>
      <c r="B1439" s="77" t="s">
        <v>1086</v>
      </c>
      <c r="C1439" s="175"/>
      <c r="D1439" s="36" t="s">
        <v>1111</v>
      </c>
      <c r="E1439" s="3">
        <v>0</v>
      </c>
      <c r="G1439" s="8"/>
      <c r="H1439" s="11"/>
      <c r="I1439" s="12"/>
      <c r="J1439" s="153"/>
      <c r="K1439" s="13"/>
    </row>
    <row r="1440" spans="1:11" ht="15" customHeight="1" x14ac:dyDescent="0.4">
      <c r="A1440" s="177"/>
      <c r="B1440" s="77" t="s">
        <v>1094</v>
      </c>
      <c r="C1440" s="175"/>
      <c r="D1440" s="36" t="s">
        <v>1112</v>
      </c>
      <c r="E1440" s="3">
        <v>0</v>
      </c>
      <c r="G1440" s="8"/>
      <c r="H1440" s="11"/>
      <c r="I1440" s="12"/>
      <c r="J1440" s="153"/>
      <c r="K1440" s="13"/>
    </row>
    <row r="1441" spans="1:11" ht="15" customHeight="1" x14ac:dyDescent="0.4">
      <c r="A1441" s="177"/>
      <c r="B1441" s="77" t="s">
        <v>1108</v>
      </c>
      <c r="C1441" s="176"/>
      <c r="D1441" s="36" t="s">
        <v>1113</v>
      </c>
      <c r="E1441" s="3">
        <v>0</v>
      </c>
      <c r="G1441" s="8"/>
      <c r="H1441" s="11"/>
      <c r="I1441" s="12"/>
      <c r="J1441" s="153"/>
      <c r="K1441" s="13"/>
    </row>
    <row r="1442" spans="1:11" ht="15" customHeight="1" x14ac:dyDescent="0.4">
      <c r="A1442" s="177"/>
      <c r="B1442" s="77" t="s">
        <v>1099</v>
      </c>
      <c r="C1442" s="197">
        <v>250</v>
      </c>
      <c r="D1442" s="36" t="s">
        <v>1114</v>
      </c>
      <c r="E1442" s="3">
        <v>0</v>
      </c>
      <c r="G1442" s="8"/>
      <c r="H1442" s="11"/>
      <c r="I1442" s="12"/>
      <c r="J1442" s="153"/>
      <c r="K1442" s="13"/>
    </row>
    <row r="1443" spans="1:11" ht="15" customHeight="1" x14ac:dyDescent="0.4">
      <c r="A1443" s="177"/>
      <c r="B1443" s="77" t="s">
        <v>1102</v>
      </c>
      <c r="C1443" s="175"/>
      <c r="D1443" s="36" t="s">
        <v>1115</v>
      </c>
      <c r="E1443" s="3">
        <v>0</v>
      </c>
      <c r="G1443" s="8"/>
      <c r="H1443" s="11"/>
      <c r="I1443" s="12"/>
      <c r="J1443" s="153"/>
      <c r="K1443" s="13"/>
    </row>
    <row r="1444" spans="1:11" ht="15" customHeight="1" x14ac:dyDescent="0.4">
      <c r="A1444" s="177"/>
      <c r="B1444" s="77" t="s">
        <v>1080</v>
      </c>
      <c r="C1444" s="175"/>
      <c r="D1444" s="36" t="s">
        <v>1116</v>
      </c>
      <c r="E1444" s="3">
        <v>0</v>
      </c>
      <c r="G1444" s="8"/>
      <c r="H1444" s="11"/>
      <c r="I1444" s="12"/>
      <c r="J1444" s="153"/>
      <c r="K1444" s="13"/>
    </row>
    <row r="1445" spans="1:11" ht="15" customHeight="1" x14ac:dyDescent="0.4">
      <c r="A1445" s="177"/>
      <c r="B1445" s="77" t="s">
        <v>1084</v>
      </c>
      <c r="C1445" s="175"/>
      <c r="D1445" s="36" t="s">
        <v>1117</v>
      </c>
      <c r="E1445" s="3">
        <v>0</v>
      </c>
      <c r="G1445" s="8"/>
      <c r="H1445" s="11"/>
      <c r="I1445" s="12"/>
      <c r="J1445" s="153"/>
      <c r="K1445" s="13"/>
    </row>
    <row r="1446" spans="1:11" ht="15" customHeight="1" x14ac:dyDescent="0.4">
      <c r="A1446" s="177"/>
      <c r="B1446" s="77" t="s">
        <v>1086</v>
      </c>
      <c r="C1446" s="175"/>
      <c r="D1446" s="36" t="s">
        <v>1118</v>
      </c>
      <c r="E1446" s="3">
        <v>0</v>
      </c>
      <c r="G1446" s="8"/>
      <c r="H1446" s="11"/>
      <c r="I1446" s="12"/>
      <c r="J1446" s="153"/>
      <c r="K1446" s="13"/>
    </row>
    <row r="1447" spans="1:11" ht="15" customHeight="1" x14ac:dyDescent="0.4">
      <c r="A1447" s="177"/>
      <c r="B1447" s="77" t="s">
        <v>1094</v>
      </c>
      <c r="C1447" s="175"/>
      <c r="D1447" s="36" t="s">
        <v>1119</v>
      </c>
      <c r="E1447" s="3">
        <v>0</v>
      </c>
      <c r="G1447" s="8"/>
      <c r="H1447" s="11"/>
      <c r="I1447" s="12"/>
      <c r="J1447" s="153"/>
      <c r="K1447" s="13"/>
    </row>
    <row r="1448" spans="1:11" ht="15" customHeight="1" x14ac:dyDescent="0.4">
      <c r="A1448" s="177"/>
      <c r="B1448" s="77" t="s">
        <v>1108</v>
      </c>
      <c r="C1448" s="175"/>
      <c r="D1448" s="36" t="s">
        <v>1120</v>
      </c>
      <c r="E1448" s="3">
        <v>0</v>
      </c>
      <c r="G1448" s="8"/>
      <c r="H1448" s="11"/>
      <c r="I1448" s="12"/>
      <c r="J1448" s="153"/>
      <c r="K1448" s="13"/>
    </row>
    <row r="1449" spans="1:11" ht="15" customHeight="1" x14ac:dyDescent="0.4">
      <c r="A1449" s="177"/>
      <c r="B1449" s="77" t="s">
        <v>1084</v>
      </c>
      <c r="C1449" s="175"/>
      <c r="D1449" s="36" t="s">
        <v>1121</v>
      </c>
      <c r="E1449" s="3">
        <v>0</v>
      </c>
      <c r="G1449" s="8"/>
      <c r="H1449" s="11"/>
      <c r="I1449" s="12"/>
      <c r="J1449" s="153"/>
      <c r="K1449" s="13"/>
    </row>
    <row r="1450" spans="1:11" ht="15" customHeight="1" x14ac:dyDescent="0.4">
      <c r="A1450" s="177"/>
      <c r="B1450" s="77" t="s">
        <v>1086</v>
      </c>
      <c r="C1450" s="175"/>
      <c r="D1450" s="36" t="s">
        <v>1122</v>
      </c>
      <c r="E1450" s="3">
        <v>0</v>
      </c>
      <c r="G1450" s="8"/>
      <c r="H1450" s="11"/>
      <c r="I1450" s="12"/>
      <c r="J1450" s="153"/>
      <c r="K1450" s="13"/>
    </row>
    <row r="1451" spans="1:11" ht="15" customHeight="1" x14ac:dyDescent="0.4">
      <c r="A1451" s="177"/>
      <c r="B1451" s="77" t="s">
        <v>1094</v>
      </c>
      <c r="C1451" s="175"/>
      <c r="D1451" s="36" t="s">
        <v>1123</v>
      </c>
      <c r="E1451" s="3">
        <v>0</v>
      </c>
      <c r="G1451" s="8"/>
      <c r="H1451" s="11"/>
      <c r="I1451" s="12"/>
      <c r="J1451" s="153"/>
      <c r="K1451" s="13"/>
    </row>
    <row r="1452" spans="1:11" ht="15" customHeight="1" x14ac:dyDescent="0.4">
      <c r="A1452" s="177"/>
      <c r="B1452" s="77" t="s">
        <v>1108</v>
      </c>
      <c r="C1452" s="176"/>
      <c r="D1452" s="36" t="s">
        <v>1124</v>
      </c>
      <c r="E1452" s="3">
        <v>0</v>
      </c>
      <c r="G1452" s="8"/>
      <c r="H1452" s="11"/>
      <c r="I1452" s="12"/>
      <c r="J1452" s="153"/>
      <c r="K1452" s="13"/>
    </row>
    <row r="1453" spans="1:11" ht="15" customHeight="1" x14ac:dyDescent="0.4">
      <c r="A1453" s="178" t="s">
        <v>1125</v>
      </c>
      <c r="B1453" s="177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3"/>
      <c r="K1453" s="13"/>
    </row>
    <row r="1454" spans="1:11" ht="15" customHeight="1" x14ac:dyDescent="0.4">
      <c r="A1454" s="178"/>
      <c r="B1454" s="177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3"/>
      <c r="K1454" s="13"/>
    </row>
    <row r="1455" spans="1:11" ht="15" customHeight="1" x14ac:dyDescent="0.4">
      <c r="A1455" s="178"/>
      <c r="B1455" s="177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3"/>
      <c r="K1455" s="13"/>
    </row>
    <row r="1456" spans="1:11" s="1" customFormat="1" ht="15" customHeight="1" x14ac:dyDescent="0.4">
      <c r="A1456" s="177" t="s">
        <v>2791</v>
      </c>
      <c r="B1456" s="177" t="s">
        <v>802</v>
      </c>
      <c r="C1456" s="7">
        <v>120</v>
      </c>
      <c r="D1456" s="9"/>
      <c r="E1456" s="165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2">
        <v>199</v>
      </c>
      <c r="K1456" s="13"/>
    </row>
    <row r="1457" spans="1:11" s="1" customFormat="1" ht="15" customHeight="1" x14ac:dyDescent="0.4">
      <c r="A1457" s="177"/>
      <c r="B1457" s="177"/>
      <c r="C1457" s="7">
        <v>135</v>
      </c>
      <c r="D1457" s="9"/>
      <c r="E1457" s="165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2">
        <v>223</v>
      </c>
      <c r="K1457" s="13"/>
    </row>
    <row r="1458" spans="1:11" s="1" customFormat="1" ht="15" customHeight="1" x14ac:dyDescent="0.4">
      <c r="A1458" s="177"/>
      <c r="B1458" s="177"/>
      <c r="C1458" s="7">
        <v>170</v>
      </c>
      <c r="D1458" s="9"/>
      <c r="E1458" s="165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2">
        <v>281</v>
      </c>
      <c r="K1458" s="13"/>
    </row>
    <row r="1459" spans="1:11" s="1" customFormat="1" ht="15" customHeight="1" x14ac:dyDescent="0.4">
      <c r="A1459" s="177"/>
      <c r="B1459" s="177"/>
      <c r="C1459" s="7">
        <v>200</v>
      </c>
      <c r="D1459" s="9"/>
      <c r="E1459" s="165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2">
        <v>331</v>
      </c>
      <c r="K1459" s="13"/>
    </row>
    <row r="1460" spans="1:11" s="1" customFormat="1" ht="15" customHeight="1" x14ac:dyDescent="0.4">
      <c r="A1460" s="177"/>
      <c r="B1460" s="177"/>
      <c r="C1460" s="7">
        <v>220</v>
      </c>
      <c r="D1460" s="9"/>
      <c r="E1460" s="165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2">
        <v>364</v>
      </c>
      <c r="K1460" s="13"/>
    </row>
    <row r="1461" spans="1:11" s="1" customFormat="1" ht="15" customHeight="1" x14ac:dyDescent="0.4">
      <c r="A1461" s="177"/>
      <c r="B1461" s="177"/>
      <c r="C1461" s="7">
        <v>250</v>
      </c>
      <c r="D1461" s="9"/>
      <c r="E1461" s="165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2">
        <v>414</v>
      </c>
      <c r="K1461" s="13"/>
    </row>
    <row r="1462" spans="1:11" s="1" customFormat="1" ht="15" customHeight="1" x14ac:dyDescent="0.4">
      <c r="A1462" s="177"/>
      <c r="B1462" s="177"/>
      <c r="C1462" s="7">
        <v>300</v>
      </c>
      <c r="D1462" s="9"/>
      <c r="E1462" s="165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2">
        <v>455</v>
      </c>
      <c r="K1462" s="13"/>
    </row>
    <row r="1463" spans="1:11" ht="15" customHeight="1" x14ac:dyDescent="0.4">
      <c r="A1463" s="182" t="s">
        <v>1129</v>
      </c>
      <c r="B1463" s="182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3"/>
      <c r="K1463" s="13"/>
    </row>
    <row r="1464" spans="1:11" ht="15" customHeight="1" x14ac:dyDescent="0.4">
      <c r="A1464" s="182"/>
      <c r="B1464" s="182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3"/>
      <c r="K1464" s="13"/>
    </row>
    <row r="1465" spans="1:11" ht="15" customHeight="1" x14ac:dyDescent="0.4">
      <c r="A1465" s="182"/>
      <c r="B1465" s="182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3"/>
      <c r="K1465" s="13"/>
    </row>
    <row r="1466" spans="1:11" ht="15" customHeight="1" x14ac:dyDescent="0.4">
      <c r="A1466" s="182"/>
      <c r="B1466" s="182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3"/>
      <c r="K1466" s="13"/>
    </row>
    <row r="1467" spans="1:11" ht="15" customHeight="1" x14ac:dyDescent="0.4">
      <c r="A1467" s="182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3"/>
      <c r="K1467" s="13"/>
    </row>
    <row r="1468" spans="1:11" ht="15" customHeight="1" x14ac:dyDescent="0.4">
      <c r="A1468" s="177" t="s">
        <v>1134</v>
      </c>
      <c r="B1468" s="177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3"/>
      <c r="K1468" s="13"/>
    </row>
    <row r="1469" spans="1:11" ht="15" customHeight="1" x14ac:dyDescent="0.4">
      <c r="A1469" s="177"/>
      <c r="B1469" s="177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3"/>
      <c r="K1469" s="13"/>
    </row>
    <row r="1470" spans="1:11" ht="15" customHeight="1" x14ac:dyDescent="0.4">
      <c r="A1470" s="177"/>
      <c r="B1470" s="177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3"/>
      <c r="K1470" s="13"/>
    </row>
    <row r="1471" spans="1:11" ht="15" customHeight="1" x14ac:dyDescent="0.4">
      <c r="A1471" s="177"/>
      <c r="B1471" s="177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3"/>
      <c r="K1471" s="13"/>
    </row>
    <row r="1472" spans="1:11" ht="15" customHeight="1" x14ac:dyDescent="0.4">
      <c r="A1472" s="177"/>
      <c r="B1472" s="177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3"/>
      <c r="K1472" s="13"/>
    </row>
    <row r="1473" spans="1:11" ht="15" customHeight="1" x14ac:dyDescent="0.4">
      <c r="A1473" s="177"/>
      <c r="B1473" s="177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3"/>
      <c r="K1473" s="13"/>
    </row>
    <row r="1474" spans="1:11" ht="15" customHeight="1" x14ac:dyDescent="0.4">
      <c r="A1474" s="177"/>
      <c r="B1474" s="177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3"/>
      <c r="K1474" s="13"/>
    </row>
    <row r="1475" spans="1:11" ht="15" customHeight="1" x14ac:dyDescent="0.4">
      <c r="A1475" s="177"/>
      <c r="B1475" s="177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3"/>
      <c r="K1475" s="13"/>
    </row>
    <row r="1476" spans="1:11" ht="15" customHeight="1" x14ac:dyDescent="0.4">
      <c r="A1476" s="177"/>
      <c r="B1476" s="177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3"/>
      <c r="K1476" s="13"/>
    </row>
    <row r="1477" spans="1:11" ht="15" customHeight="1" x14ac:dyDescent="0.4">
      <c r="A1477" s="177"/>
      <c r="B1477" s="177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3"/>
      <c r="K1477" s="13"/>
    </row>
    <row r="1478" spans="1:11" ht="15" customHeight="1" x14ac:dyDescent="0.4">
      <c r="A1478" s="177"/>
      <c r="B1478" s="177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3"/>
      <c r="K1478" s="13"/>
    </row>
    <row r="1479" spans="1:11" ht="15" customHeight="1" x14ac:dyDescent="0.4">
      <c r="A1479" s="177"/>
      <c r="B1479" s="177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3"/>
      <c r="K1479" s="13"/>
    </row>
    <row r="1480" spans="1:11" ht="15" customHeight="1" x14ac:dyDescent="0.4">
      <c r="A1480" s="177"/>
      <c r="B1480" s="177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3"/>
      <c r="K1480" s="13"/>
    </row>
    <row r="1481" spans="1:11" ht="15" customHeight="1" x14ac:dyDescent="0.4">
      <c r="A1481" s="177"/>
      <c r="B1481" s="177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3"/>
      <c r="K1481" s="13"/>
    </row>
    <row r="1482" spans="1:11" ht="15" customHeight="1" x14ac:dyDescent="0.4">
      <c r="A1482" s="180" t="s">
        <v>1135</v>
      </c>
      <c r="B1482" s="177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3"/>
      <c r="K1482" s="13"/>
    </row>
    <row r="1483" spans="1:11" ht="15" customHeight="1" x14ac:dyDescent="0.4">
      <c r="A1483" s="175"/>
      <c r="B1483" s="177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3"/>
      <c r="K1483" s="13"/>
    </row>
    <row r="1484" spans="1:11" ht="15" customHeight="1" x14ac:dyDescent="0.4">
      <c r="A1484" s="175"/>
      <c r="B1484" s="181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3"/>
      <c r="K1484" s="13"/>
    </row>
    <row r="1485" spans="1:11" ht="15" customHeight="1" x14ac:dyDescent="0.4">
      <c r="A1485" s="175"/>
      <c r="B1485" s="175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3"/>
      <c r="K1485" s="13"/>
    </row>
    <row r="1486" spans="1:11" ht="15" customHeight="1" x14ac:dyDescent="0.4">
      <c r="A1486" s="175"/>
      <c r="B1486" s="176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3"/>
      <c r="K1486" s="13"/>
    </row>
    <row r="1487" spans="1:11" ht="15" customHeight="1" x14ac:dyDescent="0.4">
      <c r="A1487" s="175"/>
      <c r="B1487" s="177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3"/>
      <c r="K1487" s="13"/>
    </row>
    <row r="1488" spans="1:11" ht="15" customHeight="1" x14ac:dyDescent="0.4">
      <c r="A1488" s="175"/>
      <c r="B1488" s="177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3"/>
      <c r="K1488" s="13"/>
    </row>
    <row r="1489" spans="1:11" ht="15" customHeight="1" x14ac:dyDescent="0.4">
      <c r="A1489" s="175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3"/>
      <c r="K1489" s="13"/>
    </row>
    <row r="1490" spans="1:11" ht="15" customHeight="1" x14ac:dyDescent="0.4">
      <c r="A1490" s="175"/>
      <c r="B1490" s="177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3"/>
      <c r="K1490" s="13"/>
    </row>
    <row r="1491" spans="1:11" ht="15" customHeight="1" x14ac:dyDescent="0.4">
      <c r="A1491" s="175"/>
      <c r="B1491" s="177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3"/>
      <c r="K1491" s="13"/>
    </row>
    <row r="1492" spans="1:11" ht="15" customHeight="1" x14ac:dyDescent="0.4">
      <c r="A1492" s="175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3"/>
      <c r="K1492" s="13"/>
    </row>
    <row r="1493" spans="1:11" ht="15" customHeight="1" x14ac:dyDescent="0.4">
      <c r="A1493" s="175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3"/>
      <c r="K1493" s="13"/>
    </row>
    <row r="1494" spans="1:11" ht="15" customHeight="1" x14ac:dyDescent="0.4">
      <c r="A1494" s="175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3"/>
      <c r="K1494" s="13"/>
    </row>
    <row r="1495" spans="1:11" ht="15" customHeight="1" x14ac:dyDescent="0.4">
      <c r="A1495" s="175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3"/>
      <c r="K1495" s="13"/>
    </row>
    <row r="1496" spans="1:11" ht="15" customHeight="1" x14ac:dyDescent="0.4">
      <c r="A1496" s="175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3"/>
      <c r="K1496" s="13"/>
    </row>
    <row r="1497" spans="1:11" ht="15" customHeight="1" x14ac:dyDescent="0.4">
      <c r="A1497" s="175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3"/>
      <c r="K1497" s="13"/>
    </row>
    <row r="1498" spans="1:11" ht="15" customHeight="1" x14ac:dyDescent="0.4">
      <c r="A1498" s="175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3"/>
      <c r="K1498" s="13"/>
    </row>
    <row r="1499" spans="1:11" ht="15" customHeight="1" x14ac:dyDescent="0.4">
      <c r="A1499" s="175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3"/>
      <c r="K1499" s="13"/>
    </row>
    <row r="1500" spans="1:11" ht="15" customHeight="1" x14ac:dyDescent="0.4">
      <c r="A1500" s="175"/>
      <c r="B1500" s="181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3"/>
      <c r="K1500" s="13"/>
    </row>
    <row r="1501" spans="1:11" ht="15" customHeight="1" x14ac:dyDescent="0.4">
      <c r="A1501" s="175"/>
      <c r="B1501" s="176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3"/>
      <c r="K1501" s="13"/>
    </row>
    <row r="1502" spans="1:11" ht="15" customHeight="1" x14ac:dyDescent="0.4">
      <c r="A1502" s="175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3"/>
      <c r="K1502" s="13"/>
    </row>
    <row r="1503" spans="1:11" ht="15" customHeight="1" x14ac:dyDescent="0.4">
      <c r="A1503" s="175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3"/>
      <c r="K1503" s="13"/>
    </row>
    <row r="1504" spans="1:11" ht="15" customHeight="1" x14ac:dyDescent="0.4">
      <c r="A1504" s="175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3"/>
      <c r="K1504" s="13"/>
    </row>
    <row r="1505" spans="1:11" ht="15" customHeight="1" x14ac:dyDescent="0.4">
      <c r="A1505" s="176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3"/>
      <c r="K1505" s="13"/>
    </row>
    <row r="1506" spans="1:11" ht="15" customHeight="1" x14ac:dyDescent="0.4">
      <c r="A1506" s="180" t="s">
        <v>1171</v>
      </c>
      <c r="B1506" s="181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3"/>
      <c r="K1506" s="13"/>
    </row>
    <row r="1507" spans="1:11" ht="15" customHeight="1" x14ac:dyDescent="0.4">
      <c r="A1507" s="183"/>
      <c r="B1507" s="175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3"/>
      <c r="K1507" s="13"/>
    </row>
    <row r="1508" spans="1:11" ht="15" customHeight="1" x14ac:dyDescent="0.4">
      <c r="A1508" s="184"/>
      <c r="B1508" s="176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3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3"/>
      <c r="K1509" s="13"/>
    </row>
    <row r="1510" spans="1:11" ht="15" customHeight="1" x14ac:dyDescent="0.4">
      <c r="A1510" s="177" t="s">
        <v>1178</v>
      </c>
      <c r="B1510" s="181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3"/>
      <c r="K1510" s="13"/>
    </row>
    <row r="1511" spans="1:11" ht="15" customHeight="1" x14ac:dyDescent="0.4">
      <c r="A1511" s="177"/>
      <c r="B1511" s="175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3"/>
      <c r="K1511" s="13"/>
    </row>
    <row r="1512" spans="1:11" ht="15" customHeight="1" x14ac:dyDescent="0.4">
      <c r="A1512" s="177"/>
      <c r="B1512" s="176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3"/>
      <c r="K1512" s="13"/>
    </row>
    <row r="1513" spans="1:11" ht="15" customHeight="1" x14ac:dyDescent="0.4">
      <c r="A1513" s="177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3"/>
      <c r="K1513" s="13"/>
    </row>
    <row r="1514" spans="1:11" ht="15" customHeight="1" x14ac:dyDescent="0.4">
      <c r="A1514" s="177"/>
      <c r="B1514" s="177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3"/>
      <c r="K1514" s="13"/>
    </row>
    <row r="1515" spans="1:11" ht="15" customHeight="1" x14ac:dyDescent="0.4">
      <c r="A1515" s="177"/>
      <c r="B1515" s="177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3"/>
      <c r="K1515" s="13"/>
    </row>
    <row r="1516" spans="1:11" ht="15" customHeight="1" x14ac:dyDescent="0.4">
      <c r="A1516" s="178" t="s">
        <v>1186</v>
      </c>
      <c r="B1516" s="177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3"/>
      <c r="K1516" s="13"/>
    </row>
    <row r="1517" spans="1:11" ht="15" customHeight="1" x14ac:dyDescent="0.4">
      <c r="A1517" s="178"/>
      <c r="B1517" s="177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3"/>
      <c r="K1517" s="13"/>
    </row>
    <row r="1518" spans="1:11" ht="15" customHeight="1" x14ac:dyDescent="0.4">
      <c r="A1518" s="178"/>
      <c r="B1518" s="177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3"/>
      <c r="K1518" s="13"/>
    </row>
    <row r="1519" spans="1:11" ht="15" customHeight="1" x14ac:dyDescent="0.4">
      <c r="A1519" s="178"/>
      <c r="B1519" s="177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3"/>
      <c r="K1519" s="13"/>
    </row>
    <row r="1520" spans="1:11" ht="15" customHeight="1" x14ac:dyDescent="0.4">
      <c r="A1520" s="177" t="s">
        <v>1187</v>
      </c>
      <c r="B1520" s="177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2">
        <v>130</v>
      </c>
      <c r="K1520" s="13"/>
    </row>
    <row r="1521" spans="1:11" ht="15" customHeight="1" x14ac:dyDescent="0.4">
      <c r="A1521" s="177"/>
      <c r="B1521" s="177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2">
        <v>160</v>
      </c>
      <c r="K1521" s="13"/>
    </row>
    <row r="1522" spans="1:11" ht="15" customHeight="1" x14ac:dyDescent="0.4">
      <c r="A1522" s="177"/>
      <c r="B1522" s="177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2">
        <v>190</v>
      </c>
      <c r="K1522" s="13"/>
    </row>
    <row r="1523" spans="1:11" ht="15" customHeight="1" x14ac:dyDescent="0.4">
      <c r="A1523" s="177"/>
      <c r="B1523" s="177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2">
        <v>220</v>
      </c>
      <c r="K1523" s="13"/>
    </row>
    <row r="1524" spans="1:11" ht="15" customHeight="1" x14ac:dyDescent="0.4">
      <c r="A1524" s="177"/>
      <c r="B1524" s="177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2">
        <v>240</v>
      </c>
      <c r="K1524" s="13"/>
    </row>
    <row r="1525" spans="1:11" ht="15" customHeight="1" x14ac:dyDescent="0.4">
      <c r="A1525" s="177"/>
      <c r="B1525" s="177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2">
        <v>290</v>
      </c>
      <c r="K1525" s="13"/>
    </row>
    <row r="1526" spans="1:11" ht="15" customHeight="1" x14ac:dyDescent="0.4">
      <c r="A1526" s="177"/>
      <c r="B1526" s="177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2">
        <v>330</v>
      </c>
      <c r="K1526" s="13"/>
    </row>
    <row r="1527" spans="1:11" ht="15" customHeight="1" x14ac:dyDescent="0.4">
      <c r="A1527" s="177"/>
      <c r="B1527" s="177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2">
        <v>130</v>
      </c>
      <c r="K1527" s="13"/>
    </row>
    <row r="1528" spans="1:11" ht="15" customHeight="1" x14ac:dyDescent="0.4">
      <c r="A1528" s="177"/>
      <c r="B1528" s="177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2">
        <v>160</v>
      </c>
      <c r="K1528" s="13"/>
    </row>
    <row r="1529" spans="1:11" ht="15" customHeight="1" x14ac:dyDescent="0.4">
      <c r="A1529" s="177"/>
      <c r="B1529" s="177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2">
        <v>190</v>
      </c>
      <c r="K1529" s="13"/>
    </row>
    <row r="1530" spans="1:11" ht="15" customHeight="1" x14ac:dyDescent="0.4">
      <c r="A1530" s="177"/>
      <c r="B1530" s="177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2">
        <v>220</v>
      </c>
      <c r="K1530" s="13"/>
    </row>
    <row r="1531" spans="1:11" ht="15" customHeight="1" x14ac:dyDescent="0.4">
      <c r="A1531" s="177"/>
      <c r="B1531" s="177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2">
        <v>240</v>
      </c>
      <c r="K1531" s="13"/>
    </row>
    <row r="1532" spans="1:11" ht="15" customHeight="1" x14ac:dyDescent="0.4">
      <c r="A1532" s="177"/>
      <c r="B1532" s="177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2">
        <v>290</v>
      </c>
      <c r="K1532" s="13"/>
    </row>
    <row r="1533" spans="1:11" ht="15" customHeight="1" x14ac:dyDescent="0.4">
      <c r="A1533" s="177"/>
      <c r="B1533" s="177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2">
        <v>330</v>
      </c>
      <c r="K1533" s="13"/>
    </row>
    <row r="1534" spans="1:11" ht="15" customHeight="1" x14ac:dyDescent="0.4">
      <c r="A1534" s="180" t="s">
        <v>1188</v>
      </c>
      <c r="B1534" s="181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3"/>
      <c r="K1534" s="13"/>
    </row>
    <row r="1535" spans="1:11" ht="15" customHeight="1" x14ac:dyDescent="0.4">
      <c r="A1535" s="183"/>
      <c r="B1535" s="175"/>
      <c r="C1535" s="7"/>
      <c r="D1535" s="9" t="s">
        <v>1191</v>
      </c>
      <c r="E1535" s="3">
        <v>0</v>
      </c>
      <c r="G1535" s="8"/>
      <c r="H1535" s="11"/>
      <c r="I1535" s="12"/>
      <c r="J1535" s="153"/>
      <c r="K1535" s="13"/>
    </row>
    <row r="1536" spans="1:11" ht="15" customHeight="1" x14ac:dyDescent="0.4">
      <c r="A1536" s="183"/>
      <c r="B1536" s="175"/>
      <c r="C1536" s="7"/>
      <c r="D1536" s="9" t="s">
        <v>1192</v>
      </c>
      <c r="E1536" s="3">
        <v>0</v>
      </c>
      <c r="G1536" s="8"/>
      <c r="H1536" s="11"/>
      <c r="I1536" s="12"/>
      <c r="J1536" s="153"/>
      <c r="K1536" s="13"/>
    </row>
    <row r="1537" spans="1:11" ht="15" customHeight="1" x14ac:dyDescent="0.4">
      <c r="A1537" s="183"/>
      <c r="B1537" s="175"/>
      <c r="C1537" s="33"/>
      <c r="D1537" s="21" t="s">
        <v>1193</v>
      </c>
      <c r="E1537" s="3">
        <v>0</v>
      </c>
      <c r="G1537" s="8"/>
      <c r="H1537" s="11"/>
      <c r="I1537" s="12"/>
      <c r="J1537" s="153"/>
      <c r="K1537" s="13"/>
    </row>
    <row r="1538" spans="1:11" ht="15" customHeight="1" x14ac:dyDescent="0.4">
      <c r="A1538" s="183"/>
      <c r="B1538" s="176"/>
      <c r="C1538" s="33"/>
      <c r="D1538" s="21" t="s">
        <v>1194</v>
      </c>
      <c r="E1538" s="3">
        <v>0</v>
      </c>
      <c r="G1538" s="8"/>
      <c r="H1538" s="11"/>
      <c r="I1538" s="12"/>
      <c r="J1538" s="153"/>
      <c r="K1538" s="13"/>
    </row>
    <row r="1539" spans="1:11" ht="15" customHeight="1" x14ac:dyDescent="0.4">
      <c r="A1539" s="183"/>
      <c r="B1539" s="181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3"/>
      <c r="K1539" s="13"/>
    </row>
    <row r="1540" spans="1:11" ht="15" customHeight="1" x14ac:dyDescent="0.4">
      <c r="A1540" s="183"/>
      <c r="B1540" s="175"/>
      <c r="C1540" s="7"/>
      <c r="D1540" s="9" t="s">
        <v>1197</v>
      </c>
      <c r="E1540" s="3">
        <v>0</v>
      </c>
      <c r="G1540" s="8"/>
      <c r="H1540" s="11"/>
      <c r="I1540" s="12"/>
      <c r="J1540" s="153"/>
      <c r="K1540" s="13"/>
    </row>
    <row r="1541" spans="1:11" ht="15" customHeight="1" x14ac:dyDescent="0.4">
      <c r="A1541" s="183"/>
      <c r="B1541" s="175"/>
      <c r="C1541" s="7"/>
      <c r="D1541" s="9" t="s">
        <v>1198</v>
      </c>
      <c r="E1541" s="3">
        <v>0</v>
      </c>
      <c r="G1541" s="8"/>
      <c r="H1541" s="11"/>
      <c r="I1541" s="12"/>
      <c r="J1541" s="153"/>
      <c r="K1541" s="13"/>
    </row>
    <row r="1542" spans="1:11" ht="15" customHeight="1" x14ac:dyDescent="0.4">
      <c r="A1542" s="183"/>
      <c r="B1542" s="176"/>
      <c r="C1542" s="33"/>
      <c r="D1542" s="21" t="s">
        <v>1199</v>
      </c>
      <c r="E1542" s="3">
        <v>0</v>
      </c>
      <c r="G1542" s="8"/>
      <c r="H1542" s="11"/>
      <c r="I1542" s="12"/>
      <c r="J1542" s="153"/>
      <c r="K1542" s="13"/>
    </row>
    <row r="1543" spans="1:11" ht="15" customHeight="1" x14ac:dyDescent="0.4">
      <c r="A1543" s="183"/>
      <c r="B1543" s="181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3"/>
      <c r="K1543" s="13"/>
    </row>
    <row r="1544" spans="1:11" ht="15" customHeight="1" x14ac:dyDescent="0.4">
      <c r="A1544" s="183"/>
      <c r="B1544" s="175"/>
      <c r="C1544" s="7"/>
      <c r="D1544" s="9" t="s">
        <v>1202</v>
      </c>
      <c r="E1544" s="3">
        <v>0</v>
      </c>
      <c r="G1544" s="8"/>
      <c r="H1544" s="11"/>
      <c r="I1544" s="12"/>
      <c r="J1544" s="153"/>
      <c r="K1544" s="13"/>
    </row>
    <row r="1545" spans="1:11" ht="15" customHeight="1" x14ac:dyDescent="0.4">
      <c r="A1545" s="183"/>
      <c r="B1545" s="175"/>
      <c r="C1545" s="7"/>
      <c r="D1545" s="9" t="s">
        <v>1203</v>
      </c>
      <c r="E1545" s="3">
        <v>0</v>
      </c>
      <c r="G1545" s="8"/>
      <c r="H1545" s="11"/>
      <c r="I1545" s="12"/>
      <c r="J1545" s="153"/>
      <c r="K1545" s="13"/>
    </row>
    <row r="1546" spans="1:11" ht="15" customHeight="1" x14ac:dyDescent="0.4">
      <c r="A1546" s="183"/>
      <c r="B1546" s="175"/>
      <c r="C1546" s="7"/>
      <c r="D1546" s="9" t="s">
        <v>1204</v>
      </c>
      <c r="E1546" s="3">
        <v>0</v>
      </c>
      <c r="G1546" s="8"/>
      <c r="H1546" s="11"/>
      <c r="I1546" s="12"/>
      <c r="J1546" s="153"/>
      <c r="K1546" s="13"/>
    </row>
    <row r="1547" spans="1:11" ht="15" customHeight="1" x14ac:dyDescent="0.4">
      <c r="A1547" s="183"/>
      <c r="B1547" s="176"/>
      <c r="C1547" s="33"/>
      <c r="D1547" s="21" t="s">
        <v>1205</v>
      </c>
      <c r="E1547" s="3">
        <v>0</v>
      </c>
      <c r="G1547" s="8"/>
      <c r="H1547" s="11"/>
      <c r="I1547" s="12"/>
      <c r="J1547" s="153"/>
      <c r="K1547" s="13"/>
    </row>
    <row r="1548" spans="1:11" ht="15" customHeight="1" x14ac:dyDescent="0.4">
      <c r="A1548" s="184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3"/>
      <c r="K1548" s="13"/>
    </row>
    <row r="1549" spans="1:11" ht="15" customHeight="1" x14ac:dyDescent="0.4">
      <c r="A1549" s="181" t="s">
        <v>1207</v>
      </c>
      <c r="B1549" s="181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3"/>
      <c r="K1549" s="13"/>
    </row>
    <row r="1550" spans="1:11" ht="15" customHeight="1" x14ac:dyDescent="0.4">
      <c r="A1550" s="175"/>
      <c r="B1550" s="175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3"/>
      <c r="K1550" s="13"/>
    </row>
    <row r="1551" spans="1:11" ht="15" customHeight="1" x14ac:dyDescent="0.4">
      <c r="A1551" s="175"/>
      <c r="B1551" s="176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3"/>
      <c r="K1551" s="13"/>
    </row>
    <row r="1552" spans="1:11" ht="15" customHeight="1" x14ac:dyDescent="0.4">
      <c r="A1552" s="175"/>
      <c r="B1552" s="177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3"/>
      <c r="K1552" s="13"/>
    </row>
    <row r="1553" spans="1:11" ht="15" customHeight="1" x14ac:dyDescent="0.4">
      <c r="A1553" s="175"/>
      <c r="B1553" s="177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3"/>
      <c r="K1553" s="13"/>
    </row>
    <row r="1554" spans="1:11" ht="15" customHeight="1" x14ac:dyDescent="0.4">
      <c r="A1554" s="176"/>
      <c r="B1554" s="177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3"/>
      <c r="K1554" s="13"/>
    </row>
    <row r="1555" spans="1:11" s="1" customFormat="1" ht="15" customHeight="1" x14ac:dyDescent="0.4">
      <c r="A1555" s="177" t="s">
        <v>1213</v>
      </c>
      <c r="B1555" s="177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3"/>
      <c r="K1555" s="13"/>
    </row>
    <row r="1556" spans="1:11" s="1" customFormat="1" ht="15" customHeight="1" x14ac:dyDescent="0.4">
      <c r="A1556" s="177"/>
      <c r="B1556" s="177"/>
      <c r="C1556" s="31"/>
      <c r="D1556" s="32" t="s">
        <v>1217</v>
      </c>
      <c r="E1556" s="1">
        <v>0</v>
      </c>
      <c r="G1556" s="8"/>
      <c r="H1556" s="11"/>
      <c r="I1556" s="12"/>
      <c r="J1556" s="153"/>
      <c r="K1556" s="13"/>
    </row>
    <row r="1557" spans="1:11" s="1" customFormat="1" ht="15" customHeight="1" x14ac:dyDescent="0.4">
      <c r="A1557" s="177"/>
      <c r="B1557" s="177"/>
      <c r="C1557" s="31"/>
      <c r="D1557" s="32" t="s">
        <v>1218</v>
      </c>
      <c r="E1557" s="1">
        <v>0</v>
      </c>
      <c r="G1557" s="8"/>
      <c r="H1557" s="11"/>
      <c r="I1557" s="12"/>
      <c r="J1557" s="153"/>
      <c r="K1557" s="13"/>
    </row>
    <row r="1558" spans="1:11" ht="15" customHeight="1" x14ac:dyDescent="0.4">
      <c r="A1558" s="178" t="s">
        <v>1219</v>
      </c>
      <c r="B1558" s="177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3"/>
      <c r="K1558" s="13"/>
    </row>
    <row r="1559" spans="1:11" ht="15" customHeight="1" x14ac:dyDescent="0.4">
      <c r="A1559" s="178"/>
      <c r="B1559" s="177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3"/>
      <c r="K1559" s="13"/>
    </row>
    <row r="1560" spans="1:11" ht="15" customHeight="1" x14ac:dyDescent="0.4">
      <c r="A1560" s="178"/>
      <c r="B1560" s="177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3"/>
      <c r="K1560" s="13"/>
    </row>
    <row r="1561" spans="1:11" ht="15" customHeight="1" x14ac:dyDescent="0.4">
      <c r="A1561" s="178"/>
      <c r="B1561" s="177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3"/>
      <c r="K1561" s="13"/>
    </row>
    <row r="1562" spans="1:11" ht="15" customHeight="1" x14ac:dyDescent="0.4">
      <c r="A1562" s="178"/>
      <c r="B1562" s="177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3"/>
      <c r="K1562" s="13"/>
    </row>
    <row r="1563" spans="1:11" ht="15" customHeight="1" x14ac:dyDescent="0.4">
      <c r="A1563" s="178" t="s">
        <v>1225</v>
      </c>
      <c r="B1563" s="177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3"/>
      <c r="K1563" s="13"/>
    </row>
    <row r="1564" spans="1:11" ht="15" customHeight="1" x14ac:dyDescent="0.4">
      <c r="A1564" s="178"/>
      <c r="B1564" s="177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3"/>
      <c r="K1564" s="13"/>
    </row>
    <row r="1565" spans="1:11" ht="15" customHeight="1" x14ac:dyDescent="0.4">
      <c r="A1565" s="178"/>
      <c r="B1565" s="177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3"/>
      <c r="K1565" s="13"/>
    </row>
    <row r="1566" spans="1:11" ht="15" customHeight="1" x14ac:dyDescent="0.4">
      <c r="A1566" s="178"/>
      <c r="B1566" s="177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3"/>
      <c r="K1566" s="13"/>
    </row>
    <row r="1567" spans="1:11" ht="15" customHeight="1" x14ac:dyDescent="0.4">
      <c r="A1567" s="178" t="s">
        <v>1230</v>
      </c>
      <c r="B1567" s="177" t="s">
        <v>352</v>
      </c>
      <c r="C1567" s="7">
        <v>115</v>
      </c>
      <c r="D1567" s="9" t="s">
        <v>2932</v>
      </c>
      <c r="E1567" s="165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3"/>
      <c r="K1567" s="13"/>
    </row>
    <row r="1568" spans="1:11" ht="15" customHeight="1" x14ac:dyDescent="0.4">
      <c r="A1568" s="178"/>
      <c r="B1568" s="177"/>
      <c r="C1568" s="7">
        <v>125</v>
      </c>
      <c r="D1568" s="9" t="s">
        <v>2933</v>
      </c>
      <c r="E1568" s="165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3"/>
      <c r="K1568" s="13"/>
    </row>
    <row r="1569" spans="1:11" ht="15" customHeight="1" x14ac:dyDescent="0.4">
      <c r="A1569" s="178"/>
      <c r="B1569" s="177"/>
      <c r="C1569" s="7">
        <v>230</v>
      </c>
      <c r="D1569" s="9" t="s">
        <v>2934</v>
      </c>
      <c r="E1569" s="165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3"/>
      <c r="K1569" s="13"/>
    </row>
    <row r="1570" spans="1:11" ht="15" customHeight="1" x14ac:dyDescent="0.4">
      <c r="A1570" s="178"/>
      <c r="B1570" s="177"/>
      <c r="C1570" s="7"/>
      <c r="D1570" s="9" t="s">
        <v>2935</v>
      </c>
      <c r="E1570" s="165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3"/>
      <c r="K1570" s="13"/>
    </row>
    <row r="1571" spans="1:11" ht="15" customHeight="1" x14ac:dyDescent="0.4">
      <c r="A1571" s="178"/>
      <c r="B1571" s="177"/>
      <c r="C1571" s="7">
        <v>115</v>
      </c>
      <c r="D1571" s="9" t="s">
        <v>2936</v>
      </c>
      <c r="E1571" s="165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3"/>
      <c r="K1571" s="13"/>
    </row>
    <row r="1572" spans="1:11" ht="15" customHeight="1" x14ac:dyDescent="0.4">
      <c r="A1572" s="178"/>
      <c r="B1572" s="177"/>
      <c r="C1572" s="7"/>
      <c r="D1572" s="9" t="s">
        <v>2937</v>
      </c>
      <c r="E1572" s="165">
        <v>750000</v>
      </c>
      <c r="G1572" s="8"/>
      <c r="H1572" s="11"/>
      <c r="I1572" s="12"/>
      <c r="J1572" s="153"/>
      <c r="K1572" s="13"/>
    </row>
    <row r="1573" spans="1:11" ht="15" customHeight="1" x14ac:dyDescent="0.4">
      <c r="A1573" s="178"/>
      <c r="B1573" s="177"/>
      <c r="C1573" s="7">
        <v>110</v>
      </c>
      <c r="D1573" s="9" t="s">
        <v>2938</v>
      </c>
      <c r="E1573" s="165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3"/>
      <c r="K1573" s="13"/>
    </row>
    <row r="1574" spans="1:11" ht="15" customHeight="1" x14ac:dyDescent="0.4">
      <c r="A1574" s="178"/>
      <c r="B1574" s="177"/>
      <c r="C1574" s="7"/>
      <c r="D1574" s="9" t="s">
        <v>2939</v>
      </c>
      <c r="E1574" s="165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3"/>
      <c r="K1574" s="13"/>
    </row>
    <row r="1575" spans="1:11" ht="15" customHeight="1" x14ac:dyDescent="0.4">
      <c r="A1575" s="178"/>
      <c r="B1575" s="177"/>
      <c r="C1575" s="7"/>
      <c r="D1575" s="9" t="s">
        <v>2940</v>
      </c>
      <c r="E1575" s="165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3"/>
      <c r="K1575" s="13"/>
    </row>
    <row r="1576" spans="1:11" ht="15" customHeight="1" x14ac:dyDescent="0.4">
      <c r="A1576" s="178"/>
      <c r="B1576" s="177"/>
      <c r="C1576" s="33"/>
      <c r="D1576" s="21" t="s">
        <v>2941</v>
      </c>
      <c r="E1576" s="168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3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2390</v>
      </c>
      <c r="G1577" s="8"/>
      <c r="H1577" s="11"/>
      <c r="I1577" s="12"/>
      <c r="J1577" s="153"/>
      <c r="K1577" s="13"/>
    </row>
    <row r="1578" spans="1:11" s="1" customFormat="1" ht="15" customHeight="1" x14ac:dyDescent="0.4">
      <c r="A1578" s="178" t="s">
        <v>1234</v>
      </c>
      <c r="B1578" s="177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2">
        <v>130</v>
      </c>
      <c r="K1578" s="13"/>
    </row>
    <row r="1579" spans="1:11" ht="15" customHeight="1" x14ac:dyDescent="0.4">
      <c r="A1579" s="178"/>
      <c r="B1579" s="177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2">
        <v>130</v>
      </c>
      <c r="K1579" s="13"/>
    </row>
    <row r="1580" spans="1:11" ht="15" customHeight="1" x14ac:dyDescent="0.4">
      <c r="A1580" s="178"/>
      <c r="B1580" s="177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2">
        <v>185</v>
      </c>
      <c r="K1580" s="13"/>
    </row>
    <row r="1581" spans="1:11" ht="15" customHeight="1" x14ac:dyDescent="0.4">
      <c r="A1581" s="178"/>
      <c r="B1581" s="177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2">
        <v>185</v>
      </c>
      <c r="K1581" s="13"/>
    </row>
    <row r="1582" spans="1:11" ht="15" customHeight="1" x14ac:dyDescent="0.4">
      <c r="A1582" s="178"/>
      <c r="B1582" s="177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2">
        <v>185</v>
      </c>
      <c r="K1582" s="13"/>
    </row>
    <row r="1583" spans="1:11" ht="15" customHeight="1" x14ac:dyDescent="0.4">
      <c r="A1583" s="178"/>
      <c r="B1583" s="177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2">
        <v>185</v>
      </c>
      <c r="K1583" s="13"/>
    </row>
    <row r="1584" spans="1:11" ht="15" customHeight="1" x14ac:dyDescent="0.4">
      <c r="A1584" s="178"/>
      <c r="B1584" s="177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2">
        <v>185</v>
      </c>
      <c r="K1584" s="13"/>
    </row>
    <row r="1585" spans="1:11" ht="15" customHeight="1" x14ac:dyDescent="0.4">
      <c r="A1585" s="178"/>
      <c r="B1585" s="177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2">
        <v>185</v>
      </c>
      <c r="K1585" s="13"/>
    </row>
    <row r="1586" spans="1:11" ht="15" customHeight="1" x14ac:dyDescent="0.4">
      <c r="A1586" s="178"/>
      <c r="B1586" s="177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2">
        <v>185</v>
      </c>
      <c r="K1586" s="13"/>
    </row>
    <row r="1587" spans="1:11" ht="15" customHeight="1" x14ac:dyDescent="0.4">
      <c r="A1587" s="178"/>
      <c r="B1587" s="177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2">
        <v>235</v>
      </c>
      <c r="K1587" s="13"/>
    </row>
    <row r="1588" spans="1:11" ht="15" customHeight="1" x14ac:dyDescent="0.4">
      <c r="A1588" s="178"/>
      <c r="B1588" s="177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2">
        <v>235</v>
      </c>
      <c r="K1588" s="13"/>
    </row>
    <row r="1589" spans="1:11" ht="15" customHeight="1" x14ac:dyDescent="0.4">
      <c r="A1589" s="178"/>
      <c r="B1589" s="177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2">
        <v>305</v>
      </c>
      <c r="K1589" s="13"/>
    </row>
    <row r="1590" spans="1:11" ht="15" customHeight="1" x14ac:dyDescent="0.4">
      <c r="A1590" s="178"/>
      <c r="B1590" s="177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2">
        <v>305</v>
      </c>
      <c r="K1590" s="13"/>
    </row>
    <row r="1591" spans="1:11" ht="15" customHeight="1" x14ac:dyDescent="0.4">
      <c r="A1591" s="178"/>
      <c r="B1591" s="177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2">
        <v>375</v>
      </c>
      <c r="K1591" s="13"/>
    </row>
    <row r="1592" spans="1:11" ht="15" customHeight="1" x14ac:dyDescent="0.4">
      <c r="A1592" s="178"/>
      <c r="B1592" s="177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2">
        <v>375</v>
      </c>
      <c r="K1592" s="13"/>
    </row>
    <row r="1593" spans="1:11" ht="15" customHeight="1" x14ac:dyDescent="0.4">
      <c r="A1593" s="178"/>
      <c r="B1593" s="177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2">
        <v>375</v>
      </c>
      <c r="K1593" s="13"/>
    </row>
    <row r="1594" spans="1:11" ht="15" customHeight="1" x14ac:dyDescent="0.4">
      <c r="A1594" s="178"/>
      <c r="B1594" s="177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2">
        <v>375</v>
      </c>
      <c r="K1594" s="13"/>
    </row>
    <row r="1595" spans="1:11" ht="15" customHeight="1" x14ac:dyDescent="0.4">
      <c r="A1595" s="178"/>
      <c r="B1595" s="177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2">
        <v>375</v>
      </c>
      <c r="K1595" s="13"/>
    </row>
    <row r="1596" spans="1:11" ht="15" customHeight="1" x14ac:dyDescent="0.4">
      <c r="A1596" s="178"/>
      <c r="B1596" s="177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2">
        <v>375</v>
      </c>
      <c r="K1596" s="13"/>
    </row>
    <row r="1597" spans="1:11" ht="15" customHeight="1" x14ac:dyDescent="0.4">
      <c r="A1597" s="178"/>
      <c r="B1597" s="177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2">
        <v>490</v>
      </c>
      <c r="K1597" s="13"/>
    </row>
    <row r="1598" spans="1:11" ht="15" customHeight="1" x14ac:dyDescent="0.4">
      <c r="A1598" s="178"/>
      <c r="B1598" s="177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2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3">
        <v>110</v>
      </c>
      <c r="K1599" s="13"/>
    </row>
    <row r="1600" spans="1:11" ht="15" customHeight="1" x14ac:dyDescent="0.4">
      <c r="A1600" s="177" t="s">
        <v>1250</v>
      </c>
      <c r="B1600" s="177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3"/>
      <c r="K1600" s="13"/>
    </row>
    <row r="1601" spans="1:11" ht="15" customHeight="1" x14ac:dyDescent="0.4">
      <c r="A1601" s="177"/>
      <c r="B1601" s="177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3"/>
      <c r="K1601" s="13"/>
    </row>
    <row r="1602" spans="1:11" ht="15" customHeight="1" x14ac:dyDescent="0.4">
      <c r="A1602" s="177"/>
      <c r="B1602" s="177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3"/>
      <c r="K1602" s="13"/>
    </row>
    <row r="1603" spans="1:11" ht="15" customHeight="1" x14ac:dyDescent="0.4">
      <c r="A1603" s="177" t="s">
        <v>1254</v>
      </c>
      <c r="B1603" s="177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3"/>
      <c r="K1603" s="13"/>
    </row>
    <row r="1604" spans="1:11" ht="15" customHeight="1" x14ac:dyDescent="0.4">
      <c r="A1604" s="177"/>
      <c r="B1604" s="177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3"/>
      <c r="K1604" s="13"/>
    </row>
    <row r="1605" spans="1:11" ht="15" customHeight="1" x14ac:dyDescent="0.4">
      <c r="A1605" s="177" t="s">
        <v>1257</v>
      </c>
      <c r="B1605" s="177" t="s">
        <v>1258</v>
      </c>
      <c r="C1605" s="7">
        <v>110</v>
      </c>
      <c r="D1605" s="9" t="s">
        <v>2942</v>
      </c>
      <c r="E1605" s="165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2">
        <v>143</v>
      </c>
      <c r="K1605" s="13"/>
    </row>
    <row r="1606" spans="1:11" ht="15" customHeight="1" x14ac:dyDescent="0.4">
      <c r="A1606" s="177"/>
      <c r="B1606" s="177"/>
      <c r="C1606" s="7"/>
      <c r="D1606" s="9" t="s">
        <v>2943</v>
      </c>
      <c r="E1606" s="165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2">
        <v>175</v>
      </c>
      <c r="K1606" s="13"/>
    </row>
    <row r="1607" spans="1:11" ht="15" customHeight="1" x14ac:dyDescent="0.4">
      <c r="A1607" s="177"/>
      <c r="B1607" s="177"/>
      <c r="C1607" s="7">
        <v>100</v>
      </c>
      <c r="D1607" s="9" t="s">
        <v>2944</v>
      </c>
      <c r="E1607" s="165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2">
        <v>140</v>
      </c>
      <c r="K1607" s="13"/>
    </row>
    <row r="1608" spans="1:11" ht="15" customHeight="1" x14ac:dyDescent="0.4">
      <c r="A1608" s="177"/>
      <c r="B1608" s="177"/>
      <c r="C1608" s="7"/>
      <c r="D1608" s="9" t="s">
        <v>2945</v>
      </c>
      <c r="E1608" s="165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2">
        <v>140</v>
      </c>
      <c r="K1608" s="13"/>
    </row>
    <row r="1609" spans="1:11" ht="15" customHeight="1" x14ac:dyDescent="0.4">
      <c r="A1609" s="177"/>
      <c r="B1609" s="177" t="s">
        <v>248</v>
      </c>
      <c r="C1609" s="7">
        <v>120</v>
      </c>
      <c r="D1609" s="9" t="s">
        <v>2946</v>
      </c>
      <c r="E1609" s="165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2">
        <v>160</v>
      </c>
      <c r="K1609" s="13"/>
    </row>
    <row r="1610" spans="1:11" ht="15" customHeight="1" x14ac:dyDescent="0.4">
      <c r="A1610" s="177"/>
      <c r="B1610" s="177"/>
      <c r="C1610" s="7"/>
      <c r="D1610" s="9" t="s">
        <v>2947</v>
      </c>
      <c r="E1610" s="165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2">
        <v>170</v>
      </c>
      <c r="K1610" s="13"/>
    </row>
    <row r="1611" spans="1:11" ht="15" customHeight="1" x14ac:dyDescent="0.4">
      <c r="A1611" s="177"/>
      <c r="B1611" s="177"/>
      <c r="C1611" s="7">
        <v>250</v>
      </c>
      <c r="D1611" s="9" t="s">
        <v>2948</v>
      </c>
      <c r="E1611" s="165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2">
        <v>330</v>
      </c>
      <c r="K1611" s="13"/>
    </row>
    <row r="1612" spans="1:11" ht="15" customHeight="1" x14ac:dyDescent="0.4">
      <c r="A1612" s="177"/>
      <c r="B1612" s="177"/>
      <c r="C1612" s="7"/>
      <c r="D1612" s="9" t="s">
        <v>2949</v>
      </c>
      <c r="E1612" s="165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2">
        <v>280</v>
      </c>
      <c r="K1612" s="13"/>
    </row>
    <row r="1613" spans="1:11" ht="15" customHeight="1" x14ac:dyDescent="0.4">
      <c r="A1613" s="186" t="s">
        <v>1259</v>
      </c>
      <c r="B1613" s="195" t="s">
        <v>734</v>
      </c>
      <c r="C1613" s="69">
        <v>150</v>
      </c>
      <c r="D1613" s="9" t="s">
        <v>908</v>
      </c>
      <c r="E1613" s="165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7">
        <v>340</v>
      </c>
      <c r="K1613" s="13"/>
    </row>
    <row r="1614" spans="1:11" ht="15" customHeight="1" x14ac:dyDescent="0.4">
      <c r="A1614" s="187"/>
      <c r="B1614" s="195"/>
      <c r="C1614" s="69">
        <v>300</v>
      </c>
      <c r="D1614" s="9" t="s">
        <v>908</v>
      </c>
      <c r="E1614" s="165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7">
        <v>630</v>
      </c>
      <c r="K1614" s="13"/>
    </row>
    <row r="1615" spans="1:11" ht="15" customHeight="1" x14ac:dyDescent="0.4">
      <c r="A1615" s="187"/>
      <c r="B1615" s="195"/>
      <c r="C1615" s="69"/>
      <c r="D1615" s="9" t="s">
        <v>1260</v>
      </c>
      <c r="E1615" s="165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7">
        <v>630</v>
      </c>
      <c r="K1615" s="13"/>
    </row>
    <row r="1616" spans="1:11" ht="15" customHeight="1" x14ac:dyDescent="0.4">
      <c r="A1616" s="187"/>
      <c r="B1616" s="195"/>
      <c r="C1616" s="69"/>
      <c r="D1616" s="9" t="s">
        <v>1261</v>
      </c>
      <c r="E1616" s="165">
        <v>2280000</v>
      </c>
      <c r="G1616" s="70"/>
      <c r="H1616" s="11"/>
      <c r="I1616" s="12"/>
      <c r="J1616" s="157"/>
      <c r="K1616" s="13"/>
    </row>
    <row r="1617" spans="1:11" ht="15" customHeight="1" x14ac:dyDescent="0.4">
      <c r="A1617" s="187"/>
      <c r="B1617" s="195"/>
      <c r="C1617" s="69">
        <v>450</v>
      </c>
      <c r="D1617" s="9" t="s">
        <v>908</v>
      </c>
      <c r="E1617" s="165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7">
        <v>630</v>
      </c>
      <c r="K1617" s="13"/>
    </row>
    <row r="1618" spans="1:11" ht="15" customHeight="1" x14ac:dyDescent="0.4">
      <c r="A1618" s="187"/>
      <c r="B1618" s="195"/>
      <c r="C1618" s="69">
        <v>850</v>
      </c>
      <c r="D1618" s="9" t="s">
        <v>908</v>
      </c>
      <c r="E1618" s="165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7">
        <v>970</v>
      </c>
      <c r="K1618" s="13"/>
    </row>
    <row r="1619" spans="1:11" ht="15" customHeight="1" x14ac:dyDescent="0.4">
      <c r="A1619" s="187"/>
      <c r="B1619" s="77" t="s">
        <v>604</v>
      </c>
      <c r="C1619" s="69">
        <v>450</v>
      </c>
      <c r="D1619" s="9" t="s">
        <v>908</v>
      </c>
      <c r="E1619" s="165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7">
        <v>2000</v>
      </c>
      <c r="K1619" s="13"/>
    </row>
    <row r="1620" spans="1:11" ht="15" customHeight="1" x14ac:dyDescent="0.4">
      <c r="A1620" s="195" t="s">
        <v>1262</v>
      </c>
      <c r="B1620" s="182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3"/>
      <c r="K1620" s="13"/>
    </row>
    <row r="1621" spans="1:11" ht="15" customHeight="1" x14ac:dyDescent="0.4">
      <c r="A1621" s="195"/>
      <c r="B1621" s="182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3"/>
      <c r="K1621" s="13"/>
    </row>
    <row r="1622" spans="1:11" ht="15" customHeight="1" x14ac:dyDescent="0.4">
      <c r="A1622" s="177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3"/>
      <c r="K1622" s="13"/>
    </row>
    <row r="1623" spans="1:11" ht="15" customHeight="1" x14ac:dyDescent="0.4">
      <c r="A1623" s="177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3"/>
      <c r="K1623" s="13"/>
    </row>
    <row r="1624" spans="1:11" ht="15" customHeight="1" x14ac:dyDescent="0.4">
      <c r="A1624" s="177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3"/>
      <c r="K1624" s="13"/>
    </row>
    <row r="1625" spans="1:11" ht="15" customHeight="1" x14ac:dyDescent="0.4">
      <c r="A1625" s="166" t="s">
        <v>2950</v>
      </c>
      <c r="B1625" s="24" t="s">
        <v>1274</v>
      </c>
      <c r="C1625" s="20">
        <v>173</v>
      </c>
      <c r="D1625" s="21" t="s">
        <v>1275</v>
      </c>
      <c r="E1625" s="168">
        <v>2275000</v>
      </c>
      <c r="G1625" s="8"/>
      <c r="H1625" s="11"/>
      <c r="I1625" s="12"/>
      <c r="J1625" s="153"/>
      <c r="K1625" s="13"/>
    </row>
    <row r="1626" spans="1:11" ht="15" customHeight="1" x14ac:dyDescent="0.4">
      <c r="A1626" s="185" t="s">
        <v>2951</v>
      </c>
      <c r="B1626" s="174" t="s">
        <v>1271</v>
      </c>
      <c r="C1626" s="20">
        <v>158</v>
      </c>
      <c r="D1626" s="21" t="s">
        <v>1272</v>
      </c>
      <c r="E1626" s="168">
        <v>0</v>
      </c>
      <c r="G1626" s="8"/>
      <c r="H1626" s="11"/>
      <c r="I1626" s="12"/>
      <c r="J1626" s="153"/>
      <c r="K1626" s="13"/>
    </row>
    <row r="1627" spans="1:11" ht="15" customHeight="1" x14ac:dyDescent="0.4">
      <c r="A1627" s="183"/>
      <c r="B1627" s="175"/>
      <c r="C1627" s="20"/>
      <c r="D1627" s="21" t="s">
        <v>1272</v>
      </c>
      <c r="E1627" s="168">
        <v>0</v>
      </c>
      <c r="G1627" s="8"/>
      <c r="H1627" s="11"/>
      <c r="I1627" s="12"/>
      <c r="J1627" s="153"/>
      <c r="K1627" s="13"/>
    </row>
    <row r="1628" spans="1:11" ht="15" customHeight="1" x14ac:dyDescent="0.4">
      <c r="A1628" s="183"/>
      <c r="B1628" s="176"/>
      <c r="C1628" s="33"/>
      <c r="D1628" s="21" t="s">
        <v>1273</v>
      </c>
      <c r="E1628" s="168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3"/>
      <c r="K1628" s="13"/>
    </row>
    <row r="1629" spans="1:11" ht="15" customHeight="1" x14ac:dyDescent="0.4">
      <c r="A1629" s="186" t="s">
        <v>1276</v>
      </c>
      <c r="B1629" s="181" t="s">
        <v>1277</v>
      </c>
      <c r="C1629" s="22">
        <v>200</v>
      </c>
      <c r="D1629" s="80" t="s">
        <v>1278</v>
      </c>
      <c r="E1629" s="168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3"/>
      <c r="K1629" s="13"/>
    </row>
    <row r="1630" spans="1:11" ht="15" customHeight="1" x14ac:dyDescent="0.4">
      <c r="A1630" s="191"/>
      <c r="B1630" s="176"/>
      <c r="C1630" s="22">
        <v>275</v>
      </c>
      <c r="D1630" s="80" t="s">
        <v>1279</v>
      </c>
      <c r="E1630" s="168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3"/>
      <c r="K1630" s="13"/>
    </row>
    <row r="1631" spans="1:11" ht="15" customHeight="1" x14ac:dyDescent="0.4">
      <c r="A1631" s="178" t="s">
        <v>1280</v>
      </c>
      <c r="B1631" s="177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2">
        <v>119</v>
      </c>
      <c r="K1631" s="13"/>
    </row>
    <row r="1632" spans="1:11" ht="15" customHeight="1" x14ac:dyDescent="0.4">
      <c r="A1632" s="178"/>
      <c r="B1632" s="177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2">
        <v>142</v>
      </c>
      <c r="K1632" s="13"/>
    </row>
    <row r="1633" spans="1:11" ht="15" customHeight="1" x14ac:dyDescent="0.4">
      <c r="A1633" s="178"/>
      <c r="B1633" s="177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2">
        <v>184</v>
      </c>
      <c r="K1633" s="13"/>
    </row>
    <row r="1634" spans="1:11" ht="15" customHeight="1" x14ac:dyDescent="0.4">
      <c r="A1634" s="178"/>
      <c r="B1634" s="177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2">
        <v>229</v>
      </c>
      <c r="K1634" s="13"/>
    </row>
    <row r="1635" spans="1:11" ht="15" customHeight="1" x14ac:dyDescent="0.4">
      <c r="A1635" s="178"/>
      <c r="B1635" s="177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2">
        <v>267</v>
      </c>
      <c r="K1635" s="13"/>
    </row>
    <row r="1636" spans="1:11" ht="15" customHeight="1" x14ac:dyDescent="0.4">
      <c r="A1636" s="178"/>
      <c r="B1636" s="177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2">
        <v>289</v>
      </c>
      <c r="K1636" s="13"/>
    </row>
    <row r="1637" spans="1:11" ht="15" customHeight="1" x14ac:dyDescent="0.4">
      <c r="A1637" s="178"/>
      <c r="B1637" s="177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2">
        <v>323</v>
      </c>
      <c r="K1637" s="13"/>
    </row>
    <row r="1638" spans="1:11" ht="15" customHeight="1" x14ac:dyDescent="0.4">
      <c r="A1638" s="178"/>
      <c r="B1638" s="177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2">
        <v>119</v>
      </c>
      <c r="K1638" s="13"/>
    </row>
    <row r="1639" spans="1:11" ht="15" customHeight="1" x14ac:dyDescent="0.4">
      <c r="A1639" s="178"/>
      <c r="B1639" s="177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2">
        <v>142</v>
      </c>
      <c r="K1639" s="13"/>
    </row>
    <row r="1640" spans="1:11" ht="15" customHeight="1" x14ac:dyDescent="0.4">
      <c r="A1640" s="178"/>
      <c r="B1640" s="177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2">
        <v>184</v>
      </c>
      <c r="K1640" s="13"/>
    </row>
    <row r="1641" spans="1:11" ht="15" customHeight="1" x14ac:dyDescent="0.4">
      <c r="A1641" s="178"/>
      <c r="B1641" s="177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2">
        <v>229</v>
      </c>
      <c r="K1641" s="13"/>
    </row>
    <row r="1642" spans="1:11" ht="15" customHeight="1" x14ac:dyDescent="0.4">
      <c r="A1642" s="178"/>
      <c r="B1642" s="177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2">
        <v>267</v>
      </c>
      <c r="K1642" s="13"/>
    </row>
    <row r="1643" spans="1:11" ht="15" customHeight="1" x14ac:dyDescent="0.4">
      <c r="A1643" s="178"/>
      <c r="B1643" s="177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2">
        <v>289</v>
      </c>
      <c r="K1643" s="13"/>
    </row>
    <row r="1644" spans="1:11" ht="15" customHeight="1" x14ac:dyDescent="0.4">
      <c r="A1644" s="178"/>
      <c r="B1644" s="177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2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3"/>
      <c r="K1645" s="13"/>
    </row>
    <row r="1646" spans="1:11" ht="15" customHeight="1" x14ac:dyDescent="0.4">
      <c r="A1646" s="178" t="s">
        <v>1285</v>
      </c>
      <c r="B1646" s="181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2">
        <v>150</v>
      </c>
      <c r="K1646" s="13"/>
    </row>
    <row r="1647" spans="1:11" ht="15" customHeight="1" x14ac:dyDescent="0.4">
      <c r="A1647" s="178"/>
      <c r="B1647" s="176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2">
        <v>150</v>
      </c>
      <c r="K1647" s="13"/>
    </row>
    <row r="1648" spans="1:11" ht="15" customHeight="1" x14ac:dyDescent="0.4">
      <c r="A1648" s="177"/>
      <c r="B1648" s="181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2">
        <v>60</v>
      </c>
      <c r="K1648" s="13"/>
    </row>
    <row r="1649" spans="1:11" ht="15" customHeight="1" x14ac:dyDescent="0.4">
      <c r="A1649" s="177"/>
      <c r="B1649" s="175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2">
        <v>80</v>
      </c>
      <c r="K1649" s="13"/>
    </row>
    <row r="1650" spans="1:11" ht="15" customHeight="1" x14ac:dyDescent="0.4">
      <c r="A1650" s="177"/>
      <c r="B1650" s="175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2">
        <v>95</v>
      </c>
      <c r="K1650" s="13"/>
    </row>
    <row r="1651" spans="1:11" ht="15" customHeight="1" x14ac:dyDescent="0.4">
      <c r="A1651" s="177"/>
      <c r="B1651" s="175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2">
        <v>110</v>
      </c>
      <c r="K1651" s="13"/>
    </row>
    <row r="1652" spans="1:11" ht="15" customHeight="1" x14ac:dyDescent="0.4">
      <c r="A1652" s="177"/>
      <c r="B1652" s="175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2">
        <v>130</v>
      </c>
      <c r="K1652" s="13"/>
    </row>
    <row r="1653" spans="1:11" ht="15" customHeight="1" x14ac:dyDescent="0.4">
      <c r="A1653" s="177"/>
      <c r="B1653" s="175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2">
        <v>150</v>
      </c>
      <c r="K1653" s="13"/>
    </row>
    <row r="1654" spans="1:11" ht="15" customHeight="1" x14ac:dyDescent="0.4">
      <c r="A1654" s="177"/>
      <c r="B1654" s="175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2">
        <v>200</v>
      </c>
      <c r="K1654" s="13"/>
    </row>
    <row r="1655" spans="1:11" ht="15" customHeight="1" x14ac:dyDescent="0.4">
      <c r="A1655" s="177"/>
      <c r="B1655" s="175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2">
        <v>200</v>
      </c>
      <c r="K1655" s="13"/>
    </row>
    <row r="1656" spans="1:11" ht="15" customHeight="1" x14ac:dyDescent="0.4">
      <c r="A1656" s="177"/>
      <c r="B1656" s="175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2">
        <v>250</v>
      </c>
      <c r="K1656" s="13"/>
    </row>
    <row r="1657" spans="1:11" ht="15" customHeight="1" x14ac:dyDescent="0.4">
      <c r="A1657" s="177"/>
      <c r="B1657" s="175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2">
        <v>250</v>
      </c>
      <c r="K1657" s="13"/>
    </row>
    <row r="1658" spans="1:11" ht="15" customHeight="1" x14ac:dyDescent="0.4">
      <c r="A1658" s="177"/>
      <c r="B1658" s="175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2">
        <v>300</v>
      </c>
      <c r="K1658" s="13"/>
    </row>
    <row r="1659" spans="1:11" ht="15" customHeight="1" x14ac:dyDescent="0.4">
      <c r="A1659" s="177"/>
      <c r="B1659" s="175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2">
        <v>300</v>
      </c>
      <c r="K1659" s="13"/>
    </row>
    <row r="1660" spans="1:11" ht="15" customHeight="1" x14ac:dyDescent="0.4">
      <c r="A1660" s="177"/>
      <c r="B1660" s="175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2">
        <v>60</v>
      </c>
      <c r="K1660" s="13"/>
    </row>
    <row r="1661" spans="1:11" ht="15" customHeight="1" x14ac:dyDescent="0.4">
      <c r="A1661" s="177"/>
      <c r="B1661" s="175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2">
        <v>90</v>
      </c>
      <c r="K1661" s="13"/>
    </row>
    <row r="1662" spans="1:11" ht="15" customHeight="1" x14ac:dyDescent="0.4">
      <c r="A1662" s="177"/>
      <c r="B1662" s="175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2">
        <v>110</v>
      </c>
      <c r="K1662" s="13"/>
    </row>
    <row r="1663" spans="1:11" ht="15" customHeight="1" x14ac:dyDescent="0.4">
      <c r="A1663" s="177"/>
      <c r="B1663" s="176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2">
        <v>130</v>
      </c>
      <c r="K1663" s="13"/>
    </row>
    <row r="1664" spans="1:11" ht="15" customHeight="1" x14ac:dyDescent="0.4">
      <c r="A1664" s="177"/>
      <c r="B1664" s="181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2">
        <v>80</v>
      </c>
      <c r="K1664" s="13"/>
    </row>
    <row r="1665" spans="1:11" ht="15" customHeight="1" x14ac:dyDescent="0.4">
      <c r="A1665" s="177"/>
      <c r="B1665" s="175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2">
        <v>95</v>
      </c>
      <c r="K1665" s="13"/>
    </row>
    <row r="1666" spans="1:11" ht="15" customHeight="1" x14ac:dyDescent="0.4">
      <c r="A1666" s="177"/>
      <c r="B1666" s="175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2">
        <v>110</v>
      </c>
      <c r="K1666" s="13"/>
    </row>
    <row r="1667" spans="1:11" ht="15" customHeight="1" x14ac:dyDescent="0.4">
      <c r="A1667" s="177"/>
      <c r="B1667" s="175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2">
        <v>130</v>
      </c>
      <c r="K1667" s="13"/>
    </row>
    <row r="1668" spans="1:11" ht="15" customHeight="1" x14ac:dyDescent="0.4">
      <c r="A1668" s="177"/>
      <c r="B1668" s="175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2">
        <v>150</v>
      </c>
      <c r="K1668" s="13"/>
    </row>
    <row r="1669" spans="1:11" ht="15" customHeight="1" x14ac:dyDescent="0.4">
      <c r="A1669" s="177"/>
      <c r="B1669" s="175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2">
        <v>200</v>
      </c>
      <c r="K1669" s="13"/>
    </row>
    <row r="1670" spans="1:11" ht="15" customHeight="1" x14ac:dyDescent="0.4">
      <c r="A1670" s="177"/>
      <c r="B1670" s="175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2">
        <v>250</v>
      </c>
      <c r="K1670" s="13"/>
    </row>
    <row r="1671" spans="1:11" ht="15" customHeight="1" x14ac:dyDescent="0.4">
      <c r="A1671" s="177"/>
      <c r="B1671" s="176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2">
        <v>300</v>
      </c>
      <c r="K1671" s="13"/>
    </row>
    <row r="1672" spans="1:11" ht="15" customHeight="1" x14ac:dyDescent="0.4">
      <c r="A1672" s="177"/>
      <c r="B1672" s="181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2">
        <v>320</v>
      </c>
      <c r="K1672" s="13"/>
    </row>
    <row r="1673" spans="1:11" ht="15" customHeight="1" x14ac:dyDescent="0.4">
      <c r="A1673" s="177"/>
      <c r="B1673" s="176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2">
        <v>165</v>
      </c>
      <c r="K1673" s="13"/>
    </row>
    <row r="1674" spans="1:11" ht="15" customHeight="1" x14ac:dyDescent="0.4">
      <c r="A1674" s="177"/>
      <c r="B1674" s="177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2">
        <v>150</v>
      </c>
      <c r="K1674" s="13"/>
    </row>
    <row r="1675" spans="1:11" ht="15" customHeight="1" x14ac:dyDescent="0.4">
      <c r="A1675" s="177"/>
      <c r="B1675" s="177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2">
        <v>200</v>
      </c>
      <c r="K1675" s="13"/>
    </row>
    <row r="1676" spans="1:11" ht="15" customHeight="1" x14ac:dyDescent="0.4">
      <c r="A1676" s="177"/>
      <c r="B1676" s="177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2">
        <v>250</v>
      </c>
      <c r="K1676" s="13"/>
    </row>
    <row r="1677" spans="1:11" ht="15" customHeight="1" x14ac:dyDescent="0.4">
      <c r="A1677" s="177"/>
      <c r="B1677" s="177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2">
        <v>300</v>
      </c>
      <c r="K1677" s="13"/>
    </row>
    <row r="1678" spans="1:11" ht="15" customHeight="1" x14ac:dyDescent="0.4">
      <c r="A1678" s="177"/>
      <c r="B1678" s="177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2">
        <v>210</v>
      </c>
      <c r="K1678" s="13"/>
    </row>
    <row r="1679" spans="1:11" ht="15" customHeight="1" x14ac:dyDescent="0.4">
      <c r="A1679" s="177"/>
      <c r="B1679" s="196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5">
        <v>150</v>
      </c>
      <c r="K1679" s="13"/>
    </row>
    <row r="1680" spans="1:11" ht="15" customHeight="1" x14ac:dyDescent="0.4">
      <c r="A1680" s="177"/>
      <c r="B1680" s="196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5">
        <v>200</v>
      </c>
      <c r="K1680" s="13"/>
    </row>
    <row r="1681" spans="1:11" ht="15" customHeight="1" x14ac:dyDescent="0.4">
      <c r="A1681" s="177"/>
      <c r="B1681" s="196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5">
        <v>250</v>
      </c>
      <c r="K1681" s="13"/>
    </row>
    <row r="1682" spans="1:11" ht="15" customHeight="1" x14ac:dyDescent="0.4">
      <c r="A1682" s="177"/>
      <c r="B1682" s="196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5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3"/>
      <c r="K1683" s="13"/>
    </row>
    <row r="1684" spans="1:11" ht="15" customHeight="1" x14ac:dyDescent="0.4">
      <c r="A1684" s="180" t="s">
        <v>1327</v>
      </c>
      <c r="B1684" s="181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2">
        <v>230</v>
      </c>
      <c r="K1684" s="13"/>
    </row>
    <row r="1685" spans="1:11" ht="15" customHeight="1" x14ac:dyDescent="0.4">
      <c r="A1685" s="183"/>
      <c r="B1685" s="175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2">
        <v>260</v>
      </c>
      <c r="K1685" s="13"/>
    </row>
    <row r="1686" spans="1:11" ht="15" customHeight="1" x14ac:dyDescent="0.4">
      <c r="A1686" s="183"/>
      <c r="B1686" s="175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2">
        <v>290</v>
      </c>
      <c r="K1686" s="13"/>
    </row>
    <row r="1687" spans="1:11" ht="15" customHeight="1" x14ac:dyDescent="0.4">
      <c r="A1687" s="183"/>
      <c r="B1687" s="175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2">
        <v>315</v>
      </c>
      <c r="K1687" s="13"/>
    </row>
    <row r="1688" spans="1:11" ht="15" customHeight="1" x14ac:dyDescent="0.4">
      <c r="A1688" s="183"/>
      <c r="B1688" s="175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2">
        <v>345</v>
      </c>
      <c r="K1688" s="13"/>
    </row>
    <row r="1689" spans="1:11" ht="15" customHeight="1" x14ac:dyDescent="0.4">
      <c r="A1689" s="183"/>
      <c r="B1689" s="175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2">
        <v>415</v>
      </c>
      <c r="K1689" s="13"/>
    </row>
    <row r="1690" spans="1:11" ht="15" customHeight="1" x14ac:dyDescent="0.4">
      <c r="A1690" s="183"/>
      <c r="B1690" s="175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2">
        <v>485</v>
      </c>
      <c r="K1690" s="13"/>
    </row>
    <row r="1691" spans="1:11" ht="15" customHeight="1" x14ac:dyDescent="0.4">
      <c r="A1691" s="183"/>
      <c r="B1691" s="181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2">
        <v>230</v>
      </c>
      <c r="K1691" s="13"/>
    </row>
    <row r="1692" spans="1:11" ht="15" customHeight="1" x14ac:dyDescent="0.4">
      <c r="A1692" s="183"/>
      <c r="B1692" s="175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2">
        <v>260</v>
      </c>
      <c r="K1692" s="13"/>
    </row>
    <row r="1693" spans="1:11" ht="15" customHeight="1" x14ac:dyDescent="0.4">
      <c r="A1693" s="183"/>
      <c r="B1693" s="175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2">
        <v>290</v>
      </c>
      <c r="K1693" s="13"/>
    </row>
    <row r="1694" spans="1:11" ht="15" customHeight="1" x14ac:dyDescent="0.4">
      <c r="A1694" s="183"/>
      <c r="B1694" s="175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2">
        <v>315</v>
      </c>
      <c r="K1694" s="13"/>
    </row>
    <row r="1695" spans="1:11" ht="15" customHeight="1" x14ac:dyDescent="0.4">
      <c r="A1695" s="183"/>
      <c r="B1695" s="175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2">
        <v>345</v>
      </c>
      <c r="K1695" s="13"/>
    </row>
    <row r="1696" spans="1:11" ht="15" customHeight="1" x14ac:dyDescent="0.4">
      <c r="A1696" s="183"/>
      <c r="B1696" s="175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2">
        <v>415</v>
      </c>
      <c r="K1696" s="13"/>
    </row>
    <row r="1697" spans="1:11" ht="15" customHeight="1" x14ac:dyDescent="0.4">
      <c r="A1697" s="183"/>
      <c r="B1697" s="176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2">
        <v>200</v>
      </c>
      <c r="K1697" s="13"/>
    </row>
    <row r="1698" spans="1:11" ht="15" customHeight="1" x14ac:dyDescent="0.4">
      <c r="A1698" s="183"/>
      <c r="B1698" s="177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2">
        <v>205</v>
      </c>
      <c r="K1698" s="13"/>
    </row>
    <row r="1699" spans="1:11" ht="15" customHeight="1" x14ac:dyDescent="0.4">
      <c r="A1699" s="183"/>
      <c r="B1699" s="177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2">
        <v>235</v>
      </c>
      <c r="K1699" s="13"/>
    </row>
    <row r="1700" spans="1:11" ht="15" customHeight="1" x14ac:dyDescent="0.4">
      <c r="A1700" s="183"/>
      <c r="B1700" s="177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2">
        <v>260</v>
      </c>
      <c r="K1700" s="13"/>
    </row>
    <row r="1701" spans="1:11" ht="15" customHeight="1" x14ac:dyDescent="0.4">
      <c r="A1701" s="183"/>
      <c r="B1701" s="177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2">
        <v>300</v>
      </c>
      <c r="K1701" s="13"/>
    </row>
    <row r="1702" spans="1:11" ht="15" customHeight="1" x14ac:dyDescent="0.4">
      <c r="A1702" s="183"/>
      <c r="B1702" s="177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2">
        <v>330</v>
      </c>
      <c r="K1702" s="13"/>
    </row>
    <row r="1703" spans="1:11" ht="15" customHeight="1" x14ac:dyDescent="0.4">
      <c r="A1703" s="183"/>
      <c r="B1703" s="177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2">
        <v>360</v>
      </c>
      <c r="K1703" s="13"/>
    </row>
    <row r="1704" spans="1:11" ht="15" customHeight="1" x14ac:dyDescent="0.4">
      <c r="A1704" s="183"/>
      <c r="B1704" s="177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2">
        <v>395</v>
      </c>
      <c r="K1704" s="13"/>
    </row>
    <row r="1705" spans="1:11" ht="15" customHeight="1" x14ac:dyDescent="0.4">
      <c r="A1705" s="183"/>
      <c r="B1705" s="177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2">
        <v>435</v>
      </c>
      <c r="K1705" s="13"/>
    </row>
    <row r="1706" spans="1:11" ht="15" customHeight="1" x14ac:dyDescent="0.4">
      <c r="A1706" s="183"/>
      <c r="B1706" s="177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2">
        <v>465</v>
      </c>
      <c r="K1706" s="13"/>
    </row>
    <row r="1707" spans="1:11" ht="15" customHeight="1" x14ac:dyDescent="0.4">
      <c r="A1707" s="183"/>
      <c r="B1707" s="177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2">
        <v>505</v>
      </c>
      <c r="K1707" s="13"/>
    </row>
    <row r="1708" spans="1:11" ht="15" customHeight="1" x14ac:dyDescent="0.4">
      <c r="A1708" s="183"/>
      <c r="B1708" s="177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2">
        <v>205</v>
      </c>
      <c r="K1708" s="13"/>
    </row>
    <row r="1709" spans="1:11" ht="15" customHeight="1" x14ac:dyDescent="0.4">
      <c r="A1709" s="183"/>
      <c r="B1709" s="177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2">
        <v>235</v>
      </c>
      <c r="K1709" s="13"/>
    </row>
    <row r="1710" spans="1:11" ht="15" customHeight="1" x14ac:dyDescent="0.4">
      <c r="A1710" s="183"/>
      <c r="B1710" s="177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2">
        <v>260</v>
      </c>
      <c r="K1710" s="13"/>
    </row>
    <row r="1711" spans="1:11" ht="15" customHeight="1" x14ac:dyDescent="0.4">
      <c r="A1711" s="183"/>
      <c r="B1711" s="177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2">
        <v>300</v>
      </c>
      <c r="K1711" s="13"/>
    </row>
    <row r="1712" spans="1:11" ht="15" customHeight="1" x14ac:dyDescent="0.4">
      <c r="A1712" s="183"/>
      <c r="B1712" s="177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2">
        <v>330</v>
      </c>
      <c r="K1712" s="13"/>
    </row>
    <row r="1713" spans="1:11" ht="15" customHeight="1" x14ac:dyDescent="0.4">
      <c r="A1713" s="183"/>
      <c r="B1713" s="177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2">
        <v>360</v>
      </c>
      <c r="K1713" s="13"/>
    </row>
    <row r="1714" spans="1:11" ht="15" customHeight="1" x14ac:dyDescent="0.4">
      <c r="A1714" s="183"/>
      <c r="B1714" s="177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2">
        <v>395</v>
      </c>
      <c r="K1714" s="13"/>
    </row>
    <row r="1715" spans="1:11" ht="15" customHeight="1" x14ac:dyDescent="0.4">
      <c r="A1715" s="183"/>
      <c r="B1715" s="177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2">
        <v>435</v>
      </c>
      <c r="K1715" s="13"/>
    </row>
    <row r="1716" spans="1:11" ht="15" customHeight="1" x14ac:dyDescent="0.4">
      <c r="A1716" s="183"/>
      <c r="B1716" s="177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2">
        <v>465</v>
      </c>
      <c r="K1716" s="13"/>
    </row>
    <row r="1717" spans="1:11" ht="15" customHeight="1" x14ac:dyDescent="0.4">
      <c r="A1717" s="183"/>
      <c r="B1717" s="181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2">
        <v>310</v>
      </c>
      <c r="K1717" s="13"/>
    </row>
    <row r="1718" spans="1:11" ht="15" customHeight="1" x14ac:dyDescent="0.4">
      <c r="A1718" s="183"/>
      <c r="B1718" s="176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2">
        <v>340</v>
      </c>
      <c r="K1718" s="13"/>
    </row>
    <row r="1719" spans="1:11" ht="15" customHeight="1" x14ac:dyDescent="0.4">
      <c r="A1719" s="183"/>
      <c r="B1719" s="177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2">
        <v>285</v>
      </c>
      <c r="K1719" s="13"/>
    </row>
    <row r="1720" spans="1:11" ht="15" customHeight="1" x14ac:dyDescent="0.4">
      <c r="A1720" s="183"/>
      <c r="B1720" s="177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2">
        <v>310</v>
      </c>
      <c r="K1720" s="13"/>
    </row>
    <row r="1721" spans="1:11" ht="15" customHeight="1" x14ac:dyDescent="0.4">
      <c r="A1721" s="183"/>
      <c r="B1721" s="181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3"/>
      <c r="K1721" s="13"/>
    </row>
    <row r="1722" spans="1:11" ht="15" customHeight="1" x14ac:dyDescent="0.4">
      <c r="A1722" s="183"/>
      <c r="B1722" s="176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3"/>
      <c r="K1722" s="13"/>
    </row>
    <row r="1723" spans="1:11" ht="15" customHeight="1" x14ac:dyDescent="0.4">
      <c r="A1723" s="180" t="s">
        <v>1332</v>
      </c>
      <c r="B1723" s="181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2">
        <v>600</v>
      </c>
      <c r="K1723" s="13"/>
    </row>
    <row r="1724" spans="1:11" ht="15" customHeight="1" x14ac:dyDescent="0.4">
      <c r="A1724" s="183"/>
      <c r="B1724" s="175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2">
        <v>660</v>
      </c>
      <c r="K1724" s="13"/>
    </row>
    <row r="1725" spans="1:11" ht="15" customHeight="1" x14ac:dyDescent="0.4">
      <c r="A1725" s="183"/>
      <c r="B1725" s="175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2">
        <v>720</v>
      </c>
      <c r="K1725" s="13"/>
    </row>
    <row r="1726" spans="1:11" ht="15" customHeight="1" x14ac:dyDescent="0.4">
      <c r="A1726" s="183"/>
      <c r="B1726" s="175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2">
        <v>870</v>
      </c>
      <c r="K1726" s="13"/>
    </row>
    <row r="1727" spans="1:11" ht="15" customHeight="1" x14ac:dyDescent="0.4">
      <c r="A1727" s="184"/>
      <c r="B1727" s="176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2">
        <v>1010</v>
      </c>
      <c r="K1727" s="13"/>
    </row>
    <row r="1728" spans="1:11" ht="15" customHeight="1" x14ac:dyDescent="0.4">
      <c r="A1728" s="178" t="s">
        <v>1333</v>
      </c>
      <c r="B1728" s="177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2">
        <v>138</v>
      </c>
      <c r="K1728" s="13"/>
    </row>
    <row r="1729" spans="1:11" ht="15" customHeight="1" x14ac:dyDescent="0.4">
      <c r="A1729" s="178"/>
      <c r="B1729" s="177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2">
        <v>173</v>
      </c>
      <c r="K1729" s="13"/>
    </row>
    <row r="1730" spans="1:11" ht="15" customHeight="1" x14ac:dyDescent="0.4">
      <c r="A1730" s="178"/>
      <c r="B1730" s="177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2">
        <v>250</v>
      </c>
      <c r="K1730" s="13"/>
    </row>
    <row r="1731" spans="1:11" ht="15" customHeight="1" x14ac:dyDescent="0.4">
      <c r="A1731" s="178"/>
      <c r="B1731" s="177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2">
        <v>335</v>
      </c>
      <c r="K1731" s="13"/>
    </row>
    <row r="1732" spans="1:11" ht="15" customHeight="1" x14ac:dyDescent="0.4">
      <c r="A1732" s="178"/>
      <c r="B1732" s="177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2">
        <v>430</v>
      </c>
      <c r="K1732" s="13"/>
    </row>
    <row r="1733" spans="1:11" ht="15" customHeight="1" x14ac:dyDescent="0.4">
      <c r="A1733" s="180" t="s">
        <v>1339</v>
      </c>
      <c r="B1733" s="174" t="s">
        <v>1340</v>
      </c>
      <c r="C1733" s="7">
        <v>80</v>
      </c>
      <c r="D1733" s="9" t="s">
        <v>1341</v>
      </c>
      <c r="E1733" s="165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3"/>
      <c r="K1733" s="13"/>
    </row>
    <row r="1734" spans="1:11" ht="15" customHeight="1" x14ac:dyDescent="0.4">
      <c r="A1734" s="183"/>
      <c r="B1734" s="175"/>
      <c r="C1734" s="7">
        <v>120</v>
      </c>
      <c r="D1734" s="9" t="s">
        <v>1341</v>
      </c>
      <c r="E1734" s="165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3"/>
      <c r="K1734" s="13"/>
    </row>
    <row r="1735" spans="1:11" ht="15" customHeight="1" x14ac:dyDescent="0.4">
      <c r="A1735" s="183"/>
      <c r="B1735" s="175"/>
      <c r="C1735" s="7">
        <v>150</v>
      </c>
      <c r="D1735" s="9" t="s">
        <v>1341</v>
      </c>
      <c r="E1735" s="165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3"/>
      <c r="K1735" s="13"/>
    </row>
    <row r="1736" spans="1:11" ht="15" customHeight="1" x14ac:dyDescent="0.4">
      <c r="A1736" s="183"/>
      <c r="B1736" s="175"/>
      <c r="C1736" s="16">
        <v>200</v>
      </c>
      <c r="D1736" s="9" t="s">
        <v>1341</v>
      </c>
      <c r="E1736" s="165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3"/>
      <c r="K1736" s="13"/>
    </row>
    <row r="1737" spans="1:11" ht="15" customHeight="1" x14ac:dyDescent="0.4">
      <c r="A1737" s="183"/>
      <c r="B1737" s="175"/>
      <c r="C1737" s="16">
        <v>250</v>
      </c>
      <c r="D1737" s="9" t="s">
        <v>1341</v>
      </c>
      <c r="E1737" s="165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3"/>
      <c r="K1737" s="13"/>
    </row>
    <row r="1738" spans="1:11" ht="15" customHeight="1" x14ac:dyDescent="0.4">
      <c r="A1738" s="183"/>
      <c r="B1738" s="175"/>
      <c r="C1738" s="16">
        <v>185</v>
      </c>
      <c r="D1738" s="29" t="s">
        <v>1342</v>
      </c>
      <c r="E1738" s="165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3"/>
      <c r="K1738" s="13"/>
    </row>
    <row r="1739" spans="1:11" ht="15" customHeight="1" x14ac:dyDescent="0.4">
      <c r="A1739" s="183"/>
      <c r="B1739" s="175"/>
      <c r="C1739" s="16">
        <v>85</v>
      </c>
      <c r="D1739" s="29" t="s">
        <v>380</v>
      </c>
      <c r="E1739" s="165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3"/>
      <c r="K1739" s="13"/>
    </row>
    <row r="1740" spans="1:11" ht="15" customHeight="1" x14ac:dyDescent="0.4">
      <c r="A1740" s="183"/>
      <c r="B1740" s="175"/>
      <c r="C1740" s="16">
        <v>110</v>
      </c>
      <c r="D1740" s="29" t="s">
        <v>380</v>
      </c>
      <c r="E1740" s="165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3"/>
      <c r="K1740" s="13"/>
    </row>
    <row r="1741" spans="1:11" ht="15" customHeight="1" x14ac:dyDescent="0.4">
      <c r="A1741" s="183"/>
      <c r="B1741" s="175"/>
      <c r="C1741" s="16">
        <v>80</v>
      </c>
      <c r="D1741" s="29" t="s">
        <v>1343</v>
      </c>
      <c r="E1741" s="165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3"/>
      <c r="K1741" s="13"/>
    </row>
    <row r="1742" spans="1:11" ht="15" customHeight="1" x14ac:dyDescent="0.4">
      <c r="A1742" s="183"/>
      <c r="B1742" s="175"/>
      <c r="C1742" s="16">
        <v>110</v>
      </c>
      <c r="D1742" s="29" t="s">
        <v>1343</v>
      </c>
      <c r="E1742" s="165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3"/>
      <c r="K1742" s="13"/>
    </row>
    <row r="1743" spans="1:11" ht="15" customHeight="1" x14ac:dyDescent="0.4">
      <c r="A1743" s="183"/>
      <c r="B1743" s="176"/>
      <c r="C1743" s="33">
        <v>210</v>
      </c>
      <c r="D1743" s="21" t="s">
        <v>1344</v>
      </c>
      <c r="E1743" s="168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3"/>
      <c r="K1743" s="13"/>
    </row>
    <row r="1744" spans="1:11" ht="15" customHeight="1" x14ac:dyDescent="0.4">
      <c r="A1744" s="183"/>
      <c r="B1744" s="177" t="s">
        <v>1345</v>
      </c>
      <c r="C1744" s="16">
        <v>80</v>
      </c>
      <c r="D1744" s="29" t="s">
        <v>1343</v>
      </c>
      <c r="E1744" s="165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3"/>
      <c r="K1744" s="13"/>
    </row>
    <row r="1745" spans="1:11" ht="15" customHeight="1" x14ac:dyDescent="0.4">
      <c r="A1745" s="183"/>
      <c r="B1745" s="177"/>
      <c r="C1745" s="16"/>
      <c r="D1745" s="29" t="s">
        <v>1346</v>
      </c>
      <c r="E1745" s="165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3"/>
      <c r="K1745" s="13"/>
    </row>
    <row r="1746" spans="1:11" ht="15" customHeight="1" x14ac:dyDescent="0.4">
      <c r="A1746" s="183"/>
      <c r="B1746" s="174" t="s">
        <v>28</v>
      </c>
      <c r="C1746" s="16">
        <v>160</v>
      </c>
      <c r="D1746" s="29" t="s">
        <v>1347</v>
      </c>
      <c r="E1746" s="165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3"/>
      <c r="K1746" s="13"/>
    </row>
    <row r="1747" spans="1:11" ht="15" customHeight="1" x14ac:dyDescent="0.4">
      <c r="A1747" s="183"/>
      <c r="B1747" s="176"/>
      <c r="C1747" s="16">
        <v>240</v>
      </c>
      <c r="D1747" s="29" t="s">
        <v>1347</v>
      </c>
      <c r="E1747" s="165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3"/>
      <c r="K1747" s="13"/>
    </row>
    <row r="1748" spans="1:11" ht="15" customHeight="1" x14ac:dyDescent="0.4">
      <c r="A1748" s="183"/>
      <c r="B1748" s="177" t="s">
        <v>330</v>
      </c>
      <c r="C1748" s="33" t="s">
        <v>1348</v>
      </c>
      <c r="D1748" s="21" t="s">
        <v>1349</v>
      </c>
      <c r="E1748" s="168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3"/>
      <c r="K1748" s="13"/>
    </row>
    <row r="1749" spans="1:11" ht="15" customHeight="1" x14ac:dyDescent="0.4">
      <c r="A1749" s="183"/>
      <c r="B1749" s="177"/>
      <c r="C1749" s="33">
        <v>52</v>
      </c>
      <c r="D1749" s="21" t="s">
        <v>1350</v>
      </c>
      <c r="E1749" s="168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3"/>
      <c r="K1749" s="13"/>
    </row>
    <row r="1750" spans="1:11" ht="15" customHeight="1" x14ac:dyDescent="0.4">
      <c r="A1750" s="183"/>
      <c r="B1750" s="177"/>
      <c r="C1750" s="33">
        <v>52</v>
      </c>
      <c r="D1750" s="21" t="s">
        <v>1351</v>
      </c>
      <c r="E1750" s="168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3"/>
      <c r="K1750" s="13"/>
    </row>
    <row r="1751" spans="1:11" ht="15" customHeight="1" x14ac:dyDescent="0.4">
      <c r="A1751" s="183"/>
      <c r="B1751" s="177"/>
      <c r="C1751" s="33">
        <v>28</v>
      </c>
      <c r="D1751" s="21" t="s">
        <v>1352</v>
      </c>
      <c r="E1751" s="168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3"/>
      <c r="K1751" s="13"/>
    </row>
    <row r="1752" spans="1:11" ht="15" customHeight="1" x14ac:dyDescent="0.4">
      <c r="A1752" s="183"/>
      <c r="B1752" s="177"/>
      <c r="C1752" s="33"/>
      <c r="D1752" s="21" t="s">
        <v>1353</v>
      </c>
      <c r="E1752" s="168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3"/>
      <c r="K1752" s="13"/>
    </row>
    <row r="1753" spans="1:11" ht="15" customHeight="1" x14ac:dyDescent="0.4">
      <c r="A1753" s="183"/>
      <c r="B1753" s="177"/>
      <c r="C1753" s="33">
        <v>52</v>
      </c>
      <c r="D1753" s="21" t="s">
        <v>1354</v>
      </c>
      <c r="E1753" s="168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3"/>
      <c r="K1753" s="13"/>
    </row>
    <row r="1754" spans="1:11" ht="15" customHeight="1" x14ac:dyDescent="0.4">
      <c r="A1754" s="183"/>
      <c r="B1754" s="177" t="s">
        <v>1355</v>
      </c>
      <c r="C1754" s="33">
        <v>40</v>
      </c>
      <c r="D1754" s="21" t="s">
        <v>1356</v>
      </c>
      <c r="E1754" s="168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3"/>
      <c r="K1754" s="13"/>
    </row>
    <row r="1755" spans="1:11" ht="15" customHeight="1" x14ac:dyDescent="0.4">
      <c r="A1755" s="183"/>
      <c r="B1755" s="177"/>
      <c r="C1755" s="33">
        <v>50</v>
      </c>
      <c r="D1755" s="21" t="s">
        <v>1357</v>
      </c>
      <c r="E1755" s="168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3"/>
      <c r="K1755" s="13"/>
    </row>
    <row r="1756" spans="1:11" ht="15" customHeight="1" x14ac:dyDescent="0.4">
      <c r="A1756" s="180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3"/>
      <c r="K1756" s="13"/>
    </row>
    <row r="1757" spans="1:11" ht="15" customHeight="1" x14ac:dyDescent="0.4">
      <c r="A1757" s="175"/>
      <c r="B1757" s="181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3"/>
      <c r="K1757" s="13"/>
    </row>
    <row r="1758" spans="1:11" ht="15" customHeight="1" x14ac:dyDescent="0.4">
      <c r="A1758" s="175"/>
      <c r="B1758" s="175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3"/>
      <c r="K1758" s="13"/>
    </row>
    <row r="1759" spans="1:11" ht="15" customHeight="1" x14ac:dyDescent="0.4">
      <c r="A1759" s="175"/>
      <c r="B1759" s="175"/>
      <c r="C1759" s="16"/>
      <c r="D1759" s="29" t="s">
        <v>1361</v>
      </c>
      <c r="E1759" s="3">
        <v>0</v>
      </c>
      <c r="G1759" s="8"/>
      <c r="H1759" s="11"/>
      <c r="I1759" s="12"/>
      <c r="J1759" s="153"/>
      <c r="K1759" s="13"/>
    </row>
    <row r="1760" spans="1:11" ht="15" customHeight="1" x14ac:dyDescent="0.4">
      <c r="A1760" s="176"/>
      <c r="B1760" s="176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3"/>
      <c r="K1760" s="13"/>
    </row>
    <row r="1761" spans="1:11" ht="15" customHeight="1" x14ac:dyDescent="0.4">
      <c r="A1761" s="180" t="s">
        <v>1362</v>
      </c>
      <c r="B1761" s="181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3"/>
      <c r="K1761" s="13"/>
    </row>
    <row r="1762" spans="1:11" ht="15" customHeight="1" x14ac:dyDescent="0.4">
      <c r="A1762" s="175"/>
      <c r="B1762" s="176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3"/>
      <c r="K1762" s="13"/>
    </row>
    <row r="1763" spans="1:11" ht="15" customHeight="1" x14ac:dyDescent="0.4">
      <c r="A1763" s="175"/>
      <c r="B1763" s="181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3"/>
      <c r="K1763" s="13"/>
    </row>
    <row r="1764" spans="1:11" ht="15" customHeight="1" x14ac:dyDescent="0.4">
      <c r="A1764" s="176"/>
      <c r="B1764" s="176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3"/>
      <c r="K1764" s="13"/>
    </row>
    <row r="1765" spans="1:11" ht="15" customHeight="1" x14ac:dyDescent="0.4">
      <c r="A1765" s="180" t="s">
        <v>1366</v>
      </c>
      <c r="B1765" s="177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3"/>
      <c r="K1765" s="13"/>
    </row>
    <row r="1766" spans="1:11" ht="15" customHeight="1" x14ac:dyDescent="0.4">
      <c r="A1766" s="183"/>
      <c r="B1766" s="177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3"/>
      <c r="K1766" s="13"/>
    </row>
    <row r="1767" spans="1:11" ht="15" customHeight="1" x14ac:dyDescent="0.4">
      <c r="A1767" s="183"/>
      <c r="B1767" s="177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3"/>
      <c r="K1767" s="13"/>
    </row>
    <row r="1768" spans="1:11" ht="15" customHeight="1" x14ac:dyDescent="0.4">
      <c r="A1768" s="183"/>
      <c r="B1768" s="177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3"/>
      <c r="K1768" s="13"/>
    </row>
    <row r="1769" spans="1:11" ht="15" customHeight="1" x14ac:dyDescent="0.4">
      <c r="A1769" s="183"/>
      <c r="B1769" s="177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3"/>
      <c r="K1769" s="13"/>
    </row>
    <row r="1770" spans="1:11" ht="15" customHeight="1" x14ac:dyDescent="0.4">
      <c r="A1770" s="183"/>
      <c r="B1770" s="177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3"/>
      <c r="K1770" s="13"/>
    </row>
    <row r="1771" spans="1:11" ht="15" customHeight="1" x14ac:dyDescent="0.4">
      <c r="A1771" s="183"/>
      <c r="B1771" s="177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3"/>
      <c r="K1771" s="13"/>
    </row>
    <row r="1772" spans="1:11" ht="15" customHeight="1" x14ac:dyDescent="0.4">
      <c r="A1772" s="183"/>
      <c r="B1772" s="177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3"/>
      <c r="K1772" s="13"/>
    </row>
    <row r="1773" spans="1:11" ht="15" customHeight="1" x14ac:dyDescent="0.4">
      <c r="A1773" s="183"/>
      <c r="B1773" s="177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3"/>
      <c r="K1773" s="13"/>
    </row>
    <row r="1774" spans="1:11" ht="15" customHeight="1" x14ac:dyDescent="0.4">
      <c r="A1774" s="184"/>
      <c r="B1774" s="177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3"/>
      <c r="K1774" s="13"/>
    </row>
    <row r="1775" spans="1:11" ht="15" customHeight="1" x14ac:dyDescent="0.4">
      <c r="A1775" s="178" t="s">
        <v>1377</v>
      </c>
      <c r="B1775" s="181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3"/>
      <c r="K1775" s="13"/>
    </row>
    <row r="1776" spans="1:11" ht="15" customHeight="1" x14ac:dyDescent="0.4">
      <c r="A1776" s="178"/>
      <c r="B1776" s="175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3"/>
      <c r="K1776" s="13"/>
    </row>
    <row r="1777" spans="1:11" ht="15" customHeight="1" x14ac:dyDescent="0.4">
      <c r="A1777" s="178"/>
      <c r="B1777" s="175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3"/>
      <c r="K1777" s="13"/>
    </row>
    <row r="1778" spans="1:11" ht="15" customHeight="1" x14ac:dyDescent="0.4">
      <c r="A1778" s="178"/>
      <c r="B1778" s="176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3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3"/>
      <c r="K1779" s="13"/>
    </row>
    <row r="1780" spans="1:11" ht="15" customHeight="1" x14ac:dyDescent="0.4">
      <c r="A1780" s="177" t="s">
        <v>1384</v>
      </c>
      <c r="B1780" s="177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3"/>
      <c r="K1780" s="13"/>
    </row>
    <row r="1781" spans="1:11" ht="15" customHeight="1" x14ac:dyDescent="0.4">
      <c r="A1781" s="177"/>
      <c r="B1781" s="177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3"/>
      <c r="K1781" s="13"/>
    </row>
    <row r="1782" spans="1:11" ht="15" customHeight="1" x14ac:dyDescent="0.4">
      <c r="A1782" s="177"/>
      <c r="B1782" s="177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3"/>
      <c r="K1782" s="13"/>
    </row>
    <row r="1783" spans="1:11" ht="15" customHeight="1" x14ac:dyDescent="0.4">
      <c r="A1783" s="177"/>
      <c r="B1783" s="177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3"/>
      <c r="K1783" s="13"/>
    </row>
    <row r="1784" spans="1:11" ht="15" customHeight="1" x14ac:dyDescent="0.4">
      <c r="A1784" s="177"/>
      <c r="B1784" s="177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3"/>
      <c r="K1784" s="13"/>
    </row>
    <row r="1785" spans="1:11" ht="15" customHeight="1" x14ac:dyDescent="0.4">
      <c r="A1785" s="177"/>
      <c r="B1785" s="177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3"/>
      <c r="K1785" s="13"/>
    </row>
    <row r="1786" spans="1:11" ht="15" customHeight="1" x14ac:dyDescent="0.4">
      <c r="A1786" s="178" t="s">
        <v>1391</v>
      </c>
      <c r="B1786" s="177" t="s">
        <v>1392</v>
      </c>
      <c r="C1786" s="33">
        <v>307</v>
      </c>
      <c r="D1786" s="21" t="s">
        <v>752</v>
      </c>
      <c r="E1786" s="168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3"/>
      <c r="K1786" s="13"/>
    </row>
    <row r="1787" spans="1:11" ht="15" customHeight="1" x14ac:dyDescent="0.4">
      <c r="A1787" s="178"/>
      <c r="B1787" s="177"/>
      <c r="C1787" s="33"/>
      <c r="D1787" s="21" t="s">
        <v>1393</v>
      </c>
      <c r="E1787" s="168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3"/>
      <c r="K1787" s="13"/>
    </row>
    <row r="1788" spans="1:11" ht="15" customHeight="1" x14ac:dyDescent="0.4">
      <c r="A1788" s="178"/>
      <c r="B1788" s="177"/>
      <c r="C1788" s="33"/>
      <c r="D1788" s="21" t="s">
        <v>1393</v>
      </c>
      <c r="E1788" s="168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3"/>
      <c r="K1788" s="13"/>
    </row>
    <row r="1789" spans="1:11" ht="15" customHeight="1" x14ac:dyDescent="0.4">
      <c r="A1789" s="178" t="s">
        <v>2952</v>
      </c>
      <c r="B1789" s="177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2">
        <v>134</v>
      </c>
      <c r="K1789" s="13"/>
    </row>
    <row r="1790" spans="1:11" ht="15" customHeight="1" x14ac:dyDescent="0.4">
      <c r="A1790" s="178"/>
      <c r="B1790" s="177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2">
        <v>149</v>
      </c>
      <c r="K1790" s="13"/>
    </row>
    <row r="1791" spans="1:11" ht="15" customHeight="1" x14ac:dyDescent="0.4">
      <c r="A1791" s="178"/>
      <c r="B1791" s="177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2">
        <v>188</v>
      </c>
      <c r="K1791" s="13"/>
    </row>
    <row r="1792" spans="1:11" ht="15" customHeight="1" x14ac:dyDescent="0.4">
      <c r="A1792" s="178"/>
      <c r="B1792" s="177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2">
        <v>248</v>
      </c>
      <c r="K1792" s="13"/>
    </row>
    <row r="1793" spans="1:11" ht="15" customHeight="1" x14ac:dyDescent="0.4">
      <c r="A1793" s="178"/>
      <c r="B1793" s="177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2">
        <v>317</v>
      </c>
      <c r="K1793" s="13"/>
    </row>
    <row r="1794" spans="1:11" ht="15" customHeight="1" x14ac:dyDescent="0.4">
      <c r="A1794" s="178"/>
      <c r="B1794" s="178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2">
        <v>134</v>
      </c>
      <c r="K1794" s="13"/>
    </row>
    <row r="1795" spans="1:11" ht="15" customHeight="1" x14ac:dyDescent="0.4">
      <c r="A1795" s="178"/>
      <c r="B1795" s="178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2">
        <v>149</v>
      </c>
      <c r="K1795" s="13"/>
    </row>
    <row r="1796" spans="1:11" ht="15" customHeight="1" x14ac:dyDescent="0.4">
      <c r="A1796" s="178"/>
      <c r="B1796" s="178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2">
        <v>188</v>
      </c>
      <c r="K1796" s="13"/>
    </row>
    <row r="1797" spans="1:11" ht="15" customHeight="1" x14ac:dyDescent="0.4">
      <c r="A1797" s="178"/>
      <c r="B1797" s="178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2">
        <v>248</v>
      </c>
      <c r="K1797" s="13"/>
    </row>
    <row r="1798" spans="1:11" ht="15" customHeight="1" x14ac:dyDescent="0.4">
      <c r="A1798" s="178"/>
      <c r="B1798" s="178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2">
        <v>317</v>
      </c>
      <c r="K1798" s="13"/>
    </row>
    <row r="1799" spans="1:11" ht="15" customHeight="1" x14ac:dyDescent="0.4">
      <c r="A1799" s="178" t="s">
        <v>2953</v>
      </c>
      <c r="B1799" s="177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3"/>
      <c r="K1799" s="13"/>
    </row>
    <row r="1800" spans="1:11" ht="15" customHeight="1" x14ac:dyDescent="0.4">
      <c r="A1800" s="178"/>
      <c r="B1800" s="177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3"/>
      <c r="K1800" s="13"/>
    </row>
    <row r="1801" spans="1:11" ht="15" customHeight="1" x14ac:dyDescent="0.4">
      <c r="A1801" s="178"/>
      <c r="B1801" s="178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3"/>
      <c r="K1801" s="13"/>
    </row>
    <row r="1802" spans="1:11" ht="15" customHeight="1" x14ac:dyDescent="0.4">
      <c r="A1802" s="178"/>
      <c r="B1802" s="178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3"/>
      <c r="K1802" s="13"/>
    </row>
    <row r="1803" spans="1:11" ht="15" customHeight="1" x14ac:dyDescent="0.4">
      <c r="A1803" s="178"/>
      <c r="B1803" s="178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3"/>
      <c r="K1803" s="13"/>
    </row>
    <row r="1804" spans="1:11" ht="15" customHeight="1" x14ac:dyDescent="0.4">
      <c r="A1804" s="180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3"/>
      <c r="K1804" s="13"/>
    </row>
    <row r="1805" spans="1:11" ht="15" customHeight="1" x14ac:dyDescent="0.4">
      <c r="A1805" s="183"/>
      <c r="B1805" s="181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3"/>
      <c r="K1805" s="13"/>
    </row>
    <row r="1806" spans="1:11" ht="15" customHeight="1" x14ac:dyDescent="0.4">
      <c r="A1806" s="183"/>
      <c r="B1806" s="175"/>
      <c r="C1806" s="7"/>
      <c r="D1806" s="9" t="s">
        <v>1402</v>
      </c>
      <c r="E1806" s="3">
        <v>0</v>
      </c>
      <c r="G1806" s="8"/>
      <c r="H1806" s="11"/>
      <c r="I1806" s="12"/>
      <c r="J1806" s="153"/>
      <c r="K1806" s="13"/>
    </row>
    <row r="1807" spans="1:11" ht="15" customHeight="1" x14ac:dyDescent="0.4">
      <c r="A1807" s="183"/>
      <c r="B1807" s="175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3"/>
      <c r="K1807" s="13"/>
    </row>
    <row r="1808" spans="1:11" ht="15" customHeight="1" x14ac:dyDescent="0.4">
      <c r="A1808" s="183"/>
      <c r="B1808" s="175"/>
      <c r="C1808" s="7"/>
      <c r="D1808" s="9" t="s">
        <v>1404</v>
      </c>
      <c r="E1808" s="3">
        <v>0</v>
      </c>
      <c r="G1808" s="8"/>
      <c r="H1808" s="11"/>
      <c r="I1808" s="12"/>
      <c r="J1808" s="153"/>
      <c r="K1808" s="13"/>
    </row>
    <row r="1809" spans="1:11" ht="15" customHeight="1" x14ac:dyDescent="0.4">
      <c r="A1809" s="185" t="s">
        <v>2954</v>
      </c>
      <c r="B1809" s="185" t="s">
        <v>346</v>
      </c>
      <c r="C1809" s="14">
        <v>125</v>
      </c>
      <c r="D1809" s="9" t="s">
        <v>2955</v>
      </c>
      <c r="E1809" s="167">
        <v>380000</v>
      </c>
      <c r="G1809" s="8"/>
      <c r="H1809" s="11"/>
      <c r="I1809" s="12"/>
      <c r="J1809" s="153"/>
      <c r="K1809" s="13"/>
    </row>
    <row r="1810" spans="1:11" ht="15" customHeight="1" x14ac:dyDescent="0.4">
      <c r="A1810" s="183"/>
      <c r="B1810" s="183"/>
      <c r="C1810" s="14">
        <v>240</v>
      </c>
      <c r="D1810" s="9" t="s">
        <v>2955</v>
      </c>
      <c r="E1810" s="167">
        <v>730000</v>
      </c>
      <c r="G1810" s="8"/>
      <c r="H1810" s="11"/>
      <c r="I1810" s="12"/>
      <c r="J1810" s="153"/>
      <c r="K1810" s="13"/>
    </row>
    <row r="1811" spans="1:11" ht="15" customHeight="1" x14ac:dyDescent="0.4">
      <c r="A1811" s="177" t="s">
        <v>1405</v>
      </c>
      <c r="B1811" s="177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3"/>
      <c r="K1811" s="13"/>
    </row>
    <row r="1812" spans="1:11" ht="15" customHeight="1" x14ac:dyDescent="0.4">
      <c r="A1812" s="177"/>
      <c r="B1812" s="177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3"/>
      <c r="K1812" s="13"/>
    </row>
    <row r="1813" spans="1:11" ht="15" customHeight="1" x14ac:dyDescent="0.4">
      <c r="A1813" s="177"/>
      <c r="B1813" s="177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3"/>
      <c r="K1813" s="13"/>
    </row>
    <row r="1814" spans="1:11" ht="15" customHeight="1" x14ac:dyDescent="0.4">
      <c r="A1814" s="177"/>
      <c r="B1814" s="177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3"/>
      <c r="K1814" s="13"/>
    </row>
    <row r="1815" spans="1:11" ht="15" customHeight="1" x14ac:dyDescent="0.4">
      <c r="A1815" s="177"/>
      <c r="B1815" s="177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3"/>
      <c r="K1815" s="13"/>
    </row>
    <row r="1816" spans="1:11" ht="15" customHeight="1" x14ac:dyDescent="0.4">
      <c r="A1816" s="177"/>
      <c r="B1816" s="177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3"/>
      <c r="K1816" s="13"/>
    </row>
    <row r="1817" spans="1:11" ht="15" customHeight="1" x14ac:dyDescent="0.4">
      <c r="A1817" s="177"/>
      <c r="B1817" s="177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3"/>
      <c r="K1817" s="13"/>
    </row>
    <row r="1818" spans="1:11" ht="15" customHeight="1" x14ac:dyDescent="0.4">
      <c r="A1818" s="177"/>
      <c r="B1818" s="177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3"/>
      <c r="K1818" s="13"/>
    </row>
    <row r="1819" spans="1:11" s="35" customFormat="1" ht="15" customHeight="1" x14ac:dyDescent="0.4">
      <c r="A1819" s="178" t="s">
        <v>1413</v>
      </c>
      <c r="B1819" s="177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2">
        <v>350</v>
      </c>
      <c r="K1819" s="13"/>
    </row>
    <row r="1820" spans="1:11" s="35" customFormat="1" ht="15" customHeight="1" x14ac:dyDescent="0.4">
      <c r="A1820" s="178"/>
      <c r="B1820" s="177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2">
        <v>350</v>
      </c>
      <c r="K1820" s="13"/>
    </row>
    <row r="1821" spans="1:11" s="35" customFormat="1" ht="15" customHeight="1" x14ac:dyDescent="0.4">
      <c r="A1821" s="178"/>
      <c r="B1821" s="177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2">
        <v>350</v>
      </c>
      <c r="K1821" s="13"/>
    </row>
    <row r="1822" spans="1:11" s="35" customFormat="1" ht="15" customHeight="1" x14ac:dyDescent="0.4">
      <c r="A1822" s="178"/>
      <c r="B1822" s="181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2">
        <v>400</v>
      </c>
      <c r="K1822" s="13"/>
    </row>
    <row r="1823" spans="1:11" s="35" customFormat="1" ht="15" customHeight="1" x14ac:dyDescent="0.4">
      <c r="A1823" s="178"/>
      <c r="B1823" s="176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2">
        <v>400</v>
      </c>
      <c r="K1823" s="13"/>
    </row>
    <row r="1824" spans="1:11" s="35" customFormat="1" ht="15" customHeight="1" x14ac:dyDescent="0.4">
      <c r="A1824" s="178"/>
      <c r="B1824" s="177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2">
        <v>350</v>
      </c>
      <c r="K1824" s="13"/>
    </row>
    <row r="1825" spans="1:12" s="35" customFormat="1" ht="15" customHeight="1" x14ac:dyDescent="0.4">
      <c r="A1825" s="178"/>
      <c r="B1825" s="177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2">
        <v>350</v>
      </c>
      <c r="K1825" s="13"/>
    </row>
    <row r="1826" spans="1:12" s="35" customFormat="1" ht="15" customHeight="1" x14ac:dyDescent="0.4">
      <c r="A1826" s="178"/>
      <c r="B1826" s="177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2">
        <v>350</v>
      </c>
      <c r="K1826" s="13"/>
    </row>
    <row r="1827" spans="1:12" s="35" customFormat="1" ht="15" customHeight="1" x14ac:dyDescent="0.4">
      <c r="A1827" s="178"/>
      <c r="B1827" s="177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2">
        <v>400</v>
      </c>
      <c r="K1827" s="13"/>
    </row>
    <row r="1828" spans="1:12" s="35" customFormat="1" ht="15" customHeight="1" x14ac:dyDescent="0.4">
      <c r="A1828" s="178"/>
      <c r="B1828" s="177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2">
        <v>400</v>
      </c>
      <c r="K1828" s="13"/>
    </row>
    <row r="1829" spans="1:12" ht="15" customHeight="1" x14ac:dyDescent="0.4">
      <c r="A1829" s="180" t="s">
        <v>1424</v>
      </c>
      <c r="B1829" s="181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3"/>
      <c r="K1829" s="13"/>
      <c r="L1829" s="25"/>
    </row>
    <row r="1830" spans="1:12" ht="15" customHeight="1" x14ac:dyDescent="0.4">
      <c r="A1830" s="183"/>
      <c r="B1830" s="175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3"/>
      <c r="K1830" s="13"/>
      <c r="L1830" s="25"/>
    </row>
    <row r="1831" spans="1:12" ht="15" customHeight="1" x14ac:dyDescent="0.4">
      <c r="A1831" s="183"/>
      <c r="B1831" s="175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3"/>
      <c r="K1831" s="13"/>
      <c r="L1831" s="25"/>
    </row>
    <row r="1832" spans="1:12" ht="15" customHeight="1" x14ac:dyDescent="0.4">
      <c r="A1832" s="183"/>
      <c r="B1832" s="175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3"/>
      <c r="K1832" s="13"/>
      <c r="L1832" s="25"/>
    </row>
    <row r="1833" spans="1:12" ht="15" customHeight="1" x14ac:dyDescent="0.4">
      <c r="A1833" s="183"/>
      <c r="B1833" s="175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3"/>
      <c r="K1833" s="13"/>
    </row>
    <row r="1834" spans="1:12" ht="15" customHeight="1" x14ac:dyDescent="0.4">
      <c r="A1834" s="183"/>
      <c r="B1834" s="175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3"/>
      <c r="K1834" s="13"/>
    </row>
    <row r="1835" spans="1:12" ht="15" customHeight="1" x14ac:dyDescent="0.4">
      <c r="A1835" s="183"/>
      <c r="B1835" s="175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3"/>
      <c r="K1835" s="13"/>
      <c r="L1835" s="25"/>
    </row>
    <row r="1836" spans="1:12" ht="15" customHeight="1" x14ac:dyDescent="0.4">
      <c r="A1836" s="183"/>
      <c r="B1836" s="175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3"/>
      <c r="K1836" s="13"/>
      <c r="L1836" s="25"/>
    </row>
    <row r="1837" spans="1:12" ht="15" customHeight="1" x14ac:dyDescent="0.4">
      <c r="A1837" s="183"/>
      <c r="B1837" s="175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3"/>
      <c r="K1837" s="13"/>
      <c r="L1837" s="25"/>
    </row>
    <row r="1838" spans="1:12" ht="15" customHeight="1" x14ac:dyDescent="0.4">
      <c r="A1838" s="183"/>
      <c r="B1838" s="176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3"/>
      <c r="K1838" s="13"/>
      <c r="L1838" s="25"/>
    </row>
    <row r="1839" spans="1:12" ht="15" customHeight="1" x14ac:dyDescent="0.4">
      <c r="A1839" s="183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3"/>
      <c r="K1839" s="13"/>
      <c r="L1839" s="25"/>
    </row>
    <row r="1840" spans="1:12" ht="15" customHeight="1" x14ac:dyDescent="0.4">
      <c r="A1840" s="183"/>
      <c r="B1840" s="177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3"/>
      <c r="K1840" s="13"/>
    </row>
    <row r="1841" spans="1:11" ht="15" customHeight="1" x14ac:dyDescent="0.4">
      <c r="A1841" s="183"/>
      <c r="B1841" s="177"/>
      <c r="C1841" s="7"/>
      <c r="D1841" s="9" t="s">
        <v>1437</v>
      </c>
      <c r="E1841" s="3">
        <v>0</v>
      </c>
      <c r="G1841" s="8"/>
      <c r="H1841" s="11"/>
      <c r="I1841" s="12"/>
      <c r="J1841" s="153"/>
      <c r="K1841" s="13"/>
    </row>
    <row r="1842" spans="1:11" ht="15" customHeight="1" x14ac:dyDescent="0.4">
      <c r="A1842" s="183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3"/>
      <c r="K1842" s="13"/>
    </row>
    <row r="1843" spans="1:11" ht="15" customHeight="1" x14ac:dyDescent="0.4">
      <c r="A1843" s="183"/>
      <c r="B1843" s="177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3"/>
      <c r="K1843" s="13"/>
    </row>
    <row r="1844" spans="1:11" ht="15" customHeight="1" x14ac:dyDescent="0.4">
      <c r="A1844" s="183"/>
      <c r="B1844" s="177"/>
      <c r="C1844" s="7"/>
      <c r="D1844" s="9" t="s">
        <v>1441</v>
      </c>
      <c r="E1844" s="3">
        <v>0</v>
      </c>
      <c r="G1844" s="8"/>
      <c r="H1844" s="11"/>
      <c r="I1844" s="12"/>
      <c r="J1844" s="153"/>
      <c r="K1844" s="13"/>
    </row>
    <row r="1845" spans="1:11" ht="15" customHeight="1" x14ac:dyDescent="0.4">
      <c r="A1845" s="183"/>
      <c r="B1845" s="177"/>
      <c r="C1845" s="7"/>
      <c r="D1845" s="9" t="s">
        <v>1436</v>
      </c>
      <c r="E1845" s="3">
        <v>0</v>
      </c>
      <c r="G1845" s="8"/>
      <c r="H1845" s="11"/>
      <c r="I1845" s="12"/>
      <c r="J1845" s="153"/>
      <c r="K1845" s="13"/>
    </row>
    <row r="1846" spans="1:11" ht="15" customHeight="1" x14ac:dyDescent="0.4">
      <c r="A1846" s="184"/>
      <c r="B1846" s="177"/>
      <c r="C1846" s="7"/>
      <c r="D1846" s="9" t="s">
        <v>1437</v>
      </c>
      <c r="E1846" s="3">
        <v>0</v>
      </c>
      <c r="G1846" s="8"/>
      <c r="H1846" s="11"/>
      <c r="I1846" s="12"/>
      <c r="J1846" s="153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3"/>
      <c r="K1847" s="13"/>
    </row>
    <row r="1848" spans="1:11" ht="15" customHeight="1" x14ac:dyDescent="0.4">
      <c r="A1848" s="181" t="s">
        <v>1445</v>
      </c>
      <c r="B1848" s="181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3"/>
      <c r="K1848" s="13"/>
    </row>
    <row r="1849" spans="1:11" ht="15" customHeight="1" x14ac:dyDescent="0.4">
      <c r="A1849" s="175"/>
      <c r="B1849" s="175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3"/>
      <c r="K1849" s="13"/>
    </row>
    <row r="1850" spans="1:11" ht="15" customHeight="1" x14ac:dyDescent="0.4">
      <c r="A1850" s="175"/>
      <c r="B1850" s="175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3"/>
      <c r="K1850" s="13"/>
    </row>
    <row r="1851" spans="1:11" ht="15" customHeight="1" x14ac:dyDescent="0.4">
      <c r="A1851" s="175"/>
      <c r="B1851" s="175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3"/>
      <c r="K1851" s="13"/>
    </row>
    <row r="1852" spans="1:11" ht="15" customHeight="1" x14ac:dyDescent="0.4">
      <c r="A1852" s="175"/>
      <c r="B1852" s="175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3"/>
      <c r="K1852" s="13"/>
    </row>
    <row r="1853" spans="1:11" ht="15" customHeight="1" x14ac:dyDescent="0.4">
      <c r="A1853" s="175"/>
      <c r="B1853" s="175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3"/>
      <c r="K1853" s="13"/>
    </row>
    <row r="1854" spans="1:11" ht="15" customHeight="1" x14ac:dyDescent="0.4">
      <c r="A1854" s="178" t="s">
        <v>1452</v>
      </c>
      <c r="B1854" s="178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3"/>
      <c r="K1854" s="13"/>
    </row>
    <row r="1855" spans="1:11" ht="15" customHeight="1" x14ac:dyDescent="0.4">
      <c r="A1855" s="177"/>
      <c r="B1855" s="177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3"/>
      <c r="K1855" s="13"/>
    </row>
    <row r="1856" spans="1:11" ht="15" customHeight="1" x14ac:dyDescent="0.4">
      <c r="A1856" s="177"/>
      <c r="B1856" s="177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3"/>
      <c r="K1856" s="13"/>
    </row>
    <row r="1857" spans="1:11" ht="15" customHeight="1" x14ac:dyDescent="0.4">
      <c r="A1857" s="177"/>
      <c r="B1857" s="177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3"/>
      <c r="K1857" s="13"/>
    </row>
    <row r="1858" spans="1:11" ht="15" customHeight="1" x14ac:dyDescent="0.4">
      <c r="A1858" s="177"/>
      <c r="B1858" s="177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3"/>
      <c r="K1858" s="13"/>
    </row>
    <row r="1859" spans="1:11" ht="15" customHeight="1" x14ac:dyDescent="0.4">
      <c r="A1859" s="177"/>
      <c r="B1859" s="177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3"/>
      <c r="K1859" s="13"/>
    </row>
    <row r="1860" spans="1:11" ht="15" customHeight="1" x14ac:dyDescent="0.4">
      <c r="A1860" s="177"/>
      <c r="B1860" s="177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3"/>
      <c r="K1860" s="13"/>
    </row>
    <row r="1861" spans="1:11" ht="15" customHeight="1" x14ac:dyDescent="0.4">
      <c r="A1861" s="177"/>
      <c r="B1861" s="177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3"/>
      <c r="K1861" s="13"/>
    </row>
    <row r="1862" spans="1:11" ht="15" customHeight="1" x14ac:dyDescent="0.4">
      <c r="A1862" s="177"/>
      <c r="B1862" s="177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3"/>
      <c r="K1862" s="13"/>
    </row>
    <row r="1863" spans="1:11" ht="15" customHeight="1" x14ac:dyDescent="0.4">
      <c r="A1863" s="177"/>
      <c r="B1863" s="177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3"/>
      <c r="K1863" s="13"/>
    </row>
    <row r="1864" spans="1:11" ht="15" customHeight="1" x14ac:dyDescent="0.4">
      <c r="A1864" s="177"/>
      <c r="B1864" s="177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3"/>
      <c r="K1864" s="13"/>
    </row>
    <row r="1865" spans="1:11" ht="15" customHeight="1" x14ac:dyDescent="0.4">
      <c r="A1865" s="177"/>
      <c r="B1865" s="177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3"/>
      <c r="K1865" s="13"/>
    </row>
    <row r="1866" spans="1:11" ht="15" customHeight="1" x14ac:dyDescent="0.4">
      <c r="A1866" s="177"/>
      <c r="B1866" s="177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3"/>
      <c r="K1866" s="13"/>
    </row>
    <row r="1867" spans="1:11" ht="15" customHeight="1" x14ac:dyDescent="0.4">
      <c r="A1867" s="177"/>
      <c r="B1867" s="178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3"/>
      <c r="K1867" s="13"/>
    </row>
    <row r="1868" spans="1:11" ht="15" customHeight="1" x14ac:dyDescent="0.4">
      <c r="A1868" s="177"/>
      <c r="B1868" s="177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3"/>
      <c r="K1868" s="13"/>
    </row>
    <row r="1869" spans="1:11" ht="15" customHeight="1" x14ac:dyDescent="0.4">
      <c r="A1869" s="177"/>
      <c r="B1869" s="177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3"/>
      <c r="K1869" s="13"/>
    </row>
    <row r="1870" spans="1:11" ht="15" customHeight="1" x14ac:dyDescent="0.4">
      <c r="A1870" s="177"/>
      <c r="B1870" s="177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3"/>
      <c r="K1870" s="13"/>
    </row>
    <row r="1871" spans="1:11" ht="15" customHeight="1" x14ac:dyDescent="0.4">
      <c r="A1871" s="177"/>
      <c r="B1871" s="177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3"/>
      <c r="K1871" s="13"/>
    </row>
    <row r="1872" spans="1:11" ht="15" customHeight="1" x14ac:dyDescent="0.4">
      <c r="A1872" s="177"/>
      <c r="B1872" s="177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3"/>
      <c r="K1872" s="13"/>
    </row>
    <row r="1873" spans="1:11" ht="15" customHeight="1" x14ac:dyDescent="0.4">
      <c r="A1873" s="177"/>
      <c r="B1873" s="177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3"/>
      <c r="K1873" s="13"/>
    </row>
    <row r="1874" spans="1:11" ht="15" customHeight="1" x14ac:dyDescent="0.4">
      <c r="A1874" s="177"/>
      <c r="B1874" s="177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3"/>
      <c r="K1874" s="13"/>
    </row>
    <row r="1875" spans="1:11" ht="15" customHeight="1" x14ac:dyDescent="0.4">
      <c r="A1875" s="177"/>
      <c r="B1875" s="177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3"/>
      <c r="K1875" s="13"/>
    </row>
    <row r="1876" spans="1:11" ht="15" customHeight="1" x14ac:dyDescent="0.4">
      <c r="A1876" s="177"/>
      <c r="B1876" s="177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3"/>
      <c r="K1876" s="13"/>
    </row>
    <row r="1877" spans="1:11" ht="15" customHeight="1" x14ac:dyDescent="0.4">
      <c r="A1877" s="177"/>
      <c r="B1877" s="177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3"/>
      <c r="K1877" s="13"/>
    </row>
    <row r="1878" spans="1:11" ht="15" customHeight="1" x14ac:dyDescent="0.4">
      <c r="A1878" s="177"/>
      <c r="B1878" s="177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3"/>
      <c r="K1878" s="13"/>
    </row>
    <row r="1879" spans="1:11" ht="15" customHeight="1" x14ac:dyDescent="0.4">
      <c r="A1879" s="177"/>
      <c r="B1879" s="177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3"/>
      <c r="K1879" s="13"/>
    </row>
    <row r="1880" spans="1:11" ht="15" customHeight="1" x14ac:dyDescent="0.4">
      <c r="A1880" s="186" t="s">
        <v>1468</v>
      </c>
      <c r="B1880" s="182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3"/>
      <c r="K1880" s="13"/>
    </row>
    <row r="1881" spans="1:11" ht="15" customHeight="1" x14ac:dyDescent="0.4">
      <c r="A1881" s="187"/>
      <c r="B1881" s="182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3"/>
      <c r="K1881" s="13"/>
    </row>
    <row r="1882" spans="1:11" ht="15" customHeight="1" x14ac:dyDescent="0.4">
      <c r="A1882" s="187"/>
      <c r="B1882" s="182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3"/>
      <c r="K1882" s="13"/>
    </row>
    <row r="1883" spans="1:11" ht="15" customHeight="1" x14ac:dyDescent="0.4">
      <c r="A1883" s="187"/>
      <c r="B1883" s="182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3"/>
      <c r="K1883" s="13"/>
    </row>
    <row r="1884" spans="1:11" ht="15" customHeight="1" x14ac:dyDescent="0.4">
      <c r="A1884" s="187"/>
      <c r="B1884" s="182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3"/>
      <c r="K1884" s="13"/>
    </row>
    <row r="1885" spans="1:11" ht="15" customHeight="1" x14ac:dyDescent="0.4">
      <c r="A1885" s="187"/>
      <c r="B1885" s="182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3"/>
      <c r="K1885" s="13"/>
    </row>
    <row r="1886" spans="1:11" ht="15" customHeight="1" x14ac:dyDescent="0.4">
      <c r="A1886" s="187"/>
      <c r="B1886" s="182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3"/>
      <c r="K1886" s="13"/>
    </row>
    <row r="1887" spans="1:11" ht="15" customHeight="1" x14ac:dyDescent="0.4">
      <c r="A1887" s="188"/>
      <c r="B1887" s="182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3"/>
      <c r="K1887" s="13"/>
    </row>
    <row r="1888" spans="1:11" s="1" customFormat="1" ht="15" customHeight="1" x14ac:dyDescent="0.4">
      <c r="A1888" s="178" t="s">
        <v>1476</v>
      </c>
      <c r="B1888" s="177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3"/>
      <c r="K1888" s="13"/>
    </row>
    <row r="1889" spans="1:11" s="1" customFormat="1" ht="15" customHeight="1" x14ac:dyDescent="0.4">
      <c r="A1889" s="178"/>
      <c r="B1889" s="177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3"/>
      <c r="K1889" s="13"/>
    </row>
    <row r="1890" spans="1:11" s="1" customFormat="1" ht="15" customHeight="1" x14ac:dyDescent="0.4">
      <c r="A1890" s="178"/>
      <c r="B1890" s="177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3"/>
      <c r="K1890" s="13"/>
    </row>
    <row r="1891" spans="1:11" s="1" customFormat="1" ht="15" customHeight="1" x14ac:dyDescent="0.4">
      <c r="A1891" s="178"/>
      <c r="B1891" s="177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3"/>
      <c r="K1891" s="13"/>
    </row>
    <row r="1892" spans="1:11" s="1" customFormat="1" ht="15" customHeight="1" x14ac:dyDescent="0.4">
      <c r="A1892" s="178"/>
      <c r="B1892" s="177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3"/>
      <c r="K1892" s="13"/>
    </row>
    <row r="1893" spans="1:11" s="1" customFormat="1" ht="15" customHeight="1" x14ac:dyDescent="0.4">
      <c r="A1893" s="178"/>
      <c r="B1893" s="177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3"/>
      <c r="K1893" s="13"/>
    </row>
    <row r="1894" spans="1:11" s="1" customFormat="1" ht="15" customHeight="1" x14ac:dyDescent="0.4">
      <c r="A1894" s="178"/>
      <c r="B1894" s="177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3"/>
      <c r="K1894" s="13"/>
    </row>
    <row r="1895" spans="1:11" s="1" customFormat="1" ht="15" customHeight="1" x14ac:dyDescent="0.4">
      <c r="A1895" s="178"/>
      <c r="B1895" s="177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3"/>
      <c r="K1895" s="13"/>
    </row>
    <row r="1896" spans="1:11" s="1" customFormat="1" ht="15" customHeight="1" x14ac:dyDescent="0.4">
      <c r="A1896" s="178"/>
      <c r="B1896" s="177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3"/>
      <c r="K1896" s="13"/>
    </row>
    <row r="1897" spans="1:11" s="1" customFormat="1" ht="15" customHeight="1" x14ac:dyDescent="0.4">
      <c r="A1897" s="178"/>
      <c r="B1897" s="177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3"/>
      <c r="K1897" s="13"/>
    </row>
    <row r="1898" spans="1:11" s="1" customFormat="1" ht="15" customHeight="1" x14ac:dyDescent="0.4">
      <c r="A1898" s="178"/>
      <c r="B1898" s="177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3"/>
      <c r="K1898" s="13"/>
    </row>
    <row r="1899" spans="1:11" s="1" customFormat="1" ht="15" customHeight="1" x14ac:dyDescent="0.4">
      <c r="A1899" s="178"/>
      <c r="B1899" s="177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3"/>
      <c r="K1899" s="13"/>
    </row>
    <row r="1900" spans="1:11" s="1" customFormat="1" ht="15" customHeight="1" x14ac:dyDescent="0.4">
      <c r="A1900" s="178"/>
      <c r="B1900" s="177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3"/>
      <c r="K1900" s="13"/>
    </row>
    <row r="1901" spans="1:11" s="1" customFormat="1" ht="15" customHeight="1" x14ac:dyDescent="0.4">
      <c r="A1901" s="178"/>
      <c r="B1901" s="177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3"/>
      <c r="K1901" s="13"/>
    </row>
    <row r="1902" spans="1:11" s="1" customFormat="1" ht="15" customHeight="1" x14ac:dyDescent="0.4">
      <c r="A1902" s="178"/>
      <c r="B1902" s="177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3"/>
      <c r="K1902" s="13"/>
    </row>
    <row r="1903" spans="1:11" s="1" customFormat="1" ht="15" customHeight="1" x14ac:dyDescent="0.4">
      <c r="A1903" s="178"/>
      <c r="B1903" s="177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3"/>
      <c r="K1903" s="13"/>
    </row>
    <row r="1904" spans="1:11" s="1" customFormat="1" ht="15" customHeight="1" x14ac:dyDescent="0.4">
      <c r="A1904" s="178"/>
      <c r="B1904" s="177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3"/>
      <c r="K1904" s="13"/>
    </row>
    <row r="1905" spans="1:11" s="1" customFormat="1" ht="15" customHeight="1" x14ac:dyDescent="0.4">
      <c r="A1905" s="178"/>
      <c r="B1905" s="177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3"/>
      <c r="K1905" s="13"/>
    </row>
    <row r="1906" spans="1:11" s="1" customFormat="1" ht="15" customHeight="1" x14ac:dyDescent="0.4">
      <c r="A1906" s="178"/>
      <c r="B1906" s="177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3"/>
      <c r="K1906" s="13"/>
    </row>
    <row r="1907" spans="1:11" s="1" customFormat="1" ht="15" customHeight="1" x14ac:dyDescent="0.4">
      <c r="A1907" s="178"/>
      <c r="B1907" s="177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3"/>
      <c r="K1907" s="13"/>
    </row>
    <row r="1908" spans="1:11" s="1" customFormat="1" ht="15" customHeight="1" x14ac:dyDescent="0.4">
      <c r="A1908" s="178"/>
      <c r="B1908" s="177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3"/>
      <c r="K1908" s="13"/>
    </row>
    <row r="1909" spans="1:11" s="1" customFormat="1" ht="15" customHeight="1" x14ac:dyDescent="0.4">
      <c r="A1909" s="178"/>
      <c r="B1909" s="177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3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3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3"/>
      <c r="K1911" s="13"/>
    </row>
    <row r="1912" spans="1:11" ht="15" customHeight="1" x14ac:dyDescent="0.4">
      <c r="A1912" s="178" t="s">
        <v>1484</v>
      </c>
      <c r="B1912" s="177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3"/>
      <c r="K1912" s="13"/>
    </row>
    <row r="1913" spans="1:11" ht="15" customHeight="1" x14ac:dyDescent="0.4">
      <c r="A1913" s="178"/>
      <c r="B1913" s="177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3"/>
      <c r="K1913" s="13"/>
    </row>
    <row r="1914" spans="1:11" ht="15" customHeight="1" x14ac:dyDescent="0.4">
      <c r="A1914" s="178"/>
      <c r="B1914" s="177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3"/>
      <c r="K1914" s="13"/>
    </row>
    <row r="1915" spans="1:11" ht="15" customHeight="1" x14ac:dyDescent="0.4">
      <c r="A1915" s="178"/>
      <c r="B1915" s="177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3"/>
      <c r="K1915" s="13"/>
    </row>
    <row r="1916" spans="1:11" ht="15" customHeight="1" x14ac:dyDescent="0.4">
      <c r="A1916" s="178"/>
      <c r="B1916" s="177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3"/>
      <c r="K1916" s="13"/>
    </row>
    <row r="1917" spans="1:11" ht="15" customHeight="1" x14ac:dyDescent="0.4">
      <c r="A1917" s="178"/>
      <c r="B1917" s="177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3"/>
      <c r="K1917" s="13"/>
    </row>
    <row r="1918" spans="1:11" ht="15" customHeight="1" x14ac:dyDescent="0.4">
      <c r="A1918" s="186" t="s">
        <v>1491</v>
      </c>
      <c r="B1918" s="182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3"/>
      <c r="K1918" s="13"/>
    </row>
    <row r="1919" spans="1:11" ht="15" customHeight="1" x14ac:dyDescent="0.4">
      <c r="A1919" s="187"/>
      <c r="B1919" s="182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3"/>
      <c r="K1919" s="13"/>
    </row>
    <row r="1920" spans="1:11" ht="15" customHeight="1" x14ac:dyDescent="0.4">
      <c r="A1920" s="187"/>
      <c r="B1920" s="182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3"/>
      <c r="K1920" s="13"/>
    </row>
    <row r="1921" spans="1:11" ht="15" customHeight="1" x14ac:dyDescent="0.4">
      <c r="A1921" s="187"/>
      <c r="B1921" s="182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3"/>
      <c r="K1921" s="13"/>
    </row>
    <row r="1922" spans="1:11" ht="15" customHeight="1" x14ac:dyDescent="0.4">
      <c r="A1922" s="187"/>
      <c r="B1922" s="182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3"/>
      <c r="K1922" s="13"/>
    </row>
    <row r="1923" spans="1:11" ht="15" customHeight="1" x14ac:dyDescent="0.4">
      <c r="A1923" s="187"/>
      <c r="B1923" s="182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3"/>
      <c r="K1923" s="13"/>
    </row>
    <row r="1924" spans="1:11" ht="15" customHeight="1" x14ac:dyDescent="0.4">
      <c r="A1924" s="187"/>
      <c r="B1924" s="182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3"/>
      <c r="K1924" s="13"/>
    </row>
    <row r="1925" spans="1:11" ht="15" customHeight="1" x14ac:dyDescent="0.4">
      <c r="A1925" s="187"/>
      <c r="B1925" s="182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3"/>
      <c r="K1925" s="13"/>
    </row>
    <row r="1926" spans="1:11" ht="15" customHeight="1" x14ac:dyDescent="0.4">
      <c r="A1926" s="188"/>
      <c r="B1926" s="182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3"/>
      <c r="K1926" s="13"/>
    </row>
    <row r="1927" spans="1:11" ht="15" customHeight="1" x14ac:dyDescent="0.4">
      <c r="A1927" s="195" t="s">
        <v>1500</v>
      </c>
      <c r="B1927" s="182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3"/>
      <c r="K1927" s="13"/>
    </row>
    <row r="1928" spans="1:11" ht="15" customHeight="1" x14ac:dyDescent="0.4">
      <c r="A1928" s="195"/>
      <c r="B1928" s="182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3"/>
      <c r="K1928" s="13"/>
    </row>
    <row r="1929" spans="1:11" ht="15" customHeight="1" x14ac:dyDescent="0.4">
      <c r="A1929" s="195"/>
      <c r="B1929" s="182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3"/>
      <c r="K1929" s="13"/>
    </row>
    <row r="1930" spans="1:11" s="1" customFormat="1" ht="15" customHeight="1" x14ac:dyDescent="0.4">
      <c r="A1930" s="178" t="s">
        <v>1502</v>
      </c>
      <c r="B1930" s="177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2">
        <v>600</v>
      </c>
      <c r="K1930" s="13"/>
    </row>
    <row r="1931" spans="1:11" ht="15" customHeight="1" x14ac:dyDescent="0.4">
      <c r="A1931" s="178"/>
      <c r="B1931" s="177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8">
        <v>800</v>
      </c>
      <c r="K1931" s="13"/>
    </row>
    <row r="1932" spans="1:11" ht="15" customHeight="1" x14ac:dyDescent="0.4">
      <c r="A1932" s="178"/>
      <c r="B1932" s="177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8">
        <v>1000</v>
      </c>
      <c r="K1932" s="13"/>
    </row>
    <row r="1933" spans="1:11" ht="15" customHeight="1" x14ac:dyDescent="0.4">
      <c r="A1933" s="178"/>
      <c r="B1933" s="177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2">
        <v>600</v>
      </c>
      <c r="K1933" s="13"/>
    </row>
    <row r="1934" spans="1:11" ht="15" customHeight="1" x14ac:dyDescent="0.4">
      <c r="A1934" s="178"/>
      <c r="B1934" s="177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2">
        <v>800</v>
      </c>
      <c r="K1934" s="13"/>
    </row>
    <row r="1935" spans="1:11" ht="15" customHeight="1" x14ac:dyDescent="0.4">
      <c r="A1935" s="178"/>
      <c r="B1935" s="177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2">
        <v>1000</v>
      </c>
      <c r="K1935" s="13"/>
    </row>
    <row r="1936" spans="1:11" ht="15" customHeight="1" x14ac:dyDescent="0.4">
      <c r="A1936" s="178" t="s">
        <v>1509</v>
      </c>
      <c r="B1936" s="177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3"/>
      <c r="K1936" s="13"/>
    </row>
    <row r="1937" spans="1:11" ht="15" customHeight="1" x14ac:dyDescent="0.4">
      <c r="A1937" s="178"/>
      <c r="B1937" s="177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3"/>
      <c r="K1937" s="13"/>
    </row>
    <row r="1938" spans="1:11" ht="15" customHeight="1" x14ac:dyDescent="0.4">
      <c r="A1938" s="178"/>
      <c r="B1938" s="177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3"/>
      <c r="K1938" s="13"/>
    </row>
    <row r="1939" spans="1:11" ht="15" customHeight="1" x14ac:dyDescent="0.4">
      <c r="A1939" s="178"/>
      <c r="B1939" s="177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3"/>
      <c r="K1939" s="13"/>
    </row>
    <row r="1940" spans="1:11" ht="15" customHeight="1" x14ac:dyDescent="0.4">
      <c r="A1940" s="178"/>
      <c r="B1940" s="177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3"/>
      <c r="K1940" s="13"/>
    </row>
    <row r="1941" spans="1:11" ht="15" customHeight="1" x14ac:dyDescent="0.4">
      <c r="A1941" s="180" t="s">
        <v>1515</v>
      </c>
      <c r="B1941" s="178" t="s">
        <v>604</v>
      </c>
      <c r="C1941" s="33" t="s">
        <v>2956</v>
      </c>
      <c r="D1941" s="21"/>
      <c r="E1941" s="168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3"/>
      <c r="K1941" s="13"/>
    </row>
    <row r="1942" spans="1:11" ht="15" customHeight="1" x14ac:dyDescent="0.4">
      <c r="A1942" s="183"/>
      <c r="B1942" s="178"/>
      <c r="C1942" s="33">
        <v>225</v>
      </c>
      <c r="D1942" s="21"/>
      <c r="E1942" s="168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3"/>
      <c r="K1942" s="13"/>
    </row>
    <row r="1943" spans="1:11" ht="15" customHeight="1" x14ac:dyDescent="0.4">
      <c r="A1943" s="183"/>
      <c r="B1943" s="178"/>
      <c r="C1943" s="33">
        <v>275</v>
      </c>
      <c r="D1943" s="21"/>
      <c r="E1943" s="168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3"/>
      <c r="K1943" s="13"/>
    </row>
    <row r="1944" spans="1:11" ht="15" customHeight="1" x14ac:dyDescent="0.4">
      <c r="A1944" s="183"/>
      <c r="B1944" s="178"/>
      <c r="C1944" s="33">
        <v>300</v>
      </c>
      <c r="D1944" s="21"/>
      <c r="E1944" s="168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3"/>
      <c r="K1944" s="13"/>
    </row>
    <row r="1945" spans="1:11" ht="15" customHeight="1" x14ac:dyDescent="0.4">
      <c r="A1945" s="183"/>
      <c r="B1945" s="15" t="s">
        <v>1516</v>
      </c>
      <c r="C1945" s="20">
        <v>125</v>
      </c>
      <c r="D1945" s="21" t="s">
        <v>1517</v>
      </c>
      <c r="E1945" s="168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3"/>
      <c r="K1945" s="13"/>
    </row>
    <row r="1946" spans="1:11" ht="15" customHeight="1" x14ac:dyDescent="0.4">
      <c r="A1946" s="183"/>
      <c r="B1946" s="15" t="s">
        <v>604</v>
      </c>
      <c r="C1946" s="20">
        <v>170</v>
      </c>
      <c r="D1946" s="21" t="s">
        <v>1517</v>
      </c>
      <c r="E1946" s="168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3"/>
      <c r="K1946" s="13"/>
    </row>
    <row r="1947" spans="1:11" ht="15" customHeight="1" x14ac:dyDescent="0.4">
      <c r="A1947" s="183"/>
      <c r="B1947" s="15" t="s">
        <v>1518</v>
      </c>
      <c r="C1947" s="20">
        <v>250</v>
      </c>
      <c r="D1947" s="21" t="s">
        <v>1517</v>
      </c>
      <c r="E1947" s="168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3"/>
      <c r="K1947" s="13"/>
    </row>
    <row r="1948" spans="1:11" ht="15" customHeight="1" x14ac:dyDescent="0.4">
      <c r="A1948" s="184"/>
      <c r="B1948" s="15" t="s">
        <v>604</v>
      </c>
      <c r="C1948" s="20">
        <v>150</v>
      </c>
      <c r="D1948" s="21" t="s">
        <v>1519</v>
      </c>
      <c r="E1948" s="168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3"/>
      <c r="K1948" s="13"/>
    </row>
    <row r="1949" spans="1:11" ht="15" customHeight="1" x14ac:dyDescent="0.4">
      <c r="A1949" s="178" t="s">
        <v>1520</v>
      </c>
      <c r="B1949" s="177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3"/>
      <c r="K1949" s="13"/>
    </row>
    <row r="1950" spans="1:11" ht="15" customHeight="1" x14ac:dyDescent="0.4">
      <c r="A1950" s="178"/>
      <c r="B1950" s="177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3"/>
      <c r="K1950" s="13"/>
    </row>
    <row r="1951" spans="1:11" ht="15" customHeight="1" x14ac:dyDescent="0.4">
      <c r="A1951" s="192" t="s">
        <v>1521</v>
      </c>
      <c r="B1951" s="182" t="s">
        <v>213</v>
      </c>
      <c r="C1951" s="69">
        <v>120</v>
      </c>
      <c r="D1951" s="9" t="s">
        <v>1522</v>
      </c>
      <c r="E1951" s="165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3"/>
      <c r="K1951" s="13"/>
    </row>
    <row r="1952" spans="1:11" ht="15" customHeight="1" x14ac:dyDescent="0.4">
      <c r="A1952" s="193"/>
      <c r="B1952" s="182"/>
      <c r="C1952" s="69"/>
      <c r="D1952" s="9" t="s">
        <v>1523</v>
      </c>
      <c r="E1952" s="165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3"/>
      <c r="K1952" s="13"/>
    </row>
    <row r="1953" spans="1:11" ht="15" customHeight="1" x14ac:dyDescent="0.4">
      <c r="A1953" s="193"/>
      <c r="B1953" s="182"/>
      <c r="C1953" s="69"/>
      <c r="D1953" s="9" t="s">
        <v>1524</v>
      </c>
      <c r="E1953" s="165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3"/>
      <c r="K1953" s="13"/>
    </row>
    <row r="1954" spans="1:11" ht="15" customHeight="1" x14ac:dyDescent="0.4">
      <c r="A1954" s="193"/>
      <c r="B1954" s="182"/>
      <c r="C1954" s="84"/>
      <c r="D1954" s="29" t="s">
        <v>1525</v>
      </c>
      <c r="E1954" s="165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3"/>
      <c r="K1954" s="13"/>
    </row>
    <row r="1955" spans="1:11" ht="15" customHeight="1" x14ac:dyDescent="0.4">
      <c r="A1955" s="193"/>
      <c r="B1955" s="182"/>
      <c r="C1955" s="69">
        <v>200</v>
      </c>
      <c r="D1955" s="9" t="s">
        <v>989</v>
      </c>
      <c r="E1955" s="165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3"/>
      <c r="K1955" s="13"/>
    </row>
    <row r="1956" spans="1:11" ht="15" customHeight="1" x14ac:dyDescent="0.4">
      <c r="A1956" s="193"/>
      <c r="B1956" s="182"/>
      <c r="C1956" s="69">
        <v>250</v>
      </c>
      <c r="D1956" s="9" t="s">
        <v>1526</v>
      </c>
      <c r="E1956" s="165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3"/>
      <c r="K1956" s="13"/>
    </row>
    <row r="1957" spans="1:11" ht="15" customHeight="1" x14ac:dyDescent="0.4">
      <c r="A1957" s="193"/>
      <c r="B1957" s="182"/>
      <c r="C1957" s="69"/>
      <c r="D1957" s="9" t="s">
        <v>1527</v>
      </c>
      <c r="E1957" s="165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3"/>
      <c r="K1957" s="13"/>
    </row>
    <row r="1958" spans="1:11" ht="15" customHeight="1" x14ac:dyDescent="0.4">
      <c r="A1958" s="193"/>
      <c r="B1958" s="182"/>
      <c r="C1958" s="69"/>
      <c r="D1958" s="9" t="s">
        <v>1528</v>
      </c>
      <c r="E1958" s="165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3"/>
      <c r="K1958" s="13"/>
    </row>
    <row r="1959" spans="1:11" ht="15" customHeight="1" x14ac:dyDescent="0.4">
      <c r="A1959" s="193"/>
      <c r="B1959" s="182"/>
      <c r="C1959" s="84"/>
      <c r="D1959" s="29" t="s">
        <v>1529</v>
      </c>
      <c r="E1959" s="165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3"/>
      <c r="K1959" s="13"/>
    </row>
    <row r="1960" spans="1:11" ht="15" customHeight="1" x14ac:dyDescent="0.4">
      <c r="A1960" s="193"/>
      <c r="B1960" s="182"/>
      <c r="C1960" s="69">
        <v>350</v>
      </c>
      <c r="D1960" s="9" t="s">
        <v>1530</v>
      </c>
      <c r="E1960" s="165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3"/>
      <c r="K1960" s="13"/>
    </row>
    <row r="1961" spans="1:11" ht="15" customHeight="1" x14ac:dyDescent="0.4">
      <c r="A1961" s="193"/>
      <c r="B1961" s="182"/>
      <c r="C1961" s="69"/>
      <c r="D1961" s="9" t="s">
        <v>1531</v>
      </c>
      <c r="E1961" s="165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3"/>
      <c r="K1961" s="13"/>
    </row>
    <row r="1962" spans="1:11" ht="15" customHeight="1" x14ac:dyDescent="0.4">
      <c r="A1962" s="193"/>
      <c r="B1962" s="182"/>
      <c r="C1962" s="69"/>
      <c r="D1962" s="9" t="s">
        <v>1532</v>
      </c>
      <c r="E1962" s="165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3"/>
      <c r="K1962" s="13"/>
    </row>
    <row r="1963" spans="1:11" ht="15" customHeight="1" x14ac:dyDescent="0.4">
      <c r="A1963" s="193"/>
      <c r="B1963" s="182"/>
      <c r="C1963" s="84"/>
      <c r="D1963" s="29" t="s">
        <v>1533</v>
      </c>
      <c r="E1963" s="165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3"/>
      <c r="K1963" s="13"/>
    </row>
    <row r="1964" spans="1:11" ht="15" customHeight="1" x14ac:dyDescent="0.4">
      <c r="A1964" s="193"/>
      <c r="B1964" s="182" t="s">
        <v>1534</v>
      </c>
      <c r="C1964" s="72">
        <v>120</v>
      </c>
      <c r="D1964" s="21" t="s">
        <v>789</v>
      </c>
      <c r="E1964" s="168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3"/>
      <c r="K1964" s="13"/>
    </row>
    <row r="1965" spans="1:11" ht="15" customHeight="1" x14ac:dyDescent="0.4">
      <c r="A1965" s="193"/>
      <c r="B1965" s="182"/>
      <c r="C1965" s="72"/>
      <c r="D1965" s="21" t="s">
        <v>1535</v>
      </c>
      <c r="E1965" s="168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3"/>
      <c r="K1965" s="13"/>
    </row>
    <row r="1966" spans="1:11" ht="15" customHeight="1" x14ac:dyDescent="0.4">
      <c r="A1966" s="193"/>
      <c r="B1966" s="182"/>
      <c r="C1966" s="72"/>
      <c r="D1966" s="21" t="s">
        <v>1524</v>
      </c>
      <c r="E1966" s="168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3"/>
      <c r="K1966" s="13"/>
    </row>
    <row r="1967" spans="1:11" ht="15" customHeight="1" x14ac:dyDescent="0.4">
      <c r="A1967" s="193"/>
      <c r="B1967" s="182"/>
      <c r="C1967" s="72"/>
      <c r="D1967" s="21" t="s">
        <v>1525</v>
      </c>
      <c r="E1967" s="168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3"/>
      <c r="K1967" s="13"/>
    </row>
    <row r="1968" spans="1:11" ht="15" customHeight="1" x14ac:dyDescent="0.4">
      <c r="A1968" s="193"/>
      <c r="B1968" s="182"/>
      <c r="C1968" s="72">
        <v>250</v>
      </c>
      <c r="D1968" s="21" t="s">
        <v>1536</v>
      </c>
      <c r="E1968" s="168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3"/>
      <c r="K1968" s="13"/>
    </row>
    <row r="1969" spans="1:11" ht="15" customHeight="1" x14ac:dyDescent="0.4">
      <c r="A1969" s="193"/>
      <c r="B1969" s="182"/>
      <c r="C1969" s="72">
        <v>350</v>
      </c>
      <c r="D1969" s="21" t="s">
        <v>1537</v>
      </c>
      <c r="E1969" s="168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3"/>
      <c r="K1969" s="13"/>
    </row>
    <row r="1970" spans="1:11" ht="15" customHeight="1" x14ac:dyDescent="0.4">
      <c r="A1970" s="193"/>
      <c r="B1970" s="182"/>
      <c r="C1970" s="72"/>
      <c r="D1970" s="21" t="s">
        <v>1532</v>
      </c>
      <c r="E1970" s="168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3"/>
      <c r="K1970" s="13"/>
    </row>
    <row r="1971" spans="1:11" ht="15" customHeight="1" x14ac:dyDescent="0.4">
      <c r="A1971" s="194"/>
      <c r="B1971" s="182"/>
      <c r="C1971" s="72"/>
      <c r="D1971" s="21" t="s">
        <v>1533</v>
      </c>
      <c r="E1971" s="168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3"/>
      <c r="K1971" s="13"/>
    </row>
    <row r="1972" spans="1:11" ht="15" customHeight="1" x14ac:dyDescent="0.4">
      <c r="A1972" s="182" t="s">
        <v>1538</v>
      </c>
      <c r="B1972" s="182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3"/>
      <c r="K1972" s="13"/>
    </row>
    <row r="1973" spans="1:11" ht="15" customHeight="1" x14ac:dyDescent="0.4">
      <c r="A1973" s="182"/>
      <c r="B1973" s="182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3"/>
      <c r="K1973" s="13"/>
    </row>
    <row r="1974" spans="1:11" ht="15" customHeight="1" x14ac:dyDescent="0.4">
      <c r="A1974" s="186" t="s">
        <v>1540</v>
      </c>
      <c r="B1974" s="182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3"/>
      <c r="K1974" s="13"/>
    </row>
    <row r="1975" spans="1:11" ht="15" customHeight="1" x14ac:dyDescent="0.4">
      <c r="A1975" s="187"/>
      <c r="B1975" s="182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3"/>
      <c r="K1975" s="13"/>
    </row>
    <row r="1976" spans="1:11" ht="15" customHeight="1" x14ac:dyDescent="0.4">
      <c r="A1976" s="187"/>
      <c r="B1976" s="182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3"/>
      <c r="K1976" s="13"/>
    </row>
    <row r="1977" spans="1:11" ht="15" customHeight="1" x14ac:dyDescent="0.4">
      <c r="A1977" s="187"/>
      <c r="B1977" s="182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3"/>
      <c r="K1977" s="13"/>
    </row>
    <row r="1978" spans="1:11" ht="15" customHeight="1" x14ac:dyDescent="0.4">
      <c r="A1978" s="187"/>
      <c r="B1978" s="182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3"/>
      <c r="K1978" s="13"/>
    </row>
    <row r="1979" spans="1:11" ht="15" customHeight="1" x14ac:dyDescent="0.4">
      <c r="A1979" s="187"/>
      <c r="B1979" s="182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3"/>
      <c r="K1979" s="13"/>
    </row>
    <row r="1980" spans="1:11" ht="15" customHeight="1" x14ac:dyDescent="0.4">
      <c r="A1980" s="187"/>
      <c r="B1980" s="182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3"/>
      <c r="K1980" s="13"/>
    </row>
    <row r="1981" spans="1:11" ht="15" customHeight="1" x14ac:dyDescent="0.4">
      <c r="A1981" s="187"/>
      <c r="B1981" s="182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3"/>
      <c r="K1981" s="13"/>
    </row>
    <row r="1982" spans="1:11" ht="15" customHeight="1" x14ac:dyDescent="0.4">
      <c r="A1982" s="187"/>
      <c r="B1982" s="182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3"/>
      <c r="K1982" s="13"/>
    </row>
    <row r="1983" spans="1:11" ht="15" customHeight="1" x14ac:dyDescent="0.4">
      <c r="A1983" s="187"/>
      <c r="B1983" s="182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3"/>
      <c r="K1983" s="13"/>
    </row>
    <row r="1984" spans="1:11" ht="15" customHeight="1" x14ac:dyDescent="0.4">
      <c r="A1984" s="187"/>
      <c r="B1984" s="182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3"/>
      <c r="K1984" s="13"/>
    </row>
    <row r="1985" spans="1:11" ht="15" customHeight="1" x14ac:dyDescent="0.4">
      <c r="A1985" s="187"/>
      <c r="B1985" s="182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3"/>
      <c r="K1985" s="13"/>
    </row>
    <row r="1986" spans="1:11" ht="15" customHeight="1" x14ac:dyDescent="0.4">
      <c r="A1986" s="187"/>
      <c r="B1986" s="182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3"/>
      <c r="K1986" s="13"/>
    </row>
    <row r="1987" spans="1:11" ht="15" customHeight="1" x14ac:dyDescent="0.4">
      <c r="A1987" s="187"/>
      <c r="B1987" s="182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3"/>
      <c r="K1987" s="13"/>
    </row>
    <row r="1988" spans="1:11" ht="15" customHeight="1" x14ac:dyDescent="0.4">
      <c r="A1988" s="187"/>
      <c r="B1988" s="182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3"/>
      <c r="K1988" s="13"/>
    </row>
    <row r="1989" spans="1:11" ht="15" customHeight="1" x14ac:dyDescent="0.4">
      <c r="A1989" s="187"/>
      <c r="B1989" s="182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3"/>
      <c r="K1989" s="13"/>
    </row>
    <row r="1990" spans="1:11" ht="15" customHeight="1" x14ac:dyDescent="0.4">
      <c r="A1990" s="187"/>
      <c r="B1990" s="182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3"/>
      <c r="K1990" s="13"/>
    </row>
    <row r="1991" spans="1:11" ht="15" customHeight="1" x14ac:dyDescent="0.4">
      <c r="A1991" s="187"/>
      <c r="B1991" s="182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3"/>
      <c r="K1991" s="13"/>
    </row>
    <row r="1992" spans="1:11" ht="15" customHeight="1" x14ac:dyDescent="0.4">
      <c r="A1992" s="187"/>
      <c r="B1992" s="189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3"/>
      <c r="K1992" s="13"/>
    </row>
    <row r="1993" spans="1:11" ht="15" customHeight="1" x14ac:dyDescent="0.4">
      <c r="A1993" s="187"/>
      <c r="B1993" s="190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3"/>
      <c r="K1993" s="13"/>
    </row>
    <row r="1994" spans="1:11" ht="15" customHeight="1" x14ac:dyDescent="0.4">
      <c r="A1994" s="187"/>
      <c r="B1994" s="190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3"/>
      <c r="K1994" s="13"/>
    </row>
    <row r="1995" spans="1:11" ht="15" customHeight="1" x14ac:dyDescent="0.4">
      <c r="A1995" s="187"/>
      <c r="B1995" s="190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3"/>
      <c r="K1995" s="13"/>
    </row>
    <row r="1996" spans="1:11" ht="15" customHeight="1" x14ac:dyDescent="0.4">
      <c r="A1996" s="188"/>
      <c r="B1996" s="191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3"/>
      <c r="K1996" s="13"/>
    </row>
    <row r="1997" spans="1:11" ht="15" customHeight="1" x14ac:dyDescent="0.4">
      <c r="A1997" s="181" t="s">
        <v>1554</v>
      </c>
      <c r="B1997" s="181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2">
        <v>236</v>
      </c>
      <c r="K1997" s="13"/>
    </row>
    <row r="1998" spans="1:11" ht="15" customHeight="1" x14ac:dyDescent="0.4">
      <c r="A1998" s="175"/>
      <c r="B1998" s="175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2">
        <v>361</v>
      </c>
      <c r="K1998" s="13"/>
    </row>
    <row r="1999" spans="1:11" ht="15" customHeight="1" x14ac:dyDescent="0.4">
      <c r="A1999" s="175"/>
      <c r="B1999" s="175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2">
        <v>418</v>
      </c>
      <c r="K1999" s="13"/>
    </row>
    <row r="2000" spans="1:11" ht="15" customHeight="1" x14ac:dyDescent="0.4">
      <c r="A2000" s="175"/>
      <c r="B2000" s="175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2">
        <v>492</v>
      </c>
      <c r="K2000" s="13"/>
    </row>
    <row r="2001" spans="1:11" ht="15" customHeight="1" x14ac:dyDescent="0.4">
      <c r="A2001" s="175"/>
      <c r="B2001" s="175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2">
        <v>564</v>
      </c>
      <c r="K2001" s="13"/>
    </row>
    <row r="2002" spans="1:11" ht="15" customHeight="1" x14ac:dyDescent="0.4">
      <c r="A2002" s="175"/>
      <c r="B2002" s="175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2">
        <v>236</v>
      </c>
      <c r="K2002" s="13"/>
    </row>
    <row r="2003" spans="1:11" ht="15" customHeight="1" x14ac:dyDescent="0.4">
      <c r="A2003" s="175"/>
      <c r="B2003" s="175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2">
        <v>361</v>
      </c>
      <c r="K2003" s="13"/>
    </row>
    <row r="2004" spans="1:11" ht="15" customHeight="1" x14ac:dyDescent="0.4">
      <c r="A2004" s="175"/>
      <c r="B2004" s="175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2">
        <v>361</v>
      </c>
      <c r="K2004" s="13"/>
    </row>
    <row r="2005" spans="1:11" ht="15" customHeight="1" x14ac:dyDescent="0.4">
      <c r="A2005" s="175"/>
      <c r="B2005" s="175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2">
        <v>418</v>
      </c>
      <c r="K2005" s="13"/>
    </row>
    <row r="2006" spans="1:11" ht="15" customHeight="1" x14ac:dyDescent="0.4">
      <c r="A2006" s="176"/>
      <c r="B2006" s="176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2">
        <v>564</v>
      </c>
      <c r="K2006" s="13"/>
    </row>
    <row r="2007" spans="1:11" ht="15" customHeight="1" x14ac:dyDescent="0.4">
      <c r="A2007" s="180" t="s">
        <v>1564</v>
      </c>
      <c r="B2007" s="181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3"/>
      <c r="K2007" s="13"/>
    </row>
    <row r="2008" spans="1:11" ht="15" customHeight="1" x14ac:dyDescent="0.4">
      <c r="A2008" s="184"/>
      <c r="B2008" s="176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3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3"/>
      <c r="K2009" s="13"/>
    </row>
    <row r="2010" spans="1:11" ht="15" customHeight="1" x14ac:dyDescent="0.4">
      <c r="A2010" s="185" t="s">
        <v>2957</v>
      </c>
      <c r="B2010" s="174" t="s">
        <v>611</v>
      </c>
      <c r="C2010" s="14">
        <v>120</v>
      </c>
      <c r="D2010" s="9" t="s">
        <v>2958</v>
      </c>
      <c r="E2010" s="167">
        <v>300000</v>
      </c>
      <c r="G2010" s="8"/>
      <c r="H2010" s="11"/>
      <c r="I2010" s="12"/>
      <c r="J2010" s="153"/>
      <c r="K2010" s="13"/>
    </row>
    <row r="2011" spans="1:11" ht="15" customHeight="1" x14ac:dyDescent="0.4">
      <c r="A2011" s="183"/>
      <c r="B2011" s="175"/>
      <c r="C2011" s="7"/>
      <c r="D2011" s="9" t="s">
        <v>2959</v>
      </c>
      <c r="E2011" s="167">
        <v>340000</v>
      </c>
      <c r="G2011" s="8"/>
      <c r="H2011" s="11"/>
      <c r="I2011" s="12"/>
      <c r="J2011" s="153"/>
      <c r="K2011" s="13"/>
    </row>
    <row r="2012" spans="1:11" ht="15" customHeight="1" x14ac:dyDescent="0.4">
      <c r="A2012" s="184"/>
      <c r="B2012" s="176"/>
      <c r="C2012" s="7"/>
      <c r="D2012" s="9" t="s">
        <v>2960</v>
      </c>
      <c r="E2012" s="167">
        <v>375000</v>
      </c>
      <c r="G2012" s="8"/>
      <c r="H2012" s="11"/>
      <c r="I2012" s="12"/>
      <c r="J2012" s="153"/>
      <c r="K2012" s="13"/>
    </row>
    <row r="2013" spans="1:11" ht="15" customHeight="1" x14ac:dyDescent="0.4">
      <c r="A2013" s="178" t="s">
        <v>1567</v>
      </c>
      <c r="B2013" s="177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3"/>
      <c r="K2013" s="13"/>
    </row>
    <row r="2014" spans="1:11" ht="15" customHeight="1" x14ac:dyDescent="0.4">
      <c r="A2014" s="178"/>
      <c r="B2014" s="177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3"/>
      <c r="K2014" s="13"/>
    </row>
    <row r="2015" spans="1:11" ht="15" customHeight="1" x14ac:dyDescent="0.4">
      <c r="A2015" s="180" t="s">
        <v>1570</v>
      </c>
      <c r="B2015" s="181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3"/>
      <c r="K2015" s="13"/>
    </row>
    <row r="2016" spans="1:11" ht="15" customHeight="1" x14ac:dyDescent="0.4">
      <c r="A2016" s="183"/>
      <c r="B2016" s="175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3"/>
      <c r="K2016" s="13"/>
    </row>
    <row r="2017" spans="1:11" ht="15" customHeight="1" x14ac:dyDescent="0.4">
      <c r="A2017" s="183"/>
      <c r="B2017" s="175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3"/>
      <c r="K2017" s="13"/>
    </row>
    <row r="2018" spans="1:11" ht="15" customHeight="1" x14ac:dyDescent="0.4">
      <c r="A2018" s="183"/>
      <c r="B2018" s="175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3"/>
      <c r="K2018" s="13"/>
    </row>
    <row r="2019" spans="1:11" ht="15" customHeight="1" x14ac:dyDescent="0.4">
      <c r="A2019" s="183"/>
      <c r="B2019" s="177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3"/>
      <c r="K2019" s="13"/>
    </row>
    <row r="2020" spans="1:11" ht="15" customHeight="1" x14ac:dyDescent="0.4">
      <c r="A2020" s="184"/>
      <c r="B2020" s="177"/>
      <c r="C2020" s="33"/>
      <c r="D2020" s="21"/>
      <c r="E2020" s="3">
        <v>0</v>
      </c>
      <c r="G2020" s="8"/>
      <c r="H2020" s="11"/>
      <c r="I2020" s="12"/>
      <c r="J2020" s="153"/>
      <c r="K2020" s="13"/>
    </row>
    <row r="2021" spans="1:11" ht="15" customHeight="1" x14ac:dyDescent="0.4">
      <c r="A2021" s="178" t="s">
        <v>1575</v>
      </c>
      <c r="B2021" s="177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3">
        <v>110</v>
      </c>
      <c r="K2021" s="13"/>
    </row>
    <row r="2022" spans="1:11" ht="15" customHeight="1" x14ac:dyDescent="0.4">
      <c r="A2022" s="178"/>
      <c r="B2022" s="177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3">
        <v>150</v>
      </c>
      <c r="K2022" s="13"/>
    </row>
    <row r="2023" spans="1:11" ht="15" customHeight="1" x14ac:dyDescent="0.4">
      <c r="A2023" s="180" t="s">
        <v>1576</v>
      </c>
      <c r="B2023" s="181" t="s">
        <v>22</v>
      </c>
      <c r="C2023" s="7">
        <v>116</v>
      </c>
      <c r="D2023" s="9" t="s">
        <v>2961</v>
      </c>
      <c r="E2023" s="165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3"/>
      <c r="K2023" s="13"/>
    </row>
    <row r="2024" spans="1:11" ht="15" customHeight="1" x14ac:dyDescent="0.4">
      <c r="A2024" s="183"/>
      <c r="B2024" s="175"/>
      <c r="C2024" s="7"/>
      <c r="D2024" s="9" t="s">
        <v>2962</v>
      </c>
      <c r="E2024" s="165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3"/>
      <c r="K2024" s="13"/>
    </row>
    <row r="2025" spans="1:11" ht="15" customHeight="1" x14ac:dyDescent="0.4">
      <c r="A2025" s="183"/>
      <c r="B2025" s="175"/>
      <c r="C2025" s="7"/>
      <c r="D2025" s="9" t="s">
        <v>1577</v>
      </c>
      <c r="E2025" s="165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3"/>
      <c r="K2025" s="13"/>
    </row>
    <row r="2026" spans="1:11" ht="15" customHeight="1" x14ac:dyDescent="0.4">
      <c r="A2026" s="183"/>
      <c r="B2026" s="175"/>
      <c r="C2026" s="33"/>
      <c r="D2026" s="9" t="s">
        <v>2963</v>
      </c>
      <c r="E2026" s="165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3"/>
      <c r="K2026" s="13"/>
    </row>
    <row r="2027" spans="1:11" ht="15" customHeight="1" x14ac:dyDescent="0.4">
      <c r="A2027" s="183"/>
      <c r="B2027" s="175"/>
      <c r="C2027" s="33"/>
      <c r="D2027" s="9" t="s">
        <v>2964</v>
      </c>
      <c r="E2027" s="165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3"/>
      <c r="K2027" s="13"/>
    </row>
    <row r="2028" spans="1:11" ht="15" customHeight="1" x14ac:dyDescent="0.4">
      <c r="A2028" s="183"/>
      <c r="B2028" s="175"/>
      <c r="C2028" s="33"/>
      <c r="D2028" s="21" t="s">
        <v>2965</v>
      </c>
      <c r="E2028" s="168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3"/>
      <c r="K2028" s="13"/>
    </row>
    <row r="2029" spans="1:11" ht="15" customHeight="1" x14ac:dyDescent="0.4">
      <c r="A2029" s="183"/>
      <c r="B2029" s="175"/>
      <c r="C2029" s="33"/>
      <c r="D2029" s="21" t="s">
        <v>2966</v>
      </c>
      <c r="E2029" s="168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3"/>
      <c r="K2029" s="13"/>
    </row>
    <row r="2030" spans="1:11" ht="15" customHeight="1" x14ac:dyDescent="0.4">
      <c r="A2030" s="183"/>
      <c r="B2030" s="175"/>
      <c r="C2030" s="33"/>
      <c r="D2030" s="21" t="s">
        <v>1578</v>
      </c>
      <c r="E2030" s="168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3"/>
      <c r="K2030" s="13"/>
    </row>
    <row r="2031" spans="1:11" ht="15" customHeight="1" x14ac:dyDescent="0.4">
      <c r="A2031" s="184"/>
      <c r="B2031" s="176"/>
      <c r="C2031" s="20">
        <v>151</v>
      </c>
      <c r="D2031" s="21" t="s">
        <v>1579</v>
      </c>
      <c r="E2031" s="168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3"/>
      <c r="K2031" s="13"/>
    </row>
    <row r="2032" spans="1:11" ht="15" customHeight="1" x14ac:dyDescent="0.4">
      <c r="A2032" s="177" t="s">
        <v>1580</v>
      </c>
      <c r="B2032" s="177" t="s">
        <v>352</v>
      </c>
      <c r="C2032" s="33">
        <v>82</v>
      </c>
      <c r="D2032" s="21"/>
      <c r="E2032" s="168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3"/>
      <c r="K2032" s="13"/>
    </row>
    <row r="2033" spans="1:11" ht="15" customHeight="1" x14ac:dyDescent="0.4">
      <c r="A2033" s="177"/>
      <c r="B2033" s="177"/>
      <c r="C2033" s="33">
        <v>128</v>
      </c>
      <c r="D2033" s="21"/>
      <c r="E2033" s="168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3"/>
      <c r="K2033" s="13"/>
    </row>
    <row r="2034" spans="1:11" ht="15" customHeight="1" x14ac:dyDescent="0.4">
      <c r="A2034" s="177"/>
      <c r="B2034" s="7" t="s">
        <v>28</v>
      </c>
      <c r="C2034" s="33">
        <v>82</v>
      </c>
      <c r="D2034" s="21"/>
      <c r="E2034" s="168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3"/>
      <c r="K2034" s="13"/>
    </row>
    <row r="2035" spans="1:11" ht="15" customHeight="1" x14ac:dyDescent="0.4">
      <c r="A2035" s="181" t="s">
        <v>1581</v>
      </c>
      <c r="B2035" s="7" t="s">
        <v>1582</v>
      </c>
      <c r="C2035" s="20">
        <v>280</v>
      </c>
      <c r="D2035" s="21"/>
      <c r="E2035" s="168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3"/>
      <c r="K2035" s="13"/>
    </row>
    <row r="2036" spans="1:11" ht="15" customHeight="1" x14ac:dyDescent="0.4">
      <c r="A2036" s="176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3"/>
      <c r="K2036" s="13"/>
    </row>
    <row r="2037" spans="1:11" ht="15" customHeight="1" x14ac:dyDescent="0.4">
      <c r="A2037" s="178" t="s">
        <v>1584</v>
      </c>
      <c r="B2037" s="177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3"/>
      <c r="K2037" s="13"/>
    </row>
    <row r="2038" spans="1:11" ht="15" customHeight="1" x14ac:dyDescent="0.4">
      <c r="A2038" s="178"/>
      <c r="B2038" s="177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3"/>
      <c r="K2038" s="13"/>
    </row>
    <row r="2039" spans="1:11" ht="15" customHeight="1" x14ac:dyDescent="0.4">
      <c r="A2039" s="178"/>
      <c r="B2039" s="177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3"/>
      <c r="K2039" s="13"/>
    </row>
    <row r="2040" spans="1:11" ht="15" customHeight="1" x14ac:dyDescent="0.4">
      <c r="A2040" s="178"/>
      <c r="B2040" s="177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3"/>
      <c r="K2040" s="13"/>
    </row>
    <row r="2041" spans="1:11" ht="15" customHeight="1" x14ac:dyDescent="0.4">
      <c r="A2041" s="174" t="s">
        <v>1589</v>
      </c>
      <c r="B2041" s="174" t="s">
        <v>218</v>
      </c>
      <c r="C2041" s="33">
        <v>52</v>
      </c>
      <c r="D2041" s="21" t="s">
        <v>1590</v>
      </c>
      <c r="E2041" s="168">
        <v>210000</v>
      </c>
      <c r="G2041" s="8"/>
      <c r="H2041" s="11"/>
      <c r="I2041" s="12"/>
      <c r="J2041" s="153"/>
      <c r="K2041" s="13"/>
    </row>
    <row r="2042" spans="1:11" ht="15" customHeight="1" x14ac:dyDescent="0.4">
      <c r="A2042" s="175"/>
      <c r="B2042" s="176"/>
      <c r="C2042" s="33"/>
      <c r="D2042" s="21" t="s">
        <v>1591</v>
      </c>
      <c r="E2042" s="168">
        <v>200000</v>
      </c>
      <c r="G2042" s="8"/>
      <c r="H2042" s="11"/>
      <c r="I2042" s="12"/>
      <c r="J2042" s="153"/>
      <c r="K2042" s="13"/>
    </row>
    <row r="2043" spans="1:11" ht="15" customHeight="1" x14ac:dyDescent="0.4">
      <c r="A2043" s="175"/>
      <c r="B2043" s="7" t="s">
        <v>345</v>
      </c>
      <c r="C2043" s="33">
        <v>52</v>
      </c>
      <c r="D2043" s="21" t="s">
        <v>1590</v>
      </c>
      <c r="E2043" s="168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3"/>
      <c r="K2043" s="13"/>
    </row>
    <row r="2044" spans="1:11" ht="15" customHeight="1" x14ac:dyDescent="0.4">
      <c r="A2044" s="176"/>
      <c r="B2044" s="7" t="s">
        <v>744</v>
      </c>
      <c r="C2044" s="33">
        <v>52</v>
      </c>
      <c r="D2044" s="21" t="s">
        <v>1591</v>
      </c>
      <c r="E2044" s="168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3"/>
      <c r="K2044" s="13"/>
    </row>
    <row r="2045" spans="1:11" s="1" customFormat="1" ht="15" customHeight="1" x14ac:dyDescent="0.4">
      <c r="A2045" s="174" t="s">
        <v>2967</v>
      </c>
      <c r="B2045" s="174" t="s">
        <v>20</v>
      </c>
      <c r="C2045" s="14">
        <v>260</v>
      </c>
      <c r="D2045" s="9"/>
      <c r="E2045" s="167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3"/>
      <c r="K2045" s="13"/>
    </row>
    <row r="2046" spans="1:11" s="1" customFormat="1" ht="15" customHeight="1" x14ac:dyDescent="0.4">
      <c r="A2046" s="175"/>
      <c r="B2046" s="175"/>
      <c r="C2046" s="14">
        <v>310</v>
      </c>
      <c r="D2046" s="9"/>
      <c r="E2046" s="167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3"/>
      <c r="K2046" s="13"/>
    </row>
    <row r="2047" spans="1:11" s="1" customFormat="1" ht="15" customHeight="1" x14ac:dyDescent="0.4">
      <c r="A2047" s="175"/>
      <c r="B2047" s="176"/>
      <c r="C2047" s="14">
        <v>370</v>
      </c>
      <c r="D2047" s="9"/>
      <c r="E2047" s="167">
        <v>970000</v>
      </c>
      <c r="G2047" s="8"/>
      <c r="H2047" s="11"/>
      <c r="I2047" s="12"/>
      <c r="J2047" s="153"/>
      <c r="K2047" s="13"/>
    </row>
    <row r="2048" spans="1:11" s="1" customFormat="1" ht="15" customHeight="1" x14ac:dyDescent="0.4">
      <c r="A2048" s="175"/>
      <c r="B2048" s="174" t="s">
        <v>2968</v>
      </c>
      <c r="C2048" s="14">
        <v>260</v>
      </c>
      <c r="D2048" s="9"/>
      <c r="E2048" s="167">
        <v>475000</v>
      </c>
      <c r="G2048" s="8"/>
      <c r="H2048" s="11"/>
      <c r="I2048" s="12"/>
      <c r="J2048" s="153"/>
      <c r="K2048" s="13"/>
    </row>
    <row r="2049" spans="1:11" s="1" customFormat="1" ht="15" customHeight="1" x14ac:dyDescent="0.4">
      <c r="A2049" s="175"/>
      <c r="B2049" s="175"/>
      <c r="C2049" s="14">
        <v>310</v>
      </c>
      <c r="D2049" s="9"/>
      <c r="E2049" s="167">
        <v>570000</v>
      </c>
      <c r="G2049" s="8"/>
      <c r="H2049" s="11"/>
      <c r="I2049" s="12"/>
      <c r="J2049" s="153"/>
      <c r="K2049" s="13"/>
    </row>
    <row r="2050" spans="1:11" s="1" customFormat="1" ht="15" customHeight="1" x14ac:dyDescent="0.4">
      <c r="A2050" s="175"/>
      <c r="B2050" s="176"/>
      <c r="C2050" s="14">
        <v>370</v>
      </c>
      <c r="D2050" s="9"/>
      <c r="E2050" s="167">
        <v>680000</v>
      </c>
      <c r="G2050" s="8"/>
      <c r="H2050" s="11"/>
      <c r="I2050" s="12"/>
      <c r="J2050" s="153"/>
      <c r="K2050" s="13"/>
    </row>
    <row r="2051" spans="1:11" s="1" customFormat="1" ht="15" customHeight="1" x14ac:dyDescent="0.4">
      <c r="A2051" s="178" t="s">
        <v>1592</v>
      </c>
      <c r="B2051" s="177" t="s">
        <v>218</v>
      </c>
      <c r="C2051" s="7">
        <v>105</v>
      </c>
      <c r="D2051" s="9" t="s">
        <v>1593</v>
      </c>
      <c r="E2051" s="167">
        <v>475000</v>
      </c>
      <c r="G2051" s="8"/>
      <c r="H2051" s="11"/>
      <c r="I2051" s="12"/>
      <c r="J2051" s="153"/>
      <c r="K2051" s="13"/>
    </row>
    <row r="2052" spans="1:11" s="1" customFormat="1" ht="15" customHeight="1" x14ac:dyDescent="0.4">
      <c r="A2052" s="177"/>
      <c r="B2052" s="177"/>
      <c r="C2052" s="7"/>
      <c r="D2052" s="9" t="s">
        <v>1594</v>
      </c>
      <c r="E2052" s="167">
        <v>550000</v>
      </c>
      <c r="G2052" s="8"/>
      <c r="H2052" s="11"/>
      <c r="I2052" s="12"/>
      <c r="J2052" s="153"/>
      <c r="K2052" s="13"/>
    </row>
    <row r="2053" spans="1:11" s="1" customFormat="1" ht="15" customHeight="1" x14ac:dyDescent="0.4">
      <c r="A2053" s="177"/>
      <c r="B2053" s="177"/>
      <c r="C2053" s="7"/>
      <c r="D2053" s="9" t="s">
        <v>1595</v>
      </c>
      <c r="E2053" s="167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3"/>
      <c r="K2053" s="13"/>
    </row>
    <row r="2054" spans="1:11" s="1" customFormat="1" ht="15" customHeight="1" x14ac:dyDescent="0.4">
      <c r="A2054" s="177"/>
      <c r="B2054" s="177"/>
      <c r="C2054" s="7">
        <v>186</v>
      </c>
      <c r="D2054" s="9" t="s">
        <v>1593</v>
      </c>
      <c r="E2054" s="167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3"/>
      <c r="K2054" s="13"/>
    </row>
    <row r="2055" spans="1:11" s="1" customFormat="1" ht="15" customHeight="1" x14ac:dyDescent="0.4">
      <c r="A2055" s="177"/>
      <c r="B2055" s="177"/>
      <c r="C2055" s="7"/>
      <c r="D2055" s="9" t="s">
        <v>1594</v>
      </c>
      <c r="E2055" s="167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3"/>
      <c r="K2055" s="13"/>
    </row>
    <row r="2056" spans="1:11" s="1" customFormat="1" ht="15" customHeight="1" x14ac:dyDescent="0.4">
      <c r="A2056" s="177"/>
      <c r="B2056" s="177"/>
      <c r="C2056" s="7"/>
      <c r="D2056" s="9" t="s">
        <v>1595</v>
      </c>
      <c r="E2056" s="167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3"/>
      <c r="K2056" s="13"/>
    </row>
    <row r="2057" spans="1:11" ht="15" customHeight="1" x14ac:dyDescent="0.4">
      <c r="A2057" s="177" t="s">
        <v>1596</v>
      </c>
      <c r="B2057" s="177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3"/>
      <c r="K2057" s="13"/>
    </row>
    <row r="2058" spans="1:11" ht="15" customHeight="1" x14ac:dyDescent="0.4">
      <c r="A2058" s="177"/>
      <c r="B2058" s="177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3"/>
      <c r="K2058" s="13"/>
    </row>
    <row r="2059" spans="1:11" ht="15" customHeight="1" x14ac:dyDescent="0.4">
      <c r="A2059" s="177"/>
      <c r="B2059" s="177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3"/>
      <c r="K2059" s="13"/>
    </row>
    <row r="2060" spans="1:11" s="1" customFormat="1" ht="15" customHeight="1" x14ac:dyDescent="0.4">
      <c r="A2060" s="177" t="s">
        <v>1600</v>
      </c>
      <c r="B2060" s="177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3"/>
      <c r="K2060" s="13"/>
    </row>
    <row r="2061" spans="1:11" s="1" customFormat="1" ht="15" customHeight="1" x14ac:dyDescent="0.4">
      <c r="A2061" s="177"/>
      <c r="B2061" s="177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3"/>
      <c r="K2061" s="13"/>
    </row>
    <row r="2062" spans="1:11" s="1" customFormat="1" ht="15" customHeight="1" x14ac:dyDescent="0.4">
      <c r="A2062" s="177"/>
      <c r="B2062" s="177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3"/>
      <c r="K2062" s="13"/>
    </row>
    <row r="2063" spans="1:11" s="1" customFormat="1" ht="15" customHeight="1" x14ac:dyDescent="0.4">
      <c r="A2063" s="177"/>
      <c r="B2063" s="177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3"/>
      <c r="K2063" s="13"/>
    </row>
    <row r="2064" spans="1:11" s="1" customFormat="1" ht="15" customHeight="1" x14ac:dyDescent="0.4">
      <c r="A2064" s="177"/>
      <c r="B2064" s="177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3"/>
      <c r="K2064" s="13"/>
    </row>
    <row r="2065" spans="1:11" s="1" customFormat="1" ht="15" customHeight="1" x14ac:dyDescent="0.4">
      <c r="A2065" s="177"/>
      <c r="B2065" s="177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3"/>
      <c r="K2065" s="13"/>
    </row>
    <row r="2066" spans="1:11" s="1" customFormat="1" ht="15" customHeight="1" x14ac:dyDescent="0.4">
      <c r="A2066" s="177"/>
      <c r="B2066" s="177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3"/>
      <c r="K2066" s="13"/>
    </row>
    <row r="2067" spans="1:11" s="1" customFormat="1" ht="15" customHeight="1" x14ac:dyDescent="0.4">
      <c r="A2067" s="177"/>
      <c r="B2067" s="177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3"/>
      <c r="K2067" s="13"/>
    </row>
    <row r="2068" spans="1:11" s="1" customFormat="1" ht="15" customHeight="1" x14ac:dyDescent="0.4">
      <c r="A2068" s="177"/>
      <c r="B2068" s="177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3"/>
      <c r="K2068" s="13"/>
    </row>
    <row r="2069" spans="1:11" s="1" customFormat="1" ht="15" customHeight="1" x14ac:dyDescent="0.4">
      <c r="A2069" s="177"/>
      <c r="B2069" s="177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3"/>
      <c r="K2069" s="13"/>
    </row>
    <row r="2070" spans="1:11" s="1" customFormat="1" ht="15" customHeight="1" x14ac:dyDescent="0.4">
      <c r="A2070" s="177"/>
      <c r="B2070" s="177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3"/>
      <c r="K2070" s="13"/>
    </row>
    <row r="2071" spans="1:11" ht="15" customHeight="1" x14ac:dyDescent="0.4">
      <c r="A2071" s="177"/>
      <c r="B2071" s="177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3"/>
      <c r="K2071" s="13"/>
    </row>
    <row r="2072" spans="1:11" ht="15" customHeight="1" x14ac:dyDescent="0.4">
      <c r="A2072" s="177"/>
      <c r="B2072" s="177"/>
      <c r="C2072" s="7"/>
      <c r="D2072" s="9" t="s">
        <v>1613</v>
      </c>
      <c r="E2072" s="3">
        <v>0</v>
      </c>
      <c r="G2072" s="8"/>
      <c r="H2072" s="11"/>
      <c r="I2072" s="12"/>
      <c r="J2072" s="153"/>
      <c r="K2072" s="13"/>
    </row>
    <row r="2073" spans="1:11" ht="15" customHeight="1" x14ac:dyDescent="0.4">
      <c r="A2073" s="178" t="s">
        <v>1614</v>
      </c>
      <c r="B2073" s="177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3"/>
      <c r="K2073" s="13"/>
    </row>
    <row r="2074" spans="1:11" ht="15" customHeight="1" x14ac:dyDescent="0.4">
      <c r="A2074" s="178"/>
      <c r="B2074" s="177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3"/>
      <c r="K2074" s="13"/>
    </row>
    <row r="2075" spans="1:11" ht="15" customHeight="1" x14ac:dyDescent="0.4">
      <c r="A2075" s="178"/>
      <c r="B2075" s="181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3"/>
      <c r="K2075" s="13"/>
    </row>
    <row r="2076" spans="1:11" ht="15" customHeight="1" x14ac:dyDescent="0.4">
      <c r="A2076" s="178"/>
      <c r="B2076" s="176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3"/>
      <c r="K2076" s="13"/>
    </row>
    <row r="2077" spans="1:11" ht="15" customHeight="1" x14ac:dyDescent="0.4">
      <c r="A2077" s="178"/>
      <c r="B2077" s="177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3"/>
      <c r="K2077" s="13"/>
    </row>
    <row r="2078" spans="1:11" ht="15" customHeight="1" x14ac:dyDescent="0.4">
      <c r="A2078" s="178"/>
      <c r="B2078" s="177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3"/>
      <c r="K2078" s="13"/>
    </row>
    <row r="2079" spans="1:11" ht="15" customHeight="1" x14ac:dyDescent="0.4">
      <c r="A2079" s="178"/>
      <c r="B2079" s="177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3"/>
      <c r="K2079" s="13"/>
    </row>
    <row r="2080" spans="1:11" ht="15" customHeight="1" x14ac:dyDescent="0.4">
      <c r="A2080" s="178"/>
      <c r="B2080" s="177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3"/>
      <c r="K2080" s="13"/>
    </row>
    <row r="2081" spans="1:11" ht="15" customHeight="1" x14ac:dyDescent="0.4">
      <c r="A2081" s="178"/>
      <c r="B2081" s="177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3"/>
      <c r="K2081" s="13"/>
    </row>
    <row r="2082" spans="1:11" ht="15" customHeight="1" x14ac:dyDescent="0.4">
      <c r="A2082" s="178"/>
      <c r="B2082" s="181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3"/>
      <c r="K2082" s="13"/>
    </row>
    <row r="2083" spans="1:11" ht="15" customHeight="1" x14ac:dyDescent="0.4">
      <c r="A2083" s="178"/>
      <c r="B2083" s="176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3"/>
      <c r="K2083" s="13"/>
    </row>
    <row r="2084" spans="1:11" ht="15" customHeight="1" x14ac:dyDescent="0.4">
      <c r="A2084" s="179" t="s">
        <v>1629</v>
      </c>
      <c r="B2084" s="178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3"/>
      <c r="K2084" s="13"/>
    </row>
    <row r="2085" spans="1:11" ht="15" customHeight="1" x14ac:dyDescent="0.4">
      <c r="A2085" s="179"/>
      <c r="B2085" s="178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3"/>
      <c r="K2085" s="13"/>
    </row>
    <row r="2086" spans="1:11" ht="15" customHeight="1" x14ac:dyDescent="0.4">
      <c r="A2086" s="179"/>
      <c r="B2086" s="178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3"/>
      <c r="K2086" s="13"/>
    </row>
    <row r="2087" spans="1:11" ht="15" customHeight="1" x14ac:dyDescent="0.4">
      <c r="A2087" s="179"/>
      <c r="B2087" s="178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3"/>
      <c r="K2087" s="13"/>
    </row>
    <row r="2088" spans="1:11" ht="15" customHeight="1" x14ac:dyDescent="0.4">
      <c r="A2088" s="179"/>
      <c r="B2088" s="178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3"/>
      <c r="K2088" s="13"/>
    </row>
    <row r="2089" spans="1:11" ht="15" customHeight="1" x14ac:dyDescent="0.4">
      <c r="A2089" s="179"/>
      <c r="B2089" s="178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3"/>
      <c r="K2089" s="13"/>
    </row>
    <row r="2090" spans="1:11" ht="15" customHeight="1" x14ac:dyDescent="0.4">
      <c r="A2090" s="179"/>
      <c r="B2090" s="178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3"/>
      <c r="K2090" s="13"/>
    </row>
    <row r="2091" spans="1:11" ht="15" customHeight="1" x14ac:dyDescent="0.4">
      <c r="A2091" s="179"/>
      <c r="B2091" s="178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3"/>
      <c r="K2091" s="13"/>
    </row>
    <row r="2092" spans="1:11" ht="15" customHeight="1" x14ac:dyDescent="0.4">
      <c r="A2092" s="179"/>
      <c r="B2092" s="178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3"/>
      <c r="K2092" s="13"/>
    </row>
    <row r="2093" spans="1:11" ht="15" customHeight="1" x14ac:dyDescent="0.4">
      <c r="A2093" s="179"/>
      <c r="B2093" s="178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3"/>
      <c r="K2093" s="13"/>
    </row>
    <row r="2094" spans="1:11" ht="15" customHeight="1" x14ac:dyDescent="0.4">
      <c r="A2094" s="179"/>
      <c r="B2094" s="178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3"/>
      <c r="K2094" s="13"/>
    </row>
    <row r="2095" spans="1:11" ht="15" customHeight="1" x14ac:dyDescent="0.4">
      <c r="A2095" s="179"/>
      <c r="B2095" s="178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3"/>
      <c r="K2095" s="13"/>
    </row>
    <row r="2096" spans="1:11" ht="15" customHeight="1" x14ac:dyDescent="0.4">
      <c r="A2096" s="179"/>
      <c r="B2096" s="178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3"/>
      <c r="K2096" s="13"/>
    </row>
    <row r="2097" spans="1:11" ht="15" customHeight="1" x14ac:dyDescent="0.4">
      <c r="A2097" s="179"/>
      <c r="B2097" s="178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3"/>
      <c r="K2097" s="13"/>
    </row>
    <row r="2098" spans="1:11" ht="15" customHeight="1" x14ac:dyDescent="0.4">
      <c r="A2098" s="179"/>
      <c r="B2098" s="178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3"/>
      <c r="K2098" s="13"/>
    </row>
    <row r="2099" spans="1:11" ht="15" customHeight="1" x14ac:dyDescent="0.4">
      <c r="A2099" s="179"/>
      <c r="B2099" s="178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3"/>
      <c r="K2099" s="13"/>
    </row>
    <row r="2100" spans="1:11" ht="15" customHeight="1" x14ac:dyDescent="0.4">
      <c r="A2100" s="179"/>
      <c r="B2100" s="178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3"/>
      <c r="K2100" s="13"/>
    </row>
    <row r="2101" spans="1:11" ht="15" customHeight="1" x14ac:dyDescent="0.4">
      <c r="A2101" s="179"/>
      <c r="B2101" s="178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3"/>
      <c r="K2101" s="13"/>
    </row>
    <row r="2102" spans="1:11" ht="15" customHeight="1" x14ac:dyDescent="0.4">
      <c r="A2102" s="179"/>
      <c r="B2102" s="178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3"/>
      <c r="K2102" s="13"/>
    </row>
    <row r="2103" spans="1:11" ht="15" customHeight="1" x14ac:dyDescent="0.4">
      <c r="A2103" s="179"/>
      <c r="B2103" s="178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3"/>
      <c r="K2103" s="13"/>
    </row>
    <row r="2104" spans="1:11" ht="15" customHeight="1" x14ac:dyDescent="0.4">
      <c r="A2104" s="177" t="s">
        <v>1641</v>
      </c>
      <c r="B2104" s="177" t="s">
        <v>22</v>
      </c>
      <c r="C2104" s="14">
        <v>110</v>
      </c>
      <c r="D2104" s="9" t="s">
        <v>2969</v>
      </c>
      <c r="E2104" s="165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3"/>
      <c r="K2104" s="13"/>
    </row>
    <row r="2105" spans="1:11" ht="15" customHeight="1" x14ac:dyDescent="0.4">
      <c r="A2105" s="177"/>
      <c r="B2105" s="177"/>
      <c r="C2105" s="7"/>
      <c r="D2105" s="9" t="s">
        <v>2970</v>
      </c>
      <c r="E2105" s="165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3"/>
      <c r="K2105" s="13"/>
    </row>
    <row r="2106" spans="1:11" ht="15" customHeight="1" x14ac:dyDescent="0.4">
      <c r="A2106" s="177"/>
      <c r="B2106" s="177"/>
      <c r="C2106" s="33"/>
      <c r="D2106" s="21" t="s">
        <v>1642</v>
      </c>
      <c r="E2106" s="168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3"/>
      <c r="K2106" s="13"/>
    </row>
    <row r="2107" spans="1:11" ht="15" customHeight="1" x14ac:dyDescent="0.4">
      <c r="A2107" s="177"/>
      <c r="B2107" s="177"/>
      <c r="C2107" s="33"/>
      <c r="D2107" s="21" t="s">
        <v>2971</v>
      </c>
      <c r="E2107" s="168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3"/>
      <c r="K2107" s="13"/>
    </row>
    <row r="2108" spans="1:11" ht="15" customHeight="1" x14ac:dyDescent="0.4">
      <c r="A2108" s="178" t="s">
        <v>1643</v>
      </c>
      <c r="B2108" s="177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3"/>
      <c r="K2108" s="13"/>
    </row>
    <row r="2109" spans="1:11" ht="15" customHeight="1" x14ac:dyDescent="0.4">
      <c r="A2109" s="178"/>
      <c r="B2109" s="177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3"/>
      <c r="K2109" s="13"/>
    </row>
    <row r="2110" spans="1:11" ht="15" customHeight="1" x14ac:dyDescent="0.4">
      <c r="A2110" s="178"/>
      <c r="B2110" s="177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3"/>
      <c r="K2110" s="13"/>
    </row>
    <row r="2111" spans="1:11" ht="15" customHeight="1" x14ac:dyDescent="0.4">
      <c r="A2111" s="178" t="s">
        <v>1644</v>
      </c>
      <c r="B2111" s="177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3"/>
      <c r="K2111" s="13"/>
    </row>
    <row r="2112" spans="1:11" ht="15" customHeight="1" x14ac:dyDescent="0.4">
      <c r="A2112" s="178"/>
      <c r="B2112" s="177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3"/>
      <c r="K2112" s="13"/>
    </row>
    <row r="2113" spans="1:11" ht="15" customHeight="1" x14ac:dyDescent="0.4">
      <c r="A2113" s="178"/>
      <c r="B2113" s="177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3"/>
      <c r="K2113" s="13"/>
    </row>
    <row r="2114" spans="1:11" ht="15" customHeight="1" x14ac:dyDescent="0.4">
      <c r="A2114" s="178"/>
      <c r="B2114" s="177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3"/>
      <c r="K2114" s="13"/>
    </row>
    <row r="2115" spans="1:11" ht="15" customHeight="1" x14ac:dyDescent="0.4">
      <c r="A2115" s="178"/>
      <c r="B2115" s="177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3"/>
      <c r="K2115" s="13"/>
    </row>
    <row r="2116" spans="1:11" ht="15" customHeight="1" x14ac:dyDescent="0.4">
      <c r="A2116" s="178"/>
      <c r="B2116" s="177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3"/>
      <c r="K2116" s="13"/>
    </row>
    <row r="2117" spans="1:11" ht="15" customHeight="1" x14ac:dyDescent="0.4">
      <c r="A2117" s="178"/>
      <c r="B2117" s="177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3"/>
      <c r="K2117" s="13"/>
    </row>
    <row r="2118" spans="1:11" ht="15" customHeight="1" x14ac:dyDescent="0.4">
      <c r="A2118" s="178"/>
      <c r="B2118" s="177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3"/>
      <c r="K2118" s="13"/>
    </row>
    <row r="2119" spans="1:11" ht="15" customHeight="1" x14ac:dyDescent="0.4">
      <c r="A2119" s="178"/>
      <c r="B2119" s="177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3"/>
      <c r="K2119" s="13"/>
    </row>
    <row r="2120" spans="1:11" ht="15" customHeight="1" x14ac:dyDescent="0.4">
      <c r="A2120" s="178" t="s">
        <v>1652</v>
      </c>
      <c r="B2120" s="177" t="s">
        <v>604</v>
      </c>
      <c r="C2120" s="7">
        <v>303</v>
      </c>
      <c r="D2120" s="9"/>
      <c r="E2120" s="165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3"/>
      <c r="K2120" s="13"/>
    </row>
    <row r="2121" spans="1:11" ht="15" customHeight="1" x14ac:dyDescent="0.4">
      <c r="A2121" s="178"/>
      <c r="B2121" s="177"/>
      <c r="C2121" s="14">
        <v>332</v>
      </c>
      <c r="D2121" s="9"/>
      <c r="E2121" s="165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3"/>
      <c r="K2121" s="13"/>
    </row>
    <row r="2122" spans="1:11" ht="15" customHeight="1" x14ac:dyDescent="0.4">
      <c r="A2122" s="178"/>
      <c r="B2122" s="177"/>
      <c r="C2122" s="7">
        <v>361</v>
      </c>
      <c r="D2122" s="9"/>
      <c r="E2122" s="165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3"/>
      <c r="K2122" s="13"/>
    </row>
    <row r="2123" spans="1:11" ht="15" customHeight="1" x14ac:dyDescent="0.4">
      <c r="A2123" s="178"/>
      <c r="B2123" s="177"/>
      <c r="C2123" s="7">
        <v>390</v>
      </c>
      <c r="D2123" s="9"/>
      <c r="E2123" s="165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3"/>
      <c r="K2123" s="13"/>
    </row>
    <row r="2124" spans="1:11" ht="15" customHeight="1" x14ac:dyDescent="0.4">
      <c r="A2124" s="178"/>
      <c r="B2124" s="177"/>
      <c r="C2124" s="7">
        <v>420</v>
      </c>
      <c r="D2124" s="9"/>
      <c r="E2124" s="165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3"/>
      <c r="K2124" s="13"/>
    </row>
    <row r="2125" spans="1:11" ht="15" customHeight="1" x14ac:dyDescent="0.4">
      <c r="A2125" s="178"/>
      <c r="B2125" s="177"/>
      <c r="C2125" s="7">
        <v>488</v>
      </c>
      <c r="D2125" s="9"/>
      <c r="E2125" s="165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3"/>
      <c r="K2125" s="13"/>
    </row>
    <row r="2126" spans="1:11" ht="15" customHeight="1" x14ac:dyDescent="0.4">
      <c r="A2126" s="178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3"/>
      <c r="K2126" s="13"/>
    </row>
    <row r="2127" spans="1:11" ht="15" customHeight="1" x14ac:dyDescent="0.4">
      <c r="A2127" s="178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3"/>
      <c r="K2127" s="13"/>
    </row>
    <row r="2128" spans="1:11" ht="15" customHeight="1" x14ac:dyDescent="0.4">
      <c r="A2128" s="180" t="s">
        <v>1656</v>
      </c>
      <c r="B2128" s="181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3">
        <v>138</v>
      </c>
      <c r="K2128" s="13"/>
    </row>
    <row r="2129" spans="1:11" ht="15" customHeight="1" x14ac:dyDescent="0.4">
      <c r="A2129" s="183"/>
      <c r="B2129" s="176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3">
        <v>164</v>
      </c>
      <c r="K2129" s="13"/>
    </row>
    <row r="2130" spans="1:11" ht="15" customHeight="1" x14ac:dyDescent="0.4">
      <c r="A2130" s="183"/>
      <c r="B2130" s="181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3">
        <v>145</v>
      </c>
      <c r="K2130" s="13"/>
    </row>
    <row r="2131" spans="1:11" ht="15" customHeight="1" x14ac:dyDescent="0.4">
      <c r="A2131" s="183"/>
      <c r="B2131" s="175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3"/>
      <c r="K2131" s="13"/>
    </row>
    <row r="2132" spans="1:11" ht="15" customHeight="1" x14ac:dyDescent="0.4">
      <c r="A2132" s="184"/>
      <c r="B2132" s="176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3"/>
      <c r="K2132" s="13"/>
    </row>
    <row r="2133" spans="1:11" ht="15" customHeight="1" x14ac:dyDescent="0.4">
      <c r="A2133" s="180" t="s">
        <v>1661</v>
      </c>
      <c r="B2133" s="181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3"/>
      <c r="K2133" s="13"/>
    </row>
    <row r="2134" spans="1:11" ht="15" customHeight="1" x14ac:dyDescent="0.4">
      <c r="A2134" s="183"/>
      <c r="B2134" s="175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3"/>
      <c r="K2134" s="13"/>
    </row>
    <row r="2135" spans="1:11" ht="15" customHeight="1" x14ac:dyDescent="0.4">
      <c r="A2135" s="183"/>
      <c r="B2135" s="175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3"/>
      <c r="K2135" s="13"/>
    </row>
    <row r="2136" spans="1:11" ht="15" customHeight="1" x14ac:dyDescent="0.4">
      <c r="A2136" s="183"/>
      <c r="B2136" s="175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3"/>
      <c r="K2136" s="13"/>
    </row>
    <row r="2137" spans="1:11" ht="15" customHeight="1" x14ac:dyDescent="0.4">
      <c r="A2137" s="183"/>
      <c r="B2137" s="175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3"/>
      <c r="K2137" s="13"/>
    </row>
    <row r="2138" spans="1:11" ht="15" customHeight="1" x14ac:dyDescent="0.4">
      <c r="A2138" s="183"/>
      <c r="B2138" s="175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3"/>
      <c r="K2138" s="13"/>
    </row>
    <row r="2139" spans="1:11" ht="15" customHeight="1" x14ac:dyDescent="0.4">
      <c r="A2139" s="177" t="s">
        <v>1668</v>
      </c>
      <c r="B2139" s="177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3"/>
      <c r="K2139" s="13"/>
    </row>
    <row r="2140" spans="1:11" ht="15" customHeight="1" x14ac:dyDescent="0.4">
      <c r="A2140" s="177"/>
      <c r="B2140" s="177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3"/>
      <c r="K2140" s="13"/>
    </row>
    <row r="2141" spans="1:11" ht="15" customHeight="1" x14ac:dyDescent="0.4">
      <c r="A2141" s="177"/>
      <c r="B2141" s="177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3"/>
      <c r="K2141" s="13"/>
    </row>
    <row r="2142" spans="1:11" ht="15" customHeight="1" x14ac:dyDescent="0.4">
      <c r="A2142" s="177"/>
      <c r="B2142" s="177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3"/>
      <c r="K2142" s="13"/>
    </row>
    <row r="2143" spans="1:11" ht="15" customHeight="1" x14ac:dyDescent="0.4">
      <c r="A2143" s="177" t="s">
        <v>1673</v>
      </c>
      <c r="B2143" s="177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3"/>
      <c r="K2143" s="13"/>
    </row>
    <row r="2144" spans="1:11" ht="15" customHeight="1" x14ac:dyDescent="0.4">
      <c r="A2144" s="177"/>
      <c r="B2144" s="177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3"/>
      <c r="K2144" s="13"/>
    </row>
    <row r="2145" spans="1:11" ht="15" customHeight="1" x14ac:dyDescent="0.4">
      <c r="A2145" s="177"/>
      <c r="B2145" s="177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3"/>
      <c r="K2145" s="13"/>
    </row>
    <row r="2146" spans="1:11" ht="15" customHeight="1" x14ac:dyDescent="0.4">
      <c r="A2146" s="178" t="s">
        <v>1677</v>
      </c>
      <c r="B2146" s="181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3"/>
      <c r="K2146" s="13"/>
    </row>
    <row r="2147" spans="1:11" ht="15" customHeight="1" x14ac:dyDescent="0.4">
      <c r="A2147" s="178"/>
      <c r="B2147" s="175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3"/>
      <c r="K2147" s="13"/>
    </row>
    <row r="2148" spans="1:11" ht="15" customHeight="1" x14ac:dyDescent="0.4">
      <c r="A2148" s="178"/>
      <c r="B2148" s="175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3"/>
      <c r="K2148" s="13"/>
    </row>
    <row r="2149" spans="1:11" ht="15" customHeight="1" x14ac:dyDescent="0.4">
      <c r="A2149" s="178"/>
      <c r="B2149" s="176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3"/>
      <c r="K2149" s="13"/>
    </row>
    <row r="2150" spans="1:11" ht="15" customHeight="1" x14ac:dyDescent="0.4">
      <c r="A2150" s="178" t="s">
        <v>1678</v>
      </c>
      <c r="B2150" s="181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3"/>
      <c r="K2150" s="13"/>
    </row>
    <row r="2151" spans="1:11" ht="15" customHeight="1" x14ac:dyDescent="0.4">
      <c r="A2151" s="178"/>
      <c r="B2151" s="175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3"/>
      <c r="K2151" s="13"/>
    </row>
    <row r="2152" spans="1:11" ht="15" customHeight="1" x14ac:dyDescent="0.4">
      <c r="A2152" s="178"/>
      <c r="B2152" s="175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3"/>
      <c r="K2152" s="13"/>
    </row>
    <row r="2153" spans="1:11" ht="15" customHeight="1" x14ac:dyDescent="0.4">
      <c r="A2153" s="178"/>
      <c r="B2153" s="176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3"/>
      <c r="K2153" s="13"/>
    </row>
    <row r="2154" spans="1:11" ht="15" customHeight="1" x14ac:dyDescent="0.4">
      <c r="A2154" s="182" t="s">
        <v>1679</v>
      </c>
      <c r="B2154" s="182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7">
        <v>127</v>
      </c>
      <c r="K2154" s="13"/>
    </row>
    <row r="2155" spans="1:11" ht="15" customHeight="1" x14ac:dyDescent="0.4">
      <c r="A2155" s="182"/>
      <c r="B2155" s="182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2">
        <v>157</v>
      </c>
      <c r="K2155" s="13"/>
    </row>
    <row r="2156" spans="1:11" ht="15" customHeight="1" x14ac:dyDescent="0.4">
      <c r="A2156" s="182"/>
      <c r="B2156" s="182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7">
        <v>127</v>
      </c>
      <c r="K2156" s="13"/>
    </row>
    <row r="2157" spans="1:11" ht="15" customHeight="1" x14ac:dyDescent="0.4">
      <c r="A2157" s="182"/>
      <c r="B2157" s="182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2">
        <v>157</v>
      </c>
      <c r="K2157" s="13"/>
    </row>
    <row r="2158" spans="1:11" ht="15" customHeight="1" x14ac:dyDescent="0.4">
      <c r="A2158" s="182" t="s">
        <v>1683</v>
      </c>
      <c r="B2158" s="182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3"/>
      <c r="K2158" s="13"/>
    </row>
    <row r="2159" spans="1:11" ht="15" customHeight="1" x14ac:dyDescent="0.4">
      <c r="A2159" s="182"/>
      <c r="B2159" s="182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3"/>
      <c r="K2159" s="13"/>
    </row>
    <row r="2160" spans="1:11" ht="15" customHeight="1" x14ac:dyDescent="0.4">
      <c r="A2160" s="182"/>
      <c r="B2160" s="182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3"/>
      <c r="K2160" s="13"/>
    </row>
    <row r="2161" spans="1:11" ht="15" customHeight="1" x14ac:dyDescent="0.4">
      <c r="A2161" s="182"/>
      <c r="B2161" s="182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3"/>
      <c r="K2161" s="13"/>
    </row>
    <row r="2162" spans="1:11" ht="15" customHeight="1" x14ac:dyDescent="0.4">
      <c r="A2162" s="182"/>
      <c r="B2162" s="182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3"/>
      <c r="K2162" s="13"/>
    </row>
    <row r="2163" spans="1:11" ht="15" customHeight="1" x14ac:dyDescent="0.4">
      <c r="A2163" s="182"/>
      <c r="B2163" s="182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3"/>
      <c r="K2163" s="13"/>
    </row>
    <row r="2164" spans="1:11" ht="15" customHeight="1" x14ac:dyDescent="0.4">
      <c r="A2164" s="182"/>
      <c r="B2164" s="182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3"/>
      <c r="K2164" s="13"/>
    </row>
    <row r="2165" spans="1:11" ht="15" customHeight="1" x14ac:dyDescent="0.4">
      <c r="A2165" s="182"/>
      <c r="B2165" s="182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3"/>
      <c r="K2165" s="13"/>
    </row>
    <row r="2166" spans="1:11" ht="15" customHeight="1" x14ac:dyDescent="0.4">
      <c r="A2166" s="182"/>
      <c r="B2166" s="182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3"/>
      <c r="K2166" s="13"/>
    </row>
    <row r="2167" spans="1:11" ht="15" customHeight="1" x14ac:dyDescent="0.4">
      <c r="A2167" s="182"/>
      <c r="B2167" s="182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3"/>
      <c r="K2167" s="13"/>
    </row>
    <row r="2168" spans="1:11" ht="15" customHeight="1" x14ac:dyDescent="0.4">
      <c r="A2168" s="182"/>
      <c r="B2168" s="182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3"/>
      <c r="K2168" s="13"/>
    </row>
    <row r="2169" spans="1:11" ht="15" customHeight="1" x14ac:dyDescent="0.4">
      <c r="A2169" s="182"/>
      <c r="B2169" s="182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3"/>
      <c r="K2169" s="13"/>
    </row>
    <row r="2170" spans="1:11" ht="15" customHeight="1" x14ac:dyDescent="0.4">
      <c r="A2170" s="182"/>
      <c r="B2170" s="182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3"/>
      <c r="K2170" s="13"/>
    </row>
    <row r="2171" spans="1:11" ht="15" customHeight="1" x14ac:dyDescent="0.4">
      <c r="A2171" s="182"/>
      <c r="B2171" s="182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3"/>
      <c r="K2171" s="13"/>
    </row>
    <row r="2172" spans="1:11" ht="15" customHeight="1" x14ac:dyDescent="0.4">
      <c r="A2172" s="182"/>
      <c r="B2172" s="182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3"/>
      <c r="K2172" s="13"/>
    </row>
    <row r="2173" spans="1:11" ht="15" customHeight="1" x14ac:dyDescent="0.4">
      <c r="A2173" s="180" t="s">
        <v>1690</v>
      </c>
      <c r="B2173" s="181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3"/>
      <c r="K2173" s="13"/>
    </row>
    <row r="2174" spans="1:11" ht="15" customHeight="1" x14ac:dyDescent="0.4">
      <c r="A2174" s="183"/>
      <c r="B2174" s="175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3"/>
      <c r="K2174" s="13"/>
    </row>
    <row r="2175" spans="1:11" ht="15" customHeight="1" x14ac:dyDescent="0.4">
      <c r="A2175" s="183"/>
      <c r="B2175" s="175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3"/>
      <c r="K2175" s="13"/>
    </row>
    <row r="2176" spans="1:11" ht="15" customHeight="1" x14ac:dyDescent="0.4">
      <c r="A2176" s="183"/>
      <c r="B2176" s="175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3"/>
      <c r="K2176" s="13"/>
    </row>
    <row r="2177" spans="1:11" ht="15" customHeight="1" x14ac:dyDescent="0.4">
      <c r="A2177" s="183"/>
      <c r="B2177" s="175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3"/>
      <c r="K2177" s="13"/>
    </row>
    <row r="2178" spans="1:11" ht="15" customHeight="1" x14ac:dyDescent="0.4">
      <c r="A2178" s="183"/>
      <c r="B2178" s="175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3"/>
      <c r="K2178" s="13"/>
    </row>
    <row r="2179" spans="1:11" ht="15" customHeight="1" x14ac:dyDescent="0.4">
      <c r="A2179" s="183"/>
      <c r="B2179" s="175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3"/>
      <c r="K2179" s="13"/>
    </row>
    <row r="2180" spans="1:11" ht="15" customHeight="1" x14ac:dyDescent="0.4">
      <c r="A2180" s="183"/>
      <c r="B2180" s="175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3"/>
      <c r="K2180" s="13"/>
    </row>
    <row r="2181" spans="1:11" ht="15" customHeight="1" x14ac:dyDescent="0.4">
      <c r="A2181" s="183"/>
      <c r="B2181" s="175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3"/>
      <c r="K2181" s="13"/>
    </row>
    <row r="2182" spans="1:11" ht="15" customHeight="1" x14ac:dyDescent="0.4">
      <c r="A2182" s="183"/>
      <c r="B2182" s="175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3"/>
      <c r="K2182" s="13"/>
    </row>
    <row r="2183" spans="1:11" ht="15" customHeight="1" x14ac:dyDescent="0.4">
      <c r="A2183" s="183"/>
      <c r="B2183" s="175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3"/>
      <c r="K2183" s="13"/>
    </row>
    <row r="2184" spans="1:11" ht="15" customHeight="1" x14ac:dyDescent="0.4">
      <c r="A2184" s="183"/>
      <c r="B2184" s="175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3"/>
      <c r="K2184" s="13"/>
    </row>
    <row r="2185" spans="1:11" ht="15" customHeight="1" x14ac:dyDescent="0.4">
      <c r="A2185" s="183"/>
      <c r="B2185" s="175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3"/>
      <c r="K2185" s="13"/>
    </row>
    <row r="2186" spans="1:11" ht="15" customHeight="1" x14ac:dyDescent="0.4">
      <c r="A2186" s="184"/>
      <c r="B2186" s="176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3"/>
      <c r="K2186" s="13"/>
    </row>
    <row r="2187" spans="1:11" ht="15" customHeight="1" x14ac:dyDescent="0.4">
      <c r="A2187" s="177" t="s">
        <v>1705</v>
      </c>
      <c r="B2187" s="177" t="s">
        <v>1706</v>
      </c>
      <c r="C2187" s="7">
        <v>112</v>
      </c>
      <c r="D2187" s="9" t="s">
        <v>1707</v>
      </c>
      <c r="E2187" s="165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3"/>
      <c r="K2187" s="13"/>
    </row>
    <row r="2188" spans="1:11" ht="15" customHeight="1" x14ac:dyDescent="0.4">
      <c r="A2188" s="177"/>
      <c r="B2188" s="177"/>
      <c r="C2188" s="7"/>
      <c r="D2188" s="9" t="s">
        <v>1708</v>
      </c>
      <c r="E2188" s="165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3"/>
      <c r="K2188" s="13"/>
    </row>
    <row r="2189" spans="1:11" ht="15" customHeight="1" x14ac:dyDescent="0.4">
      <c r="A2189" s="177"/>
      <c r="B2189" s="177"/>
      <c r="C2189" s="33"/>
      <c r="D2189" s="21" t="s">
        <v>1709</v>
      </c>
      <c r="E2189" s="168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3"/>
      <c r="K2189" s="13"/>
    </row>
    <row r="2190" spans="1:11" ht="15" customHeight="1" x14ac:dyDescent="0.4">
      <c r="A2190" s="177"/>
      <c r="B2190" s="177"/>
      <c r="C2190" s="7">
        <v>253</v>
      </c>
      <c r="D2190" s="9" t="s">
        <v>1710</v>
      </c>
      <c r="E2190" s="165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3"/>
      <c r="K2190" s="13"/>
    </row>
    <row r="2191" spans="1:11" ht="15" customHeight="1" x14ac:dyDescent="0.4">
      <c r="A2191" s="177"/>
      <c r="B2191" s="177"/>
      <c r="C2191" s="7"/>
      <c r="D2191" s="9" t="s">
        <v>1711</v>
      </c>
      <c r="E2191" s="165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3"/>
      <c r="K2191" s="13"/>
    </row>
    <row r="2192" spans="1:11" ht="15" customHeight="1" x14ac:dyDescent="0.4">
      <c r="A2192" s="178" t="s">
        <v>1712</v>
      </c>
      <c r="B2192" s="177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3"/>
      <c r="K2192" s="13"/>
    </row>
    <row r="2193" spans="1:11" ht="15" customHeight="1" x14ac:dyDescent="0.4">
      <c r="A2193" s="178"/>
      <c r="B2193" s="177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3"/>
      <c r="K2193" s="13"/>
    </row>
    <row r="2194" spans="1:11" ht="15" customHeight="1" x14ac:dyDescent="0.4">
      <c r="A2194" s="178"/>
      <c r="B2194" s="177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3"/>
      <c r="K2194" s="13"/>
    </row>
    <row r="2195" spans="1:11" ht="15" customHeight="1" x14ac:dyDescent="0.4">
      <c r="A2195" s="178"/>
      <c r="B2195" s="177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3"/>
      <c r="K2195" s="13"/>
    </row>
    <row r="2196" spans="1:11" ht="15" customHeight="1" x14ac:dyDescent="0.4">
      <c r="A2196" s="178"/>
      <c r="B2196" s="177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3"/>
      <c r="K2196" s="13"/>
    </row>
    <row r="2197" spans="1:11" ht="15" customHeight="1" x14ac:dyDescent="0.4">
      <c r="A2197" s="178"/>
      <c r="B2197" s="177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3"/>
      <c r="K2197" s="13"/>
    </row>
    <row r="2198" spans="1:11" ht="15" customHeight="1" x14ac:dyDescent="0.4">
      <c r="A2198" s="178"/>
      <c r="B2198" s="177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3"/>
      <c r="K2198" s="13"/>
    </row>
    <row r="2199" spans="1:11" ht="15" customHeight="1" x14ac:dyDescent="0.4">
      <c r="A2199" s="178"/>
      <c r="B2199" s="177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3"/>
      <c r="K2199" s="13"/>
    </row>
    <row r="2200" spans="1:11" ht="15" customHeight="1" x14ac:dyDescent="0.4">
      <c r="A2200" s="178"/>
      <c r="B2200" s="177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3"/>
      <c r="K2200" s="13"/>
    </row>
    <row r="2201" spans="1:11" ht="15" customHeight="1" x14ac:dyDescent="0.4">
      <c r="A2201" s="178"/>
      <c r="B2201" s="177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3"/>
      <c r="K2201" s="13"/>
    </row>
    <row r="2202" spans="1:11" ht="15" customHeight="1" x14ac:dyDescent="0.4">
      <c r="A2202" s="178"/>
      <c r="B2202" s="177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3"/>
      <c r="K2202" s="13"/>
    </row>
    <row r="2203" spans="1:11" ht="15" customHeight="1" x14ac:dyDescent="0.4">
      <c r="A2203" s="178"/>
      <c r="B2203" s="177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3"/>
      <c r="K2203" s="13"/>
    </row>
    <row r="2204" spans="1:11" ht="15" customHeight="1" x14ac:dyDescent="0.4">
      <c r="A2204" s="178"/>
      <c r="B2204" s="177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3"/>
      <c r="K2204" s="13"/>
    </row>
    <row r="2205" spans="1:11" ht="15" customHeight="1" x14ac:dyDescent="0.4">
      <c r="A2205" s="178"/>
      <c r="B2205" s="177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3"/>
      <c r="K2205" s="13"/>
    </row>
    <row r="2206" spans="1:11" ht="15" customHeight="1" x14ac:dyDescent="0.4">
      <c r="A2206" s="178"/>
      <c r="B2206" s="177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3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3"/>
      <c r="K2207" s="13"/>
    </row>
    <row r="2208" spans="1:11" ht="15" customHeight="1" x14ac:dyDescent="0.4">
      <c r="A2208" s="180" t="s">
        <v>1718</v>
      </c>
      <c r="B2208" s="181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2">
        <v>190</v>
      </c>
      <c r="K2208" s="13"/>
    </row>
    <row r="2209" spans="1:11" ht="15" customHeight="1" x14ac:dyDescent="0.4">
      <c r="A2209" s="175"/>
      <c r="B2209" s="175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2">
        <v>220</v>
      </c>
      <c r="K2209" s="13"/>
    </row>
    <row r="2210" spans="1:11" ht="15" customHeight="1" x14ac:dyDescent="0.4">
      <c r="A2210" s="175"/>
      <c r="B2210" s="176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2">
        <v>290</v>
      </c>
      <c r="K2210" s="13"/>
    </row>
    <row r="2211" spans="1:11" ht="15" customHeight="1" x14ac:dyDescent="0.4">
      <c r="A2211" s="175"/>
      <c r="B2211" s="181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2">
        <v>155</v>
      </c>
      <c r="K2211" s="13"/>
    </row>
    <row r="2212" spans="1:11" ht="15" customHeight="1" x14ac:dyDescent="0.4">
      <c r="A2212" s="175"/>
      <c r="B2212" s="176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2">
        <v>190</v>
      </c>
    </row>
    <row r="2213" spans="1:11" ht="15" customHeight="1" x14ac:dyDescent="0.4">
      <c r="A2213" s="175"/>
      <c r="B2213" s="181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2">
        <v>190</v>
      </c>
      <c r="K2213" s="13"/>
    </row>
    <row r="2214" spans="1:11" ht="15" customHeight="1" x14ac:dyDescent="0.4">
      <c r="A2214" s="175"/>
      <c r="B2214" s="175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2">
        <v>220</v>
      </c>
      <c r="K2214" s="13"/>
    </row>
    <row r="2215" spans="1:11" ht="15" customHeight="1" x14ac:dyDescent="0.4">
      <c r="A2215" s="175"/>
      <c r="B2215" s="176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2">
        <v>290</v>
      </c>
      <c r="K2215" s="13"/>
    </row>
    <row r="2216" spans="1:11" ht="15" customHeight="1" x14ac:dyDescent="0.4">
      <c r="A2216" s="175"/>
      <c r="B2216" s="181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2">
        <v>155</v>
      </c>
      <c r="K2216" s="13"/>
    </row>
    <row r="2217" spans="1:11" ht="15" customHeight="1" x14ac:dyDescent="0.4">
      <c r="A2217" s="176"/>
      <c r="B2217" s="176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2">
        <v>190</v>
      </c>
      <c r="K2217" s="13"/>
    </row>
    <row r="2218" spans="1:11" ht="15" customHeight="1" x14ac:dyDescent="0.4">
      <c r="A2218" s="178" t="s">
        <v>1728</v>
      </c>
      <c r="B2218" s="177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3"/>
      <c r="K2218" s="13"/>
    </row>
    <row r="2219" spans="1:11" ht="15" customHeight="1" x14ac:dyDescent="0.4">
      <c r="A2219" s="178"/>
      <c r="B2219" s="177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2">
        <v>105</v>
      </c>
      <c r="K2219" s="13"/>
    </row>
    <row r="2220" spans="1:11" ht="15" customHeight="1" x14ac:dyDescent="0.4">
      <c r="A2220" s="178"/>
      <c r="B2220" s="177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2">
        <v>128</v>
      </c>
      <c r="K2220" s="13"/>
    </row>
    <row r="2221" spans="1:11" ht="15" customHeight="1" x14ac:dyDescent="0.4">
      <c r="A2221" s="178"/>
      <c r="B2221" s="177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2">
        <v>154</v>
      </c>
      <c r="K2221" s="13"/>
    </row>
    <row r="2222" spans="1:11" ht="15" customHeight="1" x14ac:dyDescent="0.4">
      <c r="A2222" s="178"/>
      <c r="B2222" s="177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2">
        <v>193</v>
      </c>
      <c r="K2222" s="13"/>
    </row>
    <row r="2223" spans="1:11" ht="15" customHeight="1" x14ac:dyDescent="0.4">
      <c r="A2223" s="178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2">
        <v>105</v>
      </c>
      <c r="K2223" s="13"/>
    </row>
    <row r="2224" spans="1:11" ht="15" customHeight="1" x14ac:dyDescent="0.4">
      <c r="A2224" s="178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2">
        <v>128</v>
      </c>
      <c r="K2224" s="13"/>
    </row>
    <row r="2225" spans="1:11" ht="15" customHeight="1" x14ac:dyDescent="0.4">
      <c r="A2225" s="178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2">
        <v>154</v>
      </c>
      <c r="K2225" s="13"/>
    </row>
    <row r="2226" spans="1:11" ht="15" customHeight="1" x14ac:dyDescent="0.4">
      <c r="A2226" s="178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2">
        <v>193</v>
      </c>
      <c r="K2226" s="13"/>
    </row>
    <row r="2227" spans="1:11" ht="15" customHeight="1" x14ac:dyDescent="0.4">
      <c r="A2227" s="177" t="s">
        <v>1733</v>
      </c>
      <c r="B2227" s="177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3"/>
      <c r="K2227" s="13"/>
    </row>
    <row r="2228" spans="1:11" ht="15" customHeight="1" x14ac:dyDescent="0.4">
      <c r="A2228" s="177"/>
      <c r="B2228" s="177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3"/>
      <c r="K2228" s="13"/>
    </row>
    <row r="2229" spans="1:11" ht="15" customHeight="1" x14ac:dyDescent="0.4">
      <c r="A2229" s="177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3"/>
      <c r="K2229" s="13"/>
    </row>
    <row r="2230" spans="1:11" ht="15" customHeight="1" x14ac:dyDescent="0.4">
      <c r="A2230" s="177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3"/>
      <c r="K2230" s="13"/>
    </row>
    <row r="2231" spans="1:11" ht="15" customHeight="1" x14ac:dyDescent="0.4">
      <c r="A2231" s="177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3"/>
      <c r="K2231" s="13"/>
    </row>
    <row r="2232" spans="1:11" s="1" customFormat="1" ht="15" customHeight="1" x14ac:dyDescent="0.4">
      <c r="A2232" s="171" t="s">
        <v>1743</v>
      </c>
      <c r="B2232" s="174" t="s">
        <v>346</v>
      </c>
      <c r="C2232" s="7">
        <v>120</v>
      </c>
      <c r="D2232" s="9" t="s">
        <v>2972</v>
      </c>
      <c r="E2232" s="165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3"/>
      <c r="K2232" s="13"/>
    </row>
    <row r="2233" spans="1:11" s="1" customFormat="1" ht="15" customHeight="1" x14ac:dyDescent="0.4">
      <c r="A2233" s="172"/>
      <c r="B2233" s="175"/>
      <c r="C2233" s="7">
        <v>200</v>
      </c>
      <c r="D2233" s="9" t="s">
        <v>1744</v>
      </c>
      <c r="E2233" s="165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3"/>
      <c r="K2233" s="13"/>
    </row>
    <row r="2234" spans="1:11" s="1" customFormat="1" ht="15" customHeight="1" x14ac:dyDescent="0.4">
      <c r="A2234" s="172"/>
      <c r="B2234" s="175"/>
      <c r="C2234" s="7">
        <v>250</v>
      </c>
      <c r="D2234" s="9" t="s">
        <v>1744</v>
      </c>
      <c r="E2234" s="165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3"/>
      <c r="K2234" s="13"/>
    </row>
    <row r="2235" spans="1:11" s="1" customFormat="1" ht="15" customHeight="1" x14ac:dyDescent="0.4">
      <c r="A2235" s="172"/>
      <c r="B2235" s="175"/>
      <c r="C2235" s="7">
        <v>300</v>
      </c>
      <c r="D2235" s="9" t="s">
        <v>1744</v>
      </c>
      <c r="E2235" s="165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3"/>
      <c r="K2235" s="13"/>
    </row>
    <row r="2236" spans="1:11" s="1" customFormat="1" ht="15" customHeight="1" x14ac:dyDescent="0.4">
      <c r="A2236" s="172"/>
      <c r="B2236" s="175"/>
      <c r="C2236" s="7">
        <v>350</v>
      </c>
      <c r="D2236" s="9" t="s">
        <v>1744</v>
      </c>
      <c r="E2236" s="165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3"/>
      <c r="K2236" s="13"/>
    </row>
    <row r="2237" spans="1:11" s="1" customFormat="1" ht="15" customHeight="1" x14ac:dyDescent="0.4">
      <c r="A2237" s="172"/>
      <c r="B2237" s="175"/>
      <c r="C2237" s="7">
        <v>400</v>
      </c>
      <c r="D2237" s="9" t="s">
        <v>2972</v>
      </c>
      <c r="E2237" s="165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3"/>
      <c r="K2237" s="13"/>
    </row>
    <row r="2238" spans="1:11" s="1" customFormat="1" ht="15" customHeight="1" x14ac:dyDescent="0.4">
      <c r="A2238" s="172"/>
      <c r="B2238" s="175"/>
      <c r="C2238" s="7">
        <v>500</v>
      </c>
      <c r="D2238" s="9" t="s">
        <v>2972</v>
      </c>
      <c r="E2238" s="165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3"/>
      <c r="K2238" s="13"/>
    </row>
    <row r="2239" spans="1:11" s="1" customFormat="1" ht="15" customHeight="1" x14ac:dyDescent="0.4">
      <c r="A2239" s="172"/>
      <c r="B2239" s="175"/>
      <c r="C2239" s="7">
        <v>700</v>
      </c>
      <c r="D2239" s="9" t="s">
        <v>1744</v>
      </c>
      <c r="E2239" s="165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3"/>
      <c r="K2239" s="13"/>
    </row>
    <row r="2240" spans="1:11" s="1" customFormat="1" ht="15" customHeight="1" x14ac:dyDescent="0.4">
      <c r="A2240" s="172"/>
      <c r="B2240" s="176"/>
      <c r="C2240" s="16">
        <v>1000</v>
      </c>
      <c r="D2240" s="29" t="s">
        <v>773</v>
      </c>
      <c r="E2240" s="165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3"/>
      <c r="K2240" s="13"/>
    </row>
    <row r="2241" spans="1:11" s="1" customFormat="1" ht="15" customHeight="1" x14ac:dyDescent="0.4">
      <c r="A2241" s="173"/>
      <c r="B2241" s="69" t="s">
        <v>1745</v>
      </c>
      <c r="C2241" s="7">
        <v>1250</v>
      </c>
      <c r="D2241" s="9" t="s">
        <v>773</v>
      </c>
      <c r="E2241" s="165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3"/>
      <c r="K2241" s="13"/>
    </row>
    <row r="2242" spans="1:11" ht="15" customHeight="1" x14ac:dyDescent="0.4">
      <c r="A2242" s="179" t="s">
        <v>1746</v>
      </c>
      <c r="B2242" s="177" t="s">
        <v>529</v>
      </c>
      <c r="C2242" s="7">
        <v>200</v>
      </c>
      <c r="D2242" s="9" t="s">
        <v>1747</v>
      </c>
      <c r="E2242" s="165">
        <v>0</v>
      </c>
      <c r="G2242" s="8"/>
      <c r="H2242" s="11"/>
      <c r="I2242" s="12"/>
      <c r="J2242" s="153"/>
      <c r="K2242" s="13"/>
    </row>
    <row r="2243" spans="1:11" ht="15" customHeight="1" x14ac:dyDescent="0.4">
      <c r="A2243" s="179"/>
      <c r="B2243" s="177"/>
      <c r="C2243" s="7">
        <v>300</v>
      </c>
      <c r="D2243" s="9" t="s">
        <v>1748</v>
      </c>
      <c r="E2243" s="165">
        <v>0</v>
      </c>
      <c r="G2243" s="8"/>
      <c r="H2243" s="11"/>
      <c r="I2243" s="12"/>
      <c r="J2243" s="153"/>
      <c r="K2243" s="13"/>
    </row>
    <row r="2244" spans="1:11" ht="15" customHeight="1" x14ac:dyDescent="0.4">
      <c r="A2244" s="179"/>
      <c r="B2244" s="177"/>
      <c r="C2244" s="7">
        <v>400</v>
      </c>
      <c r="D2244" s="9" t="s">
        <v>1749</v>
      </c>
      <c r="E2244" s="165">
        <v>0</v>
      </c>
      <c r="G2244" s="8"/>
      <c r="H2244" s="11"/>
      <c r="I2244" s="12"/>
      <c r="J2244" s="153"/>
      <c r="K2244" s="13"/>
    </row>
    <row r="2245" spans="1:11" ht="15" customHeight="1" x14ac:dyDescent="0.4">
      <c r="A2245" s="179"/>
      <c r="B2245" s="177"/>
      <c r="C2245" s="7">
        <v>200</v>
      </c>
      <c r="D2245" s="9" t="s">
        <v>1750</v>
      </c>
      <c r="E2245" s="165">
        <v>0</v>
      </c>
      <c r="G2245" s="8"/>
      <c r="H2245" s="11"/>
      <c r="I2245" s="12"/>
      <c r="J2245" s="153"/>
      <c r="K2245" s="13"/>
    </row>
    <row r="2246" spans="1:11" ht="15" customHeight="1" x14ac:dyDescent="0.4">
      <c r="A2246" s="179"/>
      <c r="B2246" s="177"/>
      <c r="C2246" s="7">
        <v>300</v>
      </c>
      <c r="D2246" s="9" t="s">
        <v>1751</v>
      </c>
      <c r="E2246" s="165">
        <v>0</v>
      </c>
      <c r="G2246" s="8"/>
      <c r="H2246" s="11"/>
      <c r="I2246" s="12"/>
      <c r="J2246" s="153"/>
      <c r="K2246" s="13"/>
    </row>
    <row r="2247" spans="1:11" ht="15" customHeight="1" x14ac:dyDescent="0.4">
      <c r="A2247" s="179"/>
      <c r="B2247" s="177"/>
      <c r="C2247" s="7">
        <v>440</v>
      </c>
      <c r="D2247" s="9" t="s">
        <v>1752</v>
      </c>
      <c r="E2247" s="165">
        <v>0</v>
      </c>
      <c r="G2247" s="8"/>
      <c r="H2247" s="11"/>
      <c r="I2247" s="12"/>
      <c r="J2247" s="153"/>
      <c r="K2247" s="13"/>
    </row>
    <row r="2248" spans="1:11" ht="15" customHeight="1" x14ac:dyDescent="0.4">
      <c r="A2248" s="179"/>
      <c r="B2248" s="177"/>
      <c r="C2248" s="7">
        <v>80</v>
      </c>
      <c r="D2248" s="11" t="s">
        <v>1753</v>
      </c>
      <c r="E2248" s="165">
        <v>0</v>
      </c>
      <c r="G2248" s="8"/>
      <c r="H2248" s="11"/>
      <c r="I2248" s="12"/>
      <c r="J2248" s="153"/>
      <c r="K2248" s="13"/>
    </row>
    <row r="2249" spans="1:11" ht="15" customHeight="1" x14ac:dyDescent="0.4">
      <c r="A2249" s="179"/>
      <c r="B2249" s="177"/>
      <c r="C2249" s="30">
        <v>120</v>
      </c>
      <c r="D2249" s="29" t="s">
        <v>1754</v>
      </c>
      <c r="E2249" s="165">
        <v>0</v>
      </c>
      <c r="G2249" s="8"/>
      <c r="H2249" s="11"/>
      <c r="I2249" s="12"/>
      <c r="J2249" s="153"/>
      <c r="K2249" s="13"/>
    </row>
    <row r="2250" spans="1:11" ht="15" customHeight="1" x14ac:dyDescent="0.4">
      <c r="A2250" s="179"/>
      <c r="B2250" s="177" t="s">
        <v>1101</v>
      </c>
      <c r="C2250" s="7">
        <v>200</v>
      </c>
      <c r="D2250" s="9" t="s">
        <v>1747</v>
      </c>
      <c r="E2250" s="170">
        <v>0</v>
      </c>
      <c r="G2250" s="8">
        <v>200</v>
      </c>
      <c r="H2250" s="11"/>
      <c r="I2250" s="12"/>
      <c r="J2250" s="153"/>
      <c r="K2250" s="13"/>
    </row>
    <row r="2251" spans="1:11" ht="15" customHeight="1" x14ac:dyDescent="0.4">
      <c r="A2251" s="179"/>
      <c r="B2251" s="177"/>
      <c r="C2251" s="7">
        <v>300</v>
      </c>
      <c r="D2251" s="9" t="s">
        <v>1748</v>
      </c>
      <c r="E2251" s="170">
        <v>0</v>
      </c>
      <c r="G2251" s="8">
        <v>300</v>
      </c>
      <c r="H2251" s="11"/>
      <c r="I2251" s="12"/>
      <c r="J2251" s="153"/>
      <c r="K2251" s="13"/>
    </row>
    <row r="2252" spans="1:11" ht="15" customHeight="1" x14ac:dyDescent="0.4">
      <c r="A2252" s="179"/>
      <c r="B2252" s="177"/>
      <c r="C2252" s="7">
        <v>400</v>
      </c>
      <c r="D2252" s="9" t="s">
        <v>1749</v>
      </c>
      <c r="E2252" s="170">
        <v>0</v>
      </c>
      <c r="G2252" s="8">
        <v>400</v>
      </c>
      <c r="H2252" s="11"/>
      <c r="I2252" s="12"/>
      <c r="J2252" s="153"/>
      <c r="K2252" s="13"/>
    </row>
    <row r="2253" spans="1:11" ht="15" customHeight="1" x14ac:dyDescent="0.4">
      <c r="A2253" s="179"/>
      <c r="B2253" s="177"/>
      <c r="C2253" s="7">
        <v>120</v>
      </c>
      <c r="D2253" s="9" t="s">
        <v>1755</v>
      </c>
      <c r="E2253" s="165">
        <v>0</v>
      </c>
      <c r="G2253" s="8">
        <v>120</v>
      </c>
      <c r="H2253" s="12"/>
      <c r="I2253" s="12"/>
      <c r="J2253" s="153"/>
      <c r="K2253" s="13"/>
    </row>
    <row r="2254" spans="1:11" ht="15" customHeight="1" x14ac:dyDescent="0.4">
      <c r="A2254" s="179"/>
      <c r="B2254" s="177"/>
      <c r="C2254" s="69">
        <v>200</v>
      </c>
      <c r="D2254" s="9" t="s">
        <v>1750</v>
      </c>
      <c r="E2254" s="165">
        <v>0</v>
      </c>
      <c r="G2254" s="70">
        <v>205</v>
      </c>
      <c r="H2254" s="11"/>
      <c r="I2254" s="12"/>
      <c r="J2254" s="153"/>
      <c r="K2254" s="13"/>
    </row>
    <row r="2255" spans="1:11" ht="15" customHeight="1" x14ac:dyDescent="0.4">
      <c r="A2255" s="179"/>
      <c r="B2255" s="177"/>
      <c r="C2255" s="69">
        <v>300</v>
      </c>
      <c r="D2255" s="9" t="s">
        <v>1751</v>
      </c>
      <c r="E2255" s="165">
        <v>0</v>
      </c>
      <c r="G2255" s="70">
        <v>300</v>
      </c>
      <c r="H2255" s="11"/>
      <c r="I2255" s="12"/>
      <c r="J2255" s="153"/>
      <c r="K2255" s="13"/>
    </row>
    <row r="2256" spans="1:11" ht="15" customHeight="1" x14ac:dyDescent="0.4">
      <c r="A2256" s="179"/>
      <c r="B2256" s="177"/>
      <c r="C2256" s="69">
        <v>440</v>
      </c>
      <c r="D2256" s="9" t="s">
        <v>1752</v>
      </c>
      <c r="E2256" s="165">
        <v>0</v>
      </c>
      <c r="G2256" s="70">
        <v>440</v>
      </c>
      <c r="H2256" s="11"/>
      <c r="I2256" s="12"/>
      <c r="J2256" s="153"/>
      <c r="K2256" s="13"/>
    </row>
    <row r="2257" spans="1:11" ht="15" customHeight="1" x14ac:dyDescent="0.4">
      <c r="A2257" s="179"/>
      <c r="B2257" s="177"/>
      <c r="C2257" s="69">
        <v>80</v>
      </c>
      <c r="D2257" s="11" t="s">
        <v>1753</v>
      </c>
      <c r="E2257" s="165">
        <v>0</v>
      </c>
      <c r="G2257" s="70">
        <v>80</v>
      </c>
      <c r="H2257" s="11"/>
      <c r="I2257" s="12"/>
      <c r="J2257" s="153"/>
      <c r="K2257" s="13"/>
    </row>
    <row r="2258" spans="1:11" ht="15" customHeight="1" x14ac:dyDescent="0.4">
      <c r="A2258" s="179"/>
      <c r="B2258" s="177"/>
      <c r="C2258" s="69">
        <v>220</v>
      </c>
      <c r="D2258" s="11" t="s">
        <v>1756</v>
      </c>
      <c r="E2258" s="165">
        <v>0</v>
      </c>
      <c r="G2258" s="70">
        <v>220</v>
      </c>
      <c r="H2258" s="11"/>
      <c r="I2258" s="12"/>
      <c r="J2258" s="153"/>
      <c r="K2258" s="13"/>
    </row>
    <row r="2259" spans="1:11" ht="15" customHeight="1" x14ac:dyDescent="0.4">
      <c r="A2259" s="179"/>
      <c r="B2259" s="177"/>
      <c r="C2259" s="69"/>
      <c r="D2259" s="11" t="s">
        <v>1757</v>
      </c>
      <c r="E2259" s="165">
        <v>0</v>
      </c>
      <c r="G2259" s="70" t="s">
        <v>1758</v>
      </c>
      <c r="H2259" s="11"/>
      <c r="I2259" s="12"/>
      <c r="J2259" s="153">
        <v>90</v>
      </c>
      <c r="K2259" s="13"/>
    </row>
    <row r="2260" spans="1:11" ht="15" customHeight="1" x14ac:dyDescent="0.4">
      <c r="A2260" s="179"/>
      <c r="B2260" s="177"/>
      <c r="C2260" s="69">
        <v>190</v>
      </c>
      <c r="D2260" s="11" t="s">
        <v>1759</v>
      </c>
      <c r="E2260" s="165">
        <v>0</v>
      </c>
      <c r="G2260" s="70">
        <v>190</v>
      </c>
      <c r="H2260" s="11"/>
      <c r="I2260" s="12"/>
      <c r="J2260" s="153"/>
      <c r="K2260" s="13"/>
    </row>
    <row r="2261" spans="1:11" ht="15" customHeight="1" x14ac:dyDescent="0.4">
      <c r="A2261" s="179"/>
      <c r="B2261" s="177"/>
      <c r="C2261" s="69">
        <v>220</v>
      </c>
      <c r="D2261" s="11" t="s">
        <v>1760</v>
      </c>
      <c r="E2261" s="165">
        <v>0</v>
      </c>
      <c r="G2261" s="70">
        <v>220</v>
      </c>
      <c r="H2261" s="11"/>
      <c r="I2261" s="12"/>
      <c r="J2261" s="153"/>
      <c r="K2261" s="13"/>
    </row>
    <row r="2262" spans="1:11" ht="15" customHeight="1" x14ac:dyDescent="0.4">
      <c r="A2262" s="179"/>
      <c r="B2262" s="177"/>
      <c r="C2262" s="69">
        <v>250</v>
      </c>
      <c r="D2262" s="11" t="s">
        <v>1761</v>
      </c>
      <c r="E2262" s="165">
        <v>0</v>
      </c>
      <c r="G2262" s="70">
        <v>250</v>
      </c>
      <c r="H2262" s="11"/>
      <c r="I2262" s="12"/>
      <c r="J2262" s="153"/>
      <c r="K2262" s="13"/>
    </row>
    <row r="2263" spans="1:11" ht="15" customHeight="1" x14ac:dyDescent="0.4">
      <c r="A2263" s="179"/>
      <c r="B2263" s="177"/>
      <c r="C2263" s="69">
        <v>220</v>
      </c>
      <c r="D2263" s="11" t="s">
        <v>1762</v>
      </c>
      <c r="E2263" s="165">
        <v>0</v>
      </c>
      <c r="G2263" s="70">
        <v>220</v>
      </c>
      <c r="H2263" s="11"/>
      <c r="I2263" s="12"/>
      <c r="J2263" s="153"/>
      <c r="K2263" s="13"/>
    </row>
    <row r="2264" spans="1:11" ht="15" customHeight="1" x14ac:dyDescent="0.4">
      <c r="A2264" s="179"/>
      <c r="B2264" s="177"/>
      <c r="C2264" s="69">
        <v>300</v>
      </c>
      <c r="D2264" s="11" t="s">
        <v>1763</v>
      </c>
      <c r="E2264" s="165">
        <v>0</v>
      </c>
      <c r="G2264" s="70">
        <v>300</v>
      </c>
      <c r="H2264" s="11"/>
      <c r="I2264" s="12"/>
      <c r="J2264" s="153"/>
      <c r="K2264" s="13"/>
    </row>
    <row r="2265" spans="1:11" ht="15" customHeight="1" x14ac:dyDescent="0.4">
      <c r="A2265" s="179"/>
      <c r="B2265" s="177"/>
      <c r="C2265" s="69">
        <v>300</v>
      </c>
      <c r="D2265" s="11" t="s">
        <v>1764</v>
      </c>
      <c r="E2265" s="165">
        <v>0</v>
      </c>
      <c r="G2265" s="70">
        <v>300</v>
      </c>
      <c r="H2265" s="11"/>
      <c r="I2265" s="12"/>
      <c r="J2265" s="153"/>
      <c r="K2265" s="13"/>
    </row>
    <row r="2266" spans="1:11" ht="15" customHeight="1" x14ac:dyDescent="0.4">
      <c r="A2266" s="179"/>
      <c r="B2266" s="177"/>
      <c r="C2266" s="69">
        <v>260</v>
      </c>
      <c r="D2266" s="11" t="s">
        <v>1765</v>
      </c>
      <c r="E2266" s="165">
        <v>0</v>
      </c>
      <c r="G2266" s="70">
        <v>260</v>
      </c>
      <c r="H2266" s="11"/>
      <c r="I2266" s="12"/>
      <c r="J2266" s="153"/>
      <c r="K2266" s="13"/>
    </row>
    <row r="2267" spans="1:11" ht="15" customHeight="1" x14ac:dyDescent="0.4">
      <c r="A2267" s="179"/>
      <c r="B2267" s="177"/>
      <c r="C2267" s="69">
        <v>300</v>
      </c>
      <c r="D2267" s="11" t="s">
        <v>1766</v>
      </c>
      <c r="E2267" s="165">
        <v>0</v>
      </c>
      <c r="G2267" s="70">
        <v>380</v>
      </c>
      <c r="H2267" s="11"/>
      <c r="I2267" s="12"/>
      <c r="J2267" s="153"/>
      <c r="K2267" s="13"/>
    </row>
    <row r="2268" spans="1:11" ht="15" customHeight="1" x14ac:dyDescent="0.4">
      <c r="A2268" s="179"/>
      <c r="B2268" s="177"/>
      <c r="C2268" s="69">
        <v>380</v>
      </c>
      <c r="D2268" s="11" t="s">
        <v>1767</v>
      </c>
      <c r="E2268" s="165">
        <v>0</v>
      </c>
      <c r="G2268" s="70">
        <v>450</v>
      </c>
      <c r="H2268" s="11"/>
      <c r="I2268" s="12"/>
      <c r="J2268" s="153"/>
      <c r="K2268" s="13"/>
    </row>
    <row r="2269" spans="1:11" ht="15" customHeight="1" x14ac:dyDescent="0.4">
      <c r="A2269" s="179"/>
      <c r="B2269" s="177"/>
      <c r="C2269" s="69">
        <v>450</v>
      </c>
      <c r="D2269" s="11" t="s">
        <v>1768</v>
      </c>
      <c r="E2269" s="165">
        <v>0</v>
      </c>
      <c r="G2269" s="70">
        <v>330</v>
      </c>
      <c r="H2269" s="11"/>
      <c r="I2269" s="12"/>
      <c r="J2269" s="153"/>
      <c r="K2269" s="13"/>
    </row>
    <row r="2270" spans="1:11" ht="15" customHeight="1" x14ac:dyDescent="0.4">
      <c r="A2270" s="179"/>
      <c r="B2270" s="177"/>
      <c r="C2270" s="69">
        <v>330</v>
      </c>
      <c r="D2270" s="11" t="s">
        <v>1769</v>
      </c>
      <c r="E2270" s="165">
        <v>0</v>
      </c>
      <c r="G2270" s="70">
        <v>516</v>
      </c>
      <c r="H2270" s="11"/>
      <c r="I2270" s="12"/>
      <c r="J2270" s="153"/>
      <c r="K2270" s="13"/>
    </row>
    <row r="2271" spans="1:11" ht="15" customHeight="1" x14ac:dyDescent="0.4">
      <c r="A2271" s="179"/>
      <c r="B2271" s="177"/>
      <c r="C2271" s="69">
        <v>516</v>
      </c>
      <c r="D2271" s="11" t="s">
        <v>1770</v>
      </c>
      <c r="E2271" s="165">
        <v>0</v>
      </c>
      <c r="G2271" s="70">
        <v>396</v>
      </c>
      <c r="H2271" s="11"/>
      <c r="I2271" s="12"/>
      <c r="J2271" s="153"/>
      <c r="K2271" s="13"/>
    </row>
    <row r="2272" spans="1:11" ht="15" customHeight="1" x14ac:dyDescent="0.4">
      <c r="A2272" s="179"/>
      <c r="B2272" s="177"/>
      <c r="C2272" s="69">
        <v>396</v>
      </c>
      <c r="D2272" s="11" t="s">
        <v>1771</v>
      </c>
      <c r="E2272" s="165">
        <v>0</v>
      </c>
      <c r="G2272" s="70" t="s">
        <v>1773</v>
      </c>
      <c r="H2272" s="11"/>
      <c r="I2272" s="12"/>
      <c r="J2272" s="157">
        <v>1000</v>
      </c>
      <c r="K2272" s="13"/>
    </row>
    <row r="2273" spans="1:11" ht="15" customHeight="1" x14ac:dyDescent="0.4">
      <c r="A2273" s="179"/>
      <c r="B2273" s="177"/>
      <c r="C2273" s="69">
        <v>700</v>
      </c>
      <c r="D2273" s="11" t="s">
        <v>1772</v>
      </c>
      <c r="E2273" s="170">
        <v>0</v>
      </c>
      <c r="G2273" s="70" t="s">
        <v>1775</v>
      </c>
      <c r="H2273" s="11"/>
      <c r="I2273" s="12"/>
      <c r="J2273" s="157">
        <v>2000</v>
      </c>
      <c r="K2273" s="13"/>
    </row>
    <row r="2274" spans="1:11" ht="15" customHeight="1" x14ac:dyDescent="0.4">
      <c r="A2274" s="179"/>
      <c r="B2274" s="177"/>
      <c r="C2274" s="69">
        <v>1350</v>
      </c>
      <c r="D2274" s="11" t="s">
        <v>1774</v>
      </c>
      <c r="E2274" s="170">
        <v>0</v>
      </c>
      <c r="G2274" s="70" t="s">
        <v>1777</v>
      </c>
      <c r="H2274" s="11"/>
      <c r="I2274" s="12"/>
      <c r="J2274" s="157">
        <v>3000</v>
      </c>
      <c r="K2274" s="13"/>
    </row>
    <row r="2275" spans="1:11" ht="15" customHeight="1" x14ac:dyDescent="0.4">
      <c r="A2275" s="179"/>
      <c r="B2275" s="177"/>
      <c r="C2275" s="69">
        <v>2150</v>
      </c>
      <c r="D2275" s="11" t="s">
        <v>1776</v>
      </c>
      <c r="E2275" s="170">
        <v>0</v>
      </c>
      <c r="G2275" s="70" t="s">
        <v>1773</v>
      </c>
      <c r="H2275" s="11"/>
      <c r="I2275" s="12"/>
      <c r="J2275" s="157">
        <v>1000</v>
      </c>
      <c r="K2275" s="13"/>
    </row>
    <row r="2276" spans="1:11" ht="15" customHeight="1" x14ac:dyDescent="0.4">
      <c r="A2276" s="179"/>
      <c r="B2276" s="177"/>
      <c r="C2276" s="69">
        <v>700</v>
      </c>
      <c r="D2276" s="11" t="s">
        <v>1778</v>
      </c>
      <c r="E2276" s="170">
        <v>0</v>
      </c>
      <c r="G2276" s="70" t="s">
        <v>1775</v>
      </c>
      <c r="H2276" s="11"/>
      <c r="I2276" s="12"/>
      <c r="J2276" s="157">
        <v>2000</v>
      </c>
      <c r="K2276" s="13"/>
    </row>
    <row r="2277" spans="1:11" ht="15" customHeight="1" x14ac:dyDescent="0.4">
      <c r="A2277" s="179"/>
      <c r="B2277" s="177"/>
      <c r="C2277" s="69">
        <v>1350</v>
      </c>
      <c r="D2277" s="11" t="s">
        <v>1779</v>
      </c>
      <c r="E2277" s="170">
        <v>0</v>
      </c>
      <c r="G2277" s="70" t="s">
        <v>1777</v>
      </c>
      <c r="H2277" s="11"/>
      <c r="I2277" s="12"/>
      <c r="J2277" s="157">
        <v>3000</v>
      </c>
      <c r="K2277" s="13"/>
    </row>
    <row r="2278" spans="1:11" ht="15" customHeight="1" x14ac:dyDescent="0.4">
      <c r="A2278" s="179"/>
      <c r="B2278" s="177"/>
      <c r="C2278" s="69">
        <v>2150</v>
      </c>
      <c r="D2278" s="11" t="s">
        <v>1780</v>
      </c>
      <c r="E2278" s="170">
        <v>0</v>
      </c>
      <c r="G2278" s="70" t="s">
        <v>1773</v>
      </c>
      <c r="H2278" s="11"/>
      <c r="I2278" s="12"/>
      <c r="J2278" s="153"/>
      <c r="K2278" s="13"/>
    </row>
    <row r="2279" spans="1:11" ht="15" customHeight="1" x14ac:dyDescent="0.4">
      <c r="A2279" s="179"/>
      <c r="B2279" s="177"/>
      <c r="C2279" s="30">
        <v>120</v>
      </c>
      <c r="D2279" s="29" t="s">
        <v>1781</v>
      </c>
      <c r="E2279" s="170">
        <v>0</v>
      </c>
      <c r="G2279" s="70" t="s">
        <v>1777</v>
      </c>
      <c r="H2279" s="11"/>
      <c r="I2279" s="12"/>
      <c r="J2279" s="153"/>
      <c r="K2279" s="13"/>
    </row>
    <row r="2280" spans="1:11" ht="12.9" customHeight="1" x14ac:dyDescent="0.4">
      <c r="A2280" s="179"/>
      <c r="B2280" s="7" t="s">
        <v>1782</v>
      </c>
      <c r="C2280" s="84">
        <v>120</v>
      </c>
      <c r="D2280" s="29" t="s">
        <v>1754</v>
      </c>
      <c r="E2280" s="170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13"/>
  <sheetViews>
    <sheetView tabSelected="1" view="pageBreakPreview" zoomScale="70" zoomScaleNormal="100" zoomScaleSheetLayoutView="70" workbookViewId="0">
      <selection activeCell="B871" sqref="B871"/>
    </sheetView>
  </sheetViews>
  <sheetFormatPr defaultColWidth="10" defaultRowHeight="15" customHeight="1" x14ac:dyDescent="0.3"/>
  <cols>
    <col min="1" max="1" width="22.3984375" style="451" customWidth="1"/>
    <col min="2" max="2" width="15.69921875" style="116" customWidth="1"/>
    <col min="3" max="3" width="18.5" style="452" customWidth="1"/>
    <col min="4" max="4" width="37.59765625" style="453" customWidth="1"/>
    <col min="5" max="5" width="9.3984375" style="226" bestFit="1" customWidth="1"/>
    <col min="6" max="6" width="4.3984375" style="89" customWidth="1"/>
    <col min="7" max="16384" width="10" style="89"/>
  </cols>
  <sheetData>
    <row r="1" spans="1:7" ht="15" customHeight="1" x14ac:dyDescent="0.45">
      <c r="A1" s="220" t="s">
        <v>2389</v>
      </c>
      <c r="B1" s="454" t="s">
        <v>2389</v>
      </c>
      <c r="C1" s="455" t="s">
        <v>2356</v>
      </c>
      <c r="D1" s="456" t="s">
        <v>2391</v>
      </c>
      <c r="E1" s="221" t="s">
        <v>2434</v>
      </c>
      <c r="G1" s="116" t="s">
        <v>2789</v>
      </c>
    </row>
    <row r="2" spans="1:7" ht="15" customHeight="1" x14ac:dyDescent="0.3">
      <c r="A2" s="222" t="s">
        <v>2973</v>
      </c>
      <c r="B2" s="223" t="s">
        <v>1788</v>
      </c>
      <c r="C2" s="224">
        <v>310</v>
      </c>
      <c r="D2" s="225" t="s">
        <v>2974</v>
      </c>
      <c r="E2" s="226">
        <v>2375000</v>
      </c>
    </row>
    <row r="3" spans="1:7" ht="15" customHeight="1" x14ac:dyDescent="0.3">
      <c r="A3" s="222" t="str">
        <f>A2</f>
        <v xml:space="preserve">갈라파고스
(GALA)                         </v>
      </c>
      <c r="B3" s="227"/>
      <c r="C3" s="106">
        <v>310</v>
      </c>
      <c r="D3" s="110" t="s">
        <v>2975</v>
      </c>
      <c r="E3" s="226">
        <v>2300000</v>
      </c>
    </row>
    <row r="4" spans="1:7" ht="15" customHeight="1" x14ac:dyDescent="0.3">
      <c r="A4" s="222" t="str">
        <f>A3</f>
        <v xml:space="preserve">갈라파고스
(GALA)                         </v>
      </c>
      <c r="B4" s="227"/>
      <c r="C4" s="319">
        <v>310</v>
      </c>
      <c r="D4" s="320" t="s">
        <v>2976</v>
      </c>
      <c r="E4" s="226">
        <v>2700000</v>
      </c>
    </row>
    <row r="5" spans="1:7" ht="15" customHeight="1" x14ac:dyDescent="0.3">
      <c r="A5" s="222" t="str">
        <f>A4</f>
        <v xml:space="preserve">갈라파고스
(GALA)                         </v>
      </c>
      <c r="B5" s="227"/>
      <c r="C5" s="106">
        <v>300</v>
      </c>
      <c r="D5" s="110" t="s">
        <v>2977</v>
      </c>
      <c r="E5" s="226">
        <v>1475000</v>
      </c>
    </row>
    <row r="6" spans="1:7" ht="15" customHeight="1" x14ac:dyDescent="0.3">
      <c r="A6" s="222" t="str">
        <f>A5</f>
        <v xml:space="preserve">갈라파고스
(GALA)                         </v>
      </c>
      <c r="B6" s="227"/>
      <c r="C6" s="106">
        <v>300</v>
      </c>
      <c r="D6" s="110" t="s">
        <v>2978</v>
      </c>
      <c r="E6" s="226">
        <v>1500000</v>
      </c>
    </row>
    <row r="7" spans="1:7" ht="15" customHeight="1" x14ac:dyDescent="0.3">
      <c r="A7" s="222" t="str">
        <f>A6</f>
        <v xml:space="preserve">갈라파고스
(GALA)                         </v>
      </c>
      <c r="B7" s="314"/>
      <c r="C7" s="315">
        <v>300</v>
      </c>
      <c r="D7" s="318" t="s">
        <v>2979</v>
      </c>
      <c r="E7" s="226">
        <v>1800000</v>
      </c>
    </row>
    <row r="8" spans="1:7" ht="15" customHeight="1" x14ac:dyDescent="0.3">
      <c r="A8" s="317" t="s">
        <v>2980</v>
      </c>
      <c r="B8" s="227" t="s">
        <v>1789</v>
      </c>
      <c r="C8" s="106">
        <v>200</v>
      </c>
      <c r="D8" s="228" t="s">
        <v>1865</v>
      </c>
      <c r="E8" s="226">
        <v>318000</v>
      </c>
    </row>
    <row r="9" spans="1:7" ht="15" customHeight="1" x14ac:dyDescent="0.3">
      <c r="A9" s="317"/>
      <c r="B9" s="103" t="s">
        <v>1786</v>
      </c>
      <c r="C9" s="104">
        <v>115</v>
      </c>
      <c r="D9" s="112" t="s">
        <v>2981</v>
      </c>
      <c r="E9" s="226">
        <v>127000</v>
      </c>
    </row>
    <row r="10" spans="1:7" ht="15" customHeight="1" x14ac:dyDescent="0.3">
      <c r="A10" s="317"/>
      <c r="B10" s="227"/>
      <c r="C10" s="106">
        <v>135</v>
      </c>
      <c r="D10" s="228" t="s">
        <v>1868</v>
      </c>
      <c r="E10" s="226">
        <v>150000</v>
      </c>
    </row>
    <row r="11" spans="1:7" ht="15" customHeight="1" x14ac:dyDescent="0.3">
      <c r="A11" s="317"/>
      <c r="B11" s="227"/>
      <c r="C11" s="106">
        <v>150</v>
      </c>
      <c r="D11" s="228" t="s">
        <v>1869</v>
      </c>
      <c r="E11" s="226">
        <v>166000</v>
      </c>
    </row>
    <row r="12" spans="1:7" ht="15" customHeight="1" x14ac:dyDescent="0.3">
      <c r="A12" s="317"/>
      <c r="B12" s="227"/>
      <c r="C12" s="106">
        <v>200</v>
      </c>
      <c r="D12" s="228" t="s">
        <v>2154</v>
      </c>
      <c r="E12" s="226">
        <v>221000</v>
      </c>
    </row>
    <row r="13" spans="1:7" ht="15" customHeight="1" x14ac:dyDescent="0.3">
      <c r="A13" s="317"/>
      <c r="B13" s="323"/>
      <c r="C13" s="324">
        <v>250</v>
      </c>
      <c r="D13" s="457" t="s">
        <v>1994</v>
      </c>
      <c r="E13" s="226">
        <v>277000</v>
      </c>
    </row>
    <row r="14" spans="1:7" ht="15" customHeight="1" x14ac:dyDescent="0.3">
      <c r="A14" s="229" t="s">
        <v>1790</v>
      </c>
      <c r="B14" s="223" t="s">
        <v>1791</v>
      </c>
      <c r="C14" s="224">
        <v>300</v>
      </c>
      <c r="D14" s="225" t="s">
        <v>1792</v>
      </c>
      <c r="E14" s="226">
        <v>1225000</v>
      </c>
    </row>
    <row r="15" spans="1:7" ht="15" customHeight="1" x14ac:dyDescent="0.3">
      <c r="A15" s="229" t="str">
        <f>A14</f>
        <v>구몬드3
(G3)</v>
      </c>
      <c r="B15" s="227"/>
      <c r="C15" s="106"/>
      <c r="D15" s="110" t="s">
        <v>1793</v>
      </c>
      <c r="E15" s="226">
        <v>1425000</v>
      </c>
    </row>
    <row r="16" spans="1:7" ht="15" customHeight="1" x14ac:dyDescent="0.3">
      <c r="A16" s="229" t="str">
        <f>A15</f>
        <v>구몬드3
(G3)</v>
      </c>
      <c r="B16" s="227"/>
      <c r="C16" s="319"/>
      <c r="D16" s="320" t="s">
        <v>2982</v>
      </c>
      <c r="E16" s="226">
        <v>2050000</v>
      </c>
    </row>
    <row r="17" spans="1:5" ht="15" customHeight="1" x14ac:dyDescent="0.3">
      <c r="A17" s="229" t="str">
        <f>A16</f>
        <v>구몬드3
(G3)</v>
      </c>
      <c r="B17" s="227"/>
      <c r="C17" s="104">
        <v>310</v>
      </c>
      <c r="D17" s="112" t="s">
        <v>2983</v>
      </c>
      <c r="E17" s="226">
        <v>2100000</v>
      </c>
    </row>
    <row r="18" spans="1:5" ht="15" customHeight="1" x14ac:dyDescent="0.3">
      <c r="A18" s="229" t="s">
        <v>1794</v>
      </c>
      <c r="B18" s="223" t="s">
        <v>1795</v>
      </c>
      <c r="C18" s="224">
        <v>110</v>
      </c>
      <c r="D18" s="225" t="s">
        <v>1796</v>
      </c>
      <c r="E18" s="226">
        <v>865000</v>
      </c>
    </row>
    <row r="19" spans="1:5" ht="15" customHeight="1" x14ac:dyDescent="0.3">
      <c r="A19" s="230" t="str">
        <f t="shared" ref="A19:A26" si="0">A18</f>
        <v>구몬드 골드
(GG)</v>
      </c>
      <c r="B19" s="227"/>
      <c r="C19" s="106"/>
      <c r="D19" s="110" t="s">
        <v>1797</v>
      </c>
      <c r="E19" s="226">
        <v>1295000</v>
      </c>
    </row>
    <row r="20" spans="1:5" ht="15" customHeight="1" x14ac:dyDescent="0.3">
      <c r="A20" s="230" t="str">
        <f t="shared" si="0"/>
        <v>구몬드 골드
(GG)</v>
      </c>
      <c r="B20" s="227"/>
      <c r="C20" s="106" t="s">
        <v>1787</v>
      </c>
      <c r="D20" s="110" t="s">
        <v>2984</v>
      </c>
      <c r="E20" s="226">
        <v>1560000</v>
      </c>
    </row>
    <row r="21" spans="1:5" ht="15" customHeight="1" x14ac:dyDescent="0.3">
      <c r="A21" s="230" t="str">
        <f t="shared" si="0"/>
        <v>구몬드 골드
(GG)</v>
      </c>
      <c r="B21" s="227"/>
      <c r="C21" s="319"/>
      <c r="D21" s="320" t="s">
        <v>1798</v>
      </c>
      <c r="E21" s="226">
        <v>1640000</v>
      </c>
    </row>
    <row r="22" spans="1:5" ht="15" customHeight="1" x14ac:dyDescent="0.3">
      <c r="A22" s="230" t="str">
        <f t="shared" si="0"/>
        <v>구몬드 골드
(GG)</v>
      </c>
      <c r="B22" s="227"/>
      <c r="C22" s="108">
        <v>210</v>
      </c>
      <c r="D22" s="109" t="s">
        <v>1799</v>
      </c>
      <c r="E22" s="226">
        <v>2875000</v>
      </c>
    </row>
    <row r="23" spans="1:5" ht="15" customHeight="1" x14ac:dyDescent="0.3">
      <c r="A23" s="230" t="str">
        <f t="shared" si="0"/>
        <v>구몬드 골드
(GG)</v>
      </c>
      <c r="B23" s="227"/>
      <c r="C23" s="106">
        <v>310</v>
      </c>
      <c r="D23" s="110" t="s">
        <v>1800</v>
      </c>
      <c r="E23" s="226">
        <v>2060000</v>
      </c>
    </row>
    <row r="24" spans="1:5" ht="15" customHeight="1" x14ac:dyDescent="0.3">
      <c r="A24" s="230" t="str">
        <f t="shared" si="0"/>
        <v>구몬드 골드
(GG)</v>
      </c>
      <c r="B24" s="227"/>
      <c r="C24" s="106"/>
      <c r="D24" s="110" t="s">
        <v>2985</v>
      </c>
      <c r="E24" s="226">
        <v>3060000</v>
      </c>
    </row>
    <row r="25" spans="1:5" ht="15" customHeight="1" x14ac:dyDescent="0.3">
      <c r="A25" s="230" t="str">
        <f t="shared" si="0"/>
        <v>구몬드 골드
(GG)</v>
      </c>
      <c r="B25" s="227"/>
      <c r="C25" s="106"/>
      <c r="D25" s="110" t="s">
        <v>2986</v>
      </c>
      <c r="E25" s="226">
        <v>3690000</v>
      </c>
    </row>
    <row r="26" spans="1:5" ht="15" customHeight="1" x14ac:dyDescent="0.3">
      <c r="A26" s="230" t="str">
        <f t="shared" si="0"/>
        <v>구몬드 골드
(GG)</v>
      </c>
      <c r="B26" s="227"/>
      <c r="C26" s="106"/>
      <c r="D26" s="110" t="s">
        <v>1801</v>
      </c>
      <c r="E26" s="226">
        <v>3875000</v>
      </c>
    </row>
    <row r="27" spans="1:5" ht="15" customHeight="1" x14ac:dyDescent="0.3">
      <c r="A27" s="229" t="s">
        <v>1802</v>
      </c>
      <c r="B27" s="223" t="s">
        <v>1803</v>
      </c>
      <c r="C27" s="224">
        <v>130</v>
      </c>
      <c r="D27" s="225" t="s">
        <v>2987</v>
      </c>
      <c r="E27" s="226">
        <v>1465000</v>
      </c>
    </row>
    <row r="28" spans="1:5" ht="15" customHeight="1" x14ac:dyDescent="0.3">
      <c r="A28" s="230" t="str">
        <f t="shared" ref="A28:A37" si="1">A27</f>
        <v>구몬드 스페셜
(GMS)</v>
      </c>
      <c r="B28" s="227"/>
      <c r="C28" s="319"/>
      <c r="D28" s="320" t="s">
        <v>1804</v>
      </c>
      <c r="E28" s="226">
        <v>1530000</v>
      </c>
    </row>
    <row r="29" spans="1:5" ht="15" customHeight="1" x14ac:dyDescent="0.3">
      <c r="A29" s="230" t="str">
        <f t="shared" si="1"/>
        <v>구몬드 스페셜
(GMS)</v>
      </c>
      <c r="B29" s="227"/>
      <c r="C29" s="104">
        <v>120</v>
      </c>
      <c r="D29" s="112" t="s">
        <v>2988</v>
      </c>
      <c r="E29" s="226">
        <v>665000</v>
      </c>
    </row>
    <row r="30" spans="1:5" ht="15" customHeight="1" x14ac:dyDescent="0.3">
      <c r="A30" s="230" t="str">
        <f t="shared" si="1"/>
        <v>구몬드 스페셜
(GMS)</v>
      </c>
      <c r="B30" s="227"/>
      <c r="C30" s="106"/>
      <c r="D30" s="110" t="s">
        <v>2989</v>
      </c>
      <c r="E30" s="226">
        <v>795000</v>
      </c>
    </row>
    <row r="31" spans="1:5" ht="15" customHeight="1" x14ac:dyDescent="0.3">
      <c r="A31" s="230" t="str">
        <f t="shared" si="1"/>
        <v>구몬드 스페셜
(GMS)</v>
      </c>
      <c r="B31" s="227"/>
      <c r="C31" s="319"/>
      <c r="D31" s="320" t="s">
        <v>2990</v>
      </c>
      <c r="E31" s="226">
        <v>925000</v>
      </c>
    </row>
    <row r="32" spans="1:5" ht="15" customHeight="1" x14ac:dyDescent="0.3">
      <c r="A32" s="230" t="str">
        <f t="shared" si="1"/>
        <v>구몬드 스페셜
(GMS)</v>
      </c>
      <c r="B32" s="227"/>
      <c r="C32" s="106">
        <v>130</v>
      </c>
      <c r="D32" s="110" t="s">
        <v>2991</v>
      </c>
      <c r="E32" s="226">
        <v>1450000</v>
      </c>
    </row>
    <row r="33" spans="1:5" ht="15" customHeight="1" x14ac:dyDescent="0.3">
      <c r="A33" s="230" t="str">
        <f t="shared" si="1"/>
        <v>구몬드 스페셜
(GMS)</v>
      </c>
      <c r="B33" s="227"/>
      <c r="C33" s="106"/>
      <c r="D33" s="110" t="s">
        <v>1805</v>
      </c>
      <c r="E33" s="226">
        <v>1700000</v>
      </c>
    </row>
    <row r="34" spans="1:5" ht="15" customHeight="1" x14ac:dyDescent="0.3">
      <c r="A34" s="230" t="str">
        <f t="shared" si="1"/>
        <v>구몬드 스페셜
(GMS)</v>
      </c>
      <c r="B34" s="227"/>
      <c r="C34" s="106"/>
      <c r="D34" s="110" t="s">
        <v>1806</v>
      </c>
      <c r="E34" s="226">
        <v>2100000</v>
      </c>
    </row>
    <row r="35" spans="1:5" ht="15" customHeight="1" x14ac:dyDescent="0.3">
      <c r="A35" s="230" t="str">
        <f t="shared" si="1"/>
        <v>구몬드 스페셜
(GMS)</v>
      </c>
      <c r="B35" s="227"/>
      <c r="C35" s="106"/>
      <c r="D35" s="110" t="s">
        <v>1807</v>
      </c>
      <c r="E35" s="226">
        <v>1730000</v>
      </c>
    </row>
    <row r="36" spans="1:5" ht="15" customHeight="1" x14ac:dyDescent="0.3">
      <c r="A36" s="230" t="str">
        <f t="shared" si="1"/>
        <v>구몬드 스페셜
(GMS)</v>
      </c>
      <c r="B36" s="227"/>
      <c r="C36" s="106"/>
      <c r="D36" s="110" t="s">
        <v>1808</v>
      </c>
      <c r="E36" s="226">
        <v>1915000</v>
      </c>
    </row>
    <row r="37" spans="1:5" ht="15" customHeight="1" x14ac:dyDescent="0.3">
      <c r="A37" s="317" t="str">
        <f t="shared" si="1"/>
        <v>구몬드 스페셜
(GMS)</v>
      </c>
      <c r="B37" s="314"/>
      <c r="C37" s="315"/>
      <c r="D37" s="318" t="s">
        <v>1809</v>
      </c>
      <c r="E37" s="226">
        <v>1770000</v>
      </c>
    </row>
    <row r="38" spans="1:5" ht="15" customHeight="1" x14ac:dyDescent="0.3">
      <c r="A38" s="231" t="s">
        <v>1810</v>
      </c>
      <c r="B38" s="232" t="s">
        <v>1811</v>
      </c>
      <c r="C38" s="224">
        <v>120</v>
      </c>
      <c r="D38" s="233" t="s">
        <v>1812</v>
      </c>
      <c r="E38" s="226">
        <v>240000</v>
      </c>
    </row>
    <row r="39" spans="1:5" ht="15" customHeight="1" x14ac:dyDescent="0.3">
      <c r="A39" s="234" t="str">
        <f t="shared" ref="A39:A47" si="2">A38</f>
        <v>그래피카
(PGP)</v>
      </c>
      <c r="B39" s="235"/>
      <c r="C39" s="106">
        <v>240</v>
      </c>
      <c r="D39" s="228" t="s">
        <v>1813</v>
      </c>
      <c r="E39" s="226">
        <v>540000</v>
      </c>
    </row>
    <row r="40" spans="1:5" ht="15" customHeight="1" x14ac:dyDescent="0.3">
      <c r="A40" s="234" t="str">
        <f t="shared" si="2"/>
        <v>그래피카
(PGP)</v>
      </c>
      <c r="B40" s="312" t="s">
        <v>1811</v>
      </c>
      <c r="C40" s="272">
        <v>120</v>
      </c>
      <c r="D40" s="458" t="s">
        <v>1814</v>
      </c>
      <c r="E40" s="226">
        <v>240000</v>
      </c>
    </row>
    <row r="41" spans="1:5" ht="15" customHeight="1" x14ac:dyDescent="0.3">
      <c r="A41" s="234" t="str">
        <f t="shared" si="2"/>
        <v>그래피카
(PGP)</v>
      </c>
      <c r="B41" s="235"/>
      <c r="C41" s="106">
        <v>150</v>
      </c>
      <c r="D41" s="228" t="s">
        <v>1815</v>
      </c>
      <c r="E41" s="226">
        <v>300000</v>
      </c>
    </row>
    <row r="42" spans="1:5" ht="15" customHeight="1" x14ac:dyDescent="0.3">
      <c r="A42" s="234" t="str">
        <f t="shared" si="2"/>
        <v>그래피카
(PGP)</v>
      </c>
      <c r="B42" s="235"/>
      <c r="C42" s="106">
        <v>240</v>
      </c>
      <c r="D42" s="228" t="s">
        <v>1816</v>
      </c>
      <c r="E42" s="226">
        <v>540000</v>
      </c>
    </row>
    <row r="43" spans="1:5" ht="15" customHeight="1" x14ac:dyDescent="0.3">
      <c r="A43" s="234" t="str">
        <f t="shared" si="2"/>
        <v>그래피카
(PGP)</v>
      </c>
      <c r="B43" s="235"/>
      <c r="C43" s="106">
        <v>300</v>
      </c>
      <c r="D43" s="228" t="s">
        <v>1817</v>
      </c>
      <c r="E43" s="226">
        <v>675000</v>
      </c>
    </row>
    <row r="44" spans="1:5" ht="15" customHeight="1" x14ac:dyDescent="0.3">
      <c r="A44" s="234" t="str">
        <f t="shared" si="2"/>
        <v>그래피카
(PGP)</v>
      </c>
      <c r="B44" s="312" t="s">
        <v>1811</v>
      </c>
      <c r="C44" s="272">
        <v>120</v>
      </c>
      <c r="D44" s="458" t="s">
        <v>1818</v>
      </c>
      <c r="E44" s="226">
        <v>240000</v>
      </c>
    </row>
    <row r="45" spans="1:5" ht="15" customHeight="1" x14ac:dyDescent="0.3">
      <c r="A45" s="234" t="str">
        <f t="shared" si="2"/>
        <v>그래피카
(PGP)</v>
      </c>
      <c r="B45" s="235"/>
      <c r="C45" s="106">
        <v>240</v>
      </c>
      <c r="D45" s="228" t="s">
        <v>1819</v>
      </c>
      <c r="E45" s="226">
        <v>540000</v>
      </c>
    </row>
    <row r="46" spans="1:5" ht="15" customHeight="1" x14ac:dyDescent="0.3">
      <c r="A46" s="234" t="str">
        <f t="shared" si="2"/>
        <v>그래피카
(PGP)</v>
      </c>
      <c r="B46" s="312" t="s">
        <v>1820</v>
      </c>
      <c r="C46" s="272">
        <v>90</v>
      </c>
      <c r="D46" s="458" t="s">
        <v>1821</v>
      </c>
      <c r="E46" s="226">
        <v>125000</v>
      </c>
    </row>
    <row r="47" spans="1:5" ht="15" customHeight="1" x14ac:dyDescent="0.3">
      <c r="A47" s="236" t="str">
        <f t="shared" si="2"/>
        <v>그래피카
(PGP)</v>
      </c>
      <c r="B47" s="331"/>
      <c r="C47" s="324">
        <v>90</v>
      </c>
      <c r="D47" s="457" t="s">
        <v>1822</v>
      </c>
      <c r="E47" s="226">
        <v>125000</v>
      </c>
    </row>
    <row r="48" spans="1:5" ht="15" customHeight="1" x14ac:dyDescent="0.3">
      <c r="A48" s="237" t="s">
        <v>2992</v>
      </c>
      <c r="B48" s="238" t="s">
        <v>2993</v>
      </c>
      <c r="C48" s="239">
        <v>110</v>
      </c>
      <c r="D48" s="240" t="s">
        <v>1824</v>
      </c>
    </row>
    <row r="49" spans="1:5" ht="15" customHeight="1" x14ac:dyDescent="0.3">
      <c r="A49" s="241" t="e">
        <f>#REF!</f>
        <v>#REF!</v>
      </c>
      <c r="B49" s="323" t="s">
        <v>1846</v>
      </c>
      <c r="C49" s="324">
        <v>500</v>
      </c>
      <c r="D49" s="457" t="s">
        <v>2994</v>
      </c>
      <c r="E49" s="226">
        <v>1585000</v>
      </c>
    </row>
    <row r="50" spans="1:5" ht="15" customHeight="1" x14ac:dyDescent="0.3">
      <c r="A50" s="230" t="s">
        <v>1828</v>
      </c>
      <c r="B50" s="227" t="s">
        <v>1846</v>
      </c>
      <c r="C50" s="106">
        <v>200</v>
      </c>
      <c r="D50" s="242" t="s">
        <v>2995</v>
      </c>
      <c r="E50" s="226">
        <v>380000</v>
      </c>
    </row>
    <row r="51" spans="1:5" ht="15" customHeight="1" x14ac:dyDescent="0.3">
      <c r="A51" s="230" t="s">
        <v>1829</v>
      </c>
      <c r="B51" s="227"/>
      <c r="C51" s="106">
        <v>250</v>
      </c>
      <c r="D51" s="228" t="s">
        <v>2996</v>
      </c>
      <c r="E51" s="226">
        <v>475000</v>
      </c>
    </row>
    <row r="52" spans="1:5" ht="15" customHeight="1" x14ac:dyDescent="0.3">
      <c r="A52" s="230" t="s">
        <v>1830</v>
      </c>
      <c r="B52" s="227"/>
      <c r="C52" s="106">
        <v>300</v>
      </c>
      <c r="D52" s="228" t="s">
        <v>2997</v>
      </c>
      <c r="E52" s="226">
        <v>570000</v>
      </c>
    </row>
    <row r="53" spans="1:5" ht="15" customHeight="1" x14ac:dyDescent="0.3">
      <c r="A53" s="230" t="s">
        <v>1831</v>
      </c>
      <c r="B53" s="227"/>
      <c r="C53" s="106">
        <v>350</v>
      </c>
      <c r="D53" s="242" t="s">
        <v>2061</v>
      </c>
      <c r="E53" s="226">
        <v>660000</v>
      </c>
    </row>
    <row r="54" spans="1:5" ht="15" customHeight="1" x14ac:dyDescent="0.3">
      <c r="A54" s="230" t="s">
        <v>1832</v>
      </c>
      <c r="B54" s="227"/>
      <c r="C54" s="106">
        <v>400</v>
      </c>
      <c r="D54" s="228" t="s">
        <v>2998</v>
      </c>
      <c r="E54" s="226">
        <v>750000</v>
      </c>
    </row>
    <row r="55" spans="1:5" ht="15" customHeight="1" x14ac:dyDescent="0.3">
      <c r="A55" s="230" t="s">
        <v>2999</v>
      </c>
      <c r="B55" s="227"/>
      <c r="C55" s="106">
        <v>500</v>
      </c>
      <c r="D55" s="110" t="s">
        <v>3000</v>
      </c>
      <c r="E55" s="226">
        <v>940000</v>
      </c>
    </row>
    <row r="56" spans="1:5" ht="15" customHeight="1" x14ac:dyDescent="0.3">
      <c r="A56" s="230"/>
      <c r="B56" s="227"/>
      <c r="C56" s="106">
        <v>500</v>
      </c>
      <c r="D56" s="110" t="s">
        <v>1833</v>
      </c>
      <c r="E56" s="226">
        <v>1135000</v>
      </c>
    </row>
    <row r="57" spans="1:5" ht="15" customHeight="1" x14ac:dyDescent="0.3">
      <c r="A57" s="230"/>
      <c r="B57" s="227"/>
      <c r="C57" s="106">
        <v>710</v>
      </c>
      <c r="D57" s="110" t="s">
        <v>3001</v>
      </c>
      <c r="E57" s="226">
        <v>1630000</v>
      </c>
    </row>
    <row r="58" spans="1:5" ht="15" customHeight="1" x14ac:dyDescent="0.3">
      <c r="A58" s="230"/>
      <c r="B58" s="227"/>
      <c r="C58" s="106">
        <v>1000</v>
      </c>
      <c r="D58" s="110" t="s">
        <v>1787</v>
      </c>
      <c r="E58" s="243">
        <v>2250000</v>
      </c>
    </row>
    <row r="59" spans="1:5" ht="15" customHeight="1" x14ac:dyDescent="0.3">
      <c r="A59" s="230"/>
      <c r="B59" s="321"/>
      <c r="C59" s="319">
        <v>1200</v>
      </c>
      <c r="D59" s="320" t="s">
        <v>1787</v>
      </c>
      <c r="E59" s="243">
        <v>2750000</v>
      </c>
    </row>
    <row r="60" spans="1:5" ht="15" customHeight="1" x14ac:dyDescent="0.3">
      <c r="A60" s="230"/>
      <c r="B60" s="103" t="s">
        <v>1857</v>
      </c>
      <c r="C60" s="104">
        <v>350</v>
      </c>
      <c r="D60" s="459" t="s">
        <v>3002</v>
      </c>
      <c r="E60" s="226">
        <v>330000</v>
      </c>
    </row>
    <row r="61" spans="1:5" ht="15" customHeight="1" x14ac:dyDescent="0.3">
      <c r="A61" s="230"/>
      <c r="B61" s="227"/>
      <c r="C61" s="106">
        <v>400</v>
      </c>
      <c r="D61" s="244" t="s">
        <v>3003</v>
      </c>
      <c r="E61" s="226">
        <v>375000</v>
      </c>
    </row>
    <row r="62" spans="1:5" ht="15" customHeight="1" x14ac:dyDescent="0.3">
      <c r="A62" s="317" t="s">
        <v>1834</v>
      </c>
      <c r="B62" s="323" t="s">
        <v>1787</v>
      </c>
      <c r="C62" s="324" t="s">
        <v>2173</v>
      </c>
      <c r="D62" s="335" t="s">
        <v>1827</v>
      </c>
      <c r="E62" s="226" t="s">
        <v>1844</v>
      </c>
    </row>
    <row r="63" spans="1:5" ht="15" customHeight="1" x14ac:dyDescent="0.3">
      <c r="A63" s="237" t="s">
        <v>1845</v>
      </c>
      <c r="B63" s="427" t="s">
        <v>1846</v>
      </c>
      <c r="C63" s="239">
        <v>300</v>
      </c>
      <c r="D63" s="240" t="s">
        <v>1847</v>
      </c>
      <c r="E63" s="226">
        <v>1175000</v>
      </c>
    </row>
    <row r="64" spans="1:5" ht="15" customHeight="1" x14ac:dyDescent="0.3">
      <c r="A64" s="230" t="e">
        <f>#REF!</f>
        <v>#REF!</v>
      </c>
      <c r="B64" s="227"/>
      <c r="C64" s="104">
        <v>338</v>
      </c>
      <c r="D64" s="112" t="s">
        <v>1848</v>
      </c>
      <c r="E64" s="226">
        <v>1345000</v>
      </c>
    </row>
    <row r="65" spans="1:5" ht="15" customHeight="1" x14ac:dyDescent="0.3">
      <c r="A65" s="230" t="e">
        <f>A64</f>
        <v>#REF!</v>
      </c>
      <c r="B65" s="227"/>
      <c r="C65" s="106"/>
      <c r="D65" s="245" t="s">
        <v>1849</v>
      </c>
      <c r="E65" s="226">
        <v>1510000</v>
      </c>
    </row>
    <row r="66" spans="1:5" ht="15" customHeight="1" x14ac:dyDescent="0.3">
      <c r="A66" s="230" t="e">
        <f t="shared" ref="A66" si="3">A65</f>
        <v>#REF!</v>
      </c>
      <c r="B66" s="227"/>
      <c r="C66" s="319"/>
      <c r="D66" s="400" t="s">
        <v>1850</v>
      </c>
      <c r="E66" s="226">
        <v>2015000</v>
      </c>
    </row>
    <row r="67" spans="1:5" ht="15" customHeight="1" x14ac:dyDescent="0.3">
      <c r="A67" s="230" t="e">
        <f>#REF!</f>
        <v>#REF!</v>
      </c>
      <c r="B67" s="321"/>
      <c r="C67" s="319">
        <v>324</v>
      </c>
      <c r="D67" s="400" t="s">
        <v>1851</v>
      </c>
      <c r="E67" s="226">
        <v>1290000</v>
      </c>
    </row>
    <row r="68" spans="1:5" ht="15" customHeight="1" x14ac:dyDescent="0.3">
      <c r="A68" s="230" t="e">
        <f>A67</f>
        <v>#REF!</v>
      </c>
      <c r="B68" s="227" t="s">
        <v>1852</v>
      </c>
      <c r="C68" s="105">
        <v>284</v>
      </c>
      <c r="D68" s="105" t="s">
        <v>1853</v>
      </c>
      <c r="E68" s="226">
        <v>1445000</v>
      </c>
    </row>
    <row r="69" spans="1:5" ht="15" customHeight="1" x14ac:dyDescent="0.3">
      <c r="A69" s="230" t="e">
        <f t="shared" ref="A69:A70" si="4">A68</f>
        <v>#REF!</v>
      </c>
      <c r="B69" s="227" t="s">
        <v>1787</v>
      </c>
      <c r="C69" s="105">
        <v>338</v>
      </c>
      <c r="D69" s="105" t="s">
        <v>1854</v>
      </c>
      <c r="E69" s="226">
        <v>1220000</v>
      </c>
    </row>
    <row r="70" spans="1:5" ht="15" customHeight="1" x14ac:dyDescent="0.3">
      <c r="A70" s="230" t="e">
        <f t="shared" si="4"/>
        <v>#REF!</v>
      </c>
      <c r="B70" s="227"/>
      <c r="C70" s="319" t="s">
        <v>1787</v>
      </c>
      <c r="D70" s="320" t="s">
        <v>1855</v>
      </c>
      <c r="E70" s="226">
        <v>1355000</v>
      </c>
    </row>
    <row r="71" spans="1:5" ht="15" customHeight="1" x14ac:dyDescent="0.3">
      <c r="A71" s="230" t="e">
        <f>#REF!</f>
        <v>#REF!</v>
      </c>
      <c r="B71" s="227" t="s">
        <v>1787</v>
      </c>
      <c r="C71" s="105">
        <v>392</v>
      </c>
      <c r="D71" s="329" t="s">
        <v>1856</v>
      </c>
      <c r="E71" s="226">
        <v>3070000</v>
      </c>
    </row>
    <row r="72" spans="1:5" ht="15" customHeight="1" x14ac:dyDescent="0.3">
      <c r="A72" s="246" t="s">
        <v>1859</v>
      </c>
      <c r="B72" s="427" t="s">
        <v>1826</v>
      </c>
      <c r="C72" s="239">
        <v>50</v>
      </c>
      <c r="D72" s="247" t="s">
        <v>1860</v>
      </c>
      <c r="E72" s="226">
        <v>135000</v>
      </c>
    </row>
    <row r="73" spans="1:5" ht="15" customHeight="1" x14ac:dyDescent="0.3">
      <c r="A73" s="248"/>
      <c r="B73" s="227"/>
      <c r="C73" s="106">
        <v>60</v>
      </c>
      <c r="D73" s="249" t="s">
        <v>1861</v>
      </c>
      <c r="E73" s="226">
        <v>162000</v>
      </c>
    </row>
    <row r="74" spans="1:5" ht="15" customHeight="1" x14ac:dyDescent="0.3">
      <c r="A74" s="248"/>
      <c r="B74" s="227"/>
      <c r="C74" s="106">
        <v>70</v>
      </c>
      <c r="D74" s="249" t="s">
        <v>1862</v>
      </c>
      <c r="E74" s="226">
        <v>189000</v>
      </c>
    </row>
    <row r="75" spans="1:5" ht="15" customHeight="1" x14ac:dyDescent="0.3">
      <c r="A75" s="248"/>
      <c r="B75" s="227"/>
      <c r="C75" s="106">
        <v>80</v>
      </c>
      <c r="D75" s="249" t="s">
        <v>1863</v>
      </c>
      <c r="E75" s="226">
        <v>216000</v>
      </c>
    </row>
    <row r="76" spans="1:5" ht="15" customHeight="1" x14ac:dyDescent="0.3">
      <c r="A76" s="248"/>
      <c r="B76" s="227"/>
      <c r="C76" s="106">
        <v>90</v>
      </c>
      <c r="D76" s="249" t="s">
        <v>1864</v>
      </c>
      <c r="E76" s="226">
        <v>243000</v>
      </c>
    </row>
    <row r="77" spans="1:5" ht="15" customHeight="1" x14ac:dyDescent="0.3">
      <c r="A77" s="248"/>
      <c r="B77" s="227"/>
      <c r="C77" s="106">
        <v>100</v>
      </c>
      <c r="D77" s="249" t="s">
        <v>1865</v>
      </c>
      <c r="E77" s="226">
        <v>270000</v>
      </c>
    </row>
    <row r="78" spans="1:5" ht="15" customHeight="1" x14ac:dyDescent="0.3">
      <c r="A78" s="248"/>
      <c r="B78" s="227"/>
      <c r="C78" s="106">
        <v>110</v>
      </c>
      <c r="D78" s="249" t="s">
        <v>1866</v>
      </c>
      <c r="E78" s="226">
        <v>297000</v>
      </c>
    </row>
    <row r="79" spans="1:5" ht="15" customHeight="1" x14ac:dyDescent="0.3">
      <c r="A79" s="248"/>
      <c r="B79" s="227"/>
      <c r="C79" s="106">
        <v>130</v>
      </c>
      <c r="D79" s="249" t="s">
        <v>1867</v>
      </c>
      <c r="E79" s="226">
        <v>351000</v>
      </c>
    </row>
    <row r="80" spans="1:5" ht="15" customHeight="1" x14ac:dyDescent="0.3">
      <c r="A80" s="248"/>
      <c r="B80" s="227"/>
      <c r="C80" s="106">
        <v>150</v>
      </c>
      <c r="D80" s="249" t="s">
        <v>1868</v>
      </c>
      <c r="E80" s="226">
        <v>440000</v>
      </c>
    </row>
    <row r="81" spans="1:5" ht="15" customHeight="1" x14ac:dyDescent="0.3">
      <c r="A81" s="248"/>
      <c r="B81" s="227"/>
      <c r="C81" s="106">
        <v>170</v>
      </c>
      <c r="D81" s="249" t="s">
        <v>1869</v>
      </c>
      <c r="E81" s="226">
        <v>495000</v>
      </c>
    </row>
    <row r="82" spans="1:5" ht="15" customHeight="1" x14ac:dyDescent="0.3">
      <c r="A82" s="248"/>
      <c r="B82" s="227"/>
      <c r="C82" s="106">
        <v>180</v>
      </c>
      <c r="D82" s="249" t="s">
        <v>1870</v>
      </c>
      <c r="E82" s="226">
        <v>525000</v>
      </c>
    </row>
    <row r="83" spans="1:5" ht="15" customHeight="1" x14ac:dyDescent="0.3">
      <c r="A83" s="248"/>
      <c r="B83" s="95" t="s">
        <v>3004</v>
      </c>
      <c r="C83" s="94">
        <v>150</v>
      </c>
      <c r="D83" s="460" t="s">
        <v>3005</v>
      </c>
      <c r="E83" s="226">
        <v>236000</v>
      </c>
    </row>
    <row r="84" spans="1:5" ht="15" customHeight="1" x14ac:dyDescent="0.3">
      <c r="A84" s="248"/>
      <c r="B84" s="95" t="s">
        <v>1871</v>
      </c>
      <c r="C84" s="94">
        <v>80</v>
      </c>
      <c r="D84" s="408" t="s">
        <v>1872</v>
      </c>
      <c r="E84" s="226">
        <v>275000</v>
      </c>
    </row>
    <row r="85" spans="1:5" ht="15" customHeight="1" x14ac:dyDescent="0.3">
      <c r="A85" s="248"/>
      <c r="B85" s="250" t="s">
        <v>1787</v>
      </c>
      <c r="C85" s="461">
        <v>90</v>
      </c>
      <c r="D85" s="462" t="s">
        <v>3006</v>
      </c>
      <c r="E85" s="226">
        <v>310000</v>
      </c>
    </row>
    <row r="86" spans="1:5" ht="15" customHeight="1" x14ac:dyDescent="0.3">
      <c r="A86" s="248"/>
      <c r="B86" s="90" t="s">
        <v>1873</v>
      </c>
      <c r="C86" s="91">
        <v>80</v>
      </c>
      <c r="D86" s="251" t="s">
        <v>3007</v>
      </c>
      <c r="E86" s="226">
        <v>11250000</v>
      </c>
    </row>
    <row r="87" spans="1:5" ht="15" customHeight="1" x14ac:dyDescent="0.3">
      <c r="A87" s="248"/>
      <c r="B87" s="90" t="s">
        <v>3008</v>
      </c>
      <c r="C87" s="91">
        <v>80</v>
      </c>
      <c r="D87" s="251" t="s">
        <v>3009</v>
      </c>
      <c r="E87" s="226">
        <v>5900000</v>
      </c>
    </row>
    <row r="88" spans="1:5" ht="15" customHeight="1" x14ac:dyDescent="0.3">
      <c r="A88" s="248"/>
      <c r="B88" s="90" t="s">
        <v>1874</v>
      </c>
      <c r="C88" s="91">
        <v>80</v>
      </c>
      <c r="D88" s="251" t="s">
        <v>1875</v>
      </c>
      <c r="E88" s="226">
        <v>13000000</v>
      </c>
    </row>
    <row r="89" spans="1:5" ht="15" customHeight="1" x14ac:dyDescent="0.3">
      <c r="A89" s="248"/>
      <c r="B89" s="90" t="s">
        <v>1876</v>
      </c>
      <c r="C89" s="91">
        <v>80</v>
      </c>
      <c r="D89" s="251" t="s">
        <v>1877</v>
      </c>
      <c r="E89" s="226">
        <v>6900000</v>
      </c>
    </row>
    <row r="90" spans="1:5" ht="15" customHeight="1" x14ac:dyDescent="0.3">
      <c r="A90" s="248"/>
      <c r="B90" s="90" t="s">
        <v>1878</v>
      </c>
      <c r="C90" s="91">
        <v>80</v>
      </c>
      <c r="D90" s="97" t="s">
        <v>1879</v>
      </c>
      <c r="E90" s="226">
        <v>3400000</v>
      </c>
    </row>
    <row r="91" spans="1:5" ht="15" customHeight="1" x14ac:dyDescent="0.3">
      <c r="A91" s="252"/>
      <c r="B91" s="463" t="s">
        <v>1439</v>
      </c>
      <c r="C91" s="405">
        <v>80</v>
      </c>
      <c r="D91" s="464" t="s">
        <v>3010</v>
      </c>
      <c r="E91" s="226">
        <v>1700000</v>
      </c>
    </row>
    <row r="92" spans="1:5" ht="15" customHeight="1" x14ac:dyDescent="0.3">
      <c r="A92" s="234" t="s">
        <v>3011</v>
      </c>
      <c r="B92" s="443" t="s">
        <v>1882</v>
      </c>
      <c r="C92" s="108">
        <v>216</v>
      </c>
      <c r="D92" s="109" t="s">
        <v>3012</v>
      </c>
      <c r="E92" s="226">
        <v>325000</v>
      </c>
    </row>
    <row r="93" spans="1:5" ht="15" customHeight="1" x14ac:dyDescent="0.3">
      <c r="A93" s="234"/>
      <c r="B93" s="443" t="s">
        <v>1884</v>
      </c>
      <c r="C93" s="108">
        <v>352</v>
      </c>
      <c r="D93" s="109" t="s">
        <v>3013</v>
      </c>
      <c r="E93" s="226">
        <v>495000</v>
      </c>
    </row>
    <row r="94" spans="1:5" ht="15" customHeight="1" x14ac:dyDescent="0.3">
      <c r="A94" s="234"/>
      <c r="B94" s="235" t="s">
        <v>1885</v>
      </c>
      <c r="C94" s="106">
        <v>216</v>
      </c>
      <c r="D94" s="110" t="s">
        <v>3014</v>
      </c>
      <c r="E94" s="226">
        <v>860000</v>
      </c>
    </row>
    <row r="95" spans="1:5" ht="15" customHeight="1" x14ac:dyDescent="0.3">
      <c r="A95" s="234"/>
      <c r="B95" s="235" t="s">
        <v>1880</v>
      </c>
      <c r="C95" s="106">
        <v>270</v>
      </c>
      <c r="D95" s="110" t="s">
        <v>3015</v>
      </c>
      <c r="E95" s="226">
        <v>430000</v>
      </c>
    </row>
    <row r="96" spans="1:5" ht="15" customHeight="1" x14ac:dyDescent="0.3">
      <c r="A96" s="234"/>
      <c r="B96" s="265" t="s">
        <v>1887</v>
      </c>
      <c r="C96" s="104">
        <v>100</v>
      </c>
      <c r="D96" s="112" t="s">
        <v>3016</v>
      </c>
      <c r="E96" s="226">
        <v>55000</v>
      </c>
    </row>
    <row r="97" spans="1:5" ht="15" customHeight="1" x14ac:dyDescent="0.3">
      <c r="A97" s="234"/>
      <c r="B97" s="328" t="s">
        <v>1886</v>
      </c>
      <c r="C97" s="319">
        <v>250</v>
      </c>
      <c r="D97" s="320" t="s">
        <v>3017</v>
      </c>
      <c r="E97" s="226">
        <v>137000</v>
      </c>
    </row>
    <row r="98" spans="1:5" ht="15" customHeight="1" x14ac:dyDescent="0.3">
      <c r="A98" s="234"/>
      <c r="B98" s="465" t="s">
        <v>1886</v>
      </c>
      <c r="C98" s="466">
        <v>250</v>
      </c>
      <c r="D98" s="374" t="s">
        <v>3018</v>
      </c>
      <c r="E98" s="226">
        <v>158000</v>
      </c>
    </row>
    <row r="99" spans="1:5" ht="15" customHeight="1" x14ac:dyDescent="0.3">
      <c r="A99" s="234"/>
      <c r="B99" s="253" t="s">
        <v>1886</v>
      </c>
      <c r="C99" s="254">
        <v>240</v>
      </c>
      <c r="D99" s="467" t="s">
        <v>3019</v>
      </c>
      <c r="E99" s="226">
        <v>146000</v>
      </c>
    </row>
    <row r="100" spans="1:5" ht="15" customHeight="1" x14ac:dyDescent="0.3">
      <c r="A100" s="234"/>
      <c r="B100" s="443" t="s">
        <v>1886</v>
      </c>
      <c r="C100" s="108">
        <v>250</v>
      </c>
      <c r="D100" s="109" t="s">
        <v>3020</v>
      </c>
      <c r="E100" s="226">
        <v>135000</v>
      </c>
    </row>
    <row r="101" spans="1:5" ht="15" customHeight="1" x14ac:dyDescent="0.3">
      <c r="A101" s="234"/>
      <c r="B101" s="265" t="s">
        <v>1887</v>
      </c>
      <c r="C101" s="104">
        <v>120</v>
      </c>
      <c r="D101" s="112" t="s">
        <v>3021</v>
      </c>
      <c r="E101" s="226">
        <v>119000</v>
      </c>
    </row>
    <row r="102" spans="1:5" ht="15" customHeight="1" x14ac:dyDescent="0.3">
      <c r="A102" s="234"/>
      <c r="B102" s="235" t="s">
        <v>1888</v>
      </c>
      <c r="C102" s="106">
        <v>120</v>
      </c>
      <c r="D102" s="110" t="s">
        <v>3022</v>
      </c>
      <c r="E102" s="226">
        <v>119000</v>
      </c>
    </row>
    <row r="103" spans="1:5" ht="15" customHeight="1" x14ac:dyDescent="0.3">
      <c r="A103" s="234"/>
      <c r="B103" s="235" t="s">
        <v>1886</v>
      </c>
      <c r="C103" s="106">
        <v>250</v>
      </c>
      <c r="D103" s="110" t="s">
        <v>3023</v>
      </c>
      <c r="E103" s="226">
        <v>240000</v>
      </c>
    </row>
    <row r="104" spans="1:5" ht="15" customHeight="1" x14ac:dyDescent="0.3">
      <c r="A104" s="234"/>
      <c r="B104" s="235" t="s">
        <v>1886</v>
      </c>
      <c r="C104" s="106">
        <v>250</v>
      </c>
      <c r="D104" s="110" t="s">
        <v>3024</v>
      </c>
      <c r="E104" s="226">
        <v>240000</v>
      </c>
    </row>
    <row r="105" spans="1:5" ht="15" customHeight="1" x14ac:dyDescent="0.3">
      <c r="A105" s="234"/>
      <c r="B105" s="328" t="s">
        <v>1889</v>
      </c>
      <c r="C105" s="319">
        <v>250</v>
      </c>
      <c r="D105" s="320" t="s">
        <v>3025</v>
      </c>
      <c r="E105" s="226">
        <v>595000</v>
      </c>
    </row>
    <row r="106" spans="1:5" ht="15" customHeight="1" x14ac:dyDescent="0.3">
      <c r="A106" s="234"/>
      <c r="B106" s="265" t="s">
        <v>1880</v>
      </c>
      <c r="C106" s="104">
        <v>250</v>
      </c>
      <c r="D106" s="112" t="s">
        <v>1890</v>
      </c>
      <c r="E106" s="226">
        <v>175000</v>
      </c>
    </row>
    <row r="107" spans="1:5" ht="15" customHeight="1" x14ac:dyDescent="0.3">
      <c r="A107" s="234"/>
      <c r="B107" s="235" t="s">
        <v>1880</v>
      </c>
      <c r="C107" s="106">
        <v>250</v>
      </c>
      <c r="D107" s="110" t="s">
        <v>1891</v>
      </c>
      <c r="E107" s="226">
        <v>175000</v>
      </c>
    </row>
    <row r="108" spans="1:5" ht="15" customHeight="1" x14ac:dyDescent="0.3">
      <c r="A108" s="234"/>
      <c r="B108" s="328" t="s">
        <v>1881</v>
      </c>
      <c r="C108" s="319">
        <v>250</v>
      </c>
      <c r="D108" s="320" t="s">
        <v>1892</v>
      </c>
      <c r="E108" s="226">
        <v>485000</v>
      </c>
    </row>
    <row r="109" spans="1:5" ht="15" customHeight="1" x14ac:dyDescent="0.3">
      <c r="A109" s="234"/>
      <c r="B109" s="443" t="s">
        <v>1886</v>
      </c>
      <c r="C109" s="108">
        <v>250</v>
      </c>
      <c r="D109" s="109" t="s">
        <v>3020</v>
      </c>
      <c r="E109" s="226">
        <v>135000</v>
      </c>
    </row>
    <row r="110" spans="1:5" ht="15" customHeight="1" x14ac:dyDescent="0.3">
      <c r="A110" s="234"/>
      <c r="B110" s="328" t="s">
        <v>1894</v>
      </c>
      <c r="C110" s="319">
        <v>200</v>
      </c>
      <c r="D110" s="320" t="s">
        <v>3026</v>
      </c>
    </row>
    <row r="111" spans="1:5" ht="15" customHeight="1" x14ac:dyDescent="0.3">
      <c r="A111" s="234"/>
      <c r="B111" s="235" t="s">
        <v>1880</v>
      </c>
      <c r="C111" s="255">
        <v>216</v>
      </c>
      <c r="D111" s="256" t="s">
        <v>3027</v>
      </c>
      <c r="E111" s="226">
        <v>208000</v>
      </c>
    </row>
    <row r="112" spans="1:5" ht="15" customHeight="1" x14ac:dyDescent="0.3">
      <c r="A112" s="234"/>
      <c r="B112" s="235" t="s">
        <v>1885</v>
      </c>
      <c r="C112" s="255">
        <v>216</v>
      </c>
      <c r="D112" s="256" t="s">
        <v>3028</v>
      </c>
      <c r="E112" s="226">
        <v>520000</v>
      </c>
    </row>
    <row r="113" spans="1:5" ht="15" customHeight="1" x14ac:dyDescent="0.3">
      <c r="A113" s="234"/>
      <c r="B113" s="235" t="s">
        <v>1896</v>
      </c>
      <c r="C113" s="255">
        <v>216</v>
      </c>
      <c r="D113" s="256" t="s">
        <v>3029</v>
      </c>
      <c r="E113" s="226">
        <v>515000</v>
      </c>
    </row>
    <row r="114" spans="1:5" ht="15" customHeight="1" x14ac:dyDescent="0.3">
      <c r="A114" s="234"/>
      <c r="B114" s="235" t="s">
        <v>1882</v>
      </c>
      <c r="C114" s="255">
        <v>270</v>
      </c>
      <c r="D114" s="256" t="s">
        <v>3030</v>
      </c>
      <c r="E114" s="226">
        <v>260000</v>
      </c>
    </row>
    <row r="115" spans="1:5" ht="15" customHeight="1" x14ac:dyDescent="0.3">
      <c r="A115" s="234"/>
      <c r="B115" s="235" t="s">
        <v>1896</v>
      </c>
      <c r="C115" s="255">
        <v>270</v>
      </c>
      <c r="D115" s="256" t="s">
        <v>3031</v>
      </c>
      <c r="E115" s="226">
        <v>645000</v>
      </c>
    </row>
    <row r="116" spans="1:5" ht="15" customHeight="1" x14ac:dyDescent="0.3">
      <c r="A116" s="234"/>
      <c r="B116" s="235" t="s">
        <v>1881</v>
      </c>
      <c r="C116" s="255">
        <v>270</v>
      </c>
      <c r="D116" s="256" t="s">
        <v>3032</v>
      </c>
      <c r="E116" s="226">
        <v>645000</v>
      </c>
    </row>
    <row r="117" spans="1:5" ht="15" customHeight="1" x14ac:dyDescent="0.3">
      <c r="A117" s="234"/>
      <c r="B117" s="235" t="s">
        <v>1880</v>
      </c>
      <c r="C117" s="255">
        <v>324</v>
      </c>
      <c r="D117" s="256" t="s">
        <v>3033</v>
      </c>
      <c r="E117" s="226">
        <v>312000</v>
      </c>
    </row>
    <row r="118" spans="1:5" ht="15" customHeight="1" x14ac:dyDescent="0.3">
      <c r="A118" s="234"/>
      <c r="B118" s="235" t="s">
        <v>1880</v>
      </c>
      <c r="C118" s="106">
        <v>270</v>
      </c>
      <c r="D118" s="110" t="s">
        <v>3034</v>
      </c>
    </row>
    <row r="119" spans="1:5" ht="15" customHeight="1" x14ac:dyDescent="0.3">
      <c r="A119" s="234"/>
      <c r="B119" s="235" t="s">
        <v>1883</v>
      </c>
      <c r="C119" s="106">
        <v>270</v>
      </c>
      <c r="D119" s="110" t="s">
        <v>3035</v>
      </c>
    </row>
    <row r="120" spans="1:5" ht="15" customHeight="1" x14ac:dyDescent="0.3">
      <c r="A120" s="234"/>
      <c r="B120" s="235" t="s">
        <v>1883</v>
      </c>
      <c r="C120" s="106">
        <v>324</v>
      </c>
      <c r="D120" s="110" t="s">
        <v>3036</v>
      </c>
    </row>
    <row r="121" spans="1:5" ht="15" customHeight="1" x14ac:dyDescent="0.3">
      <c r="A121" s="234"/>
      <c r="B121" s="265" t="s">
        <v>1888</v>
      </c>
      <c r="C121" s="468">
        <v>100</v>
      </c>
      <c r="D121" s="469" t="s">
        <v>1897</v>
      </c>
      <c r="E121" s="226">
        <v>40000</v>
      </c>
    </row>
    <row r="122" spans="1:5" ht="15" customHeight="1" x14ac:dyDescent="0.3">
      <c r="A122" s="234"/>
      <c r="B122" s="235" t="s">
        <v>1888</v>
      </c>
      <c r="C122" s="106">
        <v>120</v>
      </c>
      <c r="D122" s="110" t="s">
        <v>1898</v>
      </c>
      <c r="E122" s="226">
        <v>49000</v>
      </c>
    </row>
    <row r="123" spans="1:5" ht="15" customHeight="1" x14ac:dyDescent="0.3">
      <c r="A123" s="234"/>
      <c r="B123" s="328" t="s">
        <v>1888</v>
      </c>
      <c r="C123" s="319">
        <v>170</v>
      </c>
      <c r="D123" s="320" t="s">
        <v>1899</v>
      </c>
      <c r="E123" s="226">
        <v>69000</v>
      </c>
    </row>
    <row r="124" spans="1:5" ht="15" customHeight="1" x14ac:dyDescent="0.3">
      <c r="A124" s="234"/>
      <c r="B124" s="235" t="s">
        <v>1893</v>
      </c>
      <c r="C124" s="106">
        <v>250</v>
      </c>
      <c r="D124" s="469" t="s">
        <v>1900</v>
      </c>
      <c r="E124" s="226">
        <v>101000</v>
      </c>
    </row>
    <row r="125" spans="1:5" ht="15" customHeight="1" x14ac:dyDescent="0.3">
      <c r="A125" s="234"/>
      <c r="B125" s="227" t="s">
        <v>1893</v>
      </c>
      <c r="C125" s="106">
        <v>300</v>
      </c>
      <c r="D125" s="110" t="s">
        <v>1901</v>
      </c>
      <c r="E125" s="226">
        <v>121000</v>
      </c>
    </row>
    <row r="126" spans="1:5" ht="15" customHeight="1" x14ac:dyDescent="0.3">
      <c r="A126" s="234"/>
      <c r="B126" s="227" t="s">
        <v>1893</v>
      </c>
      <c r="C126" s="106">
        <v>350</v>
      </c>
      <c r="D126" s="257" t="s">
        <v>1902</v>
      </c>
      <c r="E126" s="226">
        <v>142000</v>
      </c>
    </row>
    <row r="127" spans="1:5" ht="15" customHeight="1" x14ac:dyDescent="0.3">
      <c r="A127" s="234"/>
      <c r="B127" s="265" t="s">
        <v>1888</v>
      </c>
      <c r="C127" s="104">
        <v>120</v>
      </c>
      <c r="D127" s="469" t="s">
        <v>1903</v>
      </c>
      <c r="E127" s="226">
        <v>49000</v>
      </c>
    </row>
    <row r="128" spans="1:5" ht="15" customHeight="1" x14ac:dyDescent="0.3">
      <c r="A128" s="234"/>
      <c r="B128" s="227" t="s">
        <v>1888</v>
      </c>
      <c r="C128" s="106">
        <v>300</v>
      </c>
      <c r="D128" s="110" t="s">
        <v>1904</v>
      </c>
      <c r="E128" s="226">
        <v>121000</v>
      </c>
    </row>
    <row r="129" spans="1:5" ht="15" customHeight="1" x14ac:dyDescent="0.3">
      <c r="A129" s="234"/>
      <c r="B129" s="265" t="s">
        <v>1888</v>
      </c>
      <c r="C129" s="104">
        <v>120</v>
      </c>
      <c r="D129" s="469" t="s">
        <v>1905</v>
      </c>
      <c r="E129" s="226">
        <v>49000</v>
      </c>
    </row>
    <row r="130" spans="1:5" ht="15" customHeight="1" x14ac:dyDescent="0.3">
      <c r="A130" s="234"/>
      <c r="B130" s="265" t="s">
        <v>1893</v>
      </c>
      <c r="C130" s="104">
        <v>300</v>
      </c>
      <c r="D130" s="469" t="s">
        <v>1906</v>
      </c>
      <c r="E130" s="226">
        <v>121000</v>
      </c>
    </row>
    <row r="131" spans="1:5" ht="15" customHeight="1" x14ac:dyDescent="0.3">
      <c r="A131" s="234"/>
      <c r="B131" s="328" t="s">
        <v>1893</v>
      </c>
      <c r="C131" s="319">
        <v>300</v>
      </c>
      <c r="D131" s="334" t="s">
        <v>1907</v>
      </c>
      <c r="E131" s="226">
        <v>121000</v>
      </c>
    </row>
    <row r="132" spans="1:5" ht="15" customHeight="1" x14ac:dyDescent="0.3">
      <c r="A132" s="234"/>
      <c r="B132" s="235" t="s">
        <v>1893</v>
      </c>
      <c r="C132" s="106">
        <v>300</v>
      </c>
      <c r="D132" s="110" t="s">
        <v>1908</v>
      </c>
      <c r="E132" s="226">
        <v>192500</v>
      </c>
    </row>
    <row r="133" spans="1:5" ht="15" customHeight="1" x14ac:dyDescent="0.3">
      <c r="A133" s="234"/>
      <c r="B133" s="309" t="s">
        <v>1893</v>
      </c>
      <c r="C133" s="310">
        <v>300</v>
      </c>
      <c r="D133" s="311" t="s">
        <v>1909</v>
      </c>
      <c r="E133" s="226">
        <v>195000</v>
      </c>
    </row>
    <row r="134" spans="1:5" ht="15" customHeight="1" x14ac:dyDescent="0.3">
      <c r="A134" s="234"/>
      <c r="B134" s="443" t="s">
        <v>1888</v>
      </c>
      <c r="C134" s="108">
        <v>192</v>
      </c>
      <c r="D134" s="109" t="s">
        <v>1910</v>
      </c>
      <c r="E134" s="226">
        <v>255000</v>
      </c>
    </row>
    <row r="135" spans="1:5" ht="15" customHeight="1" x14ac:dyDescent="0.3">
      <c r="A135" s="234"/>
      <c r="B135" s="265" t="s">
        <v>1912</v>
      </c>
      <c r="C135" s="104">
        <v>115</v>
      </c>
      <c r="D135" s="390" t="s">
        <v>1913</v>
      </c>
      <c r="E135" s="226">
        <v>155000</v>
      </c>
    </row>
    <row r="136" spans="1:5" ht="15" customHeight="1" x14ac:dyDescent="0.3">
      <c r="A136" s="234"/>
      <c r="B136" s="235" t="s">
        <v>1911</v>
      </c>
      <c r="C136" s="106">
        <v>158</v>
      </c>
      <c r="D136" s="249" t="s">
        <v>1914</v>
      </c>
      <c r="E136" s="226">
        <v>207000</v>
      </c>
    </row>
    <row r="137" spans="1:5" ht="15" customHeight="1" x14ac:dyDescent="0.3">
      <c r="A137" s="234"/>
      <c r="B137" s="328" t="s">
        <v>1911</v>
      </c>
      <c r="C137" s="319">
        <v>200</v>
      </c>
      <c r="D137" s="391" t="s">
        <v>1915</v>
      </c>
      <c r="E137" s="226">
        <v>262500</v>
      </c>
    </row>
    <row r="138" spans="1:5" ht="15" customHeight="1" x14ac:dyDescent="0.3">
      <c r="A138" s="234"/>
      <c r="B138" s="235" t="s">
        <v>1916</v>
      </c>
      <c r="C138" s="106">
        <v>190</v>
      </c>
      <c r="D138" s="258" t="s">
        <v>3037</v>
      </c>
      <c r="E138" s="226">
        <v>195000</v>
      </c>
    </row>
    <row r="139" spans="1:5" ht="15" customHeight="1" x14ac:dyDescent="0.3">
      <c r="A139" s="234"/>
      <c r="B139" s="235" t="s">
        <v>1917</v>
      </c>
      <c r="C139" s="106">
        <v>190</v>
      </c>
      <c r="D139" s="107" t="s">
        <v>3038</v>
      </c>
      <c r="E139" s="226">
        <v>520000</v>
      </c>
    </row>
    <row r="140" spans="1:5" ht="15" customHeight="1" x14ac:dyDescent="0.3">
      <c r="A140" s="234"/>
      <c r="B140" s="235" t="s">
        <v>1918</v>
      </c>
      <c r="C140" s="106">
        <v>190</v>
      </c>
      <c r="D140" s="107" t="s">
        <v>3039</v>
      </c>
      <c r="E140" s="226" t="s">
        <v>1844</v>
      </c>
    </row>
    <row r="141" spans="1:5" ht="15" customHeight="1" x14ac:dyDescent="0.3">
      <c r="A141" s="234"/>
      <c r="B141" s="321" t="s">
        <v>1919</v>
      </c>
      <c r="C141" s="319">
        <v>260</v>
      </c>
      <c r="D141" s="320" t="s">
        <v>3040</v>
      </c>
      <c r="E141" s="226">
        <v>265000</v>
      </c>
    </row>
    <row r="142" spans="1:5" ht="15" customHeight="1" x14ac:dyDescent="0.3">
      <c r="A142" s="234"/>
      <c r="B142" s="253" t="s">
        <v>1886</v>
      </c>
      <c r="C142" s="254">
        <v>240</v>
      </c>
      <c r="D142" s="467" t="s">
        <v>1920</v>
      </c>
      <c r="E142" s="226">
        <v>146000</v>
      </c>
    </row>
    <row r="143" spans="1:5" ht="15" customHeight="1" x14ac:dyDescent="0.3">
      <c r="A143" s="229" t="s">
        <v>3041</v>
      </c>
      <c r="B143" s="232" t="s">
        <v>1826</v>
      </c>
      <c r="C143" s="224">
        <v>110</v>
      </c>
      <c r="D143" s="259" t="s">
        <v>3042</v>
      </c>
      <c r="E143" s="226">
        <v>310000</v>
      </c>
    </row>
    <row r="144" spans="1:5" ht="15" customHeight="1" x14ac:dyDescent="0.3">
      <c r="A144" s="230"/>
      <c r="B144" s="235"/>
      <c r="C144" s="106">
        <v>180</v>
      </c>
      <c r="D144" s="259" t="s">
        <v>1835</v>
      </c>
      <c r="E144" s="226">
        <v>475000</v>
      </c>
    </row>
    <row r="145" spans="1:5" ht="15" customHeight="1" x14ac:dyDescent="0.3">
      <c r="A145" s="230"/>
      <c r="B145" s="235"/>
      <c r="C145" s="106">
        <v>220</v>
      </c>
      <c r="D145" s="259" t="s">
        <v>3043</v>
      </c>
      <c r="E145" s="226">
        <v>580000</v>
      </c>
    </row>
    <row r="146" spans="1:5" ht="15" customHeight="1" x14ac:dyDescent="0.3">
      <c r="A146" s="230"/>
      <c r="B146" s="235"/>
      <c r="C146" s="106">
        <v>300</v>
      </c>
      <c r="D146" s="259" t="s">
        <v>3044</v>
      </c>
      <c r="E146" s="226">
        <v>790000</v>
      </c>
    </row>
    <row r="147" spans="1:5" ht="15" customHeight="1" x14ac:dyDescent="0.3">
      <c r="A147" s="230"/>
      <c r="B147" s="235"/>
      <c r="C147" s="106">
        <v>350</v>
      </c>
      <c r="D147" s="259" t="s">
        <v>3045</v>
      </c>
      <c r="E147" s="226">
        <v>925000</v>
      </c>
    </row>
    <row r="148" spans="1:5" ht="15" customHeight="1" x14ac:dyDescent="0.3">
      <c r="A148" s="230" t="str">
        <f>A143</f>
        <v>더블랙 
(TBK)</v>
      </c>
      <c r="B148" s="235"/>
      <c r="C148" s="319">
        <v>400</v>
      </c>
      <c r="D148" s="470" t="s">
        <v>3046</v>
      </c>
      <c r="E148" s="226">
        <v>1060000</v>
      </c>
    </row>
    <row r="149" spans="1:5" ht="15" customHeight="1" x14ac:dyDescent="0.3">
      <c r="A149" s="230" t="str">
        <f>A148</f>
        <v>더블랙 
(TBK)</v>
      </c>
      <c r="B149" s="235"/>
      <c r="C149" s="106">
        <v>120</v>
      </c>
      <c r="D149" s="259" t="s">
        <v>3047</v>
      </c>
      <c r="E149" s="226">
        <v>190000</v>
      </c>
    </row>
    <row r="150" spans="1:5" ht="15" customHeight="1" x14ac:dyDescent="0.3">
      <c r="A150" s="230"/>
      <c r="B150" s="235"/>
      <c r="C150" s="106">
        <v>250</v>
      </c>
      <c r="D150" s="259" t="s">
        <v>1836</v>
      </c>
      <c r="E150" s="226">
        <v>380000</v>
      </c>
    </row>
    <row r="151" spans="1:5" ht="15" customHeight="1" x14ac:dyDescent="0.3">
      <c r="A151" s="230"/>
      <c r="B151" s="235"/>
      <c r="C151" s="106">
        <v>300</v>
      </c>
      <c r="D151" s="259" t="s">
        <v>2163</v>
      </c>
      <c r="E151" s="226">
        <v>455000</v>
      </c>
    </row>
    <row r="152" spans="1:5" ht="15" customHeight="1" x14ac:dyDescent="0.3">
      <c r="A152" s="230"/>
      <c r="B152" s="235"/>
      <c r="C152" s="106">
        <v>350</v>
      </c>
      <c r="D152" s="260" t="s">
        <v>2164</v>
      </c>
      <c r="E152" s="226">
        <v>530000</v>
      </c>
    </row>
    <row r="153" spans="1:5" ht="15" customHeight="1" x14ac:dyDescent="0.3">
      <c r="A153" s="241"/>
      <c r="B153" s="331"/>
      <c r="C153" s="324">
        <v>400</v>
      </c>
      <c r="D153" s="471" t="s">
        <v>2165</v>
      </c>
      <c r="E153" s="226">
        <v>605000</v>
      </c>
    </row>
    <row r="154" spans="1:5" ht="15" customHeight="1" x14ac:dyDescent="0.3">
      <c r="A154" s="234" t="s">
        <v>3048</v>
      </c>
      <c r="B154" s="227" t="s">
        <v>1784</v>
      </c>
      <c r="C154" s="106">
        <v>300</v>
      </c>
      <c r="D154" s="110" t="s">
        <v>3049</v>
      </c>
      <c r="E154" s="226">
        <v>800000</v>
      </c>
    </row>
    <row r="155" spans="1:5" ht="15" customHeight="1" x14ac:dyDescent="0.3">
      <c r="A155" s="234"/>
      <c r="B155" s="227"/>
      <c r="C155" s="106" t="s">
        <v>1787</v>
      </c>
      <c r="D155" s="110" t="s">
        <v>3050</v>
      </c>
      <c r="E155" s="226">
        <v>1130000</v>
      </c>
    </row>
    <row r="156" spans="1:5" ht="15" customHeight="1" x14ac:dyDescent="0.3">
      <c r="A156" s="236"/>
      <c r="B156" s="323"/>
      <c r="C156" s="324" t="s">
        <v>1787</v>
      </c>
      <c r="D156" s="325" t="s">
        <v>3051</v>
      </c>
      <c r="E156" s="226">
        <v>1130000</v>
      </c>
    </row>
    <row r="157" spans="1:5" ht="15" customHeight="1" x14ac:dyDescent="0.3">
      <c r="A157" s="317" t="s">
        <v>1922</v>
      </c>
      <c r="B157" s="227" t="s">
        <v>1784</v>
      </c>
      <c r="C157" s="106">
        <v>120</v>
      </c>
      <c r="D157" s="110" t="s">
        <v>1923</v>
      </c>
      <c r="E157" s="226">
        <v>725000</v>
      </c>
    </row>
    <row r="158" spans="1:5" ht="15" customHeight="1" x14ac:dyDescent="0.3">
      <c r="A158" s="222" t="e">
        <f>#REF!</f>
        <v>#REF!</v>
      </c>
      <c r="B158" s="227"/>
      <c r="C158" s="104">
        <v>150</v>
      </c>
      <c r="D158" s="112" t="s">
        <v>1924</v>
      </c>
      <c r="E158" s="226">
        <v>835000</v>
      </c>
    </row>
    <row r="159" spans="1:5" ht="15" customHeight="1" x14ac:dyDescent="0.3">
      <c r="A159" s="222" t="e">
        <f>#REF!</f>
        <v>#REF!</v>
      </c>
      <c r="B159" s="227"/>
      <c r="C159" s="104">
        <v>200</v>
      </c>
      <c r="D159" s="110" t="s">
        <v>1925</v>
      </c>
      <c r="E159" s="226">
        <v>1150000</v>
      </c>
    </row>
    <row r="160" spans="1:5" ht="15" customHeight="1" x14ac:dyDescent="0.3">
      <c r="A160" s="237" t="s">
        <v>1928</v>
      </c>
      <c r="B160" s="427" t="s">
        <v>1789</v>
      </c>
      <c r="C160" s="239">
        <v>176</v>
      </c>
      <c r="D160" s="240" t="s">
        <v>1929</v>
      </c>
      <c r="E160" s="226">
        <v>740000</v>
      </c>
    </row>
    <row r="161" spans="1:5" ht="15" customHeight="1" x14ac:dyDescent="0.3">
      <c r="A161" s="261" t="e">
        <f>#REF!</f>
        <v>#REF!</v>
      </c>
      <c r="B161" s="262"/>
      <c r="C161" s="106">
        <v>216</v>
      </c>
      <c r="D161" s="110" t="s">
        <v>1930</v>
      </c>
      <c r="E161" s="226">
        <v>920000</v>
      </c>
    </row>
    <row r="162" spans="1:5" ht="15" customHeight="1" x14ac:dyDescent="0.3">
      <c r="A162" s="261" t="e">
        <f>#REF!</f>
        <v>#REF!</v>
      </c>
      <c r="B162" s="235"/>
      <c r="C162" s="106">
        <v>270</v>
      </c>
      <c r="D162" s="110" t="s">
        <v>3052</v>
      </c>
      <c r="E162" s="226">
        <v>1150000</v>
      </c>
    </row>
    <row r="163" spans="1:5" ht="15" customHeight="1" x14ac:dyDescent="0.3">
      <c r="A163" s="263" t="e">
        <f>#REF!</f>
        <v>#REF!</v>
      </c>
      <c r="B163" s="331"/>
      <c r="C163" s="324">
        <v>297</v>
      </c>
      <c r="D163" s="325" t="s">
        <v>3053</v>
      </c>
      <c r="E163" s="226">
        <v>1335000</v>
      </c>
    </row>
    <row r="164" spans="1:5" ht="15" customHeight="1" x14ac:dyDescent="0.3">
      <c r="A164" s="237" t="s">
        <v>1931</v>
      </c>
      <c r="B164" s="427" t="s">
        <v>1789</v>
      </c>
      <c r="C164" s="239">
        <v>305</v>
      </c>
      <c r="D164" s="240" t="s">
        <v>3054</v>
      </c>
      <c r="E164" s="226">
        <v>395000</v>
      </c>
    </row>
    <row r="165" spans="1:5" ht="15" customHeight="1" x14ac:dyDescent="0.3">
      <c r="A165" s="230" t="str">
        <f t="shared" ref="A165:A175" si="5">A164</f>
        <v>로얄 크라프트
(RK)</v>
      </c>
      <c r="B165" s="227"/>
      <c r="C165" s="106">
        <v>330</v>
      </c>
      <c r="D165" s="110" t="s">
        <v>3055</v>
      </c>
      <c r="E165" s="226">
        <v>425000</v>
      </c>
    </row>
    <row r="166" spans="1:5" ht="15" customHeight="1" x14ac:dyDescent="0.3">
      <c r="A166" s="230" t="str">
        <f t="shared" si="5"/>
        <v>로얄 크라프트
(RK)</v>
      </c>
      <c r="B166" s="227"/>
      <c r="C166" s="106">
        <v>360</v>
      </c>
      <c r="D166" s="110" t="s">
        <v>3056</v>
      </c>
      <c r="E166" s="226">
        <v>465000</v>
      </c>
    </row>
    <row r="167" spans="1:5" ht="15" customHeight="1" x14ac:dyDescent="0.3">
      <c r="A167" s="230" t="e">
        <f>#REF!</f>
        <v>#REF!</v>
      </c>
      <c r="B167" s="264"/>
      <c r="C167" s="310">
        <v>420</v>
      </c>
      <c r="D167" s="311" t="s">
        <v>3057</v>
      </c>
      <c r="E167" s="226">
        <v>570000</v>
      </c>
    </row>
    <row r="168" spans="1:5" ht="15" customHeight="1" x14ac:dyDescent="0.3">
      <c r="A168" s="230" t="e">
        <f>#REF!</f>
        <v>#REF!</v>
      </c>
      <c r="B168" s="227" t="s">
        <v>1786</v>
      </c>
      <c r="C168" s="106">
        <v>305</v>
      </c>
      <c r="D168" s="110" t="s">
        <v>3058</v>
      </c>
      <c r="E168" s="226">
        <v>274000</v>
      </c>
    </row>
    <row r="169" spans="1:5" ht="15" customHeight="1" x14ac:dyDescent="0.3">
      <c r="A169" s="230" t="e">
        <f t="shared" si="5"/>
        <v>#REF!</v>
      </c>
      <c r="B169" s="227"/>
      <c r="C169" s="106">
        <v>330</v>
      </c>
      <c r="D169" s="110" t="s">
        <v>3059</v>
      </c>
      <c r="E169" s="226">
        <v>295000</v>
      </c>
    </row>
    <row r="170" spans="1:5" ht="15" customHeight="1" x14ac:dyDescent="0.3">
      <c r="A170" s="230" t="e">
        <f t="shared" si="5"/>
        <v>#REF!</v>
      </c>
      <c r="B170" s="227"/>
      <c r="C170" s="106">
        <v>360</v>
      </c>
      <c r="D170" s="110" t="s">
        <v>3060</v>
      </c>
      <c r="E170" s="226">
        <v>324000</v>
      </c>
    </row>
    <row r="171" spans="1:5" ht="15" customHeight="1" x14ac:dyDescent="0.3">
      <c r="A171" s="230" t="e">
        <f>#REF!</f>
        <v>#REF!</v>
      </c>
      <c r="B171" s="265" t="s">
        <v>1857</v>
      </c>
      <c r="C171" s="104">
        <v>305</v>
      </c>
      <c r="D171" s="112" t="s">
        <v>3061</v>
      </c>
      <c r="E171" s="226">
        <v>216000</v>
      </c>
    </row>
    <row r="172" spans="1:5" ht="15" customHeight="1" x14ac:dyDescent="0.3">
      <c r="A172" s="230" t="e">
        <f t="shared" si="5"/>
        <v>#REF!</v>
      </c>
      <c r="B172" s="235"/>
      <c r="C172" s="106">
        <v>330</v>
      </c>
      <c r="D172" s="110" t="s">
        <v>3059</v>
      </c>
      <c r="E172" s="226">
        <v>235000</v>
      </c>
    </row>
    <row r="173" spans="1:5" ht="15" customHeight="1" x14ac:dyDescent="0.3">
      <c r="A173" s="230" t="e">
        <f t="shared" si="5"/>
        <v>#REF!</v>
      </c>
      <c r="B173" s="235"/>
      <c r="C173" s="106">
        <v>360</v>
      </c>
      <c r="D173" s="110" t="s">
        <v>3060</v>
      </c>
      <c r="E173" s="226">
        <v>256000</v>
      </c>
    </row>
    <row r="174" spans="1:5" ht="15" customHeight="1" x14ac:dyDescent="0.3">
      <c r="A174" s="230" t="e">
        <f>#REF!</f>
        <v>#REF!</v>
      </c>
      <c r="B174" s="235" t="s">
        <v>1825</v>
      </c>
      <c r="C174" s="106">
        <v>309</v>
      </c>
      <c r="D174" s="245" t="s">
        <v>1932</v>
      </c>
    </row>
    <row r="175" spans="1:5" ht="15" customHeight="1" x14ac:dyDescent="0.3">
      <c r="A175" s="241" t="e">
        <f t="shared" si="5"/>
        <v>#REF!</v>
      </c>
      <c r="B175" s="331"/>
      <c r="C175" s="324">
        <v>420</v>
      </c>
      <c r="D175" s="472" t="s">
        <v>1933</v>
      </c>
    </row>
    <row r="176" spans="1:5" ht="15" customHeight="1" x14ac:dyDescent="0.3">
      <c r="A176" s="237" t="s">
        <v>3062</v>
      </c>
      <c r="B176" s="447" t="s">
        <v>1934</v>
      </c>
      <c r="C176" s="239"/>
      <c r="D176" s="266" t="s">
        <v>1935</v>
      </c>
      <c r="E176" s="226">
        <v>510000</v>
      </c>
    </row>
    <row r="177" spans="1:5" ht="15" customHeight="1" x14ac:dyDescent="0.3">
      <c r="A177" s="230" t="str">
        <f t="shared" ref="A177:A179" si="6">A176</f>
        <v>룩스패브릭
(LF)</v>
      </c>
      <c r="B177" s="235"/>
      <c r="C177" s="106"/>
      <c r="D177" s="259" t="s">
        <v>1936</v>
      </c>
      <c r="E177" s="226">
        <v>510000</v>
      </c>
    </row>
    <row r="178" spans="1:5" ht="15" customHeight="1" x14ac:dyDescent="0.3">
      <c r="A178" s="230" t="e">
        <f>#REF!</f>
        <v>#REF!</v>
      </c>
      <c r="B178" s="235"/>
      <c r="C178" s="106"/>
      <c r="D178" s="259" t="s">
        <v>1937</v>
      </c>
      <c r="E178" s="226">
        <v>510000</v>
      </c>
    </row>
    <row r="179" spans="1:5" ht="15" customHeight="1" x14ac:dyDescent="0.3">
      <c r="A179" s="241" t="e">
        <f t="shared" si="6"/>
        <v>#REF!</v>
      </c>
      <c r="B179" s="331"/>
      <c r="C179" s="324"/>
      <c r="D179" s="473" t="s">
        <v>1938</v>
      </c>
      <c r="E179" s="226">
        <v>510000</v>
      </c>
    </row>
    <row r="180" spans="1:5" ht="15" customHeight="1" x14ac:dyDescent="0.3">
      <c r="A180" s="267" t="s">
        <v>3063</v>
      </c>
      <c r="B180" s="235" t="s">
        <v>1939</v>
      </c>
      <c r="C180" s="106">
        <v>120</v>
      </c>
      <c r="D180" s="110" t="s">
        <v>3064</v>
      </c>
      <c r="E180" s="226">
        <v>325000</v>
      </c>
    </row>
    <row r="181" spans="1:5" ht="15" customHeight="1" x14ac:dyDescent="0.3">
      <c r="A181" s="268"/>
      <c r="B181" s="235"/>
      <c r="C181" s="106"/>
      <c r="D181" s="110" t="s">
        <v>1940</v>
      </c>
      <c r="E181" s="226">
        <v>365000</v>
      </c>
    </row>
    <row r="182" spans="1:5" ht="15" customHeight="1" x14ac:dyDescent="0.3">
      <c r="A182" s="268"/>
      <c r="B182" s="235"/>
      <c r="C182" s="106"/>
      <c r="D182" s="110" t="s">
        <v>3065</v>
      </c>
      <c r="E182" s="226">
        <v>340000</v>
      </c>
    </row>
    <row r="183" spans="1:5" ht="15" customHeight="1" x14ac:dyDescent="0.3">
      <c r="A183" s="268"/>
      <c r="B183" s="235"/>
      <c r="C183" s="104">
        <v>250</v>
      </c>
      <c r="D183" s="112" t="s">
        <v>1941</v>
      </c>
      <c r="E183" s="226">
        <v>675000</v>
      </c>
    </row>
    <row r="184" spans="1:5" ht="15" customHeight="1" x14ac:dyDescent="0.3">
      <c r="A184" s="268"/>
      <c r="B184" s="235"/>
      <c r="C184" s="106"/>
      <c r="D184" s="251" t="s">
        <v>3066</v>
      </c>
      <c r="E184" s="226">
        <v>750000</v>
      </c>
    </row>
    <row r="185" spans="1:5" ht="15" customHeight="1" x14ac:dyDescent="0.3">
      <c r="A185" s="268"/>
      <c r="B185" s="235"/>
      <c r="C185" s="106"/>
      <c r="D185" s="110" t="s">
        <v>1942</v>
      </c>
      <c r="E185" s="226">
        <v>750000</v>
      </c>
    </row>
    <row r="186" spans="1:5" ht="15" customHeight="1" x14ac:dyDescent="0.3">
      <c r="A186" s="268"/>
      <c r="B186" s="235"/>
      <c r="C186" s="104">
        <v>380</v>
      </c>
      <c r="D186" s="112" t="s">
        <v>2146</v>
      </c>
      <c r="E186" s="226">
        <v>1085000</v>
      </c>
    </row>
    <row r="187" spans="1:5" ht="15" customHeight="1" x14ac:dyDescent="0.3">
      <c r="A187" s="268"/>
      <c r="B187" s="235"/>
      <c r="C187" s="106"/>
      <c r="D187" s="110" t="s">
        <v>1943</v>
      </c>
      <c r="E187" s="226">
        <v>1240000</v>
      </c>
    </row>
    <row r="188" spans="1:5" ht="15" customHeight="1" x14ac:dyDescent="0.3">
      <c r="A188" s="474"/>
      <c r="B188" s="235" t="s">
        <v>1944</v>
      </c>
      <c r="C188" s="106">
        <v>250</v>
      </c>
      <c r="D188" s="110" t="s">
        <v>1945</v>
      </c>
      <c r="E188" s="226">
        <v>755000</v>
      </c>
    </row>
    <row r="189" spans="1:5" ht="15" customHeight="1" x14ac:dyDescent="0.3">
      <c r="A189" s="229" t="s">
        <v>1947</v>
      </c>
      <c r="B189" s="223" t="s">
        <v>1789</v>
      </c>
      <c r="C189" s="224">
        <v>81.400000000000006</v>
      </c>
      <c r="D189" s="225" t="s">
        <v>3067</v>
      </c>
      <c r="E189" s="226">
        <v>182000</v>
      </c>
    </row>
    <row r="190" spans="1:5" ht="15" customHeight="1" x14ac:dyDescent="0.3">
      <c r="A190" s="230" t="str">
        <f>A189</f>
        <v xml:space="preserve">마쉬맬로우
(MRS)
</v>
      </c>
      <c r="B190" s="227"/>
      <c r="C190" s="106">
        <v>105</v>
      </c>
      <c r="D190" s="228" t="s">
        <v>1864</v>
      </c>
      <c r="E190" s="226">
        <v>234000</v>
      </c>
    </row>
    <row r="191" spans="1:5" ht="15" customHeight="1" x14ac:dyDescent="0.3">
      <c r="A191" s="230" t="str">
        <f t="shared" ref="A191:A203" si="7">A190</f>
        <v xml:space="preserve">마쉬맬로우
(MRS)
</v>
      </c>
      <c r="B191" s="227"/>
      <c r="C191" s="106">
        <v>128</v>
      </c>
      <c r="D191" s="228" t="s">
        <v>2263</v>
      </c>
      <c r="E191" s="226">
        <v>285000</v>
      </c>
    </row>
    <row r="192" spans="1:5" ht="15" customHeight="1" x14ac:dyDescent="0.3">
      <c r="A192" s="230" t="str">
        <f t="shared" si="7"/>
        <v xml:space="preserve">마쉬맬로우
(MRS)
</v>
      </c>
      <c r="B192" s="227"/>
      <c r="C192" s="106">
        <v>157</v>
      </c>
      <c r="D192" s="228" t="s">
        <v>1861</v>
      </c>
      <c r="E192" s="226">
        <v>350000</v>
      </c>
    </row>
    <row r="193" spans="1:5" ht="15" customHeight="1" x14ac:dyDescent="0.3">
      <c r="A193" s="230" t="str">
        <f t="shared" si="7"/>
        <v xml:space="preserve">마쉬맬로우
(MRS)
</v>
      </c>
      <c r="B193" s="227"/>
      <c r="C193" s="106">
        <v>186</v>
      </c>
      <c r="D193" s="228" t="s">
        <v>1862</v>
      </c>
      <c r="E193" s="226">
        <v>415000</v>
      </c>
    </row>
    <row r="194" spans="1:5" ht="15" customHeight="1" x14ac:dyDescent="0.3">
      <c r="A194" s="230" t="str">
        <f t="shared" si="7"/>
        <v xml:space="preserve">마쉬맬로우
(MRS)
</v>
      </c>
      <c r="B194" s="227"/>
      <c r="C194" s="106">
        <v>209</v>
      </c>
      <c r="D194" s="228" t="s">
        <v>1863</v>
      </c>
      <c r="E194" s="226">
        <v>470000</v>
      </c>
    </row>
    <row r="195" spans="1:5" ht="15" customHeight="1" x14ac:dyDescent="0.3">
      <c r="A195" s="230" t="str">
        <f t="shared" si="7"/>
        <v xml:space="preserve">마쉬맬로우
(MRS)
</v>
      </c>
      <c r="B195" s="227"/>
      <c r="C195" s="106">
        <v>233</v>
      </c>
      <c r="D195" s="228" t="s">
        <v>1870</v>
      </c>
      <c r="E195" s="226">
        <v>520000</v>
      </c>
    </row>
    <row r="196" spans="1:5" ht="15" customHeight="1" x14ac:dyDescent="0.3">
      <c r="A196" s="230" t="str">
        <f t="shared" si="7"/>
        <v xml:space="preserve">마쉬맬로우
(MRS)
</v>
      </c>
      <c r="B196" s="321"/>
      <c r="C196" s="319">
        <v>262</v>
      </c>
      <c r="D196" s="475" t="s">
        <v>2154</v>
      </c>
      <c r="E196" s="226">
        <v>585000</v>
      </c>
    </row>
    <row r="197" spans="1:5" ht="15" customHeight="1" x14ac:dyDescent="0.3">
      <c r="A197" s="230" t="str">
        <f t="shared" si="7"/>
        <v xml:space="preserve">마쉬맬로우
(MRS)
</v>
      </c>
      <c r="B197" s="103" t="s">
        <v>1786</v>
      </c>
      <c r="C197" s="106">
        <v>81.400000000000006</v>
      </c>
      <c r="D197" s="110" t="s">
        <v>3068</v>
      </c>
      <c r="E197" s="226">
        <v>126000</v>
      </c>
    </row>
    <row r="198" spans="1:5" ht="15" customHeight="1" x14ac:dyDescent="0.3">
      <c r="A198" s="230" t="str">
        <f t="shared" si="7"/>
        <v xml:space="preserve">마쉬맬로우
(MRS)
</v>
      </c>
      <c r="B198" s="227"/>
      <c r="C198" s="106">
        <v>105</v>
      </c>
      <c r="D198" s="228" t="s">
        <v>3069</v>
      </c>
      <c r="E198" s="226">
        <v>163000</v>
      </c>
    </row>
    <row r="199" spans="1:5" ht="15" customHeight="1" x14ac:dyDescent="0.3">
      <c r="A199" s="230" t="str">
        <f t="shared" si="7"/>
        <v xml:space="preserve">마쉬맬로우
(MRS)
</v>
      </c>
      <c r="B199" s="227"/>
      <c r="C199" s="106">
        <v>128</v>
      </c>
      <c r="D199" s="228" t="s">
        <v>3070</v>
      </c>
      <c r="E199" s="226">
        <v>198000</v>
      </c>
    </row>
    <row r="200" spans="1:5" ht="15" customHeight="1" x14ac:dyDescent="0.3">
      <c r="A200" s="230" t="str">
        <f t="shared" si="7"/>
        <v xml:space="preserve">마쉬맬로우
(MRS)
</v>
      </c>
      <c r="B200" s="227"/>
      <c r="C200" s="106">
        <v>157</v>
      </c>
      <c r="D200" s="228" t="s">
        <v>3071</v>
      </c>
      <c r="E200" s="226">
        <v>243000</v>
      </c>
    </row>
    <row r="201" spans="1:5" ht="15" customHeight="1" x14ac:dyDescent="0.3">
      <c r="A201" s="230" t="str">
        <f t="shared" si="7"/>
        <v xml:space="preserve">마쉬맬로우
(MRS)
</v>
      </c>
      <c r="B201" s="227"/>
      <c r="C201" s="106">
        <v>186</v>
      </c>
      <c r="D201" s="228" t="s">
        <v>3072</v>
      </c>
      <c r="E201" s="226">
        <v>286000</v>
      </c>
    </row>
    <row r="202" spans="1:5" ht="15" customHeight="1" x14ac:dyDescent="0.3">
      <c r="A202" s="230" t="str">
        <f t="shared" si="7"/>
        <v xml:space="preserve">마쉬맬로우
(MRS)
</v>
      </c>
      <c r="B202" s="227"/>
      <c r="C202" s="106">
        <v>209</v>
      </c>
      <c r="D202" s="228" t="s">
        <v>3073</v>
      </c>
      <c r="E202" s="226">
        <v>325000</v>
      </c>
    </row>
    <row r="203" spans="1:5" ht="15" customHeight="1" x14ac:dyDescent="0.3">
      <c r="A203" s="230" t="str">
        <f t="shared" si="7"/>
        <v xml:space="preserve">마쉬맬로우
(MRS)
</v>
      </c>
      <c r="B203" s="227"/>
      <c r="C203" s="106">
        <v>233</v>
      </c>
      <c r="D203" s="228" t="s">
        <v>3074</v>
      </c>
      <c r="E203" s="226">
        <v>360000</v>
      </c>
    </row>
    <row r="204" spans="1:5" ht="15" customHeight="1" x14ac:dyDescent="0.3">
      <c r="A204" s="230"/>
      <c r="B204" s="264"/>
      <c r="C204" s="310">
        <v>262</v>
      </c>
      <c r="D204" s="476" t="s">
        <v>3075</v>
      </c>
      <c r="E204" s="226">
        <v>405000</v>
      </c>
    </row>
    <row r="205" spans="1:5" ht="15" customHeight="1" x14ac:dyDescent="0.3">
      <c r="A205" s="230" t="e">
        <f>#REF!</f>
        <v>#REF!</v>
      </c>
      <c r="B205" s="227" t="s">
        <v>1789</v>
      </c>
      <c r="C205" s="106">
        <v>105</v>
      </c>
      <c r="D205" s="228" t="s">
        <v>3076</v>
      </c>
      <c r="E205" s="226">
        <v>239000</v>
      </c>
    </row>
    <row r="206" spans="1:5" ht="15" customHeight="1" x14ac:dyDescent="0.3">
      <c r="A206" s="230" t="e">
        <f t="shared" ref="A206:A218" si="8">A205</f>
        <v>#REF!</v>
      </c>
      <c r="B206" s="227"/>
      <c r="C206" s="106">
        <v>128</v>
      </c>
      <c r="D206" s="228" t="s">
        <v>2155</v>
      </c>
      <c r="E206" s="226">
        <v>290000</v>
      </c>
    </row>
    <row r="207" spans="1:5" ht="15" customHeight="1" x14ac:dyDescent="0.3">
      <c r="A207" s="230" t="e">
        <f t="shared" si="8"/>
        <v>#REF!</v>
      </c>
      <c r="B207" s="227"/>
      <c r="C207" s="106">
        <v>157</v>
      </c>
      <c r="D207" s="228" t="s">
        <v>3077</v>
      </c>
      <c r="E207" s="226">
        <v>355000</v>
      </c>
    </row>
    <row r="208" spans="1:5" ht="15" customHeight="1" x14ac:dyDescent="0.3">
      <c r="A208" s="230" t="e">
        <f t="shared" si="8"/>
        <v>#REF!</v>
      </c>
      <c r="B208" s="227"/>
      <c r="C208" s="106">
        <v>186</v>
      </c>
      <c r="D208" s="228" t="s">
        <v>3078</v>
      </c>
      <c r="E208" s="226">
        <v>420000</v>
      </c>
    </row>
    <row r="209" spans="1:5" ht="15" customHeight="1" x14ac:dyDescent="0.3">
      <c r="A209" s="230" t="e">
        <f t="shared" si="8"/>
        <v>#REF!</v>
      </c>
      <c r="B209" s="227"/>
      <c r="C209" s="106">
        <v>209</v>
      </c>
      <c r="D209" s="228" t="s">
        <v>3079</v>
      </c>
      <c r="E209" s="226">
        <v>475000</v>
      </c>
    </row>
    <row r="210" spans="1:5" ht="15" customHeight="1" x14ac:dyDescent="0.3">
      <c r="A210" s="230" t="e">
        <f t="shared" si="8"/>
        <v>#REF!</v>
      </c>
      <c r="B210" s="227"/>
      <c r="C210" s="106">
        <v>233</v>
      </c>
      <c r="D210" s="228" t="s">
        <v>2156</v>
      </c>
      <c r="E210" s="226">
        <v>530000</v>
      </c>
    </row>
    <row r="211" spans="1:5" ht="15" customHeight="1" x14ac:dyDescent="0.3">
      <c r="A211" s="230" t="e">
        <f t="shared" si="8"/>
        <v>#REF!</v>
      </c>
      <c r="B211" s="321"/>
      <c r="C211" s="319">
        <v>262</v>
      </c>
      <c r="D211" s="475" t="s">
        <v>3080</v>
      </c>
      <c r="E211" s="226">
        <v>595000</v>
      </c>
    </row>
    <row r="212" spans="1:5" ht="15" customHeight="1" x14ac:dyDescent="0.3">
      <c r="A212" s="230" t="e">
        <f>#REF!</f>
        <v>#REF!</v>
      </c>
      <c r="B212" s="103" t="s">
        <v>1786</v>
      </c>
      <c r="C212" s="106">
        <v>105</v>
      </c>
      <c r="D212" s="228" t="s">
        <v>2157</v>
      </c>
      <c r="E212" s="226">
        <v>165000</v>
      </c>
    </row>
    <row r="213" spans="1:5" ht="15" customHeight="1" x14ac:dyDescent="0.3">
      <c r="A213" s="230" t="e">
        <f t="shared" si="8"/>
        <v>#REF!</v>
      </c>
      <c r="B213" s="227"/>
      <c r="C213" s="106">
        <v>128</v>
      </c>
      <c r="D213" s="228" t="s">
        <v>3081</v>
      </c>
      <c r="E213" s="226">
        <v>201000</v>
      </c>
    </row>
    <row r="214" spans="1:5" ht="15" customHeight="1" x14ac:dyDescent="0.3">
      <c r="A214" s="230" t="e">
        <f t="shared" si="8"/>
        <v>#REF!</v>
      </c>
      <c r="B214" s="227"/>
      <c r="C214" s="106">
        <v>157</v>
      </c>
      <c r="D214" s="228" t="s">
        <v>3082</v>
      </c>
      <c r="E214" s="226">
        <v>247000</v>
      </c>
    </row>
    <row r="215" spans="1:5" ht="15" customHeight="1" x14ac:dyDescent="0.3">
      <c r="A215" s="230" t="e">
        <f t="shared" si="8"/>
        <v>#REF!</v>
      </c>
      <c r="B215" s="227"/>
      <c r="C215" s="106">
        <v>186</v>
      </c>
      <c r="D215" s="228" t="s">
        <v>3078</v>
      </c>
      <c r="E215" s="226">
        <v>292000</v>
      </c>
    </row>
    <row r="216" spans="1:5" ht="15" customHeight="1" x14ac:dyDescent="0.3">
      <c r="A216" s="230" t="e">
        <f t="shared" si="8"/>
        <v>#REF!</v>
      </c>
      <c r="B216" s="227"/>
      <c r="C216" s="106">
        <v>209</v>
      </c>
      <c r="D216" s="228" t="s">
        <v>2153</v>
      </c>
      <c r="E216" s="226">
        <v>330000</v>
      </c>
    </row>
    <row r="217" spans="1:5" ht="15" customHeight="1" x14ac:dyDescent="0.3">
      <c r="A217" s="230" t="e">
        <f t="shared" si="8"/>
        <v>#REF!</v>
      </c>
      <c r="B217" s="227"/>
      <c r="C217" s="106">
        <v>233</v>
      </c>
      <c r="D217" s="228" t="s">
        <v>3083</v>
      </c>
      <c r="E217" s="226">
        <v>367000</v>
      </c>
    </row>
    <row r="218" spans="1:5" ht="15" customHeight="1" x14ac:dyDescent="0.3">
      <c r="A218" s="230" t="e">
        <f t="shared" si="8"/>
        <v>#REF!</v>
      </c>
      <c r="B218" s="227"/>
      <c r="C218" s="106">
        <v>262</v>
      </c>
      <c r="D218" s="228" t="s">
        <v>3084</v>
      </c>
      <c r="E218" s="226">
        <v>412000</v>
      </c>
    </row>
    <row r="219" spans="1:5" ht="15" customHeight="1" x14ac:dyDescent="0.3">
      <c r="A219" s="269" t="s">
        <v>1948</v>
      </c>
      <c r="B219" s="223" t="s">
        <v>1789</v>
      </c>
      <c r="C219" s="224">
        <v>120</v>
      </c>
      <c r="D219" s="270" t="s">
        <v>1949</v>
      </c>
      <c r="E219" s="226">
        <v>530000</v>
      </c>
    </row>
    <row r="220" spans="1:5" ht="15" customHeight="1" x14ac:dyDescent="0.3">
      <c r="A220" s="267" t="e">
        <f>#REF!</f>
        <v>#REF!</v>
      </c>
      <c r="B220" s="227"/>
      <c r="C220" s="106"/>
      <c r="D220" s="110" t="s">
        <v>1950</v>
      </c>
      <c r="E220" s="226">
        <v>610000</v>
      </c>
    </row>
    <row r="221" spans="1:5" ht="15" customHeight="1" x14ac:dyDescent="0.3">
      <c r="A221" s="267" t="e">
        <f t="shared" ref="A221:A234" si="9">A220</f>
        <v>#REF!</v>
      </c>
      <c r="B221" s="227"/>
      <c r="C221" s="106"/>
      <c r="D221" s="320" t="s">
        <v>1951</v>
      </c>
      <c r="E221" s="226">
        <v>675000</v>
      </c>
    </row>
    <row r="222" spans="1:5" ht="15" customHeight="1" x14ac:dyDescent="0.3">
      <c r="A222" s="267" t="e">
        <f t="shared" si="9"/>
        <v>#REF!</v>
      </c>
      <c r="B222" s="271" t="s">
        <v>1952</v>
      </c>
      <c r="C222" s="272">
        <v>120</v>
      </c>
      <c r="D222" s="112" t="s">
        <v>3085</v>
      </c>
      <c r="E222" s="226">
        <v>450000</v>
      </c>
    </row>
    <row r="223" spans="1:5" ht="15" customHeight="1" x14ac:dyDescent="0.3">
      <c r="A223" s="267" t="e">
        <f t="shared" si="9"/>
        <v>#REF!</v>
      </c>
      <c r="B223" s="227"/>
      <c r="C223" s="106"/>
      <c r="D223" s="110" t="s">
        <v>1953</v>
      </c>
      <c r="E223" s="226">
        <v>475000</v>
      </c>
    </row>
    <row r="224" spans="1:5" ht="15" customHeight="1" x14ac:dyDescent="0.3">
      <c r="A224" s="267" t="e">
        <f t="shared" si="9"/>
        <v>#REF!</v>
      </c>
      <c r="B224" s="227"/>
      <c r="C224" s="106"/>
      <c r="D224" s="110" t="s">
        <v>1954</v>
      </c>
      <c r="E224" s="226">
        <v>580000</v>
      </c>
    </row>
    <row r="225" spans="1:5" ht="15" customHeight="1" x14ac:dyDescent="0.3">
      <c r="A225" s="267" t="e">
        <f>#REF!</f>
        <v>#REF!</v>
      </c>
      <c r="B225" s="264"/>
      <c r="C225" s="310"/>
      <c r="D225" s="110" t="s">
        <v>1955</v>
      </c>
      <c r="E225" s="226">
        <v>660000</v>
      </c>
    </row>
    <row r="226" spans="1:5" ht="15" customHeight="1" x14ac:dyDescent="0.3">
      <c r="A226" s="267" t="e">
        <f>#REF!</f>
        <v>#REF!</v>
      </c>
      <c r="B226" s="227" t="s">
        <v>1789</v>
      </c>
      <c r="C226" s="106">
        <v>200</v>
      </c>
      <c r="D226" s="273" t="s">
        <v>3086</v>
      </c>
      <c r="E226" s="226">
        <v>850000</v>
      </c>
    </row>
    <row r="227" spans="1:5" ht="15" customHeight="1" x14ac:dyDescent="0.3">
      <c r="A227" s="267" t="e">
        <f t="shared" si="9"/>
        <v>#REF!</v>
      </c>
      <c r="B227" s="227"/>
      <c r="C227" s="106"/>
      <c r="D227" s="320" t="s">
        <v>3087</v>
      </c>
      <c r="E227" s="226">
        <v>1000000</v>
      </c>
    </row>
    <row r="228" spans="1:5" ht="15" customHeight="1" x14ac:dyDescent="0.3">
      <c r="A228" s="267" t="e">
        <f t="shared" si="9"/>
        <v>#REF!</v>
      </c>
      <c r="B228" s="274" t="s">
        <v>1786</v>
      </c>
      <c r="C228" s="275">
        <v>200</v>
      </c>
      <c r="D228" s="320" t="s">
        <v>3088</v>
      </c>
      <c r="E228" s="226">
        <v>695000</v>
      </c>
    </row>
    <row r="229" spans="1:5" ht="15" customHeight="1" x14ac:dyDescent="0.3">
      <c r="A229" s="267" t="e">
        <f t="shared" si="9"/>
        <v>#REF!</v>
      </c>
      <c r="B229" s="274" t="s">
        <v>1956</v>
      </c>
      <c r="C229" s="275">
        <v>200</v>
      </c>
      <c r="D229" s="112" t="s">
        <v>1957</v>
      </c>
      <c r="E229" s="226">
        <v>600000</v>
      </c>
    </row>
    <row r="230" spans="1:5" ht="15" customHeight="1" x14ac:dyDescent="0.3">
      <c r="A230" s="267" t="e">
        <f t="shared" si="9"/>
        <v>#REF!</v>
      </c>
      <c r="B230" s="227" t="s">
        <v>1789</v>
      </c>
      <c r="C230" s="106">
        <v>250</v>
      </c>
      <c r="D230" s="273" t="s">
        <v>3089</v>
      </c>
      <c r="E230" s="226">
        <v>1060000</v>
      </c>
    </row>
    <row r="231" spans="1:5" ht="15" customHeight="1" x14ac:dyDescent="0.3">
      <c r="A231" s="267" t="e">
        <f>#REF!</f>
        <v>#REF!</v>
      </c>
      <c r="B231" s="227"/>
      <c r="C231" s="106"/>
      <c r="D231" s="107" t="s">
        <v>3090</v>
      </c>
      <c r="E231" s="226">
        <v>1235000</v>
      </c>
    </row>
    <row r="232" spans="1:5" ht="15" customHeight="1" x14ac:dyDescent="0.3">
      <c r="A232" s="267" t="e">
        <f t="shared" si="9"/>
        <v>#REF!</v>
      </c>
      <c r="B232" s="264"/>
      <c r="C232" s="310"/>
      <c r="D232" s="329" t="s">
        <v>1958</v>
      </c>
      <c r="E232" s="226">
        <v>1350000</v>
      </c>
    </row>
    <row r="233" spans="1:5" ht="15" customHeight="1" x14ac:dyDescent="0.3">
      <c r="A233" s="267" t="e">
        <f t="shared" si="9"/>
        <v>#REF!</v>
      </c>
      <c r="B233" s="227" t="s">
        <v>1952</v>
      </c>
      <c r="C233" s="106">
        <v>250</v>
      </c>
      <c r="D233" s="110" t="s">
        <v>3091</v>
      </c>
      <c r="E233" s="226">
        <v>900000</v>
      </c>
    </row>
    <row r="234" spans="1:5" ht="15" customHeight="1" x14ac:dyDescent="0.3">
      <c r="A234" s="267" t="e">
        <f t="shared" si="9"/>
        <v>#REF!</v>
      </c>
      <c r="B234" s="227"/>
      <c r="C234" s="106"/>
      <c r="D234" s="110" t="s">
        <v>3092</v>
      </c>
      <c r="E234" s="226">
        <v>950000</v>
      </c>
    </row>
    <row r="235" spans="1:5" ht="15" customHeight="1" x14ac:dyDescent="0.3">
      <c r="A235" s="267"/>
      <c r="B235" s="227"/>
      <c r="C235" s="106"/>
      <c r="D235" s="110" t="s">
        <v>3093</v>
      </c>
      <c r="E235" s="226">
        <v>1140000</v>
      </c>
    </row>
    <row r="236" spans="1:5" ht="15" customHeight="1" x14ac:dyDescent="0.3">
      <c r="A236" s="267" t="e">
        <f>#REF!</f>
        <v>#REF!</v>
      </c>
      <c r="B236" s="235"/>
      <c r="C236" s="106"/>
      <c r="D236" s="110" t="s">
        <v>3094</v>
      </c>
      <c r="E236" s="226">
        <v>1315000</v>
      </c>
    </row>
    <row r="237" spans="1:5" ht="15" customHeight="1" x14ac:dyDescent="0.3">
      <c r="A237" s="276"/>
      <c r="B237" s="235"/>
      <c r="C237" s="106"/>
      <c r="D237" s="110" t="s">
        <v>1959</v>
      </c>
      <c r="E237" s="226">
        <v>950000</v>
      </c>
    </row>
    <row r="238" spans="1:5" ht="15" customHeight="1" x14ac:dyDescent="0.3">
      <c r="A238" s="276"/>
      <c r="B238" s="235"/>
      <c r="C238" s="106"/>
      <c r="D238" s="110" t="s">
        <v>1960</v>
      </c>
      <c r="E238" s="226">
        <v>1420000</v>
      </c>
    </row>
    <row r="239" spans="1:5" ht="15" customHeight="1" x14ac:dyDescent="0.3">
      <c r="A239" s="277"/>
      <c r="B239" s="331"/>
      <c r="C239" s="324"/>
      <c r="D239" s="325" t="s">
        <v>1961</v>
      </c>
      <c r="E239" s="226">
        <v>1090000</v>
      </c>
    </row>
    <row r="240" spans="1:5" ht="15" customHeight="1" x14ac:dyDescent="0.3">
      <c r="A240" s="278" t="s">
        <v>3095</v>
      </c>
      <c r="B240" s="227" t="s">
        <v>1968</v>
      </c>
      <c r="C240" s="106"/>
      <c r="D240" s="110" t="s">
        <v>1963</v>
      </c>
      <c r="E240" s="226">
        <v>1245000</v>
      </c>
    </row>
    <row r="241" spans="1:5" ht="15" customHeight="1" x14ac:dyDescent="0.3">
      <c r="A241" s="278"/>
      <c r="B241" s="321"/>
      <c r="C241" s="319"/>
      <c r="D241" s="320" t="s">
        <v>1962</v>
      </c>
      <c r="E241" s="226">
        <v>1260000</v>
      </c>
    </row>
    <row r="242" spans="1:5" ht="15" customHeight="1" x14ac:dyDescent="0.3">
      <c r="A242" s="278"/>
      <c r="B242" s="227" t="s">
        <v>1964</v>
      </c>
      <c r="C242" s="108">
        <v>120</v>
      </c>
      <c r="D242" s="109" t="s">
        <v>1965</v>
      </c>
      <c r="E242" s="226">
        <v>525000</v>
      </c>
    </row>
    <row r="243" spans="1:5" ht="15" customHeight="1" x14ac:dyDescent="0.3">
      <c r="A243" s="477"/>
      <c r="B243" s="321" t="s">
        <v>1820</v>
      </c>
      <c r="C243" s="319">
        <v>250</v>
      </c>
      <c r="D243" s="320" t="s">
        <v>3096</v>
      </c>
      <c r="E243" s="226">
        <v>870000</v>
      </c>
    </row>
    <row r="244" spans="1:5" ht="15" customHeight="1" thickBot="1" x14ac:dyDescent="0.35">
      <c r="A244" s="279" t="s">
        <v>1969</v>
      </c>
      <c r="B244" s="280" t="s">
        <v>1970</v>
      </c>
      <c r="C244" s="281">
        <v>120</v>
      </c>
      <c r="D244" s="371" t="s">
        <v>1971</v>
      </c>
      <c r="E244" s="226">
        <v>325000</v>
      </c>
    </row>
    <row r="245" spans="1:5" ht="15" customHeight="1" thickBot="1" x14ac:dyDescent="0.35">
      <c r="A245" s="279"/>
      <c r="B245" s="227" t="s">
        <v>1952</v>
      </c>
      <c r="C245" s="106">
        <v>120</v>
      </c>
      <c r="D245" s="110" t="s">
        <v>3097</v>
      </c>
      <c r="E245" s="226">
        <v>345000</v>
      </c>
    </row>
    <row r="246" spans="1:5" ht="15" customHeight="1" thickBot="1" x14ac:dyDescent="0.35">
      <c r="A246" s="279" t="e">
        <f>#REF!</f>
        <v>#REF!</v>
      </c>
      <c r="B246" s="227"/>
      <c r="C246" s="106"/>
      <c r="D246" s="110" t="s">
        <v>3098</v>
      </c>
      <c r="E246" s="226">
        <v>275000</v>
      </c>
    </row>
    <row r="247" spans="1:5" ht="15" customHeight="1" thickBot="1" x14ac:dyDescent="0.35">
      <c r="A247" s="279" t="e">
        <f>A246</f>
        <v>#REF!</v>
      </c>
      <c r="B247" s="227"/>
      <c r="C247" s="106"/>
      <c r="D247" s="110" t="s">
        <v>3099</v>
      </c>
      <c r="E247" s="226">
        <v>285000</v>
      </c>
    </row>
    <row r="248" spans="1:5" ht="15" customHeight="1" thickBot="1" x14ac:dyDescent="0.35">
      <c r="A248" s="279" t="e">
        <f>A247</f>
        <v>#REF!</v>
      </c>
      <c r="B248" s="264"/>
      <c r="C248" s="310"/>
      <c r="D248" s="311" t="s">
        <v>3100</v>
      </c>
      <c r="E248" s="226">
        <v>365000</v>
      </c>
    </row>
    <row r="249" spans="1:5" ht="15" customHeight="1" thickBot="1" x14ac:dyDescent="0.35">
      <c r="A249" s="279" t="e">
        <f>#REF!</f>
        <v>#REF!</v>
      </c>
      <c r="B249" s="282" t="s">
        <v>1970</v>
      </c>
      <c r="C249" s="275">
        <v>180</v>
      </c>
      <c r="D249" s="283" t="s">
        <v>3101</v>
      </c>
      <c r="E249" s="226">
        <v>485000</v>
      </c>
    </row>
    <row r="250" spans="1:5" ht="15" customHeight="1" thickBot="1" x14ac:dyDescent="0.35">
      <c r="A250" s="279"/>
      <c r="B250" s="227" t="s">
        <v>1952</v>
      </c>
      <c r="C250" s="107">
        <v>180</v>
      </c>
      <c r="D250" s="110" t="s">
        <v>3102</v>
      </c>
      <c r="E250" s="226">
        <v>420000</v>
      </c>
    </row>
    <row r="251" spans="1:5" ht="15" customHeight="1" thickBot="1" x14ac:dyDescent="0.35">
      <c r="A251" s="279" t="e">
        <f>#REF!</f>
        <v>#REF!</v>
      </c>
      <c r="B251" s="227"/>
      <c r="C251" s="107"/>
      <c r="D251" s="110" t="s">
        <v>2305</v>
      </c>
      <c r="E251" s="226">
        <v>430000</v>
      </c>
    </row>
    <row r="252" spans="1:5" ht="15" customHeight="1" thickBot="1" x14ac:dyDescent="0.35">
      <c r="A252" s="279" t="e">
        <f>A251</f>
        <v>#REF!</v>
      </c>
      <c r="B252" s="227"/>
      <c r="C252" s="107"/>
      <c r="D252" s="110" t="s">
        <v>3103</v>
      </c>
      <c r="E252" s="226">
        <v>550000</v>
      </c>
    </row>
    <row r="253" spans="1:5" ht="15" customHeight="1" thickBot="1" x14ac:dyDescent="0.35">
      <c r="A253" s="279"/>
      <c r="B253" s="321"/>
      <c r="C253" s="329"/>
      <c r="D253" s="320" t="s">
        <v>3104</v>
      </c>
      <c r="E253" s="226">
        <v>520000</v>
      </c>
    </row>
    <row r="254" spans="1:5" ht="15" customHeight="1" thickBot="1" x14ac:dyDescent="0.35">
      <c r="A254" s="279">
        <f>A253</f>
        <v>0</v>
      </c>
      <c r="B254" s="265" t="s">
        <v>1970</v>
      </c>
      <c r="C254" s="104">
        <v>250</v>
      </c>
      <c r="D254" s="112" t="s">
        <v>1972</v>
      </c>
      <c r="E254" s="226">
        <v>760000</v>
      </c>
    </row>
    <row r="255" spans="1:5" ht="15" customHeight="1" thickBot="1" x14ac:dyDescent="0.35">
      <c r="A255" s="279"/>
      <c r="B255" s="309"/>
      <c r="C255" s="310"/>
      <c r="D255" s="371" t="s">
        <v>3105</v>
      </c>
      <c r="E255" s="226">
        <v>760000</v>
      </c>
    </row>
    <row r="256" spans="1:5" ht="15" customHeight="1" thickBot="1" x14ac:dyDescent="0.35">
      <c r="A256" s="279" t="e">
        <f>#REF!</f>
        <v>#REF!</v>
      </c>
      <c r="B256" s="227" t="s">
        <v>1952</v>
      </c>
      <c r="C256" s="106">
        <v>250</v>
      </c>
      <c r="D256" s="110" t="s">
        <v>3106</v>
      </c>
      <c r="E256" s="226">
        <v>645000</v>
      </c>
    </row>
    <row r="257" spans="1:5" ht="15" customHeight="1" thickBot="1" x14ac:dyDescent="0.35">
      <c r="A257" s="279"/>
      <c r="B257" s="227"/>
      <c r="C257" s="106"/>
      <c r="D257" s="110" t="s">
        <v>3107</v>
      </c>
      <c r="E257" s="226">
        <v>595000</v>
      </c>
    </row>
    <row r="258" spans="1:5" ht="15" customHeight="1" thickBot="1" x14ac:dyDescent="0.35">
      <c r="A258" s="279" t="e">
        <f>A256</f>
        <v>#REF!</v>
      </c>
      <c r="B258" s="227"/>
      <c r="C258" s="106"/>
      <c r="D258" s="110" t="s">
        <v>1973</v>
      </c>
      <c r="E258" s="226">
        <v>760000</v>
      </c>
    </row>
    <row r="259" spans="1:5" ht="15" customHeight="1" thickBot="1" x14ac:dyDescent="0.35">
      <c r="A259" s="279" t="e">
        <f>#REF!</f>
        <v>#REF!</v>
      </c>
      <c r="B259" s="321"/>
      <c r="C259" s="319"/>
      <c r="D259" s="320" t="s">
        <v>3108</v>
      </c>
      <c r="E259" s="226">
        <v>755000</v>
      </c>
    </row>
    <row r="260" spans="1:5" ht="15" customHeight="1" thickBot="1" x14ac:dyDescent="0.35">
      <c r="A260" s="279" t="e">
        <f t="shared" ref="A260" si="10">A259</f>
        <v>#REF!</v>
      </c>
      <c r="B260" s="265" t="s">
        <v>1970</v>
      </c>
      <c r="C260" s="104">
        <v>360</v>
      </c>
      <c r="D260" s="112" t="s">
        <v>1966</v>
      </c>
      <c r="E260" s="226">
        <v>1095000</v>
      </c>
    </row>
    <row r="261" spans="1:5" ht="15" customHeight="1" thickBot="1" x14ac:dyDescent="0.35">
      <c r="A261" s="279"/>
      <c r="B261" s="309"/>
      <c r="C261" s="310"/>
      <c r="D261" s="311" t="s">
        <v>1800</v>
      </c>
      <c r="E261" s="226">
        <v>1095000</v>
      </c>
    </row>
    <row r="262" spans="1:5" ht="15" customHeight="1" thickBot="1" x14ac:dyDescent="0.35">
      <c r="A262" s="279" t="e">
        <f>#REF!</f>
        <v>#REF!</v>
      </c>
      <c r="B262" s="227" t="s">
        <v>1952</v>
      </c>
      <c r="C262" s="106">
        <v>360</v>
      </c>
      <c r="D262" s="110" t="s">
        <v>3109</v>
      </c>
      <c r="E262" s="226">
        <v>935000</v>
      </c>
    </row>
    <row r="263" spans="1:5" ht="15" customHeight="1" x14ac:dyDescent="0.3">
      <c r="A263" s="229" t="e">
        <f>A262</f>
        <v>#REF!</v>
      </c>
      <c r="B263" s="227"/>
      <c r="C263" s="106"/>
      <c r="D263" s="110" t="s">
        <v>3110</v>
      </c>
      <c r="E263" s="226">
        <v>1090000</v>
      </c>
    </row>
    <row r="264" spans="1:5" ht="15" customHeight="1" x14ac:dyDescent="0.3">
      <c r="A264" s="229" t="e">
        <f>A263</f>
        <v>#REF!</v>
      </c>
      <c r="B264" s="227"/>
      <c r="C264" s="106"/>
      <c r="D264" s="110" t="s">
        <v>1974</v>
      </c>
      <c r="E264" s="226">
        <v>1285000</v>
      </c>
    </row>
    <row r="265" spans="1:5" ht="15" customHeight="1" x14ac:dyDescent="0.3">
      <c r="A265" s="284" t="s">
        <v>3111</v>
      </c>
      <c r="B265" s="427" t="s">
        <v>1976</v>
      </c>
      <c r="C265" s="285">
        <v>293</v>
      </c>
      <c r="D265" s="285" t="s">
        <v>1977</v>
      </c>
    </row>
    <row r="266" spans="1:5" ht="15" customHeight="1" x14ac:dyDescent="0.3">
      <c r="A266" s="286" t="str">
        <f t="shared" ref="A266:A279" si="11">A265</f>
        <v xml:space="preserve">멀티크라프트
(MK) </v>
      </c>
      <c r="B266" s="287" t="s">
        <v>1975</v>
      </c>
      <c r="C266" s="107">
        <v>332</v>
      </c>
      <c r="D266" s="107" t="s">
        <v>1978</v>
      </c>
    </row>
    <row r="267" spans="1:5" ht="15" customHeight="1" x14ac:dyDescent="0.3">
      <c r="A267" s="286" t="str">
        <f t="shared" si="11"/>
        <v xml:space="preserve">멀티크라프트
(MK) </v>
      </c>
      <c r="B267" s="227" t="s">
        <v>1975</v>
      </c>
      <c r="C267" s="107">
        <v>361</v>
      </c>
      <c r="D267" s="107" t="s">
        <v>1979</v>
      </c>
    </row>
    <row r="268" spans="1:5" ht="15" customHeight="1" x14ac:dyDescent="0.3">
      <c r="A268" s="286" t="e">
        <f>#REF!</f>
        <v>#REF!</v>
      </c>
      <c r="B268" s="271" t="s">
        <v>1980</v>
      </c>
      <c r="C268" s="288">
        <v>293</v>
      </c>
      <c r="D268" s="288" t="s">
        <v>1981</v>
      </c>
    </row>
    <row r="269" spans="1:5" ht="15" customHeight="1" x14ac:dyDescent="0.3">
      <c r="A269" s="286" t="e">
        <f t="shared" si="11"/>
        <v>#REF!</v>
      </c>
      <c r="B269" s="227" t="s">
        <v>1975</v>
      </c>
      <c r="C269" s="107">
        <v>332</v>
      </c>
      <c r="D269" s="107" t="s">
        <v>1982</v>
      </c>
    </row>
    <row r="270" spans="1:5" ht="15" customHeight="1" x14ac:dyDescent="0.3">
      <c r="A270" s="286" t="e">
        <f t="shared" si="11"/>
        <v>#REF!</v>
      </c>
      <c r="B270" s="227" t="s">
        <v>1975</v>
      </c>
      <c r="C270" s="107">
        <v>361</v>
      </c>
      <c r="D270" s="107" t="s">
        <v>1983</v>
      </c>
    </row>
    <row r="271" spans="1:5" ht="15" customHeight="1" x14ac:dyDescent="0.3">
      <c r="A271" s="286" t="e">
        <f t="shared" si="11"/>
        <v>#REF!</v>
      </c>
      <c r="B271" s="289" t="s">
        <v>1846</v>
      </c>
      <c r="C271" s="288">
        <v>293</v>
      </c>
      <c r="D271" s="290" t="s">
        <v>1984</v>
      </c>
      <c r="E271" s="226">
        <v>417500</v>
      </c>
    </row>
    <row r="272" spans="1:5" ht="15" customHeight="1" x14ac:dyDescent="0.3">
      <c r="A272" s="286" t="e">
        <f t="shared" si="11"/>
        <v>#REF!</v>
      </c>
      <c r="B272" s="291" t="s">
        <v>1787</v>
      </c>
      <c r="C272" s="107">
        <v>332</v>
      </c>
      <c r="D272" s="292" t="s">
        <v>1985</v>
      </c>
      <c r="E272" s="226">
        <v>460000</v>
      </c>
    </row>
    <row r="273" spans="1:5" ht="15" customHeight="1" x14ac:dyDescent="0.3">
      <c r="A273" s="286" t="e">
        <f t="shared" si="11"/>
        <v>#REF!</v>
      </c>
      <c r="B273" s="293" t="s">
        <v>1787</v>
      </c>
      <c r="C273" s="371">
        <v>361</v>
      </c>
      <c r="D273" s="478" t="s">
        <v>1986</v>
      </c>
      <c r="E273" s="226">
        <v>500000</v>
      </c>
    </row>
    <row r="274" spans="1:5" ht="15" customHeight="1" x14ac:dyDescent="0.3">
      <c r="A274" s="286" t="e">
        <f>#REF!</f>
        <v>#REF!</v>
      </c>
      <c r="B274" s="291" t="s">
        <v>1987</v>
      </c>
      <c r="C274" s="107">
        <v>293</v>
      </c>
      <c r="D274" s="292" t="s">
        <v>1988</v>
      </c>
      <c r="E274" s="226">
        <v>215000</v>
      </c>
    </row>
    <row r="275" spans="1:5" ht="15" customHeight="1" x14ac:dyDescent="0.3">
      <c r="A275" s="286" t="e">
        <f t="shared" si="11"/>
        <v>#REF!</v>
      </c>
      <c r="B275" s="291" t="s">
        <v>1787</v>
      </c>
      <c r="C275" s="107">
        <v>332</v>
      </c>
      <c r="D275" s="292" t="s">
        <v>1989</v>
      </c>
      <c r="E275" s="226">
        <v>237000</v>
      </c>
    </row>
    <row r="276" spans="1:5" ht="15" customHeight="1" x14ac:dyDescent="0.3">
      <c r="A276" s="286" t="e">
        <f t="shared" si="11"/>
        <v>#REF!</v>
      </c>
      <c r="B276" s="291" t="s">
        <v>1787</v>
      </c>
      <c r="C276" s="107">
        <v>361</v>
      </c>
      <c r="D276" s="292" t="s">
        <v>1990</v>
      </c>
      <c r="E276" s="226">
        <v>257500</v>
      </c>
    </row>
    <row r="277" spans="1:5" ht="15" customHeight="1" x14ac:dyDescent="0.3">
      <c r="A277" s="286" t="e">
        <f>#REF!</f>
        <v>#REF!</v>
      </c>
      <c r="B277" s="103" t="s">
        <v>1991</v>
      </c>
      <c r="C277" s="288">
        <v>293</v>
      </c>
      <c r="D277" s="290" t="s">
        <v>1992</v>
      </c>
      <c r="E277" s="226">
        <v>290000</v>
      </c>
    </row>
    <row r="278" spans="1:5" ht="15" customHeight="1" x14ac:dyDescent="0.3">
      <c r="A278" s="286" t="e">
        <f t="shared" si="11"/>
        <v>#REF!</v>
      </c>
      <c r="B278" s="227" t="s">
        <v>1787</v>
      </c>
      <c r="C278" s="107">
        <v>332</v>
      </c>
      <c r="D278" s="292" t="s">
        <v>1993</v>
      </c>
      <c r="E278" s="226">
        <v>320000</v>
      </c>
    </row>
    <row r="279" spans="1:5" ht="15" customHeight="1" x14ac:dyDescent="0.3">
      <c r="A279" s="294" t="e">
        <f t="shared" si="11"/>
        <v>#REF!</v>
      </c>
      <c r="B279" s="323"/>
      <c r="C279" s="377">
        <v>361</v>
      </c>
      <c r="D279" s="479" t="s">
        <v>1864</v>
      </c>
      <c r="E279" s="226">
        <v>345000</v>
      </c>
    </row>
    <row r="280" spans="1:5" ht="15" customHeight="1" x14ac:dyDescent="0.3">
      <c r="A280" s="295" t="s">
        <v>3112</v>
      </c>
      <c r="B280" s="296" t="s">
        <v>1846</v>
      </c>
      <c r="C280" s="297">
        <v>250</v>
      </c>
      <c r="D280" s="298" t="s">
        <v>3113</v>
      </c>
      <c r="E280" s="226">
        <v>240000</v>
      </c>
    </row>
    <row r="281" spans="1:5" ht="15" customHeight="1" x14ac:dyDescent="0.3">
      <c r="A281" s="295" t="e">
        <f>#REF!</f>
        <v>#REF!</v>
      </c>
      <c r="B281" s="291" t="s">
        <v>1858</v>
      </c>
      <c r="C281" s="106">
        <v>127</v>
      </c>
      <c r="D281" s="107" t="s">
        <v>3114</v>
      </c>
    </row>
    <row r="282" spans="1:5" ht="15" customHeight="1" x14ac:dyDescent="0.3">
      <c r="A282" s="299"/>
      <c r="B282" s="291"/>
      <c r="C282" s="300">
        <v>161170</v>
      </c>
      <c r="D282" s="107"/>
    </row>
    <row r="283" spans="1:5" ht="15" customHeight="1" x14ac:dyDescent="0.3">
      <c r="A283" s="295">
        <f>A282</f>
        <v>0</v>
      </c>
      <c r="B283" s="291"/>
      <c r="C283" s="106">
        <v>200</v>
      </c>
      <c r="D283" s="107"/>
    </row>
    <row r="284" spans="1:5" ht="15" customHeight="1" x14ac:dyDescent="0.3">
      <c r="A284" s="295">
        <f>A283</f>
        <v>0</v>
      </c>
      <c r="B284" s="291"/>
      <c r="C284" s="301">
        <v>250</v>
      </c>
      <c r="D284" s="110" t="s">
        <v>3113</v>
      </c>
      <c r="E284" s="226" t="s">
        <v>1844</v>
      </c>
    </row>
    <row r="285" spans="1:5" ht="15" customHeight="1" x14ac:dyDescent="0.3">
      <c r="A285" s="295">
        <f>A284</f>
        <v>0</v>
      </c>
      <c r="B285" s="291"/>
      <c r="C285" s="106">
        <v>275</v>
      </c>
      <c r="D285" s="110" t="s">
        <v>3115</v>
      </c>
      <c r="E285" s="226" t="s">
        <v>1844</v>
      </c>
    </row>
    <row r="286" spans="1:5" ht="15" customHeight="1" x14ac:dyDescent="0.3">
      <c r="A286" s="295">
        <f>A285</f>
        <v>0</v>
      </c>
      <c r="B286" s="291"/>
      <c r="C286" s="106">
        <v>300</v>
      </c>
      <c r="D286" s="110" t="s">
        <v>3116</v>
      </c>
      <c r="E286" s="226" t="s">
        <v>1844</v>
      </c>
    </row>
    <row r="287" spans="1:5" ht="15" customHeight="1" x14ac:dyDescent="0.3">
      <c r="A287" s="480">
        <f>A286</f>
        <v>0</v>
      </c>
      <c r="B287" s="481" t="s">
        <v>1787</v>
      </c>
      <c r="C287" s="315">
        <v>337</v>
      </c>
      <c r="D287" s="110" t="s">
        <v>3117</v>
      </c>
      <c r="E287" s="226" t="s">
        <v>1844</v>
      </c>
    </row>
    <row r="288" spans="1:5" ht="15" customHeight="1" x14ac:dyDescent="0.3">
      <c r="A288" s="302" t="s">
        <v>2001</v>
      </c>
      <c r="B288" s="427" t="s">
        <v>1784</v>
      </c>
      <c r="C288" s="239">
        <v>110</v>
      </c>
      <c r="D288" s="303" t="s">
        <v>2002</v>
      </c>
      <c r="E288" s="243">
        <v>910000</v>
      </c>
    </row>
    <row r="289" spans="1:5" ht="15" customHeight="1" x14ac:dyDescent="0.3">
      <c r="A289" s="337" t="str">
        <f>A288</f>
        <v>메탈플러스
(MTP)</v>
      </c>
      <c r="B289" s="227"/>
      <c r="C289" s="106"/>
      <c r="D289" s="111" t="s">
        <v>2003</v>
      </c>
      <c r="E289" s="243">
        <v>695000</v>
      </c>
    </row>
    <row r="290" spans="1:5" ht="15" customHeight="1" x14ac:dyDescent="0.3">
      <c r="A290" s="337" t="str">
        <f>A289</f>
        <v>메탈플러스
(MTP)</v>
      </c>
      <c r="B290" s="304"/>
      <c r="C290" s="106"/>
      <c r="D290" s="111" t="s">
        <v>2004</v>
      </c>
      <c r="E290" s="243">
        <v>730000</v>
      </c>
    </row>
    <row r="291" spans="1:5" ht="15" customHeight="1" x14ac:dyDescent="0.3">
      <c r="A291" s="337" t="str">
        <f>A290</f>
        <v>메탈플러스
(MTP)</v>
      </c>
      <c r="B291" s="304"/>
      <c r="C291" s="106"/>
      <c r="D291" s="245">
        <v>15</v>
      </c>
      <c r="E291" s="243">
        <v>1250000</v>
      </c>
    </row>
    <row r="292" spans="1:5" ht="15" customHeight="1" x14ac:dyDescent="0.3">
      <c r="A292" s="305" t="str">
        <f>A291</f>
        <v>메탈플러스
(MTP)</v>
      </c>
      <c r="B292" s="323"/>
      <c r="C292" s="324"/>
      <c r="D292" s="472" t="s">
        <v>2005</v>
      </c>
      <c r="E292" s="243">
        <v>910000</v>
      </c>
    </row>
    <row r="293" spans="1:5" ht="15" customHeight="1" x14ac:dyDescent="0.3">
      <c r="A293" s="229" t="s">
        <v>1997</v>
      </c>
      <c r="B293" s="223" t="s">
        <v>1784</v>
      </c>
      <c r="C293" s="224">
        <v>110</v>
      </c>
      <c r="D293" s="225" t="s">
        <v>1998</v>
      </c>
      <c r="E293" s="226">
        <v>985000</v>
      </c>
    </row>
    <row r="294" spans="1:5" ht="15" customHeight="1" x14ac:dyDescent="0.3">
      <c r="A294" s="230" t="e">
        <f>#REF!</f>
        <v>#REF!</v>
      </c>
      <c r="B294" s="227"/>
      <c r="C294" s="106"/>
      <c r="D294" s="245" t="s">
        <v>1999</v>
      </c>
      <c r="E294" s="226">
        <v>1075000</v>
      </c>
    </row>
    <row r="295" spans="1:5" ht="15" customHeight="1" x14ac:dyDescent="0.3">
      <c r="A295" s="230" t="e">
        <f t="shared" ref="A295" si="12">A294</f>
        <v>#REF!</v>
      </c>
      <c r="B295" s="227"/>
      <c r="C295" s="106"/>
      <c r="D295" s="110" t="s">
        <v>2000</v>
      </c>
      <c r="E295" s="226">
        <v>1190000</v>
      </c>
    </row>
    <row r="296" spans="1:5" ht="15" customHeight="1" x14ac:dyDescent="0.3">
      <c r="A296" s="231" t="s">
        <v>2006</v>
      </c>
      <c r="B296" s="223" t="s">
        <v>2007</v>
      </c>
      <c r="C296" s="224">
        <v>120</v>
      </c>
      <c r="D296" s="225" t="s">
        <v>2008</v>
      </c>
      <c r="E296" s="226">
        <v>765000</v>
      </c>
    </row>
    <row r="297" spans="1:5" ht="15" customHeight="1" x14ac:dyDescent="0.3">
      <c r="A297" s="234" t="str">
        <f>A296</f>
        <v>모던시티
(MDC)</v>
      </c>
      <c r="B297" s="227"/>
      <c r="C297" s="106"/>
      <c r="D297" s="110" t="s">
        <v>2009</v>
      </c>
      <c r="E297" s="226">
        <v>865000</v>
      </c>
    </row>
    <row r="298" spans="1:5" ht="15" customHeight="1" x14ac:dyDescent="0.3">
      <c r="A298" s="234" t="str">
        <f>A297</f>
        <v>모던시티
(MDC)</v>
      </c>
      <c r="B298" s="227"/>
      <c r="C298" s="106"/>
      <c r="D298" s="110" t="s">
        <v>1965</v>
      </c>
      <c r="E298" s="226">
        <v>930000</v>
      </c>
    </row>
    <row r="299" spans="1:5" ht="15" customHeight="1" x14ac:dyDescent="0.3">
      <c r="A299" s="234" t="str">
        <f>A298</f>
        <v>모던시티
(MDC)</v>
      </c>
      <c r="B299" s="227"/>
      <c r="C299" s="104">
        <v>350</v>
      </c>
      <c r="D299" s="112" t="s">
        <v>2010</v>
      </c>
      <c r="E299" s="226">
        <v>2975000</v>
      </c>
    </row>
    <row r="300" spans="1:5" ht="15" customHeight="1" x14ac:dyDescent="0.3">
      <c r="A300" s="234" t="str">
        <f>A299</f>
        <v>모던시티
(MDC)</v>
      </c>
      <c r="B300" s="227"/>
      <c r="C300" s="106"/>
      <c r="D300" s="110" t="s">
        <v>2011</v>
      </c>
      <c r="E300" s="226">
        <v>3180000</v>
      </c>
    </row>
    <row r="301" spans="1:5" ht="15" customHeight="1" x14ac:dyDescent="0.3">
      <c r="A301" s="234"/>
      <c r="B301" s="264"/>
      <c r="C301" s="310"/>
      <c r="D301" s="311" t="s">
        <v>2012</v>
      </c>
      <c r="E301" s="226">
        <v>3425000</v>
      </c>
    </row>
    <row r="302" spans="1:5" ht="15" customHeight="1" x14ac:dyDescent="0.3">
      <c r="A302" s="236" t="str">
        <f>A300</f>
        <v>모던시티
(MDC)</v>
      </c>
      <c r="B302" s="323" t="s">
        <v>2013</v>
      </c>
      <c r="C302" s="324">
        <v>350</v>
      </c>
      <c r="D302" s="325" t="s">
        <v>3118</v>
      </c>
      <c r="E302" s="226">
        <v>2550000</v>
      </c>
    </row>
    <row r="303" spans="1:5" ht="15" customHeight="1" x14ac:dyDescent="0.3">
      <c r="A303" s="231" t="s">
        <v>2014</v>
      </c>
      <c r="B303" s="223" t="s">
        <v>2015</v>
      </c>
      <c r="C303" s="224">
        <v>310</v>
      </c>
      <c r="D303" s="233" t="s">
        <v>1861</v>
      </c>
      <c r="E303" s="226">
        <v>485000</v>
      </c>
    </row>
    <row r="304" spans="1:5" ht="15" customHeight="1" x14ac:dyDescent="0.3">
      <c r="A304" s="234"/>
      <c r="B304" s="227"/>
      <c r="C304" s="106">
        <v>350</v>
      </c>
      <c r="D304" s="228" t="s">
        <v>1862</v>
      </c>
      <c r="E304" s="226">
        <v>540000</v>
      </c>
    </row>
    <row r="305" spans="1:5" ht="15" customHeight="1" x14ac:dyDescent="0.3">
      <c r="A305" s="234" t="e">
        <f>#REF!</f>
        <v>#REF!</v>
      </c>
      <c r="B305" s="227"/>
      <c r="C305" s="106">
        <v>450</v>
      </c>
      <c r="D305" s="228" t="s">
        <v>1863</v>
      </c>
      <c r="E305" s="226">
        <v>685000</v>
      </c>
    </row>
    <row r="306" spans="1:5" ht="15" customHeight="1" x14ac:dyDescent="0.3">
      <c r="A306" s="236" t="e">
        <f>A305</f>
        <v>#REF!</v>
      </c>
      <c r="B306" s="323"/>
      <c r="C306" s="324">
        <v>550</v>
      </c>
      <c r="D306" s="457" t="s">
        <v>1864</v>
      </c>
      <c r="E306" s="226">
        <v>840000</v>
      </c>
    </row>
    <row r="307" spans="1:5" ht="15" customHeight="1" x14ac:dyDescent="0.3">
      <c r="A307" s="229" t="s">
        <v>2016</v>
      </c>
      <c r="B307" s="232" t="s">
        <v>2017</v>
      </c>
      <c r="C307" s="224">
        <v>90</v>
      </c>
      <c r="D307" s="225" t="s">
        <v>2018</v>
      </c>
      <c r="E307" s="226">
        <v>205000</v>
      </c>
    </row>
    <row r="308" spans="1:5" ht="15" customHeight="1" x14ac:dyDescent="0.3">
      <c r="A308" s="261" t="str">
        <f t="shared" ref="A308:A313" si="13">A307</f>
        <v>밤부럭스
(BOO)</v>
      </c>
      <c r="B308" s="328"/>
      <c r="C308" s="319">
        <v>120</v>
      </c>
      <c r="D308" s="320" t="s">
        <v>2019</v>
      </c>
      <c r="E308" s="226">
        <v>275000</v>
      </c>
    </row>
    <row r="309" spans="1:5" ht="15" customHeight="1" x14ac:dyDescent="0.3">
      <c r="A309" s="261" t="str">
        <f t="shared" si="13"/>
        <v>밤부럭스
(BOO)</v>
      </c>
      <c r="B309" s="235" t="s">
        <v>1846</v>
      </c>
      <c r="C309" s="106">
        <v>200</v>
      </c>
      <c r="D309" s="110" t="s">
        <v>2020</v>
      </c>
      <c r="E309" s="226">
        <v>555000</v>
      </c>
    </row>
    <row r="310" spans="1:5" ht="15" customHeight="1" x14ac:dyDescent="0.3">
      <c r="A310" s="261" t="str">
        <f t="shared" si="13"/>
        <v>밤부럭스
(BOO)</v>
      </c>
      <c r="B310" s="235"/>
      <c r="C310" s="106">
        <v>250</v>
      </c>
      <c r="D310" s="110" t="s">
        <v>2021</v>
      </c>
      <c r="E310" s="226">
        <v>695000</v>
      </c>
    </row>
    <row r="311" spans="1:5" ht="15" customHeight="1" x14ac:dyDescent="0.3">
      <c r="A311" s="261" t="str">
        <f t="shared" si="13"/>
        <v>밤부럭스
(BOO)</v>
      </c>
      <c r="B311" s="235"/>
      <c r="C311" s="106">
        <v>300</v>
      </c>
      <c r="D311" s="110" t="s">
        <v>2022</v>
      </c>
      <c r="E311" s="226">
        <v>830000</v>
      </c>
    </row>
    <row r="312" spans="1:5" ht="15" customHeight="1" x14ac:dyDescent="0.3">
      <c r="A312" s="261" t="str">
        <f t="shared" si="13"/>
        <v>밤부럭스
(BOO)</v>
      </c>
      <c r="B312" s="235"/>
      <c r="C312" s="106">
        <v>350</v>
      </c>
      <c r="D312" s="110" t="s">
        <v>2023</v>
      </c>
      <c r="E312" s="226">
        <v>970000</v>
      </c>
    </row>
    <row r="313" spans="1:5" ht="15" customHeight="1" x14ac:dyDescent="0.3">
      <c r="A313" s="482" t="str">
        <f t="shared" si="13"/>
        <v>밤부럭스
(BOO)</v>
      </c>
      <c r="B313" s="330"/>
      <c r="C313" s="315">
        <v>380</v>
      </c>
      <c r="D313" s="377" t="s">
        <v>2024</v>
      </c>
      <c r="E313" s="226">
        <v>1140000</v>
      </c>
    </row>
    <row r="314" spans="1:5" ht="15" customHeight="1" x14ac:dyDescent="0.3">
      <c r="A314" s="230" t="s">
        <v>2025</v>
      </c>
      <c r="B314" s="227" t="s">
        <v>2295</v>
      </c>
      <c r="C314" s="106">
        <v>150</v>
      </c>
      <c r="D314" s="306" t="s">
        <v>3119</v>
      </c>
      <c r="E314" s="226">
        <v>173000</v>
      </c>
    </row>
    <row r="315" spans="1:5" ht="15" customHeight="1" x14ac:dyDescent="0.3">
      <c r="A315" s="230" t="e">
        <f>#REF!</f>
        <v>#REF!</v>
      </c>
      <c r="B315" s="227"/>
      <c r="C315" s="106">
        <v>190</v>
      </c>
      <c r="D315" s="306" t="s">
        <v>2158</v>
      </c>
      <c r="E315" s="226">
        <v>220000</v>
      </c>
    </row>
    <row r="316" spans="1:5" ht="15" customHeight="1" x14ac:dyDescent="0.3">
      <c r="A316" s="230" t="e">
        <f t="shared" ref="A316:A327" si="14">A315</f>
        <v>#REF!</v>
      </c>
      <c r="B316" s="227"/>
      <c r="C316" s="106">
        <v>250</v>
      </c>
      <c r="D316" s="306" t="s">
        <v>2159</v>
      </c>
      <c r="E316" s="226">
        <v>290000</v>
      </c>
    </row>
    <row r="317" spans="1:5" ht="15" customHeight="1" x14ac:dyDescent="0.3">
      <c r="A317" s="230" t="e">
        <f>#REF!</f>
        <v>#REF!</v>
      </c>
      <c r="B317" s="227"/>
      <c r="C317" s="106">
        <v>320</v>
      </c>
      <c r="D317" s="106" t="s">
        <v>2026</v>
      </c>
      <c r="E317" s="226">
        <v>370000</v>
      </c>
    </row>
    <row r="318" spans="1:5" ht="15" customHeight="1" x14ac:dyDescent="0.3">
      <c r="A318" s="230"/>
      <c r="B318" s="227"/>
      <c r="C318" s="104">
        <v>170</v>
      </c>
      <c r="D318" s="307" t="s">
        <v>3120</v>
      </c>
      <c r="E318" s="226">
        <v>215000</v>
      </c>
    </row>
    <row r="319" spans="1:5" ht="15" customHeight="1" x14ac:dyDescent="0.3">
      <c r="A319" s="230"/>
      <c r="B319" s="227"/>
      <c r="C319" s="106">
        <v>190</v>
      </c>
      <c r="D319" s="306" t="s">
        <v>3121</v>
      </c>
      <c r="E319" s="226">
        <v>245000</v>
      </c>
    </row>
    <row r="320" spans="1:5" ht="15" customHeight="1" x14ac:dyDescent="0.3">
      <c r="A320" s="230"/>
      <c r="B320" s="227"/>
      <c r="C320" s="106">
        <v>300</v>
      </c>
      <c r="D320" s="306" t="s">
        <v>2027</v>
      </c>
      <c r="E320" s="226">
        <v>380000</v>
      </c>
    </row>
    <row r="321" spans="1:5" ht="15" customHeight="1" x14ac:dyDescent="0.3">
      <c r="A321" s="230"/>
      <c r="B321" s="264"/>
      <c r="C321" s="483">
        <v>350</v>
      </c>
      <c r="D321" s="484" t="s">
        <v>3122</v>
      </c>
      <c r="E321" s="226">
        <v>450000</v>
      </c>
    </row>
    <row r="322" spans="1:5" ht="15" customHeight="1" x14ac:dyDescent="0.3">
      <c r="A322" s="230" t="e">
        <f>A317</f>
        <v>#REF!</v>
      </c>
      <c r="B322" s="227" t="s">
        <v>3123</v>
      </c>
      <c r="C322" s="106">
        <v>250</v>
      </c>
      <c r="D322" s="306" t="s">
        <v>3124</v>
      </c>
      <c r="E322" s="226">
        <v>200000</v>
      </c>
    </row>
    <row r="323" spans="1:5" ht="15" customHeight="1" x14ac:dyDescent="0.3">
      <c r="A323" s="230" t="e">
        <f>#REF!</f>
        <v>#REF!</v>
      </c>
      <c r="B323" s="227"/>
      <c r="C323" s="106">
        <v>320</v>
      </c>
      <c r="D323" s="306" t="s">
        <v>3125</v>
      </c>
      <c r="E323" s="226">
        <v>255000</v>
      </c>
    </row>
    <row r="324" spans="1:5" ht="15" customHeight="1" x14ac:dyDescent="0.3">
      <c r="A324" s="230" t="e">
        <f t="shared" si="14"/>
        <v>#REF!</v>
      </c>
      <c r="B324" s="227"/>
      <c r="C324" s="106">
        <v>300</v>
      </c>
      <c r="D324" s="306" t="s">
        <v>3126</v>
      </c>
      <c r="E324" s="226">
        <v>265000</v>
      </c>
    </row>
    <row r="325" spans="1:5" ht="15" customHeight="1" x14ac:dyDescent="0.3">
      <c r="A325" s="230" t="e">
        <f t="shared" si="14"/>
        <v>#REF!</v>
      </c>
      <c r="B325" s="485"/>
      <c r="C325" s="486">
        <v>350</v>
      </c>
      <c r="D325" s="487" t="s">
        <v>3127</v>
      </c>
      <c r="E325" s="226">
        <v>310000</v>
      </c>
    </row>
    <row r="326" spans="1:5" ht="15" customHeight="1" x14ac:dyDescent="0.3">
      <c r="A326" s="230" t="e">
        <f t="shared" si="14"/>
        <v>#REF!</v>
      </c>
      <c r="B326" s="227" t="s">
        <v>3128</v>
      </c>
      <c r="C326" s="106" t="s">
        <v>3129</v>
      </c>
      <c r="D326" s="106" t="s">
        <v>3130</v>
      </c>
    </row>
    <row r="327" spans="1:5" ht="15" customHeight="1" x14ac:dyDescent="0.3">
      <c r="A327" s="241" t="e">
        <f t="shared" si="14"/>
        <v>#REF!</v>
      </c>
      <c r="B327" s="323"/>
      <c r="C327" s="324" t="s">
        <v>3129</v>
      </c>
      <c r="D327" s="324" t="s">
        <v>3131</v>
      </c>
      <c r="E327" s="226" t="s">
        <v>1844</v>
      </c>
    </row>
    <row r="328" spans="1:5" ht="15" customHeight="1" x14ac:dyDescent="0.3">
      <c r="A328" s="229" t="s">
        <v>3132</v>
      </c>
      <c r="B328" s="447" t="s">
        <v>2028</v>
      </c>
      <c r="C328" s="239">
        <v>303</v>
      </c>
      <c r="D328" s="240" t="s">
        <v>3133</v>
      </c>
      <c r="E328" s="226" t="s">
        <v>1844</v>
      </c>
    </row>
    <row r="329" spans="1:5" ht="15" customHeight="1" x14ac:dyDescent="0.3">
      <c r="A329" s="230"/>
      <c r="B329" s="235" t="s">
        <v>1787</v>
      </c>
      <c r="C329" s="106" t="s">
        <v>1787</v>
      </c>
      <c r="D329" s="110" t="s">
        <v>1787</v>
      </c>
    </row>
    <row r="330" spans="1:5" ht="15" customHeight="1" x14ac:dyDescent="0.3">
      <c r="A330" s="308" t="str">
        <f>A328</f>
        <v>벅스킨( BSK ) 
재고 소진후 계약공급/별도 견적 필요</v>
      </c>
      <c r="B330" s="235"/>
      <c r="C330" s="106"/>
      <c r="D330" s="110" t="s">
        <v>3134</v>
      </c>
    </row>
    <row r="331" spans="1:5" ht="15" customHeight="1" x14ac:dyDescent="0.3">
      <c r="A331" s="308"/>
      <c r="B331" s="488" t="s">
        <v>1787</v>
      </c>
      <c r="C331" s="489"/>
      <c r="D331" s="490" t="s">
        <v>1787</v>
      </c>
    </row>
    <row r="332" spans="1:5" ht="15" customHeight="1" x14ac:dyDescent="0.3">
      <c r="A332" s="308" t="e">
        <f>#REF!</f>
        <v>#REF!</v>
      </c>
      <c r="B332" s="312" t="s">
        <v>2030</v>
      </c>
      <c r="C332" s="272">
        <v>303</v>
      </c>
      <c r="D332" s="273" t="s">
        <v>3135</v>
      </c>
      <c r="E332" s="226">
        <v>4250000</v>
      </c>
    </row>
    <row r="333" spans="1:5" ht="15" customHeight="1" x14ac:dyDescent="0.3">
      <c r="A333" s="308" t="e">
        <f t="shared" ref="A333" si="15">A332</f>
        <v>#REF!</v>
      </c>
      <c r="B333" s="488" t="s">
        <v>1787</v>
      </c>
      <c r="C333" s="489"/>
      <c r="D333" s="490" t="s">
        <v>3136</v>
      </c>
      <c r="E333" s="226">
        <v>5850000</v>
      </c>
    </row>
    <row r="334" spans="1:5" ht="15" customHeight="1" x14ac:dyDescent="0.3">
      <c r="A334" s="313" t="e">
        <f>#REF!</f>
        <v>#REF!</v>
      </c>
      <c r="B334" s="314" t="s">
        <v>3137</v>
      </c>
      <c r="C334" s="315">
        <v>125</v>
      </c>
      <c r="D334" s="316" t="s">
        <v>3138</v>
      </c>
    </row>
    <row r="335" spans="1:5" ht="15" customHeight="1" x14ac:dyDescent="0.3">
      <c r="A335" s="317" t="s">
        <v>2031</v>
      </c>
      <c r="B335" s="227" t="s">
        <v>1789</v>
      </c>
      <c r="C335" s="106">
        <v>115</v>
      </c>
      <c r="D335" s="110" t="s">
        <v>1785</v>
      </c>
      <c r="E335" s="226">
        <v>182500</v>
      </c>
    </row>
    <row r="336" spans="1:5" ht="15" customHeight="1" x14ac:dyDescent="0.3">
      <c r="A336" s="317" t="str">
        <f>A335</f>
        <v xml:space="preserve">베로나
(VER)                                                </v>
      </c>
      <c r="B336" s="227"/>
      <c r="C336" s="106">
        <v>135</v>
      </c>
      <c r="D336" s="110"/>
      <c r="E336" s="226">
        <v>215000</v>
      </c>
    </row>
    <row r="337" spans="1:5" ht="15" customHeight="1" x14ac:dyDescent="0.3">
      <c r="A337" s="317" t="str">
        <f>A336</f>
        <v xml:space="preserve">베로나
(VER)                                                </v>
      </c>
      <c r="B337" s="227"/>
      <c r="C337" s="106">
        <v>150</v>
      </c>
      <c r="D337" s="110"/>
      <c r="E337" s="226">
        <v>238000</v>
      </c>
    </row>
    <row r="338" spans="1:5" ht="15" customHeight="1" x14ac:dyDescent="0.3">
      <c r="A338" s="317" t="str">
        <f>A337</f>
        <v xml:space="preserve">베로나
(VER)                                                </v>
      </c>
      <c r="B338" s="227"/>
      <c r="C338" s="106">
        <v>170</v>
      </c>
      <c r="D338" s="110"/>
      <c r="E338" s="226">
        <v>270000</v>
      </c>
    </row>
    <row r="339" spans="1:5" ht="15" customHeight="1" x14ac:dyDescent="0.3">
      <c r="A339" s="317"/>
      <c r="B339" s="227"/>
      <c r="C339" s="106">
        <v>200</v>
      </c>
      <c r="D339" s="110"/>
      <c r="E339" s="226">
        <v>318000</v>
      </c>
    </row>
    <row r="340" spans="1:5" ht="15" customHeight="1" x14ac:dyDescent="0.3">
      <c r="A340" s="317">
        <f t="shared" ref="A340:A346" si="16">A339</f>
        <v>0</v>
      </c>
      <c r="B340" s="264"/>
      <c r="C340" s="489">
        <v>250</v>
      </c>
      <c r="D340" s="490"/>
      <c r="E340" s="226">
        <v>398000</v>
      </c>
    </row>
    <row r="341" spans="1:5" ht="15" customHeight="1" x14ac:dyDescent="0.3">
      <c r="A341" s="317">
        <f t="shared" si="16"/>
        <v>0</v>
      </c>
      <c r="B341" s="227" t="s">
        <v>1786</v>
      </c>
      <c r="C341" s="106">
        <v>115</v>
      </c>
      <c r="D341" s="110" t="s">
        <v>1785</v>
      </c>
      <c r="E341" s="226">
        <v>127000</v>
      </c>
    </row>
    <row r="342" spans="1:5" ht="15" customHeight="1" x14ac:dyDescent="0.3">
      <c r="A342" s="317">
        <f t="shared" si="16"/>
        <v>0</v>
      </c>
      <c r="B342" s="227"/>
      <c r="C342" s="106">
        <v>135</v>
      </c>
      <c r="D342" s="110"/>
      <c r="E342" s="226">
        <v>150000</v>
      </c>
    </row>
    <row r="343" spans="1:5" ht="15" customHeight="1" x14ac:dyDescent="0.3">
      <c r="A343" s="317">
        <f t="shared" si="16"/>
        <v>0</v>
      </c>
      <c r="B343" s="227"/>
      <c r="C343" s="106">
        <v>150</v>
      </c>
      <c r="D343" s="110"/>
      <c r="E343" s="226">
        <v>166000</v>
      </c>
    </row>
    <row r="344" spans="1:5" ht="15" customHeight="1" x14ac:dyDescent="0.3">
      <c r="A344" s="317">
        <f t="shared" si="16"/>
        <v>0</v>
      </c>
      <c r="B344" s="227"/>
      <c r="C344" s="106">
        <v>170</v>
      </c>
      <c r="D344" s="110"/>
      <c r="E344" s="226">
        <v>188000</v>
      </c>
    </row>
    <row r="345" spans="1:5" ht="15" customHeight="1" x14ac:dyDescent="0.3">
      <c r="A345" s="317">
        <f t="shared" si="16"/>
        <v>0</v>
      </c>
      <c r="B345" s="227"/>
      <c r="C345" s="106">
        <v>200</v>
      </c>
      <c r="D345" s="110"/>
      <c r="E345" s="226">
        <v>221000</v>
      </c>
    </row>
    <row r="346" spans="1:5" ht="15" customHeight="1" x14ac:dyDescent="0.3">
      <c r="A346" s="317">
        <f t="shared" si="16"/>
        <v>0</v>
      </c>
      <c r="B346" s="314"/>
      <c r="C346" s="315">
        <v>250</v>
      </c>
      <c r="D346" s="318"/>
      <c r="E346" s="226">
        <v>277000</v>
      </c>
    </row>
    <row r="347" spans="1:5" ht="15" customHeight="1" x14ac:dyDescent="0.3">
      <c r="A347" s="229" t="s">
        <v>2032</v>
      </c>
      <c r="B347" s="223" t="s">
        <v>1788</v>
      </c>
      <c r="C347" s="224">
        <v>310</v>
      </c>
      <c r="D347" s="225" t="s">
        <v>2033</v>
      </c>
      <c r="E347" s="226">
        <v>2210000</v>
      </c>
    </row>
    <row r="348" spans="1:5" ht="15" customHeight="1" x14ac:dyDescent="0.3">
      <c r="A348" s="229"/>
      <c r="B348" s="227"/>
      <c r="C348" s="106"/>
      <c r="D348" s="110" t="s">
        <v>2034</v>
      </c>
      <c r="E348" s="226">
        <v>2345000</v>
      </c>
    </row>
    <row r="349" spans="1:5" ht="15" customHeight="1" x14ac:dyDescent="0.3">
      <c r="A349" s="229">
        <f>A348</f>
        <v>0</v>
      </c>
      <c r="B349" s="227"/>
      <c r="C349" s="106"/>
      <c r="D349" s="110" t="s">
        <v>2035</v>
      </c>
      <c r="E349" s="226">
        <v>3825000</v>
      </c>
    </row>
    <row r="350" spans="1:5" ht="15" customHeight="1" x14ac:dyDescent="0.3">
      <c r="A350" s="229">
        <f>A349</f>
        <v>0</v>
      </c>
      <c r="B350" s="227"/>
      <c r="C350" s="106"/>
      <c r="D350" s="110" t="s">
        <v>2036</v>
      </c>
      <c r="E350" s="226">
        <v>2860000</v>
      </c>
    </row>
    <row r="351" spans="1:5" ht="15" customHeight="1" x14ac:dyDescent="0.3">
      <c r="A351" s="229">
        <f>A350</f>
        <v>0</v>
      </c>
      <c r="B351" s="227"/>
      <c r="C351" s="491"/>
      <c r="D351" s="492" t="s">
        <v>2037</v>
      </c>
      <c r="E351" s="226">
        <v>2520000</v>
      </c>
    </row>
    <row r="352" spans="1:5" ht="15" customHeight="1" x14ac:dyDescent="0.3">
      <c r="A352" s="229">
        <f>A351</f>
        <v>0</v>
      </c>
      <c r="B352" s="493"/>
      <c r="C352" s="108">
        <v>250</v>
      </c>
      <c r="D352" s="109" t="s">
        <v>2038</v>
      </c>
      <c r="E352" s="226">
        <v>1950000</v>
      </c>
    </row>
    <row r="353" spans="1:5" ht="15" customHeight="1" x14ac:dyDescent="0.3">
      <c r="A353" s="322">
        <f>A352</f>
        <v>0</v>
      </c>
      <c r="B353" s="323" t="s">
        <v>1846</v>
      </c>
      <c r="C353" s="324">
        <v>250</v>
      </c>
      <c r="D353" s="325" t="s">
        <v>2039</v>
      </c>
      <c r="E353" s="226">
        <v>3000000</v>
      </c>
    </row>
    <row r="354" spans="1:5" ht="15" customHeight="1" x14ac:dyDescent="0.3">
      <c r="A354" s="229" t="s">
        <v>2041</v>
      </c>
      <c r="B354" s="232" t="s">
        <v>1784</v>
      </c>
      <c r="C354" s="224">
        <v>120</v>
      </c>
      <c r="D354" s="225" t="s">
        <v>2042</v>
      </c>
      <c r="E354" s="226">
        <v>455000</v>
      </c>
    </row>
    <row r="355" spans="1:5" ht="15" customHeight="1" x14ac:dyDescent="0.3">
      <c r="A355" s="230" t="e">
        <f>#REF!</f>
        <v>#REF!</v>
      </c>
      <c r="B355" s="235"/>
      <c r="C355" s="491" t="s">
        <v>1787</v>
      </c>
      <c r="D355" s="492" t="s">
        <v>3139</v>
      </c>
      <c r="E355" s="226">
        <v>450000</v>
      </c>
    </row>
    <row r="356" spans="1:5" ht="15" customHeight="1" x14ac:dyDescent="0.3">
      <c r="A356" s="230" t="e">
        <f>#REF!</f>
        <v>#REF!</v>
      </c>
      <c r="B356" s="447" t="s">
        <v>1846</v>
      </c>
      <c r="C356" s="326">
        <v>122</v>
      </c>
      <c r="D356" s="327" t="s">
        <v>1800</v>
      </c>
      <c r="E356" s="226">
        <v>645000</v>
      </c>
    </row>
    <row r="357" spans="1:5" ht="15" customHeight="1" x14ac:dyDescent="0.3">
      <c r="A357" s="230" t="e">
        <f t="shared" ref="A357:A367" si="17">A356</f>
        <v>#REF!</v>
      </c>
      <c r="B357" s="235"/>
      <c r="C357" s="106">
        <v>110</v>
      </c>
      <c r="D357" s="110" t="s">
        <v>1996</v>
      </c>
      <c r="E357" s="226">
        <v>580000</v>
      </c>
    </row>
    <row r="358" spans="1:5" ht="15" customHeight="1" x14ac:dyDescent="0.3">
      <c r="A358" s="230" t="e">
        <f>#REF!</f>
        <v>#REF!</v>
      </c>
      <c r="B358" s="235"/>
      <c r="C358" s="106" t="s">
        <v>1787</v>
      </c>
      <c r="D358" s="110" t="s">
        <v>2043</v>
      </c>
      <c r="E358" s="226">
        <v>650000</v>
      </c>
    </row>
    <row r="359" spans="1:5" ht="15" customHeight="1" x14ac:dyDescent="0.3">
      <c r="A359" s="230" t="e">
        <f t="shared" si="17"/>
        <v>#REF!</v>
      </c>
      <c r="B359" s="235"/>
      <c r="C359" s="106" t="s">
        <v>1787</v>
      </c>
      <c r="D359" s="110" t="s">
        <v>1801</v>
      </c>
      <c r="E359" s="226">
        <v>650000</v>
      </c>
    </row>
    <row r="360" spans="1:5" ht="15" customHeight="1" x14ac:dyDescent="0.3">
      <c r="A360" s="230" t="e">
        <f t="shared" si="17"/>
        <v>#REF!</v>
      </c>
      <c r="B360" s="235"/>
      <c r="C360" s="106" t="s">
        <v>1787</v>
      </c>
      <c r="D360" s="110" t="s">
        <v>2044</v>
      </c>
      <c r="E360" s="226">
        <v>740000</v>
      </c>
    </row>
    <row r="361" spans="1:5" ht="15" customHeight="1" x14ac:dyDescent="0.3">
      <c r="A361" s="230" t="e">
        <f t="shared" si="17"/>
        <v>#REF!</v>
      </c>
      <c r="B361" s="494"/>
      <c r="C361" s="491" t="s">
        <v>1787</v>
      </c>
      <c r="D361" s="492" t="s">
        <v>2045</v>
      </c>
      <c r="E361" s="226">
        <v>640000</v>
      </c>
    </row>
    <row r="362" spans="1:5" ht="15" customHeight="1" x14ac:dyDescent="0.3">
      <c r="A362" s="230" t="e">
        <f>#REF!</f>
        <v>#REF!</v>
      </c>
      <c r="B362" s="235" t="s">
        <v>2007</v>
      </c>
      <c r="C362" s="106">
        <v>125</v>
      </c>
      <c r="D362" s="110" t="s">
        <v>3140</v>
      </c>
      <c r="E362" s="226">
        <v>465000</v>
      </c>
    </row>
    <row r="363" spans="1:5" ht="15" customHeight="1" x14ac:dyDescent="0.3">
      <c r="A363" s="230" t="e">
        <f t="shared" si="17"/>
        <v>#REF!</v>
      </c>
      <c r="B363" s="235"/>
      <c r="C363" s="104">
        <v>120</v>
      </c>
      <c r="D363" s="105" t="s">
        <v>3141</v>
      </c>
      <c r="E363" s="226">
        <v>475000</v>
      </c>
    </row>
    <row r="364" spans="1:5" ht="15" customHeight="1" x14ac:dyDescent="0.3">
      <c r="A364" s="230" t="e">
        <f>#REF!</f>
        <v>#REF!</v>
      </c>
      <c r="B364" s="235"/>
      <c r="C364" s="491"/>
      <c r="D364" s="495" t="s">
        <v>2047</v>
      </c>
      <c r="E364" s="226">
        <v>485000</v>
      </c>
    </row>
    <row r="365" spans="1:5" ht="15" customHeight="1" x14ac:dyDescent="0.3">
      <c r="A365" s="230" t="e">
        <f t="shared" si="17"/>
        <v>#REF!</v>
      </c>
      <c r="B365" s="235"/>
      <c r="C365" s="106">
        <v>230</v>
      </c>
      <c r="D365" s="110" t="s">
        <v>2048</v>
      </c>
      <c r="E365" s="226">
        <v>920000</v>
      </c>
    </row>
    <row r="366" spans="1:5" ht="15" customHeight="1" x14ac:dyDescent="0.3">
      <c r="A366" s="230" t="e">
        <f t="shared" si="17"/>
        <v>#REF!</v>
      </c>
      <c r="B366" s="330"/>
      <c r="C366" s="315" t="s">
        <v>1787</v>
      </c>
      <c r="D366" s="318" t="s">
        <v>2049</v>
      </c>
      <c r="E366" s="226">
        <v>990000</v>
      </c>
    </row>
    <row r="367" spans="1:5" ht="15" customHeight="1" x14ac:dyDescent="0.3">
      <c r="A367" s="230" t="e">
        <f t="shared" si="17"/>
        <v>#REF!</v>
      </c>
      <c r="B367" s="232" t="s">
        <v>2007</v>
      </c>
      <c r="C367" s="224">
        <v>120</v>
      </c>
      <c r="D367" s="225" t="s">
        <v>1995</v>
      </c>
      <c r="E367" s="226">
        <v>465000</v>
      </c>
    </row>
    <row r="368" spans="1:5" ht="15" customHeight="1" x14ac:dyDescent="0.3">
      <c r="A368" s="230" t="e">
        <f>#REF!</f>
        <v>#REF!</v>
      </c>
      <c r="B368" s="331"/>
      <c r="C368" s="324" t="s">
        <v>1787</v>
      </c>
      <c r="D368" s="325" t="s">
        <v>2050</v>
      </c>
      <c r="E368" s="226">
        <v>460000</v>
      </c>
    </row>
    <row r="369" spans="1:5" ht="15" customHeight="1" x14ac:dyDescent="0.3">
      <c r="A369" s="229" t="s">
        <v>2051</v>
      </c>
      <c r="B369" s="227" t="s">
        <v>1788</v>
      </c>
      <c r="C369" s="106">
        <v>480</v>
      </c>
      <c r="D369" s="110" t="s">
        <v>2052</v>
      </c>
      <c r="E369" s="226">
        <v>1600000</v>
      </c>
    </row>
    <row r="370" spans="1:5" ht="15" customHeight="1" x14ac:dyDescent="0.3">
      <c r="A370" s="332"/>
      <c r="B370" s="493"/>
      <c r="C370" s="106">
        <v>700</v>
      </c>
      <c r="D370" s="110"/>
      <c r="E370" s="226">
        <v>2340000</v>
      </c>
    </row>
    <row r="371" spans="1:5" ht="15" customHeight="1" x14ac:dyDescent="0.3">
      <c r="A371" s="229">
        <f>A370</f>
        <v>0</v>
      </c>
      <c r="B371" s="103" t="s">
        <v>1784</v>
      </c>
      <c r="C371" s="104">
        <v>260</v>
      </c>
      <c r="D371" s="112" t="s">
        <v>2052</v>
      </c>
      <c r="E371" s="226">
        <v>1060000</v>
      </c>
    </row>
    <row r="372" spans="1:5" ht="15" customHeight="1" x14ac:dyDescent="0.3">
      <c r="A372" s="229">
        <f>A371</f>
        <v>0</v>
      </c>
      <c r="B372" s="227"/>
      <c r="C372" s="106">
        <v>290</v>
      </c>
      <c r="D372" s="110"/>
      <c r="E372" s="226">
        <v>1185000</v>
      </c>
    </row>
    <row r="373" spans="1:5" ht="15" customHeight="1" x14ac:dyDescent="0.3">
      <c r="A373" s="229">
        <f>A372</f>
        <v>0</v>
      </c>
      <c r="B373" s="227"/>
      <c r="C373" s="106">
        <v>330</v>
      </c>
      <c r="D373" s="110"/>
      <c r="E373" s="226">
        <v>1345000</v>
      </c>
    </row>
    <row r="374" spans="1:5" ht="15" customHeight="1" x14ac:dyDescent="0.3">
      <c r="A374" s="229">
        <f>A373</f>
        <v>0</v>
      </c>
      <c r="B374" s="227"/>
      <c r="C374" s="106">
        <v>380</v>
      </c>
      <c r="D374" s="110"/>
      <c r="E374" s="226">
        <v>1550000</v>
      </c>
    </row>
    <row r="375" spans="1:5" ht="15" customHeight="1" x14ac:dyDescent="0.3">
      <c r="A375" s="322">
        <f>A374</f>
        <v>0</v>
      </c>
      <c r="B375" s="323"/>
      <c r="C375" s="324">
        <v>480</v>
      </c>
      <c r="D375" s="325"/>
      <c r="E375" s="226">
        <v>1960000</v>
      </c>
    </row>
    <row r="376" spans="1:5" ht="15" customHeight="1" x14ac:dyDescent="0.3">
      <c r="A376" s="237" t="s">
        <v>2053</v>
      </c>
      <c r="B376" s="427" t="s">
        <v>2054</v>
      </c>
      <c r="C376" s="239">
        <v>115</v>
      </c>
      <c r="D376" s="333" t="s">
        <v>2055</v>
      </c>
      <c r="E376" s="226">
        <v>660000</v>
      </c>
    </row>
    <row r="377" spans="1:5" ht="15" customHeight="1" x14ac:dyDescent="0.3">
      <c r="A377" s="230" t="e">
        <f>#REF!</f>
        <v>#REF!</v>
      </c>
      <c r="B377" s="227" t="s">
        <v>1787</v>
      </c>
      <c r="C377" s="106" t="s">
        <v>1787</v>
      </c>
      <c r="D377" s="256" t="s">
        <v>2056</v>
      </c>
      <c r="E377" s="226">
        <v>685000</v>
      </c>
    </row>
    <row r="378" spans="1:5" ht="15" customHeight="1" x14ac:dyDescent="0.3">
      <c r="A378" s="230" t="e">
        <f>#REF!</f>
        <v>#REF!</v>
      </c>
      <c r="B378" s="227"/>
      <c r="C378" s="491"/>
      <c r="D378" s="496" t="s">
        <v>2057</v>
      </c>
      <c r="E378" s="226">
        <v>715000</v>
      </c>
    </row>
    <row r="379" spans="1:5" ht="15" customHeight="1" x14ac:dyDescent="0.3">
      <c r="A379" s="230" t="e">
        <f t="shared" ref="A379:A381" si="18">A378</f>
        <v>#REF!</v>
      </c>
      <c r="B379" s="227"/>
      <c r="C379" s="106">
        <v>150</v>
      </c>
      <c r="D379" s="256" t="s">
        <v>2058</v>
      </c>
      <c r="E379" s="226">
        <v>825000</v>
      </c>
    </row>
    <row r="380" spans="1:5" ht="15" customHeight="1" x14ac:dyDescent="0.3">
      <c r="A380" s="230" t="e">
        <f>#REF!</f>
        <v>#REF!</v>
      </c>
      <c r="B380" s="227"/>
      <c r="C380" s="491"/>
      <c r="D380" s="497" t="s">
        <v>2059</v>
      </c>
      <c r="E380" s="226">
        <v>870000</v>
      </c>
    </row>
    <row r="381" spans="1:5" ht="15" customHeight="1" x14ac:dyDescent="0.3">
      <c r="A381" s="230" t="e">
        <f t="shared" si="18"/>
        <v>#REF!</v>
      </c>
      <c r="B381" s="227"/>
      <c r="C381" s="104">
        <v>200</v>
      </c>
      <c r="D381" s="257" t="s">
        <v>1800</v>
      </c>
      <c r="E381" s="226">
        <v>1080000</v>
      </c>
    </row>
    <row r="382" spans="1:5" ht="15" customHeight="1" x14ac:dyDescent="0.3">
      <c r="A382" s="241" t="e">
        <f>#REF!</f>
        <v>#REF!</v>
      </c>
      <c r="B382" s="323"/>
      <c r="C382" s="324"/>
      <c r="D382" s="335" t="s">
        <v>2060</v>
      </c>
      <c r="E382" s="226">
        <v>1210000</v>
      </c>
    </row>
    <row r="383" spans="1:5" ht="15" customHeight="1" x14ac:dyDescent="0.3">
      <c r="A383" s="336" t="s">
        <v>3142</v>
      </c>
      <c r="B383" s="227" t="s">
        <v>1846</v>
      </c>
      <c r="C383" s="107">
        <v>130</v>
      </c>
      <c r="D383" s="110" t="s">
        <v>3143</v>
      </c>
      <c r="E383" s="226">
        <v>450000</v>
      </c>
    </row>
    <row r="384" spans="1:5" ht="15" customHeight="1" x14ac:dyDescent="0.3">
      <c r="A384" s="336" t="str">
        <f>A383</f>
        <v xml:space="preserve">슈퍼터치 
(SST) </v>
      </c>
      <c r="B384" s="227" t="s">
        <v>1787</v>
      </c>
      <c r="C384" s="107">
        <v>130</v>
      </c>
      <c r="D384" s="110" t="s">
        <v>3144</v>
      </c>
      <c r="E384" s="226">
        <v>450000</v>
      </c>
    </row>
    <row r="385" spans="1:5" ht="15" customHeight="1" x14ac:dyDescent="0.3">
      <c r="A385" s="336" t="str">
        <f>A384</f>
        <v xml:space="preserve">슈퍼터치 
(SST) </v>
      </c>
      <c r="B385" s="227"/>
      <c r="C385" s="107">
        <v>245</v>
      </c>
      <c r="D385" s="110" t="s">
        <v>3145</v>
      </c>
      <c r="E385" s="226">
        <v>680000</v>
      </c>
    </row>
    <row r="386" spans="1:5" ht="15" customHeight="1" x14ac:dyDescent="0.3">
      <c r="A386" s="336" t="str">
        <f>A385</f>
        <v xml:space="preserve">슈퍼터치 
(SST) </v>
      </c>
      <c r="B386" s="227"/>
      <c r="C386" s="107">
        <v>245</v>
      </c>
      <c r="D386" s="110" t="s">
        <v>3146</v>
      </c>
      <c r="E386" s="226">
        <v>680000</v>
      </c>
    </row>
    <row r="387" spans="1:5" ht="15" customHeight="1" x14ac:dyDescent="0.3">
      <c r="A387" s="336" t="str">
        <f>A386</f>
        <v xml:space="preserve">슈퍼터치 
(SST) </v>
      </c>
      <c r="B387" s="227"/>
      <c r="C387" s="107">
        <v>350</v>
      </c>
      <c r="D387" s="110" t="s">
        <v>2129</v>
      </c>
      <c r="E387" s="226">
        <v>940000</v>
      </c>
    </row>
    <row r="388" spans="1:5" ht="15" customHeight="1" x14ac:dyDescent="0.3">
      <c r="A388" s="337" t="str">
        <f>A387</f>
        <v xml:space="preserve">슈퍼터치 
(SST) </v>
      </c>
      <c r="B388" s="314"/>
      <c r="C388" s="338">
        <v>350</v>
      </c>
      <c r="D388" s="318" t="s">
        <v>3147</v>
      </c>
      <c r="E388" s="226">
        <v>940000</v>
      </c>
    </row>
    <row r="389" spans="1:5" ht="15" customHeight="1" x14ac:dyDescent="0.3">
      <c r="A389" s="269" t="s">
        <v>3148</v>
      </c>
      <c r="B389" s="227" t="s">
        <v>1846</v>
      </c>
      <c r="C389" s="339">
        <v>132</v>
      </c>
      <c r="D389" s="225" t="s">
        <v>1796</v>
      </c>
      <c r="E389" s="226">
        <v>620000</v>
      </c>
    </row>
    <row r="390" spans="1:5" ht="15" customHeight="1" x14ac:dyDescent="0.3">
      <c r="A390" s="336" t="str">
        <f>A389</f>
        <v xml:space="preserve">슈퍼와일드 
(SWD) </v>
      </c>
      <c r="B390" s="227" t="s">
        <v>1787</v>
      </c>
      <c r="C390" s="107">
        <v>132</v>
      </c>
      <c r="D390" s="110" t="s">
        <v>2172</v>
      </c>
      <c r="E390" s="226">
        <v>620000</v>
      </c>
    </row>
    <row r="391" spans="1:5" ht="15" customHeight="1" x14ac:dyDescent="0.3">
      <c r="A391" s="336"/>
      <c r="B391" s="227"/>
      <c r="C391" s="107">
        <v>132</v>
      </c>
      <c r="D391" s="110" t="s">
        <v>3149</v>
      </c>
      <c r="E391" s="226">
        <v>620000</v>
      </c>
    </row>
    <row r="392" spans="1:5" ht="15" customHeight="1" x14ac:dyDescent="0.3">
      <c r="A392" s="336"/>
      <c r="B392" s="227"/>
      <c r="C392" s="107">
        <v>246</v>
      </c>
      <c r="D392" s="110" t="s">
        <v>2058</v>
      </c>
      <c r="E392" s="226">
        <v>800000</v>
      </c>
    </row>
    <row r="393" spans="1:5" ht="15" customHeight="1" x14ac:dyDescent="0.3">
      <c r="A393" s="336"/>
      <c r="B393" s="227"/>
      <c r="C393" s="107">
        <v>246</v>
      </c>
      <c r="D393" s="110" t="s">
        <v>2185</v>
      </c>
      <c r="E393" s="226">
        <v>800000</v>
      </c>
    </row>
    <row r="394" spans="1:5" ht="15" customHeight="1" x14ac:dyDescent="0.3">
      <c r="A394" s="336" t="str">
        <f>A390</f>
        <v xml:space="preserve">슈퍼와일드 
(SWD) </v>
      </c>
      <c r="B394" s="227"/>
      <c r="C394" s="107">
        <v>246</v>
      </c>
      <c r="D394" s="110" t="s">
        <v>3150</v>
      </c>
      <c r="E394" s="226">
        <v>800000</v>
      </c>
    </row>
    <row r="395" spans="1:5" ht="15" customHeight="1" x14ac:dyDescent="0.3">
      <c r="A395" s="336" t="str">
        <f>A394</f>
        <v xml:space="preserve">슈퍼와일드 
(SWD) </v>
      </c>
      <c r="B395" s="227"/>
      <c r="C395" s="107">
        <v>368</v>
      </c>
      <c r="D395" s="110" t="s">
        <v>3151</v>
      </c>
      <c r="E395" s="226">
        <v>1410000</v>
      </c>
    </row>
    <row r="396" spans="1:5" ht="15" customHeight="1" x14ac:dyDescent="0.3">
      <c r="A396" s="336" t="str">
        <f>A395</f>
        <v xml:space="preserve">슈퍼와일드 
(SWD) </v>
      </c>
      <c r="B396" s="227"/>
      <c r="C396" s="107">
        <v>368</v>
      </c>
      <c r="D396" s="110" t="s">
        <v>3152</v>
      </c>
      <c r="E396" s="226">
        <v>1410000</v>
      </c>
    </row>
    <row r="397" spans="1:5" ht="15" customHeight="1" x14ac:dyDescent="0.3">
      <c r="A397" s="337" t="str">
        <f>A396</f>
        <v xml:space="preserve">슈퍼와일드 
(SWD) </v>
      </c>
      <c r="B397" s="314"/>
      <c r="C397" s="338">
        <v>368</v>
      </c>
      <c r="D397" s="318" t="s">
        <v>3153</v>
      </c>
      <c r="E397" s="226">
        <v>1410000</v>
      </c>
    </row>
    <row r="398" spans="1:5" ht="15" customHeight="1" x14ac:dyDescent="0.3">
      <c r="A398" s="229" t="s">
        <v>2063</v>
      </c>
      <c r="B398" s="223" t="s">
        <v>2013</v>
      </c>
      <c r="C398" s="224">
        <v>120</v>
      </c>
      <c r="D398" s="225" t="s">
        <v>3154</v>
      </c>
      <c r="E398" s="226">
        <v>500000</v>
      </c>
    </row>
    <row r="399" spans="1:5" ht="15" customHeight="1" x14ac:dyDescent="0.3">
      <c r="A399" s="230"/>
      <c r="B399" s="227"/>
      <c r="C399" s="108">
        <v>250</v>
      </c>
      <c r="D399" s="109" t="s">
        <v>3155</v>
      </c>
      <c r="E399" s="226">
        <v>1040000</v>
      </c>
    </row>
    <row r="400" spans="1:5" ht="15" customHeight="1" x14ac:dyDescent="0.3">
      <c r="A400" s="230"/>
      <c r="B400" s="227"/>
      <c r="C400" s="106">
        <v>350</v>
      </c>
      <c r="D400" s="110" t="s">
        <v>3156</v>
      </c>
      <c r="E400" s="226">
        <v>1460000</v>
      </c>
    </row>
    <row r="401" spans="1:5" ht="15" customHeight="1" x14ac:dyDescent="0.3">
      <c r="A401" s="229" t="s">
        <v>2064</v>
      </c>
      <c r="B401" s="340" t="s">
        <v>3157</v>
      </c>
      <c r="C401" s="341">
        <v>120</v>
      </c>
      <c r="D401" s="270" t="s">
        <v>2066</v>
      </c>
      <c r="E401" s="226">
        <v>390000</v>
      </c>
    </row>
    <row r="402" spans="1:5" ht="15" customHeight="1" x14ac:dyDescent="0.3">
      <c r="A402" s="230" t="str">
        <f t="shared" ref="A402:A420" si="19">A401</f>
        <v>뉴심플렉스
(NSIM)</v>
      </c>
      <c r="B402" s="342" t="s">
        <v>2067</v>
      </c>
      <c r="C402" s="498"/>
      <c r="D402" s="499" t="s">
        <v>2068</v>
      </c>
      <c r="E402" s="226">
        <v>465000</v>
      </c>
    </row>
    <row r="403" spans="1:5" ht="15" customHeight="1" x14ac:dyDescent="0.3">
      <c r="A403" s="230" t="str">
        <f t="shared" si="19"/>
        <v>뉴심플렉스
(NSIM)</v>
      </c>
      <c r="B403" s="343" t="s">
        <v>2069</v>
      </c>
      <c r="C403" s="344">
        <v>120</v>
      </c>
      <c r="D403" s="345" t="s">
        <v>3158</v>
      </c>
      <c r="E403" s="226">
        <v>355000</v>
      </c>
    </row>
    <row r="404" spans="1:5" ht="15" customHeight="1" x14ac:dyDescent="0.3">
      <c r="A404" s="230" t="str">
        <f t="shared" si="19"/>
        <v>뉴심플렉스
(NSIM)</v>
      </c>
      <c r="B404" s="343" t="s">
        <v>2067</v>
      </c>
      <c r="C404" s="344"/>
      <c r="D404" s="245" t="s">
        <v>2070</v>
      </c>
      <c r="E404" s="226">
        <v>370000</v>
      </c>
    </row>
    <row r="405" spans="1:5" ht="15" customHeight="1" x14ac:dyDescent="0.3">
      <c r="A405" s="230" t="str">
        <f t="shared" si="19"/>
        <v>뉴심플렉스
(NSIM)</v>
      </c>
      <c r="B405" s="342"/>
      <c r="C405" s="498"/>
      <c r="D405" s="499" t="s">
        <v>2071</v>
      </c>
      <c r="E405" s="226">
        <v>395000</v>
      </c>
    </row>
    <row r="406" spans="1:5" ht="15" customHeight="1" x14ac:dyDescent="0.3">
      <c r="A406" s="230" t="str">
        <f t="shared" si="19"/>
        <v>뉴심플렉스
(NSIM)</v>
      </c>
      <c r="B406" s="343" t="s">
        <v>2065</v>
      </c>
      <c r="C406" s="344">
        <v>210</v>
      </c>
      <c r="D406" s="245" t="s">
        <v>2072</v>
      </c>
      <c r="E406" s="226">
        <v>750000</v>
      </c>
    </row>
    <row r="407" spans="1:5" ht="15" customHeight="1" x14ac:dyDescent="0.3">
      <c r="A407" s="230" t="str">
        <f t="shared" si="19"/>
        <v>뉴심플렉스
(NSIM)</v>
      </c>
      <c r="B407" s="342" t="s">
        <v>3159</v>
      </c>
      <c r="C407" s="500"/>
      <c r="D407" s="499" t="s">
        <v>2074</v>
      </c>
      <c r="E407" s="226">
        <v>890000</v>
      </c>
    </row>
    <row r="408" spans="1:5" ht="15" customHeight="1" x14ac:dyDescent="0.3">
      <c r="A408" s="230" t="str">
        <f t="shared" si="19"/>
        <v>뉴심플렉스
(NSIM)</v>
      </c>
      <c r="B408" s="343" t="s">
        <v>2069</v>
      </c>
      <c r="C408" s="344">
        <v>210</v>
      </c>
      <c r="D408" s="245" t="s">
        <v>2075</v>
      </c>
      <c r="E408" s="226">
        <v>710000</v>
      </c>
    </row>
    <row r="409" spans="1:5" ht="15" customHeight="1" x14ac:dyDescent="0.3">
      <c r="A409" s="230" t="str">
        <f t="shared" si="19"/>
        <v>뉴심플렉스
(NSIM)</v>
      </c>
      <c r="B409" s="342" t="s">
        <v>2073</v>
      </c>
      <c r="C409" s="500"/>
      <c r="D409" s="499" t="s">
        <v>2076</v>
      </c>
      <c r="E409" s="226">
        <v>760000</v>
      </c>
    </row>
    <row r="410" spans="1:5" ht="15" customHeight="1" x14ac:dyDescent="0.3">
      <c r="A410" s="230" t="str">
        <f t="shared" si="19"/>
        <v>뉴심플렉스
(NSIM)</v>
      </c>
      <c r="B410" s="343" t="s">
        <v>2065</v>
      </c>
      <c r="C410" s="344">
        <v>350</v>
      </c>
      <c r="D410" s="245" t="s">
        <v>2077</v>
      </c>
      <c r="E410" s="226">
        <v>1250000</v>
      </c>
    </row>
    <row r="411" spans="1:5" ht="15" customHeight="1" x14ac:dyDescent="0.3">
      <c r="A411" s="230" t="str">
        <f t="shared" si="19"/>
        <v>뉴심플렉스
(NSIM)</v>
      </c>
      <c r="B411" s="342" t="s">
        <v>3159</v>
      </c>
      <c r="C411" s="500"/>
      <c r="D411" s="499" t="s">
        <v>2078</v>
      </c>
      <c r="E411" s="226">
        <v>1480000</v>
      </c>
    </row>
    <row r="412" spans="1:5" ht="15" customHeight="1" x14ac:dyDescent="0.3">
      <c r="A412" s="230" t="str">
        <f t="shared" si="19"/>
        <v>뉴심플렉스
(NSIM)</v>
      </c>
      <c r="B412" s="343" t="s">
        <v>2069</v>
      </c>
      <c r="C412" s="346">
        <v>350</v>
      </c>
      <c r="D412" s="347" t="s">
        <v>2079</v>
      </c>
      <c r="E412" s="226">
        <v>1180000</v>
      </c>
    </row>
    <row r="413" spans="1:5" ht="15" customHeight="1" x14ac:dyDescent="0.3">
      <c r="A413" s="230" t="str">
        <f t="shared" si="19"/>
        <v>뉴심플렉스
(NSIM)</v>
      </c>
      <c r="B413" s="348" t="s">
        <v>3159</v>
      </c>
      <c r="C413" s="349"/>
      <c r="D413" s="350" t="s">
        <v>2080</v>
      </c>
      <c r="E413" s="226">
        <v>1270000</v>
      </c>
    </row>
    <row r="414" spans="1:5" ht="15" customHeight="1" x14ac:dyDescent="0.3">
      <c r="A414" s="230" t="str">
        <f t="shared" si="19"/>
        <v>뉴심플렉스
(NSIM)</v>
      </c>
      <c r="B414" s="343" t="s">
        <v>2065</v>
      </c>
      <c r="C414" s="344">
        <v>120</v>
      </c>
      <c r="D414" s="345" t="s">
        <v>2081</v>
      </c>
      <c r="E414" s="226">
        <v>390000</v>
      </c>
    </row>
    <row r="415" spans="1:5" ht="15" customHeight="1" x14ac:dyDescent="0.3">
      <c r="A415" s="230" t="str">
        <f t="shared" si="19"/>
        <v>뉴심플렉스
(NSIM)</v>
      </c>
      <c r="B415" s="343" t="s">
        <v>3160</v>
      </c>
      <c r="C415" s="344"/>
      <c r="D415" s="245" t="s">
        <v>3161</v>
      </c>
      <c r="E415" s="226">
        <v>430000</v>
      </c>
    </row>
    <row r="416" spans="1:5" ht="15" customHeight="1" x14ac:dyDescent="0.3">
      <c r="A416" s="230" t="str">
        <f t="shared" si="19"/>
        <v>뉴심플렉스
(NSIM)</v>
      </c>
      <c r="B416" s="342"/>
      <c r="C416" s="498"/>
      <c r="D416" s="499" t="s">
        <v>2083</v>
      </c>
      <c r="E416" s="226">
        <v>465000</v>
      </c>
    </row>
    <row r="417" spans="1:5" ht="15" customHeight="1" x14ac:dyDescent="0.3">
      <c r="A417" s="230" t="str">
        <f t="shared" si="19"/>
        <v>뉴심플렉스
(NSIM)</v>
      </c>
      <c r="B417" s="343" t="s">
        <v>2069</v>
      </c>
      <c r="C417" s="344">
        <v>120</v>
      </c>
      <c r="D417" s="345" t="s">
        <v>3162</v>
      </c>
      <c r="E417" s="226">
        <v>355000</v>
      </c>
    </row>
    <row r="418" spans="1:5" ht="15" customHeight="1" x14ac:dyDescent="0.3">
      <c r="A418" s="230" t="str">
        <f t="shared" si="19"/>
        <v>뉴심플렉스
(NSIM)</v>
      </c>
      <c r="B418" s="343" t="s">
        <v>2082</v>
      </c>
      <c r="C418" s="344"/>
      <c r="D418" s="245" t="s">
        <v>2084</v>
      </c>
      <c r="E418" s="226">
        <v>370000</v>
      </c>
    </row>
    <row r="419" spans="1:5" ht="15" customHeight="1" x14ac:dyDescent="0.3">
      <c r="A419" s="230" t="str">
        <f t="shared" si="19"/>
        <v>뉴심플렉스
(NSIM)</v>
      </c>
      <c r="B419" s="342"/>
      <c r="C419" s="498"/>
      <c r="D419" s="499" t="s">
        <v>2085</v>
      </c>
      <c r="E419" s="226">
        <v>395000</v>
      </c>
    </row>
    <row r="420" spans="1:5" ht="15" customHeight="1" x14ac:dyDescent="0.3">
      <c r="A420" s="230" t="str">
        <f t="shared" si="19"/>
        <v>뉴심플렉스
(NSIM)</v>
      </c>
      <c r="B420" s="343" t="s">
        <v>2065</v>
      </c>
      <c r="C420" s="344">
        <v>210</v>
      </c>
      <c r="D420" s="345" t="s">
        <v>2086</v>
      </c>
      <c r="E420" s="226">
        <v>750000</v>
      </c>
    </row>
    <row r="421" spans="1:5" ht="15" customHeight="1" x14ac:dyDescent="0.3">
      <c r="A421" s="230"/>
      <c r="B421" s="343" t="s">
        <v>3163</v>
      </c>
      <c r="C421" s="344"/>
      <c r="D421" s="345" t="s">
        <v>3164</v>
      </c>
      <c r="E421" s="226">
        <v>830000</v>
      </c>
    </row>
    <row r="422" spans="1:5" ht="15" customHeight="1" x14ac:dyDescent="0.3">
      <c r="A422" s="230" t="e">
        <f>#REF!</f>
        <v>#REF!</v>
      </c>
      <c r="B422" s="343" t="s">
        <v>1787</v>
      </c>
      <c r="C422" s="498"/>
      <c r="D422" s="499" t="s">
        <v>3165</v>
      </c>
      <c r="E422" s="226">
        <v>890000</v>
      </c>
    </row>
    <row r="423" spans="1:5" ht="15" customHeight="1" x14ac:dyDescent="0.3">
      <c r="A423" s="230" t="e">
        <f>A422</f>
        <v>#REF!</v>
      </c>
      <c r="B423" s="351" t="s">
        <v>2065</v>
      </c>
      <c r="C423" s="344">
        <v>260</v>
      </c>
      <c r="D423" s="345" t="s">
        <v>2087</v>
      </c>
      <c r="E423" s="226">
        <v>845000</v>
      </c>
    </row>
    <row r="424" spans="1:5" ht="15" customHeight="1" x14ac:dyDescent="0.3">
      <c r="A424" s="230" t="e">
        <f>#REF!</f>
        <v>#REF!</v>
      </c>
      <c r="B424" s="342" t="s">
        <v>2088</v>
      </c>
      <c r="C424" s="498"/>
      <c r="D424" s="499" t="s">
        <v>2089</v>
      </c>
      <c r="E424" s="226">
        <v>1000000</v>
      </c>
    </row>
    <row r="425" spans="1:5" ht="15" customHeight="1" x14ac:dyDescent="0.3">
      <c r="A425" s="230"/>
      <c r="B425" s="343" t="s">
        <v>2065</v>
      </c>
      <c r="C425" s="344">
        <v>350</v>
      </c>
      <c r="D425" s="345" t="s">
        <v>2090</v>
      </c>
      <c r="E425" s="226">
        <v>1250000</v>
      </c>
    </row>
    <row r="426" spans="1:5" ht="15" customHeight="1" x14ac:dyDescent="0.3">
      <c r="A426" s="230"/>
      <c r="B426" s="343" t="s">
        <v>3163</v>
      </c>
      <c r="C426" s="344"/>
      <c r="D426" s="345" t="s">
        <v>2091</v>
      </c>
      <c r="E426" s="226">
        <v>1385000</v>
      </c>
    </row>
    <row r="427" spans="1:5" ht="15" customHeight="1" x14ac:dyDescent="0.3">
      <c r="A427" s="230"/>
      <c r="B427" s="348" t="s">
        <v>1787</v>
      </c>
      <c r="C427" s="352"/>
      <c r="D427" s="350" t="s">
        <v>2092</v>
      </c>
      <c r="E427" s="226">
        <v>1485000</v>
      </c>
    </row>
    <row r="428" spans="1:5" ht="15" customHeight="1" x14ac:dyDescent="0.3">
      <c r="A428" s="230"/>
      <c r="B428" s="343" t="s">
        <v>2065</v>
      </c>
      <c r="C428" s="344">
        <v>130</v>
      </c>
      <c r="D428" s="345" t="s">
        <v>2093</v>
      </c>
      <c r="E428" s="226">
        <v>490000</v>
      </c>
    </row>
    <row r="429" spans="1:5" ht="15" customHeight="1" x14ac:dyDescent="0.3">
      <c r="A429" s="230"/>
      <c r="B429" s="343" t="s">
        <v>3166</v>
      </c>
      <c r="C429" s="344"/>
      <c r="D429" s="345" t="s">
        <v>2094</v>
      </c>
      <c r="E429" s="226">
        <v>535000</v>
      </c>
    </row>
    <row r="430" spans="1:5" ht="15" customHeight="1" x14ac:dyDescent="0.3">
      <c r="A430" s="230"/>
      <c r="B430" s="348" t="s">
        <v>1787</v>
      </c>
      <c r="C430" s="352"/>
      <c r="D430" s="350" t="s">
        <v>2095</v>
      </c>
      <c r="E430" s="226">
        <v>575000</v>
      </c>
    </row>
    <row r="431" spans="1:5" ht="15" customHeight="1" x14ac:dyDescent="0.3">
      <c r="A431" s="230"/>
      <c r="B431" s="343" t="s">
        <v>2065</v>
      </c>
      <c r="C431" s="344">
        <v>120</v>
      </c>
      <c r="D431" s="345" t="s">
        <v>2096</v>
      </c>
      <c r="E431" s="226">
        <v>415000</v>
      </c>
    </row>
    <row r="432" spans="1:5" ht="15" customHeight="1" x14ac:dyDescent="0.3">
      <c r="A432" s="230"/>
      <c r="B432" s="342" t="s">
        <v>2097</v>
      </c>
      <c r="C432" s="498"/>
      <c r="D432" s="499" t="s">
        <v>3167</v>
      </c>
      <c r="E432" s="226">
        <v>465000</v>
      </c>
    </row>
    <row r="433" spans="1:5" ht="15" customHeight="1" x14ac:dyDescent="0.3">
      <c r="A433" s="230"/>
      <c r="B433" s="343" t="s">
        <v>2065</v>
      </c>
      <c r="C433" s="344">
        <v>120</v>
      </c>
      <c r="D433" s="345" t="s">
        <v>2098</v>
      </c>
      <c r="E433" s="226">
        <v>390000</v>
      </c>
    </row>
    <row r="434" spans="1:5" ht="15" customHeight="1" x14ac:dyDescent="0.3">
      <c r="A434" s="230"/>
      <c r="B434" s="343"/>
      <c r="C434" s="344"/>
      <c r="D434" s="345" t="s">
        <v>2099</v>
      </c>
      <c r="E434" s="226">
        <v>430000</v>
      </c>
    </row>
    <row r="435" spans="1:5" ht="15" customHeight="1" x14ac:dyDescent="0.3">
      <c r="A435" s="230"/>
      <c r="B435" s="342" t="s">
        <v>3168</v>
      </c>
      <c r="C435" s="498"/>
      <c r="D435" s="499" t="s">
        <v>3169</v>
      </c>
      <c r="E435" s="226">
        <v>465000</v>
      </c>
    </row>
    <row r="436" spans="1:5" ht="15" customHeight="1" x14ac:dyDescent="0.3">
      <c r="A436" s="230"/>
      <c r="B436" s="343" t="s">
        <v>2069</v>
      </c>
      <c r="C436" s="344">
        <v>120</v>
      </c>
      <c r="D436" s="345" t="s">
        <v>3170</v>
      </c>
      <c r="E436" s="226">
        <v>355000</v>
      </c>
    </row>
    <row r="437" spans="1:5" ht="15" customHeight="1" x14ac:dyDescent="0.3">
      <c r="A437" s="230"/>
      <c r="B437" s="343" t="s">
        <v>3168</v>
      </c>
      <c r="C437" s="344"/>
      <c r="D437" s="245" t="s">
        <v>2100</v>
      </c>
      <c r="E437" s="226">
        <v>370000</v>
      </c>
    </row>
    <row r="438" spans="1:5" ht="15" customHeight="1" x14ac:dyDescent="0.3">
      <c r="A438" s="230"/>
      <c r="B438" s="342"/>
      <c r="C438" s="498"/>
      <c r="D438" s="499" t="s">
        <v>2101</v>
      </c>
      <c r="E438" s="226">
        <v>395000</v>
      </c>
    </row>
    <row r="439" spans="1:5" ht="15" customHeight="1" x14ac:dyDescent="0.3">
      <c r="A439" s="230" t="e">
        <f>A424</f>
        <v>#REF!</v>
      </c>
      <c r="B439" s="351" t="s">
        <v>2065</v>
      </c>
      <c r="C439" s="346">
        <v>120</v>
      </c>
      <c r="D439" s="353" t="s">
        <v>2102</v>
      </c>
      <c r="E439" s="226">
        <v>390000</v>
      </c>
    </row>
    <row r="440" spans="1:5" ht="15" customHeight="1" x14ac:dyDescent="0.3">
      <c r="A440" s="230" t="e">
        <f>A439</f>
        <v>#REF!</v>
      </c>
      <c r="B440" s="342" t="s">
        <v>2103</v>
      </c>
      <c r="C440" s="498"/>
      <c r="D440" s="499" t="s">
        <v>2104</v>
      </c>
      <c r="E440" s="226">
        <v>465000</v>
      </c>
    </row>
    <row r="441" spans="1:5" ht="15" customHeight="1" x14ac:dyDescent="0.3">
      <c r="A441" s="230" t="e">
        <f>A440</f>
        <v>#REF!</v>
      </c>
      <c r="B441" s="343" t="s">
        <v>2069</v>
      </c>
      <c r="C441" s="344">
        <v>120</v>
      </c>
      <c r="D441" s="345" t="s">
        <v>2105</v>
      </c>
      <c r="E441" s="226">
        <v>370000</v>
      </c>
    </row>
    <row r="442" spans="1:5" ht="15" customHeight="1" x14ac:dyDescent="0.3">
      <c r="A442" s="317" t="e">
        <f>#REF!</f>
        <v>#REF!</v>
      </c>
      <c r="B442" s="314" t="s">
        <v>2103</v>
      </c>
      <c r="C442" s="338"/>
      <c r="D442" s="318" t="s">
        <v>2106</v>
      </c>
      <c r="E442" s="226">
        <v>395000</v>
      </c>
    </row>
    <row r="443" spans="1:5" ht="15" customHeight="1" x14ac:dyDescent="0.3">
      <c r="A443" s="237" t="s">
        <v>3171</v>
      </c>
      <c r="B443" s="427" t="s">
        <v>2007</v>
      </c>
      <c r="C443" s="354">
        <v>125</v>
      </c>
      <c r="D443" s="355" t="s">
        <v>2107</v>
      </c>
      <c r="E443" s="226">
        <v>490000</v>
      </c>
    </row>
    <row r="444" spans="1:5" ht="15" customHeight="1" x14ac:dyDescent="0.3">
      <c r="A444" s="230" t="str">
        <f t="shared" ref="A444:A446" si="20">A443</f>
        <v>씨리오펄
(SIP2)</v>
      </c>
      <c r="B444" s="227"/>
      <c r="C444" s="356">
        <v>230</v>
      </c>
      <c r="D444" s="357" t="s">
        <v>2108</v>
      </c>
      <c r="E444" s="226">
        <v>900000</v>
      </c>
    </row>
    <row r="445" spans="1:5" ht="15" customHeight="1" x14ac:dyDescent="0.3">
      <c r="A445" s="230" t="e">
        <f>#REF!</f>
        <v>#REF!</v>
      </c>
      <c r="B445" s="227"/>
      <c r="C445" s="358">
        <v>300</v>
      </c>
      <c r="D445" s="359" t="s">
        <v>1800</v>
      </c>
      <c r="E445" s="226">
        <v>1180000</v>
      </c>
    </row>
    <row r="446" spans="1:5" ht="15" customHeight="1" x14ac:dyDescent="0.3">
      <c r="A446" s="230" t="e">
        <f t="shared" si="20"/>
        <v>#REF!</v>
      </c>
      <c r="B446" s="227"/>
      <c r="C446" s="360">
        <v>350</v>
      </c>
      <c r="D446" s="361" t="s">
        <v>2062</v>
      </c>
      <c r="E446" s="226">
        <v>1380000</v>
      </c>
    </row>
    <row r="447" spans="1:5" ht="15" customHeight="1" x14ac:dyDescent="0.3">
      <c r="A447" s="230" t="e">
        <f>#REF!</f>
        <v>#REF!</v>
      </c>
      <c r="B447" s="271" t="s">
        <v>1921</v>
      </c>
      <c r="C447" s="362">
        <v>125</v>
      </c>
      <c r="D447" s="363" t="s">
        <v>1798</v>
      </c>
      <c r="E447" s="226">
        <v>420000</v>
      </c>
    </row>
    <row r="448" spans="1:5" ht="15" customHeight="1" x14ac:dyDescent="0.3">
      <c r="A448" s="230"/>
      <c r="B448" s="227"/>
      <c r="C448" s="358" t="s">
        <v>1787</v>
      </c>
      <c r="D448" s="359" t="s">
        <v>3172</v>
      </c>
      <c r="E448" s="226">
        <v>465000</v>
      </c>
    </row>
    <row r="449" spans="1:5" ht="15" customHeight="1" x14ac:dyDescent="0.3">
      <c r="A449" s="230" t="e">
        <f>#REF!</f>
        <v>#REF!</v>
      </c>
      <c r="B449" s="227"/>
      <c r="C449" s="358" t="s">
        <v>1787</v>
      </c>
      <c r="D449" s="359" t="s">
        <v>3173</v>
      </c>
      <c r="E449" s="226">
        <v>530000</v>
      </c>
    </row>
    <row r="450" spans="1:5" ht="15" customHeight="1" x14ac:dyDescent="0.3">
      <c r="A450" s="230" t="e">
        <f>#REF!</f>
        <v>#REF!</v>
      </c>
      <c r="B450" s="227"/>
      <c r="C450" s="501" t="s">
        <v>1787</v>
      </c>
      <c r="D450" s="502" t="s">
        <v>3174</v>
      </c>
      <c r="E450" s="226">
        <v>970000</v>
      </c>
    </row>
    <row r="451" spans="1:5" ht="15" customHeight="1" x14ac:dyDescent="0.3">
      <c r="A451" s="241" t="e">
        <f>A450</f>
        <v>#REF!</v>
      </c>
      <c r="B451" s="323"/>
      <c r="C451" s="364">
        <v>300</v>
      </c>
      <c r="D451" s="365" t="s">
        <v>2110</v>
      </c>
      <c r="E451" s="226">
        <v>1000000</v>
      </c>
    </row>
    <row r="452" spans="1:5" ht="15" customHeight="1" x14ac:dyDescent="0.3">
      <c r="A452" s="336" t="s">
        <v>3175</v>
      </c>
      <c r="B452" s="235" t="s">
        <v>1964</v>
      </c>
      <c r="C452" s="106">
        <v>115</v>
      </c>
      <c r="D452" s="110" t="s">
        <v>2111</v>
      </c>
      <c r="E452" s="226">
        <v>260000</v>
      </c>
    </row>
    <row r="453" spans="1:5" ht="15" customHeight="1" x14ac:dyDescent="0.3">
      <c r="A453" s="336" t="s">
        <v>3175</v>
      </c>
      <c r="B453" s="235"/>
      <c r="C453" s="106"/>
      <c r="D453" s="110" t="s">
        <v>2112</v>
      </c>
      <c r="E453" s="226">
        <v>297000</v>
      </c>
    </row>
    <row r="454" spans="1:5" ht="15" customHeight="1" x14ac:dyDescent="0.3">
      <c r="A454" s="336" t="str">
        <f t="shared" ref="A454:A459" si="21">A453</f>
        <v>씨리오 러프
(SIR)</v>
      </c>
      <c r="B454" s="235"/>
      <c r="C454" s="106"/>
      <c r="D454" s="110" t="s">
        <v>2113</v>
      </c>
      <c r="E454" s="226">
        <v>310000</v>
      </c>
    </row>
    <row r="455" spans="1:5" ht="15" customHeight="1" x14ac:dyDescent="0.3">
      <c r="A455" s="336" t="str">
        <f t="shared" si="21"/>
        <v>씨리오 러프
(SIR)</v>
      </c>
      <c r="B455" s="235"/>
      <c r="C455" s="106"/>
      <c r="D455" s="110" t="s">
        <v>2114</v>
      </c>
      <c r="E455" s="226">
        <v>375000</v>
      </c>
    </row>
    <row r="456" spans="1:5" ht="15" customHeight="1" x14ac:dyDescent="0.3">
      <c r="A456" s="336" t="str">
        <f t="shared" si="21"/>
        <v>씨리오 러프
(SIR)</v>
      </c>
      <c r="B456" s="235" t="s">
        <v>1787</v>
      </c>
      <c r="C456" s="104">
        <v>210</v>
      </c>
      <c r="D456" s="112" t="s">
        <v>1925</v>
      </c>
      <c r="E456" s="226">
        <v>475000</v>
      </c>
    </row>
    <row r="457" spans="1:5" ht="15" customHeight="1" x14ac:dyDescent="0.3">
      <c r="A457" s="336" t="str">
        <f t="shared" si="21"/>
        <v>씨리오 러프
(SIR)</v>
      </c>
      <c r="B457" s="235"/>
      <c r="C457" s="106"/>
      <c r="D457" s="110" t="s">
        <v>2115</v>
      </c>
      <c r="E457" s="226">
        <v>540000</v>
      </c>
    </row>
    <row r="458" spans="1:5" ht="15" customHeight="1" x14ac:dyDescent="0.3">
      <c r="A458" s="336" t="str">
        <f t="shared" si="21"/>
        <v>씨리오 러프
(SIR)</v>
      </c>
      <c r="B458" s="235"/>
      <c r="C458" s="106"/>
      <c r="D458" s="110" t="s">
        <v>2116</v>
      </c>
      <c r="E458" s="226">
        <v>570000</v>
      </c>
    </row>
    <row r="459" spans="1:5" ht="15" customHeight="1" x14ac:dyDescent="0.3">
      <c r="A459" s="336" t="str">
        <f t="shared" si="21"/>
        <v>씨리오 러프
(SIR)</v>
      </c>
      <c r="B459" s="235"/>
      <c r="C459" s="491"/>
      <c r="D459" s="492" t="s">
        <v>2117</v>
      </c>
      <c r="E459" s="226">
        <v>685000</v>
      </c>
    </row>
    <row r="460" spans="1:5" ht="15" customHeight="1" x14ac:dyDescent="0.3">
      <c r="A460" s="336"/>
      <c r="B460" s="235" t="s">
        <v>1787</v>
      </c>
      <c r="C460" s="106">
        <v>350</v>
      </c>
      <c r="D460" s="110" t="s">
        <v>2118</v>
      </c>
      <c r="E460" s="226">
        <v>790000</v>
      </c>
    </row>
    <row r="461" spans="1:5" ht="15" customHeight="1" x14ac:dyDescent="0.3">
      <c r="A461" s="336"/>
      <c r="B461" s="235"/>
      <c r="C461" s="106"/>
      <c r="D461" s="110" t="s">
        <v>2119</v>
      </c>
      <c r="E461" s="226">
        <v>900000</v>
      </c>
    </row>
    <row r="462" spans="1:5" ht="15" customHeight="1" x14ac:dyDescent="0.3">
      <c r="A462" s="336"/>
      <c r="B462" s="235"/>
      <c r="C462" s="106"/>
      <c r="D462" s="110" t="s">
        <v>2120</v>
      </c>
      <c r="E462" s="226">
        <v>950000</v>
      </c>
    </row>
    <row r="463" spans="1:5" ht="15" customHeight="1" x14ac:dyDescent="0.3">
      <c r="A463" s="336"/>
      <c r="B463" s="488"/>
      <c r="C463" s="489"/>
      <c r="D463" s="490" t="s">
        <v>2121</v>
      </c>
      <c r="E463" s="226">
        <v>1140000</v>
      </c>
    </row>
    <row r="464" spans="1:5" ht="15" customHeight="1" x14ac:dyDescent="0.3">
      <c r="A464" s="336"/>
      <c r="B464" s="271" t="s">
        <v>2176</v>
      </c>
      <c r="C464" s="106">
        <v>115</v>
      </c>
      <c r="D464" s="110" t="s">
        <v>3176</v>
      </c>
      <c r="E464" s="226">
        <v>385000</v>
      </c>
    </row>
    <row r="465" spans="1:5" ht="15" customHeight="1" x14ac:dyDescent="0.3">
      <c r="A465" s="336"/>
      <c r="B465" s="227"/>
      <c r="C465" s="489"/>
      <c r="D465" s="490" t="s">
        <v>2122</v>
      </c>
      <c r="E465" s="226">
        <v>400000</v>
      </c>
    </row>
    <row r="466" spans="1:5" ht="15" customHeight="1" x14ac:dyDescent="0.3">
      <c r="A466" s="336" t="str">
        <f>A459</f>
        <v>씨리오 러프
(SIR)</v>
      </c>
      <c r="B466" s="227" t="s">
        <v>1787</v>
      </c>
      <c r="C466" s="106">
        <v>210</v>
      </c>
      <c r="D466" s="110" t="s">
        <v>3177</v>
      </c>
      <c r="E466" s="226">
        <v>700000</v>
      </c>
    </row>
    <row r="467" spans="1:5" ht="15" customHeight="1" x14ac:dyDescent="0.3">
      <c r="A467" s="336" t="str">
        <f>A466</f>
        <v>씨리오 러프
(SIR)</v>
      </c>
      <c r="B467" s="227"/>
      <c r="C467" s="489" t="s">
        <v>1787</v>
      </c>
      <c r="D467" s="490" t="s">
        <v>2123</v>
      </c>
      <c r="E467" s="226">
        <v>725000</v>
      </c>
    </row>
    <row r="468" spans="1:5" ht="15" customHeight="1" x14ac:dyDescent="0.3">
      <c r="A468" s="336" t="str">
        <f>A467</f>
        <v>씨리오 러프
(SIR)</v>
      </c>
      <c r="B468" s="227"/>
      <c r="C468" s="106">
        <v>350</v>
      </c>
      <c r="D468" s="110" t="s">
        <v>3178</v>
      </c>
      <c r="E468" s="226">
        <v>1175000</v>
      </c>
    </row>
    <row r="469" spans="1:5" ht="15" customHeight="1" x14ac:dyDescent="0.3">
      <c r="A469" s="305" t="str">
        <f>A468</f>
        <v>씨리오 러프
(SIR)</v>
      </c>
      <c r="B469" s="323"/>
      <c r="C469" s="106"/>
      <c r="D469" s="110" t="s">
        <v>2124</v>
      </c>
      <c r="E469" s="226">
        <v>1210000</v>
      </c>
    </row>
    <row r="470" spans="1:5" ht="15" customHeight="1" x14ac:dyDescent="0.3">
      <c r="A470" s="230" t="s">
        <v>2126</v>
      </c>
      <c r="B470" s="235" t="s">
        <v>2127</v>
      </c>
      <c r="C470" s="106">
        <v>120</v>
      </c>
      <c r="D470" s="366" t="s">
        <v>3179</v>
      </c>
      <c r="E470" s="226">
        <v>1285000</v>
      </c>
    </row>
    <row r="471" spans="1:5" ht="15" customHeight="1" x14ac:dyDescent="0.3">
      <c r="A471" s="229" t="str">
        <f>A470</f>
        <v>아르쉐 익스프레션
(ARE)</v>
      </c>
      <c r="B471" s="235"/>
      <c r="C471" s="106">
        <v>160</v>
      </c>
      <c r="D471" s="366" t="s">
        <v>3180</v>
      </c>
      <c r="E471" s="226">
        <v>1600000</v>
      </c>
    </row>
    <row r="472" spans="1:5" ht="15" customHeight="1" x14ac:dyDescent="0.3">
      <c r="A472" s="229" t="str">
        <f>A471</f>
        <v>아르쉐 익스프레션
(ARE)</v>
      </c>
      <c r="B472" s="235"/>
      <c r="C472" s="106">
        <v>250</v>
      </c>
      <c r="D472" s="366" t="s">
        <v>3181</v>
      </c>
      <c r="E472" s="226">
        <v>2460000</v>
      </c>
    </row>
    <row r="473" spans="1:5" ht="15" customHeight="1" x14ac:dyDescent="0.3">
      <c r="A473" s="222" t="str">
        <f>A472</f>
        <v>아르쉐 익스프레션
(ARE)</v>
      </c>
      <c r="B473" s="330"/>
      <c r="C473" s="315">
        <v>400</v>
      </c>
      <c r="D473" s="367" t="s">
        <v>3182</v>
      </c>
      <c r="E473" s="226">
        <v>3950000</v>
      </c>
    </row>
    <row r="474" spans="1:5" ht="15" customHeight="1" x14ac:dyDescent="0.3">
      <c r="A474" s="229" t="s">
        <v>2128</v>
      </c>
      <c r="B474" s="223" t="s">
        <v>2127</v>
      </c>
      <c r="C474" s="106">
        <v>120</v>
      </c>
      <c r="D474" s="110" t="s">
        <v>3143</v>
      </c>
      <c r="E474" s="226">
        <v>1285000</v>
      </c>
    </row>
    <row r="475" spans="1:5" ht="15" customHeight="1" x14ac:dyDescent="0.3">
      <c r="A475" s="230" t="str">
        <f>A474</f>
        <v>아르쉐벨루어
(AREV)</v>
      </c>
      <c r="B475" s="227"/>
      <c r="C475" s="106">
        <v>250</v>
      </c>
      <c r="D475" s="110" t="s">
        <v>3183</v>
      </c>
      <c r="E475" s="226">
        <v>2460000</v>
      </c>
    </row>
    <row r="476" spans="1:5" ht="15" customHeight="1" x14ac:dyDescent="0.3">
      <c r="A476" s="230" t="str">
        <f>A475</f>
        <v>아르쉐벨루어
(AREV)</v>
      </c>
      <c r="B476" s="264"/>
      <c r="C476" s="106">
        <v>400</v>
      </c>
      <c r="D476" s="110" t="s">
        <v>2130</v>
      </c>
      <c r="E476" s="226">
        <v>3950000</v>
      </c>
    </row>
    <row r="477" spans="1:5" ht="15" customHeight="1" x14ac:dyDescent="0.3">
      <c r="A477" s="230" t="str">
        <f>A476</f>
        <v>아르쉐벨루어
(AREV)</v>
      </c>
      <c r="B477" s="282" t="s">
        <v>2131</v>
      </c>
      <c r="C477" s="275">
        <v>300</v>
      </c>
      <c r="D477" s="368" t="s">
        <v>3184</v>
      </c>
      <c r="E477" s="226">
        <v>2200000</v>
      </c>
    </row>
    <row r="478" spans="1:5" ht="15" customHeight="1" x14ac:dyDescent="0.3">
      <c r="A478" s="241" t="str">
        <f>A477</f>
        <v>아르쉐벨루어
(AREV)</v>
      </c>
      <c r="B478" s="331" t="s">
        <v>2132</v>
      </c>
      <c r="C478" s="324">
        <v>300</v>
      </c>
      <c r="D478" s="350" t="s">
        <v>3185</v>
      </c>
      <c r="E478" s="226">
        <v>5600000</v>
      </c>
    </row>
    <row r="479" spans="1:5" ht="15" customHeight="1" x14ac:dyDescent="0.3">
      <c r="A479" s="230" t="s">
        <v>3186</v>
      </c>
      <c r="B479" s="312" t="s">
        <v>2131</v>
      </c>
      <c r="C479" s="489">
        <v>300</v>
      </c>
      <c r="D479" s="499" t="s">
        <v>3187</v>
      </c>
      <c r="E479" s="226">
        <v>2725000</v>
      </c>
    </row>
    <row r="480" spans="1:5" ht="15" customHeight="1" x14ac:dyDescent="0.3">
      <c r="A480" s="241" t="str">
        <f>A479</f>
        <v>아르쉐카렌다
(AREC)</v>
      </c>
      <c r="B480" s="331" t="s">
        <v>3188</v>
      </c>
      <c r="C480" s="324">
        <v>300</v>
      </c>
      <c r="D480" s="350" t="s">
        <v>3189</v>
      </c>
      <c r="E480" s="226">
        <v>5100000</v>
      </c>
    </row>
    <row r="481" spans="1:5" ht="15" customHeight="1" x14ac:dyDescent="0.3">
      <c r="A481" s="369" t="s">
        <v>3190</v>
      </c>
      <c r="B481" s="223" t="s">
        <v>1846</v>
      </c>
      <c r="C481" s="106">
        <v>90</v>
      </c>
      <c r="D481" s="107" t="s">
        <v>3191</v>
      </c>
      <c r="E481" s="226">
        <v>145000</v>
      </c>
    </row>
    <row r="482" spans="1:5" ht="15" customHeight="1" x14ac:dyDescent="0.3">
      <c r="A482" s="370"/>
      <c r="B482" s="227"/>
      <c r="C482" s="106">
        <v>120</v>
      </c>
      <c r="D482" s="503" t="s">
        <v>3192</v>
      </c>
      <c r="E482" s="226">
        <v>195000</v>
      </c>
    </row>
    <row r="483" spans="1:5" ht="15" customHeight="1" x14ac:dyDescent="0.3">
      <c r="A483" s="370"/>
      <c r="B483" s="103" t="s">
        <v>2007</v>
      </c>
      <c r="C483" s="104">
        <v>170</v>
      </c>
      <c r="D483" s="112" t="s">
        <v>3193</v>
      </c>
      <c r="E483" s="226">
        <v>280000</v>
      </c>
    </row>
    <row r="484" spans="1:5" ht="15" customHeight="1" x14ac:dyDescent="0.3">
      <c r="A484" s="370"/>
      <c r="B484" s="227"/>
      <c r="C484" s="106">
        <v>200</v>
      </c>
      <c r="D484" s="110" t="s">
        <v>3194</v>
      </c>
      <c r="E484" s="226">
        <v>330000</v>
      </c>
    </row>
    <row r="485" spans="1:5" ht="15" customHeight="1" x14ac:dyDescent="0.3">
      <c r="A485" s="370"/>
      <c r="B485" s="227"/>
      <c r="C485" s="107">
        <v>230</v>
      </c>
      <c r="D485" s="110" t="s">
        <v>3195</v>
      </c>
      <c r="E485" s="226">
        <v>380000</v>
      </c>
    </row>
    <row r="486" spans="1:5" ht="15" customHeight="1" x14ac:dyDescent="0.3">
      <c r="A486" s="370"/>
      <c r="B486" s="227"/>
      <c r="C486" s="107">
        <v>260</v>
      </c>
      <c r="D486" s="228" t="s">
        <v>3196</v>
      </c>
      <c r="E486" s="226">
        <v>430000</v>
      </c>
    </row>
    <row r="487" spans="1:5" ht="15" customHeight="1" x14ac:dyDescent="0.3">
      <c r="A487" s="370"/>
      <c r="B487" s="227"/>
      <c r="C487" s="107">
        <v>300</v>
      </c>
      <c r="D487" s="110" t="s">
        <v>3197</v>
      </c>
      <c r="E487" s="226">
        <v>495000</v>
      </c>
    </row>
    <row r="488" spans="1:5" ht="15" customHeight="1" x14ac:dyDescent="0.3">
      <c r="A488" s="370"/>
      <c r="B488" s="493"/>
      <c r="C488" s="495">
        <v>350</v>
      </c>
      <c r="D488" s="492" t="s">
        <v>3198</v>
      </c>
      <c r="E488" s="226">
        <v>580000</v>
      </c>
    </row>
    <row r="489" spans="1:5" ht="15" customHeight="1" x14ac:dyDescent="0.3">
      <c r="A489" s="370"/>
      <c r="B489" s="372" t="s">
        <v>2136</v>
      </c>
      <c r="C489" s="373">
        <v>350</v>
      </c>
      <c r="D489" s="374" t="s">
        <v>3199</v>
      </c>
      <c r="E489" s="226">
        <v>290000</v>
      </c>
    </row>
    <row r="490" spans="1:5" ht="15" customHeight="1" x14ac:dyDescent="0.3">
      <c r="A490" s="370"/>
      <c r="B490" s="227" t="s">
        <v>1927</v>
      </c>
      <c r="C490" s="107">
        <v>90</v>
      </c>
      <c r="D490" s="110" t="s">
        <v>3200</v>
      </c>
      <c r="E490" s="226">
        <v>101000</v>
      </c>
    </row>
    <row r="491" spans="1:5" ht="15" customHeight="1" x14ac:dyDescent="0.3">
      <c r="A491" s="370"/>
      <c r="B491" s="227"/>
      <c r="C491" s="107">
        <v>120</v>
      </c>
      <c r="D491" s="110" t="s">
        <v>3201</v>
      </c>
      <c r="E491" s="226">
        <v>134000</v>
      </c>
    </row>
    <row r="492" spans="1:5" ht="15" customHeight="1" x14ac:dyDescent="0.3">
      <c r="A492" s="370"/>
      <c r="B492" s="227"/>
      <c r="C492" s="107">
        <v>140</v>
      </c>
      <c r="D492" s="110" t="s">
        <v>3202</v>
      </c>
      <c r="E492" s="226">
        <v>157000</v>
      </c>
    </row>
    <row r="493" spans="1:5" ht="15" customHeight="1" x14ac:dyDescent="0.3">
      <c r="A493" s="370"/>
      <c r="B493" s="227"/>
      <c r="C493" s="107">
        <v>170</v>
      </c>
      <c r="D493" s="110" t="s">
        <v>3203</v>
      </c>
      <c r="E493" s="226">
        <v>195000</v>
      </c>
    </row>
    <row r="494" spans="1:5" ht="15" customHeight="1" x14ac:dyDescent="0.3">
      <c r="A494" s="370"/>
      <c r="B494" s="227"/>
      <c r="C494" s="107">
        <v>200</v>
      </c>
      <c r="D494" s="110" t="s">
        <v>3204</v>
      </c>
      <c r="E494" s="226">
        <v>230000</v>
      </c>
    </row>
    <row r="495" spans="1:5" ht="15" customHeight="1" x14ac:dyDescent="0.3">
      <c r="A495" s="370"/>
      <c r="B495" s="227"/>
      <c r="C495" s="107">
        <v>300</v>
      </c>
      <c r="D495" s="110" t="s">
        <v>3205</v>
      </c>
      <c r="E495" s="226">
        <v>345000</v>
      </c>
    </row>
    <row r="496" spans="1:5" ht="15" customHeight="1" x14ac:dyDescent="0.3">
      <c r="A496" s="370"/>
      <c r="B496" s="227"/>
      <c r="C496" s="107">
        <v>350</v>
      </c>
      <c r="D496" s="110" t="s">
        <v>3206</v>
      </c>
      <c r="E496" s="226">
        <v>400000</v>
      </c>
    </row>
    <row r="497" spans="1:5" ht="15" customHeight="1" x14ac:dyDescent="0.3">
      <c r="A497" s="370"/>
      <c r="B497" s="504"/>
      <c r="C497" s="505">
        <v>400</v>
      </c>
      <c r="D497" s="505" t="s">
        <v>3207</v>
      </c>
      <c r="E497" s="226">
        <v>465000</v>
      </c>
    </row>
    <row r="498" spans="1:5" ht="15" customHeight="1" x14ac:dyDescent="0.3">
      <c r="A498" s="370"/>
      <c r="B498" s="271" t="s">
        <v>1820</v>
      </c>
      <c r="C498" s="375">
        <v>90</v>
      </c>
      <c r="D498" s="375" t="s">
        <v>3208</v>
      </c>
      <c r="E498" s="226">
        <v>101000</v>
      </c>
    </row>
    <row r="499" spans="1:5" ht="15" customHeight="1" x14ac:dyDescent="0.3">
      <c r="A499" s="376"/>
      <c r="B499" s="323"/>
      <c r="C499" s="377">
        <v>120</v>
      </c>
      <c r="D499" s="377" t="s">
        <v>3209</v>
      </c>
      <c r="E499" s="226">
        <v>134000</v>
      </c>
    </row>
    <row r="500" spans="1:5" ht="15" customHeight="1" x14ac:dyDescent="0.3">
      <c r="A500" s="378" t="s">
        <v>2133</v>
      </c>
      <c r="B500" s="227" t="s">
        <v>2134</v>
      </c>
      <c r="C500" s="107">
        <v>160</v>
      </c>
      <c r="D500" s="107" t="s">
        <v>3210</v>
      </c>
      <c r="E500" s="243">
        <v>150000</v>
      </c>
    </row>
    <row r="501" spans="1:5" ht="15" customHeight="1" x14ac:dyDescent="0.3">
      <c r="A501" s="379"/>
      <c r="B501" s="271" t="s">
        <v>2176</v>
      </c>
      <c r="C501" s="375">
        <v>80</v>
      </c>
      <c r="D501" s="375" t="s">
        <v>3211</v>
      </c>
      <c r="E501" s="243">
        <v>115000</v>
      </c>
    </row>
    <row r="502" spans="1:5" ht="15" customHeight="1" x14ac:dyDescent="0.3">
      <c r="A502" s="379"/>
      <c r="B502" s="264"/>
      <c r="C502" s="503">
        <v>90</v>
      </c>
      <c r="D502" s="503" t="s">
        <v>3212</v>
      </c>
      <c r="E502" s="243">
        <v>130000</v>
      </c>
    </row>
    <row r="503" spans="1:5" ht="15" customHeight="1" x14ac:dyDescent="0.3">
      <c r="A503" s="379"/>
      <c r="B503" s="227" t="s">
        <v>3213</v>
      </c>
      <c r="C503" s="107">
        <v>80</v>
      </c>
      <c r="D503" s="107" t="s">
        <v>3214</v>
      </c>
      <c r="E503" s="243">
        <v>80000</v>
      </c>
    </row>
    <row r="504" spans="1:5" ht="15" customHeight="1" x14ac:dyDescent="0.3">
      <c r="A504" s="380"/>
      <c r="B504" s="227"/>
      <c r="C504" s="107">
        <v>90</v>
      </c>
      <c r="D504" s="110" t="s">
        <v>3215</v>
      </c>
      <c r="E504" s="243">
        <v>90000</v>
      </c>
    </row>
    <row r="505" spans="1:5" ht="15" customHeight="1" x14ac:dyDescent="0.3">
      <c r="A505" s="381" t="s">
        <v>3216</v>
      </c>
      <c r="B505" s="227" t="s">
        <v>1846</v>
      </c>
      <c r="C505" s="107">
        <v>90</v>
      </c>
      <c r="D505" s="107" t="s">
        <v>3217</v>
      </c>
      <c r="E505" s="226">
        <v>145000</v>
      </c>
    </row>
    <row r="506" spans="1:5" ht="15" customHeight="1" x14ac:dyDescent="0.3">
      <c r="A506" s="382"/>
      <c r="B506" s="264"/>
      <c r="C506" s="503">
        <v>120</v>
      </c>
      <c r="D506" s="503" t="s">
        <v>3218</v>
      </c>
      <c r="E506" s="226">
        <v>195000</v>
      </c>
    </row>
    <row r="507" spans="1:5" ht="15" customHeight="1" x14ac:dyDescent="0.3">
      <c r="A507" s="382"/>
      <c r="B507" s="227" t="s">
        <v>1820</v>
      </c>
      <c r="C507" s="107">
        <v>90</v>
      </c>
      <c r="D507" s="107" t="s">
        <v>3219</v>
      </c>
      <c r="E507" s="226">
        <v>101000</v>
      </c>
    </row>
    <row r="508" spans="1:5" ht="15" customHeight="1" x14ac:dyDescent="0.3">
      <c r="A508" s="383"/>
      <c r="B508" s="323"/>
      <c r="C508" s="377">
        <v>120</v>
      </c>
      <c r="D508" s="503" t="s">
        <v>3220</v>
      </c>
      <c r="E508" s="226">
        <v>134000</v>
      </c>
    </row>
    <row r="509" spans="1:5" ht="15" customHeight="1" x14ac:dyDescent="0.3">
      <c r="A509" s="230" t="s">
        <v>3221</v>
      </c>
      <c r="B509" s="384" t="s">
        <v>2007</v>
      </c>
      <c r="C509" s="106">
        <v>200</v>
      </c>
      <c r="D509" s="110" t="s">
        <v>3222</v>
      </c>
      <c r="E509" s="226">
        <v>330000</v>
      </c>
    </row>
    <row r="510" spans="1:5" ht="15" customHeight="1" x14ac:dyDescent="0.3">
      <c r="A510" s="230" t="str">
        <f t="shared" ref="A510:A525" si="22">A509</f>
        <v xml:space="preserve">아코팩
 (APK) </v>
      </c>
      <c r="B510" s="227"/>
      <c r="C510" s="107">
        <v>250</v>
      </c>
      <c r="D510" s="110" t="s">
        <v>3222</v>
      </c>
      <c r="E510" s="226">
        <v>415000</v>
      </c>
    </row>
    <row r="511" spans="1:5" ht="15" customHeight="1" x14ac:dyDescent="0.3">
      <c r="A511" s="230" t="str">
        <f t="shared" si="22"/>
        <v xml:space="preserve">아코팩
 (APK) </v>
      </c>
      <c r="B511" s="227"/>
      <c r="C511" s="107">
        <v>300</v>
      </c>
      <c r="D511" s="110" t="s">
        <v>3222</v>
      </c>
      <c r="E511" s="226">
        <v>495000</v>
      </c>
    </row>
    <row r="512" spans="1:5" ht="15" customHeight="1" x14ac:dyDescent="0.3">
      <c r="A512" s="230" t="str">
        <f t="shared" si="22"/>
        <v xml:space="preserve">아코팩
 (APK) </v>
      </c>
      <c r="B512" s="227"/>
      <c r="C512" s="107">
        <v>350</v>
      </c>
      <c r="D512" s="110" t="s">
        <v>3222</v>
      </c>
      <c r="E512" s="226">
        <v>580000</v>
      </c>
    </row>
    <row r="513" spans="1:5" ht="15" customHeight="1" x14ac:dyDescent="0.3">
      <c r="A513" s="230" t="str">
        <f t="shared" si="22"/>
        <v xml:space="preserve">아코팩
 (APK) </v>
      </c>
      <c r="B513" s="493"/>
      <c r="C513" s="495">
        <v>400</v>
      </c>
      <c r="D513" s="492" t="s">
        <v>2137</v>
      </c>
      <c r="E513" s="226">
        <v>660000</v>
      </c>
    </row>
    <row r="514" spans="1:5" ht="15" customHeight="1" x14ac:dyDescent="0.3">
      <c r="A514" s="230" t="str">
        <f t="shared" si="22"/>
        <v xml:space="preserve">아코팩
 (APK) </v>
      </c>
      <c r="B514" s="103" t="s">
        <v>2136</v>
      </c>
      <c r="C514" s="105">
        <v>300</v>
      </c>
      <c r="D514" s="112" t="s">
        <v>2135</v>
      </c>
      <c r="E514" s="226">
        <v>248000</v>
      </c>
    </row>
    <row r="515" spans="1:5" ht="15" customHeight="1" x14ac:dyDescent="0.3">
      <c r="A515" s="230" t="str">
        <f t="shared" si="22"/>
        <v xml:space="preserve">아코팩
 (APK) </v>
      </c>
      <c r="B515" s="227"/>
      <c r="C515" s="107">
        <v>350</v>
      </c>
      <c r="D515" s="110"/>
      <c r="E515" s="226">
        <v>290000</v>
      </c>
    </row>
    <row r="516" spans="1:5" ht="15" customHeight="1" x14ac:dyDescent="0.3">
      <c r="A516" s="230" t="str">
        <f t="shared" si="22"/>
        <v xml:space="preserve">아코팩
 (APK) </v>
      </c>
      <c r="B516" s="264"/>
      <c r="C516" s="503">
        <v>400</v>
      </c>
      <c r="D516" s="490"/>
      <c r="E516" s="226">
        <v>331000</v>
      </c>
    </row>
    <row r="517" spans="1:5" ht="15" customHeight="1" x14ac:dyDescent="0.3">
      <c r="A517" s="230" t="e">
        <f>#REF!</f>
        <v>#REF!</v>
      </c>
      <c r="B517" s="227" t="s">
        <v>1927</v>
      </c>
      <c r="C517" s="107">
        <v>200</v>
      </c>
      <c r="D517" s="110" t="s">
        <v>3223</v>
      </c>
      <c r="E517" s="226">
        <v>230000</v>
      </c>
    </row>
    <row r="518" spans="1:5" ht="15" customHeight="1" x14ac:dyDescent="0.3">
      <c r="A518" s="230" t="e">
        <f t="shared" si="22"/>
        <v>#REF!</v>
      </c>
      <c r="B518" s="227"/>
      <c r="C518" s="107">
        <v>250</v>
      </c>
      <c r="D518" s="110" t="s">
        <v>3223</v>
      </c>
      <c r="E518" s="226">
        <v>286000</v>
      </c>
    </row>
    <row r="519" spans="1:5" ht="15" customHeight="1" x14ac:dyDescent="0.3">
      <c r="A519" s="230" t="e">
        <f t="shared" si="22"/>
        <v>#REF!</v>
      </c>
      <c r="B519" s="227"/>
      <c r="C519" s="107">
        <v>300</v>
      </c>
      <c r="D519" s="110" t="s">
        <v>3224</v>
      </c>
      <c r="E519" s="226">
        <v>345000</v>
      </c>
    </row>
    <row r="520" spans="1:5" ht="15" customHeight="1" x14ac:dyDescent="0.3">
      <c r="A520" s="230" t="e">
        <f t="shared" si="22"/>
        <v>#REF!</v>
      </c>
      <c r="B520" s="493"/>
      <c r="C520" s="495">
        <v>350</v>
      </c>
      <c r="D520" s="492" t="s">
        <v>3224</v>
      </c>
      <c r="E520" s="226">
        <v>400000</v>
      </c>
    </row>
    <row r="521" spans="1:5" ht="15" customHeight="1" x14ac:dyDescent="0.3">
      <c r="A521" s="230" t="e">
        <f>#REF!</f>
        <v>#REF!</v>
      </c>
      <c r="B521" s="291"/>
      <c r="C521" s="106">
        <v>200</v>
      </c>
      <c r="D521" s="110" t="s">
        <v>3225</v>
      </c>
      <c r="E521" s="226">
        <v>330000</v>
      </c>
    </row>
    <row r="522" spans="1:5" ht="15" customHeight="1" x14ac:dyDescent="0.3">
      <c r="A522" s="230" t="e">
        <f t="shared" si="22"/>
        <v>#REF!</v>
      </c>
      <c r="B522" s="227" t="s">
        <v>1787</v>
      </c>
      <c r="C522" s="107">
        <v>250</v>
      </c>
      <c r="D522" s="110" t="s">
        <v>3226</v>
      </c>
      <c r="E522" s="226">
        <v>415000</v>
      </c>
    </row>
    <row r="523" spans="1:5" ht="15" customHeight="1" x14ac:dyDescent="0.3">
      <c r="A523" s="230" t="e">
        <f t="shared" si="22"/>
        <v>#REF!</v>
      </c>
      <c r="B523" s="227"/>
      <c r="C523" s="107">
        <v>300</v>
      </c>
      <c r="D523" s="110" t="s">
        <v>3227</v>
      </c>
      <c r="E523" s="226">
        <v>495000</v>
      </c>
    </row>
    <row r="524" spans="1:5" ht="15" customHeight="1" x14ac:dyDescent="0.3">
      <c r="A524" s="230" t="e">
        <f t="shared" si="22"/>
        <v>#REF!</v>
      </c>
      <c r="B524" s="227"/>
      <c r="C524" s="107">
        <v>350</v>
      </c>
      <c r="D524" s="110" t="s">
        <v>3228</v>
      </c>
      <c r="E524" s="226">
        <v>580000</v>
      </c>
    </row>
    <row r="525" spans="1:5" ht="15" customHeight="1" x14ac:dyDescent="0.3">
      <c r="A525" s="241" t="e">
        <f t="shared" si="22"/>
        <v>#REF!</v>
      </c>
      <c r="B525" s="323"/>
      <c r="C525" s="377">
        <v>400</v>
      </c>
      <c r="D525" s="325" t="s">
        <v>3229</v>
      </c>
      <c r="E525" s="226">
        <v>660000</v>
      </c>
    </row>
    <row r="526" spans="1:5" ht="15" customHeight="1" x14ac:dyDescent="0.3">
      <c r="A526" s="230" t="s">
        <v>2138</v>
      </c>
      <c r="B526" s="227" t="s">
        <v>2007</v>
      </c>
      <c r="C526" s="106">
        <v>250</v>
      </c>
      <c r="D526" s="110" t="s">
        <v>3230</v>
      </c>
      <c r="E526" s="226">
        <v>415000</v>
      </c>
    </row>
    <row r="527" spans="1:5" ht="15" customHeight="1" x14ac:dyDescent="0.3">
      <c r="A527" s="230" t="str">
        <f>A526</f>
        <v>아코팩 리사이클
100% (APKR)</v>
      </c>
      <c r="B527" s="227"/>
      <c r="C527" s="107">
        <v>300</v>
      </c>
      <c r="D527" s="110" t="s">
        <v>2139</v>
      </c>
      <c r="E527" s="226">
        <v>495000</v>
      </c>
    </row>
    <row r="528" spans="1:5" ht="15" customHeight="1" x14ac:dyDescent="0.3">
      <c r="A528" s="230" t="str">
        <f>A527</f>
        <v>아코팩 리사이클
100% (APKR)</v>
      </c>
      <c r="B528" s="227"/>
      <c r="C528" s="107">
        <v>350</v>
      </c>
      <c r="D528" s="110" t="s">
        <v>2140</v>
      </c>
      <c r="E528" s="226">
        <v>580000</v>
      </c>
    </row>
    <row r="529" spans="1:5" ht="15" customHeight="1" x14ac:dyDescent="0.3">
      <c r="A529" s="230" t="str">
        <f>A528</f>
        <v>아코팩 리사이클
100% (APKR)</v>
      </c>
      <c r="B529" s="493"/>
      <c r="C529" s="495">
        <v>400</v>
      </c>
      <c r="D529" s="492" t="s">
        <v>3231</v>
      </c>
      <c r="E529" s="226">
        <v>660000</v>
      </c>
    </row>
    <row r="530" spans="1:5" ht="15" customHeight="1" x14ac:dyDescent="0.3">
      <c r="A530" s="230"/>
      <c r="B530" s="372" t="s">
        <v>2136</v>
      </c>
      <c r="C530" s="373">
        <v>350</v>
      </c>
      <c r="D530" s="374" t="s">
        <v>3232</v>
      </c>
      <c r="E530" s="226">
        <v>290000</v>
      </c>
    </row>
    <row r="531" spans="1:5" ht="15" customHeight="1" x14ac:dyDescent="0.3">
      <c r="A531" s="230" t="str">
        <f>A529</f>
        <v>아코팩 리사이클
100% (APKR)</v>
      </c>
      <c r="B531" s="227" t="s">
        <v>1927</v>
      </c>
      <c r="C531" s="107">
        <v>250</v>
      </c>
      <c r="D531" s="88" t="s">
        <v>3233</v>
      </c>
      <c r="E531" s="226">
        <v>286000</v>
      </c>
    </row>
    <row r="532" spans="1:5" ht="15" customHeight="1" x14ac:dyDescent="0.3">
      <c r="A532" s="230" t="str">
        <f>A531</f>
        <v>아코팩 리사이클
100% (APKR)</v>
      </c>
      <c r="B532" s="227"/>
      <c r="C532" s="107">
        <v>300</v>
      </c>
      <c r="D532" s="88" t="s">
        <v>3234</v>
      </c>
      <c r="E532" s="226">
        <v>345000</v>
      </c>
    </row>
    <row r="533" spans="1:5" ht="15" customHeight="1" x14ac:dyDescent="0.3">
      <c r="A533" s="230" t="str">
        <f>A532</f>
        <v>아코팩 리사이클
100% (APKR)</v>
      </c>
      <c r="B533" s="227"/>
      <c r="C533" s="107">
        <v>350</v>
      </c>
      <c r="D533" s="88" t="s">
        <v>3235</v>
      </c>
      <c r="E533" s="226">
        <v>400000</v>
      </c>
    </row>
    <row r="534" spans="1:5" ht="15" customHeight="1" x14ac:dyDescent="0.3">
      <c r="A534" s="222" t="s">
        <v>2141</v>
      </c>
      <c r="B534" s="227" t="s">
        <v>1784</v>
      </c>
      <c r="C534" s="106">
        <v>120</v>
      </c>
      <c r="D534" s="110" t="s">
        <v>3236</v>
      </c>
      <c r="E534" s="226">
        <v>340000</v>
      </c>
    </row>
    <row r="535" spans="1:5" ht="15" customHeight="1" x14ac:dyDescent="0.3">
      <c r="A535" s="222" t="str">
        <f>A534</f>
        <v xml:space="preserve">아큐렐로
(AQ) </v>
      </c>
      <c r="B535" s="227"/>
      <c r="C535" s="106">
        <v>200</v>
      </c>
      <c r="D535" s="110" t="s">
        <v>3237</v>
      </c>
      <c r="E535" s="226">
        <v>565000</v>
      </c>
    </row>
    <row r="536" spans="1:5" ht="15" customHeight="1" x14ac:dyDescent="0.3">
      <c r="A536" s="222" t="str">
        <f>A535</f>
        <v xml:space="preserve">아큐렐로
(AQ) </v>
      </c>
      <c r="B536" s="227"/>
      <c r="C536" s="106">
        <v>240</v>
      </c>
      <c r="D536" s="110" t="s">
        <v>3238</v>
      </c>
      <c r="E536" s="226">
        <v>680000</v>
      </c>
    </row>
    <row r="537" spans="1:5" ht="15" customHeight="1" x14ac:dyDescent="0.3">
      <c r="A537" s="222" t="str">
        <f>A536</f>
        <v xml:space="preserve">아큐렐로
(AQ) </v>
      </c>
      <c r="B537" s="227"/>
      <c r="C537" s="106">
        <v>300</v>
      </c>
      <c r="D537" s="110" t="s">
        <v>3239</v>
      </c>
      <c r="E537" s="226">
        <v>850000</v>
      </c>
    </row>
    <row r="538" spans="1:5" ht="15" customHeight="1" x14ac:dyDescent="0.3">
      <c r="A538" s="322" t="str">
        <f>A537</f>
        <v xml:space="preserve">아큐렐로
(AQ) </v>
      </c>
      <c r="B538" s="323"/>
      <c r="C538" s="324">
        <v>390</v>
      </c>
      <c r="D538" s="325" t="s">
        <v>3240</v>
      </c>
      <c r="E538" s="226">
        <v>1100000</v>
      </c>
    </row>
    <row r="539" spans="1:5" ht="15" customHeight="1" x14ac:dyDescent="0.3">
      <c r="A539" s="230" t="s">
        <v>2142</v>
      </c>
      <c r="B539" s="235" t="s">
        <v>2017</v>
      </c>
      <c r="C539" s="106">
        <v>125</v>
      </c>
      <c r="D539" s="110" t="s">
        <v>2143</v>
      </c>
      <c r="E539" s="226">
        <v>1150000</v>
      </c>
    </row>
    <row r="540" spans="1:5" ht="15" customHeight="1" x14ac:dyDescent="0.3">
      <c r="A540" s="234" t="str">
        <f t="shared" ref="A540:A549" si="23">A539</f>
        <v>어반(UBA)</v>
      </c>
      <c r="B540" s="235"/>
      <c r="C540" s="106"/>
      <c r="D540" s="110" t="s">
        <v>2144</v>
      </c>
      <c r="E540" s="226">
        <v>1000000</v>
      </c>
    </row>
    <row r="541" spans="1:5" ht="15" customHeight="1" x14ac:dyDescent="0.3">
      <c r="A541" s="234" t="str">
        <f t="shared" si="23"/>
        <v>어반(UBA)</v>
      </c>
      <c r="B541" s="235"/>
      <c r="C541" s="106"/>
      <c r="D541" s="110" t="s">
        <v>2145</v>
      </c>
      <c r="E541" s="226">
        <v>1350000</v>
      </c>
    </row>
    <row r="542" spans="1:5" ht="15" customHeight="1" x14ac:dyDescent="0.3">
      <c r="A542" s="234" t="str">
        <f t="shared" si="23"/>
        <v>어반(UBA)</v>
      </c>
      <c r="B542" s="227"/>
      <c r="C542" s="106"/>
      <c r="D542" s="110" t="s">
        <v>2146</v>
      </c>
      <c r="E542" s="226">
        <v>1050000</v>
      </c>
    </row>
    <row r="543" spans="1:5" ht="15" customHeight="1" x14ac:dyDescent="0.3">
      <c r="A543" s="234" t="str">
        <f t="shared" si="23"/>
        <v>어반(UBA)</v>
      </c>
      <c r="B543" s="227"/>
      <c r="C543" s="491"/>
      <c r="D543" s="492" t="s">
        <v>2147</v>
      </c>
      <c r="E543" s="226">
        <v>1050000</v>
      </c>
    </row>
    <row r="544" spans="1:5" ht="15" customHeight="1" x14ac:dyDescent="0.3">
      <c r="A544" s="234" t="str">
        <f t="shared" si="23"/>
        <v>어반(UBA)</v>
      </c>
      <c r="B544" s="227" t="s">
        <v>1787</v>
      </c>
      <c r="C544" s="106">
        <v>250</v>
      </c>
      <c r="D544" s="110" t="s">
        <v>2148</v>
      </c>
      <c r="E544" s="226">
        <v>2300000</v>
      </c>
    </row>
    <row r="545" spans="1:5" ht="15" customHeight="1" x14ac:dyDescent="0.3">
      <c r="A545" s="234" t="str">
        <f t="shared" si="23"/>
        <v>어반(UBA)</v>
      </c>
      <c r="B545" s="227"/>
      <c r="C545" s="491"/>
      <c r="D545" s="492" t="s">
        <v>2149</v>
      </c>
      <c r="E545" s="226">
        <v>2400000</v>
      </c>
    </row>
    <row r="546" spans="1:5" ht="15" customHeight="1" x14ac:dyDescent="0.3">
      <c r="A546" s="234" t="str">
        <f t="shared" si="23"/>
        <v>어반(UBA)</v>
      </c>
      <c r="B546" s="227"/>
      <c r="C546" s="106">
        <v>310</v>
      </c>
      <c r="D546" s="110" t="s">
        <v>2150</v>
      </c>
      <c r="E546" s="226">
        <v>2800000</v>
      </c>
    </row>
    <row r="547" spans="1:5" ht="15" customHeight="1" x14ac:dyDescent="0.3">
      <c r="A547" s="234" t="str">
        <f t="shared" si="23"/>
        <v>어반(UBA)</v>
      </c>
      <c r="B547" s="235"/>
      <c r="C547" s="106"/>
      <c r="D547" s="110" t="s">
        <v>2151</v>
      </c>
      <c r="E547" s="226">
        <v>3800000</v>
      </c>
    </row>
    <row r="548" spans="1:5" ht="15" customHeight="1" x14ac:dyDescent="0.3">
      <c r="A548" s="234" t="str">
        <f t="shared" si="23"/>
        <v>어반(UBA)</v>
      </c>
      <c r="B548" s="235"/>
      <c r="C548" s="106"/>
      <c r="D548" s="110" t="s">
        <v>2152</v>
      </c>
      <c r="E548" s="226">
        <v>3000000</v>
      </c>
    </row>
    <row r="549" spans="1:5" ht="15" customHeight="1" x14ac:dyDescent="0.3">
      <c r="A549" s="236" t="str">
        <f t="shared" si="23"/>
        <v>어반(UBA)</v>
      </c>
      <c r="B549" s="330"/>
      <c r="C549" s="315"/>
      <c r="D549" s="318" t="s">
        <v>2043</v>
      </c>
      <c r="E549" s="226">
        <v>4000000</v>
      </c>
    </row>
    <row r="550" spans="1:5" ht="15" customHeight="1" x14ac:dyDescent="0.3">
      <c r="A550" s="385" t="s">
        <v>3241</v>
      </c>
      <c r="B550" s="235" t="s">
        <v>3242</v>
      </c>
      <c r="C550" s="106">
        <v>320</v>
      </c>
      <c r="D550" s="110" t="s">
        <v>3243</v>
      </c>
      <c r="E550" s="226">
        <v>380000</v>
      </c>
    </row>
    <row r="551" spans="1:5" ht="15" customHeight="1" x14ac:dyDescent="0.3">
      <c r="A551" s="386"/>
      <c r="B551" s="235"/>
      <c r="C551" s="106">
        <v>350</v>
      </c>
      <c r="D551" s="110" t="s">
        <v>3244</v>
      </c>
      <c r="E551" s="226">
        <v>415000</v>
      </c>
    </row>
    <row r="552" spans="1:5" ht="15" customHeight="1" x14ac:dyDescent="0.3">
      <c r="A552" s="386"/>
      <c r="B552" s="312" t="s">
        <v>3245</v>
      </c>
      <c r="C552" s="272">
        <v>320</v>
      </c>
      <c r="D552" s="273" t="s">
        <v>3246</v>
      </c>
      <c r="E552" s="226">
        <v>262500</v>
      </c>
    </row>
    <row r="553" spans="1:5" ht="15" customHeight="1" x14ac:dyDescent="0.3">
      <c r="A553" s="386"/>
      <c r="B553" s="488"/>
      <c r="C553" s="489">
        <v>350</v>
      </c>
      <c r="D553" s="490" t="s">
        <v>3247</v>
      </c>
      <c r="E553" s="226">
        <v>287500</v>
      </c>
    </row>
    <row r="554" spans="1:5" ht="15" customHeight="1" x14ac:dyDescent="0.3">
      <c r="A554" s="386"/>
      <c r="B554" s="235" t="s">
        <v>3248</v>
      </c>
      <c r="C554" s="106">
        <v>320</v>
      </c>
      <c r="D554" s="110" t="s">
        <v>3249</v>
      </c>
    </row>
    <row r="555" spans="1:5" ht="15" customHeight="1" x14ac:dyDescent="0.3">
      <c r="A555" s="387"/>
      <c r="B555" s="330" t="s">
        <v>2355</v>
      </c>
      <c r="C555" s="315">
        <v>350</v>
      </c>
      <c r="D555" s="318" t="s">
        <v>3250</v>
      </c>
    </row>
    <row r="556" spans="1:5" ht="15" customHeight="1" x14ac:dyDescent="0.3">
      <c r="A556" s="230" t="s">
        <v>3251</v>
      </c>
      <c r="B556" s="227" t="s">
        <v>1846</v>
      </c>
      <c r="C556" s="106">
        <v>80</v>
      </c>
      <c r="D556" s="110" t="s">
        <v>3252</v>
      </c>
      <c r="E556" s="226">
        <v>103000</v>
      </c>
    </row>
    <row r="557" spans="1:5" ht="14.4" customHeight="1" x14ac:dyDescent="0.3">
      <c r="A557" s="230" t="str">
        <f t="shared" ref="A557:A559" si="24">A556</f>
        <v>MF크라프트
(MF)</v>
      </c>
      <c r="B557" s="227"/>
      <c r="C557" s="106">
        <v>120</v>
      </c>
      <c r="D557" s="110" t="s">
        <v>3253</v>
      </c>
      <c r="E557" s="226">
        <v>155000</v>
      </c>
    </row>
    <row r="558" spans="1:5" ht="14.4" customHeight="1" x14ac:dyDescent="0.3">
      <c r="A558" s="230" t="e">
        <f>#REF!</f>
        <v>#REF!</v>
      </c>
      <c r="B558" s="103" t="s">
        <v>1843</v>
      </c>
      <c r="C558" s="104">
        <v>80</v>
      </c>
      <c r="D558" s="112" t="s">
        <v>3254</v>
      </c>
      <c r="E558" s="226">
        <v>130000</v>
      </c>
    </row>
    <row r="559" spans="1:5" ht="15" customHeight="1" x14ac:dyDescent="0.3">
      <c r="A559" s="230" t="e">
        <f t="shared" si="24"/>
        <v>#REF!</v>
      </c>
      <c r="B559" s="227"/>
      <c r="C559" s="106">
        <v>120</v>
      </c>
      <c r="D559" s="110" t="s">
        <v>3255</v>
      </c>
      <c r="E559" s="226">
        <v>195000</v>
      </c>
    </row>
    <row r="560" spans="1:5" ht="15" customHeight="1" x14ac:dyDescent="0.3">
      <c r="A560" s="388" t="s">
        <v>2160</v>
      </c>
      <c r="B560" s="427" t="s">
        <v>1846</v>
      </c>
      <c r="C560" s="239">
        <v>130</v>
      </c>
      <c r="D560" s="389" t="s">
        <v>1861</v>
      </c>
      <c r="E560" s="226">
        <v>175000</v>
      </c>
    </row>
    <row r="561" spans="1:5" ht="15" customHeight="1" x14ac:dyDescent="0.3">
      <c r="A561" s="308" t="str">
        <f>A560</f>
        <v>SA크라프트
(SAK)</v>
      </c>
      <c r="B561" s="227"/>
      <c r="C561" s="106">
        <v>160</v>
      </c>
      <c r="D561" s="249" t="s">
        <v>1863</v>
      </c>
      <c r="E561" s="226">
        <v>215000</v>
      </c>
    </row>
    <row r="562" spans="1:5" ht="15" customHeight="1" x14ac:dyDescent="0.3">
      <c r="A562" s="308" t="str">
        <f>A561</f>
        <v>SA크라프트
(SAK)</v>
      </c>
      <c r="B562" s="103" t="s">
        <v>1871</v>
      </c>
      <c r="C562" s="104">
        <v>130</v>
      </c>
      <c r="D562" s="390" t="s">
        <v>1862</v>
      </c>
      <c r="E562" s="226">
        <v>220000</v>
      </c>
    </row>
    <row r="563" spans="1:5" ht="15" customHeight="1" x14ac:dyDescent="0.3">
      <c r="A563" s="308" t="str">
        <f>A562</f>
        <v>SA크라프트
(SAK)</v>
      </c>
      <c r="B563" s="493"/>
      <c r="C563" s="491">
        <v>160</v>
      </c>
      <c r="D563" s="506" t="s">
        <v>1864</v>
      </c>
      <c r="E563" s="226">
        <v>270000</v>
      </c>
    </row>
    <row r="564" spans="1:5" ht="15" customHeight="1" x14ac:dyDescent="0.3">
      <c r="A564" s="308" t="str">
        <f>A563</f>
        <v>SA크라프트
(SAK)</v>
      </c>
      <c r="B564" s="227" t="s">
        <v>2161</v>
      </c>
      <c r="C564" s="106">
        <v>130</v>
      </c>
      <c r="D564" s="249" t="s">
        <v>2125</v>
      </c>
    </row>
    <row r="565" spans="1:5" ht="15" customHeight="1" x14ac:dyDescent="0.3">
      <c r="A565" s="392" t="str">
        <f>A564</f>
        <v>SA크라프트
(SAK)</v>
      </c>
      <c r="B565" s="323"/>
      <c r="C565" s="324">
        <v>160</v>
      </c>
      <c r="D565" s="393" t="s">
        <v>2040</v>
      </c>
      <c r="E565" s="226" t="s">
        <v>1844</v>
      </c>
    </row>
    <row r="566" spans="1:5" ht="15" customHeight="1" x14ac:dyDescent="0.3">
      <c r="A566" s="385" t="s">
        <v>3256</v>
      </c>
      <c r="B566" s="235" t="s">
        <v>2007</v>
      </c>
      <c r="C566" s="107">
        <v>115</v>
      </c>
      <c r="D566" s="107" t="s">
        <v>2162</v>
      </c>
      <c r="E566" s="226">
        <v>210000</v>
      </c>
    </row>
    <row r="567" spans="1:5" ht="15" customHeight="1" x14ac:dyDescent="0.3">
      <c r="A567" s="394"/>
      <c r="B567" s="235"/>
      <c r="C567" s="107">
        <v>150</v>
      </c>
      <c r="D567" s="228" t="s">
        <v>2286</v>
      </c>
      <c r="E567" s="226">
        <v>275000</v>
      </c>
    </row>
    <row r="568" spans="1:5" ht="15" customHeight="1" x14ac:dyDescent="0.3">
      <c r="A568" s="394"/>
      <c r="B568" s="235"/>
      <c r="C568" s="107">
        <v>300</v>
      </c>
      <c r="D568" s="110">
        <v>3</v>
      </c>
      <c r="E568" s="226">
        <v>550000</v>
      </c>
    </row>
    <row r="569" spans="1:5" ht="15" customHeight="1" x14ac:dyDescent="0.3">
      <c r="A569" s="302" t="s">
        <v>2166</v>
      </c>
      <c r="B569" s="427" t="s">
        <v>1784</v>
      </c>
      <c r="C569" s="239">
        <v>110</v>
      </c>
      <c r="D569" s="240" t="s">
        <v>2167</v>
      </c>
      <c r="E569" s="226">
        <v>590000</v>
      </c>
    </row>
    <row r="570" spans="1:5" ht="15" customHeight="1" x14ac:dyDescent="0.3">
      <c r="A570" s="395" t="e">
        <f>#REF!</f>
        <v>#REF!</v>
      </c>
      <c r="B570" s="227"/>
      <c r="C570" s="491"/>
      <c r="D570" s="492" t="s">
        <v>2168</v>
      </c>
      <c r="E570" s="226">
        <v>710000</v>
      </c>
    </row>
    <row r="571" spans="1:5" ht="15" customHeight="1" x14ac:dyDescent="0.3">
      <c r="A571" s="395" t="e">
        <f t="shared" ref="A571" si="25">A570</f>
        <v>#REF!</v>
      </c>
      <c r="B571" s="227"/>
      <c r="C571" s="104">
        <v>250</v>
      </c>
      <c r="D571" s="110" t="s">
        <v>2169</v>
      </c>
      <c r="E571" s="226">
        <v>1350000</v>
      </c>
    </row>
    <row r="572" spans="1:5" ht="15" customHeight="1" x14ac:dyDescent="0.3">
      <c r="A572" s="396" t="e">
        <f>#REF!</f>
        <v>#REF!</v>
      </c>
      <c r="B572" s="323"/>
      <c r="C572" s="324"/>
      <c r="D572" s="325" t="s">
        <v>2170</v>
      </c>
      <c r="E572" s="226">
        <v>1625000</v>
      </c>
    </row>
    <row r="573" spans="1:5" ht="15" customHeight="1" x14ac:dyDescent="0.3">
      <c r="A573" s="337" t="s">
        <v>3257</v>
      </c>
      <c r="B573" s="227" t="s">
        <v>2171</v>
      </c>
      <c r="C573" s="106">
        <v>110</v>
      </c>
      <c r="D573" s="110" t="s">
        <v>2172</v>
      </c>
      <c r="E573" s="226">
        <v>240000</v>
      </c>
    </row>
    <row r="574" spans="1:5" ht="15" customHeight="1" x14ac:dyDescent="0.3">
      <c r="A574" s="395" t="e">
        <f>#REF!</f>
        <v>#REF!</v>
      </c>
      <c r="B574" s="227"/>
      <c r="C574" s="491"/>
      <c r="D574" s="492" t="s">
        <v>3258</v>
      </c>
      <c r="E574" s="226">
        <v>240000</v>
      </c>
    </row>
    <row r="575" spans="1:5" ht="15" customHeight="1" x14ac:dyDescent="0.3">
      <c r="A575" s="395" t="e">
        <f>A574</f>
        <v>#REF!</v>
      </c>
      <c r="B575" s="227"/>
      <c r="C575" s="106">
        <v>140</v>
      </c>
      <c r="D575" s="110" t="s">
        <v>2174</v>
      </c>
      <c r="E575" s="226">
        <v>340000</v>
      </c>
    </row>
    <row r="576" spans="1:5" ht="15" customHeight="1" x14ac:dyDescent="0.3">
      <c r="A576" s="395" t="e">
        <f>A575</f>
        <v>#REF!</v>
      </c>
      <c r="B576" s="227"/>
      <c r="C576" s="104">
        <v>285</v>
      </c>
      <c r="D576" s="112" t="s">
        <v>2175</v>
      </c>
      <c r="E576" s="226">
        <v>480000</v>
      </c>
    </row>
    <row r="577" spans="1:5" ht="15" customHeight="1" x14ac:dyDescent="0.3">
      <c r="A577" s="395"/>
      <c r="B577" s="227"/>
      <c r="C577" s="106" t="s">
        <v>1787</v>
      </c>
      <c r="D577" s="110" t="s">
        <v>3259</v>
      </c>
      <c r="E577" s="226">
        <v>625000</v>
      </c>
    </row>
    <row r="578" spans="1:5" ht="15" customHeight="1" x14ac:dyDescent="0.3">
      <c r="A578" s="396" t="e">
        <f>A576</f>
        <v>#REF!</v>
      </c>
      <c r="B578" s="323"/>
      <c r="C578" s="324" t="s">
        <v>1787</v>
      </c>
      <c r="D578" s="325" t="s">
        <v>3260</v>
      </c>
      <c r="E578" s="226">
        <v>690000</v>
      </c>
    </row>
    <row r="579" spans="1:5" ht="15" customHeight="1" x14ac:dyDescent="0.3">
      <c r="A579" s="237" t="s">
        <v>2177</v>
      </c>
      <c r="B579" s="427" t="s">
        <v>2178</v>
      </c>
      <c r="C579" s="239"/>
      <c r="D579" s="303" t="s">
        <v>2179</v>
      </c>
      <c r="E579" s="226">
        <v>550000</v>
      </c>
    </row>
    <row r="580" spans="1:5" ht="15" customHeight="1" x14ac:dyDescent="0.3">
      <c r="A580" s="229" t="str">
        <f t="shared" ref="A580" si="26">A579</f>
        <v>유포
(YUPO)</v>
      </c>
      <c r="B580" s="227"/>
      <c r="C580" s="106"/>
      <c r="D580" s="110" t="s">
        <v>2180</v>
      </c>
      <c r="E580" s="226">
        <v>630000</v>
      </c>
    </row>
    <row r="581" spans="1:5" ht="15" customHeight="1" x14ac:dyDescent="0.3">
      <c r="A581" s="229" t="e">
        <f>#REF!</f>
        <v>#REF!</v>
      </c>
      <c r="B581" s="271" t="s">
        <v>2178</v>
      </c>
      <c r="C581" s="106"/>
      <c r="D581" s="397" t="s">
        <v>2181</v>
      </c>
      <c r="E581" s="226">
        <v>1100000</v>
      </c>
    </row>
    <row r="582" spans="1:5" ht="15" customHeight="1" x14ac:dyDescent="0.3">
      <c r="A582" s="322" t="e">
        <f>#REF!</f>
        <v>#REF!</v>
      </c>
      <c r="B582" s="323"/>
      <c r="C582" s="324"/>
      <c r="D582" s="398" t="s">
        <v>2182</v>
      </c>
      <c r="E582" s="226">
        <v>750000</v>
      </c>
    </row>
    <row r="583" spans="1:5" ht="15" customHeight="1" x14ac:dyDescent="0.3">
      <c r="A583" s="222" t="s">
        <v>3261</v>
      </c>
      <c r="B583" s="291" t="s">
        <v>3262</v>
      </c>
      <c r="C583" s="106">
        <v>120</v>
      </c>
      <c r="D583" s="110" t="s">
        <v>3263</v>
      </c>
      <c r="E583" s="226">
        <v>765000</v>
      </c>
    </row>
    <row r="584" spans="1:5" ht="15" customHeight="1" x14ac:dyDescent="0.3">
      <c r="A584" s="222" t="e">
        <f>#REF!</f>
        <v>#REF!</v>
      </c>
      <c r="B584" s="271" t="s">
        <v>1784</v>
      </c>
      <c r="C584" s="272">
        <v>120</v>
      </c>
      <c r="D584" s="273" t="s">
        <v>3264</v>
      </c>
      <c r="E584" s="226">
        <v>715000</v>
      </c>
    </row>
    <row r="585" spans="1:5" ht="15" customHeight="1" x14ac:dyDescent="0.3">
      <c r="A585" s="222"/>
      <c r="B585" s="227" t="s">
        <v>3265</v>
      </c>
      <c r="C585" s="106" t="s">
        <v>1787</v>
      </c>
      <c r="D585" s="107" t="s">
        <v>3266</v>
      </c>
      <c r="E585" s="226">
        <v>900000</v>
      </c>
    </row>
    <row r="586" spans="1:5" ht="15" customHeight="1" x14ac:dyDescent="0.3">
      <c r="A586" s="222" t="e">
        <f>#REF!</f>
        <v>#REF!</v>
      </c>
      <c r="B586" s="227"/>
      <c r="C586" s="106">
        <v>245</v>
      </c>
      <c r="D586" s="110" t="s">
        <v>2183</v>
      </c>
      <c r="E586" s="226">
        <v>1550000</v>
      </c>
    </row>
    <row r="587" spans="1:5" ht="15" customHeight="1" x14ac:dyDescent="0.3">
      <c r="A587" s="222" t="e">
        <f>A586</f>
        <v>#REF!</v>
      </c>
      <c r="B587" s="262"/>
      <c r="C587" s="491" t="s">
        <v>1787</v>
      </c>
      <c r="D587" s="492" t="s">
        <v>3267</v>
      </c>
      <c r="E587" s="226">
        <v>1875000</v>
      </c>
    </row>
    <row r="588" spans="1:5" ht="15" customHeight="1" x14ac:dyDescent="0.3">
      <c r="A588" s="222" t="e">
        <f>A587</f>
        <v>#REF!</v>
      </c>
      <c r="B588" s="262"/>
      <c r="C588" s="106">
        <v>355</v>
      </c>
      <c r="D588" s="110" t="s">
        <v>2184</v>
      </c>
      <c r="E588" s="226">
        <v>2150000</v>
      </c>
    </row>
    <row r="589" spans="1:5" ht="15" customHeight="1" x14ac:dyDescent="0.3">
      <c r="A589" s="222" t="e">
        <f>A588</f>
        <v>#REF!</v>
      </c>
      <c r="B589" s="314"/>
      <c r="C589" s="315" t="s">
        <v>1787</v>
      </c>
      <c r="D589" s="318" t="s">
        <v>3268</v>
      </c>
      <c r="E589" s="226">
        <v>2700000</v>
      </c>
    </row>
    <row r="590" spans="1:5" ht="15" customHeight="1" x14ac:dyDescent="0.3">
      <c r="A590" s="336" t="s">
        <v>3269</v>
      </c>
      <c r="B590" s="384" t="s">
        <v>1789</v>
      </c>
      <c r="C590" s="104">
        <v>118</v>
      </c>
      <c r="D590" s="399" t="s">
        <v>2185</v>
      </c>
      <c r="E590" s="226">
        <v>600000</v>
      </c>
    </row>
    <row r="591" spans="1:5" ht="15" customHeight="1" x14ac:dyDescent="0.3">
      <c r="A591" s="336" t="e">
        <f>#REF!</f>
        <v>#REF!</v>
      </c>
      <c r="B591" s="227"/>
      <c r="C591" s="106"/>
      <c r="D591" s="110" t="s">
        <v>2186</v>
      </c>
      <c r="E591" s="226">
        <v>585000</v>
      </c>
    </row>
    <row r="592" spans="1:5" ht="15" customHeight="1" x14ac:dyDescent="0.3">
      <c r="A592" s="336" t="e">
        <f t="shared" ref="A592:A607" si="27">A591</f>
        <v>#REF!</v>
      </c>
      <c r="B592" s="227"/>
      <c r="C592" s="106"/>
      <c r="D592" s="107" t="s">
        <v>2187</v>
      </c>
      <c r="E592" s="226">
        <v>575000</v>
      </c>
    </row>
    <row r="593" spans="1:5" ht="15" customHeight="1" x14ac:dyDescent="0.3">
      <c r="A593" s="336" t="e">
        <f t="shared" si="27"/>
        <v>#REF!</v>
      </c>
      <c r="B593" s="227"/>
      <c r="C593" s="108">
        <v>148</v>
      </c>
      <c r="D593" s="109" t="s">
        <v>2188</v>
      </c>
      <c r="E593" s="226">
        <v>720000</v>
      </c>
    </row>
    <row r="594" spans="1:5" ht="15" customHeight="1" x14ac:dyDescent="0.3">
      <c r="A594" s="336" t="e">
        <f t="shared" si="27"/>
        <v>#REF!</v>
      </c>
      <c r="B594" s="227"/>
      <c r="C594" s="106">
        <v>216</v>
      </c>
      <c r="D594" s="110" t="s">
        <v>2189</v>
      </c>
      <c r="E594" s="226">
        <v>1085000</v>
      </c>
    </row>
    <row r="595" spans="1:5" ht="15" customHeight="1" x14ac:dyDescent="0.3">
      <c r="A595" s="336" t="e">
        <f>#REF!</f>
        <v>#REF!</v>
      </c>
      <c r="B595" s="227"/>
      <c r="C595" s="106"/>
      <c r="D595" s="245" t="s">
        <v>1996</v>
      </c>
      <c r="E595" s="226">
        <v>1110000</v>
      </c>
    </row>
    <row r="596" spans="1:5" ht="15" customHeight="1" x14ac:dyDescent="0.3">
      <c r="A596" s="336" t="e">
        <f>#REF!</f>
        <v>#REF!</v>
      </c>
      <c r="B596" s="227"/>
      <c r="C596" s="106"/>
      <c r="D596" s="245" t="s">
        <v>2190</v>
      </c>
      <c r="E596" s="226">
        <v>1070000</v>
      </c>
    </row>
    <row r="597" spans="1:5" ht="15" customHeight="1" x14ac:dyDescent="0.3">
      <c r="A597" s="336" t="e">
        <f t="shared" si="27"/>
        <v>#REF!</v>
      </c>
      <c r="B597" s="227"/>
      <c r="C597" s="106"/>
      <c r="D597" s="245" t="s">
        <v>2191</v>
      </c>
      <c r="E597" s="226">
        <v>1110000</v>
      </c>
    </row>
    <row r="598" spans="1:5" ht="15" customHeight="1" x14ac:dyDescent="0.3">
      <c r="A598" s="336" t="e">
        <f t="shared" si="27"/>
        <v>#REF!</v>
      </c>
      <c r="B598" s="227"/>
      <c r="C598" s="104">
        <v>270</v>
      </c>
      <c r="D598" s="399" t="s">
        <v>2192</v>
      </c>
      <c r="E598" s="226">
        <v>1355000</v>
      </c>
    </row>
    <row r="599" spans="1:5" ht="15" customHeight="1" x14ac:dyDescent="0.3">
      <c r="A599" s="336" t="e">
        <f t="shared" si="27"/>
        <v>#REF!</v>
      </c>
      <c r="B599" s="227"/>
      <c r="C599" s="106"/>
      <c r="D599" s="245" t="s">
        <v>2193</v>
      </c>
      <c r="E599" s="226">
        <v>1335000</v>
      </c>
    </row>
    <row r="600" spans="1:5" ht="15" customHeight="1" x14ac:dyDescent="0.3">
      <c r="A600" s="336" t="e">
        <f>#REF!</f>
        <v>#REF!</v>
      </c>
      <c r="B600" s="227"/>
      <c r="C600" s="491"/>
      <c r="D600" s="507" t="s">
        <v>2194</v>
      </c>
      <c r="E600" s="226">
        <v>1385000</v>
      </c>
    </row>
    <row r="601" spans="1:5" ht="15" customHeight="1" x14ac:dyDescent="0.3">
      <c r="A601" s="336" t="e">
        <f t="shared" si="27"/>
        <v>#REF!</v>
      </c>
      <c r="B601" s="227"/>
      <c r="C601" s="104">
        <v>324</v>
      </c>
      <c r="D601" s="399" t="s">
        <v>2195</v>
      </c>
      <c r="E601" s="226">
        <v>1735000</v>
      </c>
    </row>
    <row r="602" spans="1:5" ht="15" customHeight="1" x14ac:dyDescent="0.3">
      <c r="A602" s="336"/>
      <c r="B602" s="227"/>
      <c r="C602" s="106"/>
      <c r="D602" s="110" t="s">
        <v>2318</v>
      </c>
      <c r="E602" s="226">
        <v>1775000</v>
      </c>
    </row>
    <row r="603" spans="1:5" ht="15" customHeight="1" x14ac:dyDescent="0.3">
      <c r="A603" s="336" t="e">
        <f>#REF!</f>
        <v>#REF!</v>
      </c>
      <c r="B603" s="227"/>
      <c r="C603" s="104">
        <v>352</v>
      </c>
      <c r="D603" s="399" t="s">
        <v>1854</v>
      </c>
      <c r="E603" s="226">
        <v>1875000</v>
      </c>
    </row>
    <row r="604" spans="1:5" ht="15" customHeight="1" x14ac:dyDescent="0.3">
      <c r="A604" s="336" t="e">
        <f>#REF!</f>
        <v>#REF!</v>
      </c>
      <c r="B604" s="493"/>
      <c r="C604" s="491"/>
      <c r="D604" s="508" t="s">
        <v>2196</v>
      </c>
      <c r="E604" s="226">
        <v>1925000</v>
      </c>
    </row>
    <row r="605" spans="1:5" ht="15" customHeight="1" x14ac:dyDescent="0.3">
      <c r="A605" s="336" t="e">
        <f>#REF!</f>
        <v>#REF!</v>
      </c>
      <c r="B605" s="103" t="s">
        <v>1786</v>
      </c>
      <c r="C605" s="106">
        <v>118</v>
      </c>
      <c r="D605" s="110" t="s">
        <v>2198</v>
      </c>
      <c r="E605" s="226">
        <v>400000</v>
      </c>
    </row>
    <row r="606" spans="1:5" ht="15" customHeight="1" x14ac:dyDescent="0.3">
      <c r="A606" s="336" t="e">
        <f t="shared" si="27"/>
        <v>#REF!</v>
      </c>
      <c r="B606" s="227"/>
      <c r="C606" s="108">
        <v>148</v>
      </c>
      <c r="D606" s="109" t="s">
        <v>2199</v>
      </c>
      <c r="E606" s="226">
        <v>500000</v>
      </c>
    </row>
    <row r="607" spans="1:5" ht="15" customHeight="1" x14ac:dyDescent="0.3">
      <c r="A607" s="305" t="e">
        <f t="shared" si="27"/>
        <v>#REF!</v>
      </c>
      <c r="B607" s="323"/>
      <c r="C607" s="324">
        <v>216</v>
      </c>
      <c r="D607" s="325" t="s">
        <v>2200</v>
      </c>
      <c r="E607" s="226">
        <v>740000</v>
      </c>
    </row>
    <row r="608" spans="1:5" ht="15" customHeight="1" x14ac:dyDescent="0.3">
      <c r="A608" s="230" t="s">
        <v>3270</v>
      </c>
      <c r="B608" s="103" t="s">
        <v>2201</v>
      </c>
      <c r="C608" s="104">
        <v>115</v>
      </c>
      <c r="D608" s="105" t="s">
        <v>2202</v>
      </c>
      <c r="E608" s="226">
        <v>450000</v>
      </c>
    </row>
    <row r="609" spans="1:5" ht="15" customHeight="1" x14ac:dyDescent="0.3">
      <c r="A609" s="230"/>
      <c r="B609" s="401"/>
      <c r="C609" s="106">
        <v>215</v>
      </c>
      <c r="D609" s="110" t="s">
        <v>2203</v>
      </c>
      <c r="E609" s="226">
        <v>850000</v>
      </c>
    </row>
    <row r="610" spans="1:5" ht="15" customHeight="1" x14ac:dyDescent="0.3">
      <c r="A610" s="402" t="s">
        <v>3271</v>
      </c>
      <c r="B610" s="403" t="s">
        <v>1789</v>
      </c>
      <c r="C610" s="91">
        <v>120</v>
      </c>
      <c r="D610" s="251" t="s">
        <v>3272</v>
      </c>
      <c r="E610" s="226">
        <v>210000</v>
      </c>
    </row>
    <row r="611" spans="1:5" ht="15" customHeight="1" x14ac:dyDescent="0.3">
      <c r="A611" s="212"/>
      <c r="B611" s="90"/>
      <c r="C611" s="91">
        <v>190</v>
      </c>
      <c r="D611" s="251" t="s">
        <v>3273</v>
      </c>
      <c r="E611" s="226">
        <v>331000</v>
      </c>
    </row>
    <row r="612" spans="1:5" ht="15" customHeight="1" x14ac:dyDescent="0.3">
      <c r="A612" s="212"/>
      <c r="B612" s="90"/>
      <c r="C612" s="91">
        <v>230</v>
      </c>
      <c r="D612" s="251" t="s">
        <v>3274</v>
      </c>
      <c r="E612" s="226">
        <v>400000</v>
      </c>
    </row>
    <row r="613" spans="1:5" ht="15" customHeight="1" x14ac:dyDescent="0.3">
      <c r="A613" s="212"/>
      <c r="B613" s="90"/>
      <c r="C613" s="91">
        <v>300</v>
      </c>
      <c r="D613" s="251" t="s">
        <v>3275</v>
      </c>
      <c r="E613" s="226">
        <v>525000</v>
      </c>
    </row>
    <row r="614" spans="1:5" ht="15" customHeight="1" x14ac:dyDescent="0.3">
      <c r="A614" s="212"/>
      <c r="B614" s="90"/>
      <c r="C614" s="509">
        <v>350</v>
      </c>
      <c r="D614" s="251" t="s">
        <v>3276</v>
      </c>
      <c r="E614" s="226">
        <v>610000</v>
      </c>
    </row>
    <row r="615" spans="1:5" ht="15" customHeight="1" x14ac:dyDescent="0.3">
      <c r="A615" s="212"/>
      <c r="B615" s="90"/>
      <c r="C615" s="92">
        <v>300</v>
      </c>
      <c r="D615" s="404" t="s">
        <v>3277</v>
      </c>
      <c r="E615" s="226">
        <v>525000</v>
      </c>
    </row>
    <row r="616" spans="1:5" ht="15" customHeight="1" x14ac:dyDescent="0.3">
      <c r="A616" s="212"/>
      <c r="B616" s="90"/>
      <c r="C616" s="509">
        <v>350</v>
      </c>
      <c r="D616" s="510" t="s">
        <v>3278</v>
      </c>
      <c r="E616" s="226">
        <v>610000</v>
      </c>
    </row>
    <row r="617" spans="1:5" ht="15" customHeight="1" x14ac:dyDescent="0.3">
      <c r="A617" s="212"/>
      <c r="B617" s="90"/>
      <c r="C617" s="91">
        <v>300</v>
      </c>
      <c r="D617" s="251" t="s">
        <v>3279</v>
      </c>
      <c r="E617" s="226">
        <v>515000</v>
      </c>
    </row>
    <row r="618" spans="1:5" ht="15" customHeight="1" x14ac:dyDescent="0.3">
      <c r="A618" s="212"/>
      <c r="B618" s="90"/>
      <c r="C618" s="405">
        <v>350</v>
      </c>
      <c r="D618" s="406" t="s">
        <v>3280</v>
      </c>
      <c r="E618" s="226">
        <v>600000</v>
      </c>
    </row>
    <row r="619" spans="1:5" ht="15" customHeight="1" x14ac:dyDescent="0.3">
      <c r="A619" s="402" t="s">
        <v>3281</v>
      </c>
      <c r="B619" s="403" t="s">
        <v>1789</v>
      </c>
      <c r="C619" s="91">
        <v>120</v>
      </c>
      <c r="D619" s="251" t="s">
        <v>2204</v>
      </c>
      <c r="E619" s="226">
        <v>224000</v>
      </c>
    </row>
    <row r="620" spans="1:5" ht="15" customHeight="1" x14ac:dyDescent="0.3">
      <c r="A620" s="212"/>
      <c r="B620" s="90"/>
      <c r="C620" s="91"/>
      <c r="D620" s="251" t="s">
        <v>2205</v>
      </c>
      <c r="E620" s="226">
        <v>187000</v>
      </c>
    </row>
    <row r="621" spans="1:5" ht="15" customHeight="1" x14ac:dyDescent="0.3">
      <c r="A621" s="212"/>
      <c r="B621" s="90"/>
      <c r="C621" s="91"/>
      <c r="D621" s="251" t="s">
        <v>2206</v>
      </c>
      <c r="E621" s="226">
        <v>200000</v>
      </c>
    </row>
    <row r="622" spans="1:5" ht="15" customHeight="1" x14ac:dyDescent="0.3">
      <c r="A622" s="212"/>
      <c r="B622" s="90" t="s">
        <v>1787</v>
      </c>
      <c r="C622" s="93">
        <v>180</v>
      </c>
      <c r="D622" s="407" t="s">
        <v>2207</v>
      </c>
      <c r="E622" s="226">
        <v>335000</v>
      </c>
    </row>
    <row r="623" spans="1:5" ht="15" customHeight="1" x14ac:dyDescent="0.3">
      <c r="A623" s="212"/>
      <c r="B623" s="90"/>
      <c r="C623" s="91">
        <v>220</v>
      </c>
      <c r="D623" s="251" t="s">
        <v>2208</v>
      </c>
      <c r="E623" s="226">
        <v>410000</v>
      </c>
    </row>
    <row r="624" spans="1:5" ht="15" customHeight="1" x14ac:dyDescent="0.3">
      <c r="A624" s="212"/>
      <c r="B624" s="90"/>
      <c r="C624" s="91"/>
      <c r="D624" s="251" t="s">
        <v>3282</v>
      </c>
      <c r="E624" s="226">
        <v>342000</v>
      </c>
    </row>
    <row r="625" spans="1:5" ht="15" customHeight="1" x14ac:dyDescent="0.3">
      <c r="A625" s="212"/>
      <c r="B625" s="90"/>
      <c r="C625" s="91"/>
      <c r="D625" s="251" t="s">
        <v>2209</v>
      </c>
      <c r="E625" s="226">
        <v>368000</v>
      </c>
    </row>
    <row r="626" spans="1:5" ht="15" customHeight="1" x14ac:dyDescent="0.3">
      <c r="A626" s="212"/>
      <c r="B626" s="90"/>
      <c r="C626" s="91"/>
      <c r="D626" s="251" t="s">
        <v>2210</v>
      </c>
      <c r="E626" s="226">
        <v>415000</v>
      </c>
    </row>
    <row r="627" spans="1:5" ht="15" customHeight="1" x14ac:dyDescent="0.3">
      <c r="A627" s="212"/>
      <c r="B627" s="90"/>
      <c r="C627" s="91"/>
      <c r="D627" s="251" t="s">
        <v>2211</v>
      </c>
      <c r="E627" s="226">
        <v>415000</v>
      </c>
    </row>
    <row r="628" spans="1:5" ht="15" customHeight="1" x14ac:dyDescent="0.3">
      <c r="A628" s="212"/>
      <c r="B628" s="90"/>
      <c r="C628" s="509"/>
      <c r="D628" s="510" t="s">
        <v>2212</v>
      </c>
      <c r="E628" s="226">
        <v>462000</v>
      </c>
    </row>
    <row r="629" spans="1:5" ht="15" customHeight="1" x14ac:dyDescent="0.3">
      <c r="A629" s="212"/>
      <c r="B629" s="90"/>
      <c r="C629" s="91">
        <v>270</v>
      </c>
      <c r="D629" s="251" t="s">
        <v>2213</v>
      </c>
      <c r="E629" s="226">
        <v>500000</v>
      </c>
    </row>
    <row r="630" spans="1:5" ht="15" customHeight="1" x14ac:dyDescent="0.3">
      <c r="A630" s="212"/>
      <c r="B630" s="90"/>
      <c r="C630" s="91"/>
      <c r="D630" s="251" t="s">
        <v>2214</v>
      </c>
      <c r="E630" s="226">
        <v>420000</v>
      </c>
    </row>
    <row r="631" spans="1:5" ht="15" customHeight="1" x14ac:dyDescent="0.3">
      <c r="A631" s="212"/>
      <c r="B631" s="90"/>
      <c r="C631" s="91"/>
      <c r="D631" s="251" t="s">
        <v>2215</v>
      </c>
      <c r="E631" s="226">
        <v>450000</v>
      </c>
    </row>
    <row r="632" spans="1:5" ht="15" customHeight="1" x14ac:dyDescent="0.3">
      <c r="A632" s="212"/>
      <c r="B632" s="90"/>
      <c r="C632" s="91"/>
      <c r="D632" s="251" t="s">
        <v>2216</v>
      </c>
      <c r="E632" s="226">
        <v>510000</v>
      </c>
    </row>
    <row r="633" spans="1:5" ht="15" customHeight="1" x14ac:dyDescent="0.3">
      <c r="A633" s="212"/>
      <c r="B633" s="90"/>
      <c r="C633" s="91"/>
      <c r="D633" s="251" t="s">
        <v>3283</v>
      </c>
      <c r="E633" s="226">
        <v>510000</v>
      </c>
    </row>
    <row r="634" spans="1:5" ht="15" customHeight="1" x14ac:dyDescent="0.3">
      <c r="A634" s="212"/>
      <c r="B634" s="90"/>
      <c r="C634" s="92">
        <v>310</v>
      </c>
      <c r="D634" s="404" t="s">
        <v>2217</v>
      </c>
      <c r="E634" s="226">
        <v>535000</v>
      </c>
    </row>
    <row r="635" spans="1:5" ht="15" customHeight="1" x14ac:dyDescent="0.3">
      <c r="A635" s="212"/>
      <c r="B635" s="90"/>
      <c r="C635" s="509"/>
      <c r="D635" s="510" t="s">
        <v>2218</v>
      </c>
      <c r="E635" s="226">
        <v>545000</v>
      </c>
    </row>
    <row r="636" spans="1:5" ht="15" customHeight="1" x14ac:dyDescent="0.3">
      <c r="A636" s="212"/>
      <c r="B636" s="90"/>
      <c r="C636" s="91">
        <v>370</v>
      </c>
      <c r="D636" s="251" t="s">
        <v>2219</v>
      </c>
      <c r="E636" s="226">
        <v>640000</v>
      </c>
    </row>
    <row r="637" spans="1:5" ht="15" customHeight="1" x14ac:dyDescent="0.3">
      <c r="A637" s="212"/>
      <c r="B637" s="90"/>
      <c r="C637" s="509"/>
      <c r="D637" s="510" t="s">
        <v>2220</v>
      </c>
      <c r="E637" s="226">
        <v>650000</v>
      </c>
    </row>
    <row r="638" spans="1:5" ht="15" customHeight="1" x14ac:dyDescent="0.3">
      <c r="A638" s="212"/>
      <c r="B638" s="90"/>
      <c r="C638" s="91">
        <v>430</v>
      </c>
      <c r="D638" s="251" t="s">
        <v>2221</v>
      </c>
      <c r="E638" s="226">
        <v>775000</v>
      </c>
    </row>
    <row r="639" spans="1:5" ht="15" customHeight="1" x14ac:dyDescent="0.3">
      <c r="A639" s="212"/>
      <c r="B639" s="95" t="s">
        <v>2222</v>
      </c>
      <c r="C639" s="94">
        <v>220</v>
      </c>
      <c r="D639" s="408" t="s">
        <v>2223</v>
      </c>
      <c r="E639" s="226">
        <v>235000</v>
      </c>
    </row>
    <row r="640" spans="1:5" ht="15" customHeight="1" x14ac:dyDescent="0.3">
      <c r="A640" s="212"/>
      <c r="B640" s="95" t="s">
        <v>1927</v>
      </c>
      <c r="C640" s="94">
        <v>220</v>
      </c>
      <c r="D640" s="408" t="s">
        <v>2224</v>
      </c>
      <c r="E640" s="226">
        <v>320000</v>
      </c>
    </row>
    <row r="641" spans="1:5" ht="15" customHeight="1" x14ac:dyDescent="0.3">
      <c r="A641" s="212"/>
      <c r="B641" s="95" t="s">
        <v>1820</v>
      </c>
      <c r="C641" s="94">
        <v>220</v>
      </c>
      <c r="D641" s="408" t="s">
        <v>2225</v>
      </c>
      <c r="E641" s="226">
        <v>320000</v>
      </c>
    </row>
    <row r="642" spans="1:5" ht="15" customHeight="1" x14ac:dyDescent="0.3">
      <c r="A642" s="409" t="s">
        <v>2226</v>
      </c>
      <c r="B642" s="410" t="s">
        <v>2227</v>
      </c>
      <c r="C642" s="411">
        <v>135</v>
      </c>
      <c r="D642" s="412" t="s">
        <v>3284</v>
      </c>
      <c r="E642" s="226">
        <v>445000</v>
      </c>
    </row>
    <row r="643" spans="1:5" ht="15" customHeight="1" x14ac:dyDescent="0.3">
      <c r="A643" s="234" t="str">
        <f t="shared" ref="A643:A659" si="28">A642</f>
        <v>칼라플랜
(CPL)</v>
      </c>
      <c r="B643" s="99"/>
      <c r="C643" s="413"/>
      <c r="D643" s="414" t="s">
        <v>3285</v>
      </c>
      <c r="E643" s="226">
        <v>460000</v>
      </c>
    </row>
    <row r="644" spans="1:5" ht="15" customHeight="1" x14ac:dyDescent="0.3">
      <c r="A644" s="234" t="str">
        <f t="shared" si="28"/>
        <v>칼라플랜
(CPL)</v>
      </c>
      <c r="B644" s="99"/>
      <c r="C644" s="413"/>
      <c r="D644" s="415" t="s">
        <v>3286</v>
      </c>
      <c r="E644" s="226">
        <v>495000</v>
      </c>
    </row>
    <row r="645" spans="1:5" ht="15" customHeight="1" x14ac:dyDescent="0.3">
      <c r="A645" s="234" t="str">
        <f t="shared" si="28"/>
        <v>칼라플랜
(CPL)</v>
      </c>
      <c r="B645" s="99"/>
      <c r="C645" s="413"/>
      <c r="D645" s="414" t="s">
        <v>3287</v>
      </c>
      <c r="E645" s="226">
        <v>540000</v>
      </c>
    </row>
    <row r="646" spans="1:5" ht="15" customHeight="1" x14ac:dyDescent="0.3">
      <c r="A646" s="234" t="str">
        <f t="shared" si="28"/>
        <v>칼라플랜
(CPL)</v>
      </c>
      <c r="B646" s="99"/>
      <c r="C646" s="413"/>
      <c r="D646" s="414" t="s">
        <v>2228</v>
      </c>
      <c r="E646" s="226">
        <v>550000</v>
      </c>
    </row>
    <row r="647" spans="1:5" ht="15" customHeight="1" x14ac:dyDescent="0.3">
      <c r="A647" s="234" t="str">
        <f t="shared" si="28"/>
        <v>칼라플랜
(CPL)</v>
      </c>
      <c r="B647" s="99"/>
      <c r="C647" s="413"/>
      <c r="D647" s="414" t="s">
        <v>2229</v>
      </c>
      <c r="E647" s="226">
        <v>575000</v>
      </c>
    </row>
    <row r="648" spans="1:5" ht="15" customHeight="1" x14ac:dyDescent="0.3">
      <c r="A648" s="234" t="str">
        <f t="shared" si="28"/>
        <v>칼라플랜
(CPL)</v>
      </c>
      <c r="B648" s="99"/>
      <c r="C648" s="413"/>
      <c r="D648" s="414" t="s">
        <v>3288</v>
      </c>
      <c r="E648" s="226">
        <v>590000</v>
      </c>
    </row>
    <row r="649" spans="1:5" ht="15" customHeight="1" x14ac:dyDescent="0.3">
      <c r="A649" s="234" t="str">
        <f t="shared" si="28"/>
        <v>칼라플랜
(CPL)</v>
      </c>
      <c r="B649" s="99"/>
      <c r="C649" s="413"/>
      <c r="D649" s="101" t="s">
        <v>3289</v>
      </c>
      <c r="E649" s="226">
        <v>620000</v>
      </c>
    </row>
    <row r="650" spans="1:5" ht="15" customHeight="1" x14ac:dyDescent="0.3">
      <c r="A650" s="234" t="str">
        <f t="shared" si="28"/>
        <v>칼라플랜
(CPL)</v>
      </c>
      <c r="B650" s="99"/>
      <c r="C650" s="413"/>
      <c r="D650" s="100" t="s">
        <v>2230</v>
      </c>
      <c r="E650" s="226">
        <v>650000</v>
      </c>
    </row>
    <row r="651" spans="1:5" ht="15" customHeight="1" x14ac:dyDescent="0.3">
      <c r="A651" s="234" t="e">
        <f>#REF!</f>
        <v>#REF!</v>
      </c>
      <c r="B651" s="99" t="s">
        <v>2227</v>
      </c>
      <c r="C651" s="413">
        <v>270</v>
      </c>
      <c r="D651" s="416" t="s">
        <v>2231</v>
      </c>
      <c r="E651" s="226">
        <v>890000</v>
      </c>
    </row>
    <row r="652" spans="1:5" ht="15" customHeight="1" x14ac:dyDescent="0.3">
      <c r="A652" s="234" t="e">
        <f t="shared" si="28"/>
        <v>#REF!</v>
      </c>
      <c r="B652" s="99"/>
      <c r="C652" s="413"/>
      <c r="D652" s="101" t="s">
        <v>2232</v>
      </c>
      <c r="E652" s="226">
        <v>920000</v>
      </c>
    </row>
    <row r="653" spans="1:5" ht="15" customHeight="1" x14ac:dyDescent="0.3">
      <c r="A653" s="234" t="e">
        <f t="shared" si="28"/>
        <v>#REF!</v>
      </c>
      <c r="B653" s="99"/>
      <c r="C653" s="413"/>
      <c r="D653" s="417" t="s">
        <v>2233</v>
      </c>
      <c r="E653" s="226">
        <v>985000</v>
      </c>
    </row>
    <row r="654" spans="1:5" ht="15" customHeight="1" x14ac:dyDescent="0.3">
      <c r="A654" s="234" t="e">
        <f t="shared" si="28"/>
        <v>#REF!</v>
      </c>
      <c r="B654" s="99"/>
      <c r="C654" s="413"/>
      <c r="D654" s="101" t="s">
        <v>2234</v>
      </c>
      <c r="E654" s="226">
        <v>1080000</v>
      </c>
    </row>
    <row r="655" spans="1:5" ht="15" customHeight="1" x14ac:dyDescent="0.3">
      <c r="A655" s="234" t="e">
        <f t="shared" si="28"/>
        <v>#REF!</v>
      </c>
      <c r="B655" s="99"/>
      <c r="C655" s="413"/>
      <c r="D655" s="101" t="s">
        <v>2235</v>
      </c>
      <c r="E655" s="226">
        <v>1100000</v>
      </c>
    </row>
    <row r="656" spans="1:5" ht="15" customHeight="1" x14ac:dyDescent="0.3">
      <c r="A656" s="234" t="e">
        <f t="shared" si="28"/>
        <v>#REF!</v>
      </c>
      <c r="B656" s="99"/>
      <c r="C656" s="413"/>
      <c r="D656" s="101" t="s">
        <v>2236</v>
      </c>
      <c r="E656" s="226">
        <v>1150000</v>
      </c>
    </row>
    <row r="657" spans="1:5" ht="15" customHeight="1" x14ac:dyDescent="0.3">
      <c r="A657" s="234" t="e">
        <f t="shared" si="28"/>
        <v>#REF!</v>
      </c>
      <c r="B657" s="99"/>
      <c r="C657" s="413"/>
      <c r="D657" s="416" t="s">
        <v>2237</v>
      </c>
      <c r="E657" s="226">
        <v>1180000</v>
      </c>
    </row>
    <row r="658" spans="1:5" ht="15" customHeight="1" x14ac:dyDescent="0.3">
      <c r="A658" s="234" t="e">
        <f t="shared" si="28"/>
        <v>#REF!</v>
      </c>
      <c r="B658" s="99"/>
      <c r="C658" s="413"/>
      <c r="D658" s="101" t="s">
        <v>2238</v>
      </c>
      <c r="E658" s="226">
        <v>1240000</v>
      </c>
    </row>
    <row r="659" spans="1:5" s="96" customFormat="1" ht="16.5" customHeight="1" x14ac:dyDescent="0.3">
      <c r="A659" s="234" t="e">
        <f t="shared" si="28"/>
        <v>#REF!</v>
      </c>
      <c r="B659" s="102"/>
      <c r="C659" s="418"/>
      <c r="D659" s="419" t="s">
        <v>2239</v>
      </c>
      <c r="E659" s="226">
        <v>1310000</v>
      </c>
    </row>
    <row r="660" spans="1:5" s="96" customFormat="1" ht="13.2" customHeight="1" x14ac:dyDescent="0.3">
      <c r="A660" s="234" t="e">
        <f>#REF!</f>
        <v>#REF!</v>
      </c>
      <c r="B660" s="99" t="s">
        <v>2227</v>
      </c>
      <c r="C660" s="413">
        <v>350</v>
      </c>
      <c r="D660" s="416" t="s">
        <v>2240</v>
      </c>
      <c r="E660" s="226">
        <v>1150000</v>
      </c>
    </row>
    <row r="661" spans="1:5" s="96" customFormat="1" ht="13.2" customHeight="1" x14ac:dyDescent="0.3">
      <c r="A661" s="234" t="e">
        <f t="shared" ref="A661:A677" si="29">A660</f>
        <v>#REF!</v>
      </c>
      <c r="B661" s="99"/>
      <c r="C661" s="413"/>
      <c r="D661" s="101" t="s">
        <v>2241</v>
      </c>
      <c r="E661" s="226">
        <v>1190000</v>
      </c>
    </row>
    <row r="662" spans="1:5" s="96" customFormat="1" ht="13.2" customHeight="1" x14ac:dyDescent="0.3">
      <c r="A662" s="234" t="e">
        <f t="shared" si="29"/>
        <v>#REF!</v>
      </c>
      <c r="B662" s="99"/>
      <c r="C662" s="413"/>
      <c r="D662" s="417" t="s">
        <v>2242</v>
      </c>
      <c r="E662" s="226">
        <v>1275000</v>
      </c>
    </row>
    <row r="663" spans="1:5" s="96" customFormat="1" ht="13.2" customHeight="1" x14ac:dyDescent="0.3">
      <c r="A663" s="234" t="e">
        <f t="shared" si="29"/>
        <v>#REF!</v>
      </c>
      <c r="B663" s="99"/>
      <c r="C663" s="413"/>
      <c r="D663" s="101" t="s">
        <v>2243</v>
      </c>
      <c r="E663" s="226">
        <v>1400000</v>
      </c>
    </row>
    <row r="664" spans="1:5" s="96" customFormat="1" ht="13.2" customHeight="1" x14ac:dyDescent="0.3">
      <c r="A664" s="234" t="e">
        <f t="shared" si="29"/>
        <v>#REF!</v>
      </c>
      <c r="B664" s="99"/>
      <c r="C664" s="413"/>
      <c r="D664" s="417" t="s">
        <v>2244</v>
      </c>
      <c r="E664" s="226">
        <v>1425000</v>
      </c>
    </row>
    <row r="665" spans="1:5" s="96" customFormat="1" ht="13.2" customHeight="1" x14ac:dyDescent="0.3">
      <c r="A665" s="234" t="e">
        <f t="shared" si="29"/>
        <v>#REF!</v>
      </c>
      <c r="B665" s="99"/>
      <c r="C665" s="413"/>
      <c r="D665" s="417" t="s">
        <v>2245</v>
      </c>
      <c r="E665" s="226">
        <v>1485000</v>
      </c>
    </row>
    <row r="666" spans="1:5" s="96" customFormat="1" ht="16.5" customHeight="1" x14ac:dyDescent="0.3">
      <c r="A666" s="234" t="e">
        <f t="shared" si="29"/>
        <v>#REF!</v>
      </c>
      <c r="B666" s="99"/>
      <c r="C666" s="413"/>
      <c r="D666" s="101" t="s">
        <v>2246</v>
      </c>
      <c r="E666" s="226">
        <v>1530000</v>
      </c>
    </row>
    <row r="667" spans="1:5" s="96" customFormat="1" ht="13.2" customHeight="1" x14ac:dyDescent="0.3">
      <c r="A667" s="234" t="e">
        <f t="shared" si="29"/>
        <v>#REF!</v>
      </c>
      <c r="B667" s="99"/>
      <c r="C667" s="413"/>
      <c r="D667" s="101" t="s">
        <v>2247</v>
      </c>
      <c r="E667" s="226">
        <v>1610000</v>
      </c>
    </row>
    <row r="668" spans="1:5" s="96" customFormat="1" ht="13.2" customHeight="1" x14ac:dyDescent="0.3">
      <c r="A668" s="234" t="e">
        <f t="shared" si="29"/>
        <v>#REF!</v>
      </c>
      <c r="B668" s="99"/>
      <c r="C668" s="413"/>
      <c r="D668" s="100" t="s">
        <v>2248</v>
      </c>
      <c r="E668" s="226">
        <v>1700000</v>
      </c>
    </row>
    <row r="669" spans="1:5" s="96" customFormat="1" ht="13.2" customHeight="1" x14ac:dyDescent="0.3">
      <c r="A669" s="234" t="e">
        <f>#REF!</f>
        <v>#REF!</v>
      </c>
      <c r="B669" s="410" t="s">
        <v>2249</v>
      </c>
      <c r="C669" s="411">
        <v>540</v>
      </c>
      <c r="D669" s="420" t="s">
        <v>2250</v>
      </c>
      <c r="E669" s="226">
        <v>2200000</v>
      </c>
    </row>
    <row r="670" spans="1:5" s="96" customFormat="1" ht="13.2" customHeight="1" x14ac:dyDescent="0.3">
      <c r="A670" s="234" t="e">
        <f t="shared" si="29"/>
        <v>#REF!</v>
      </c>
      <c r="B670" s="99"/>
      <c r="C670" s="413"/>
      <c r="D670" s="101" t="s">
        <v>2251</v>
      </c>
      <c r="E670" s="226">
        <v>2250000</v>
      </c>
    </row>
    <row r="671" spans="1:5" s="96" customFormat="1" ht="13.2" customHeight="1" x14ac:dyDescent="0.3">
      <c r="A671" s="234" t="e">
        <f t="shared" si="29"/>
        <v>#REF!</v>
      </c>
      <c r="B671" s="99"/>
      <c r="C671" s="413"/>
      <c r="D671" s="101" t="s">
        <v>2252</v>
      </c>
      <c r="E671" s="226">
        <v>2400000</v>
      </c>
    </row>
    <row r="672" spans="1:5" s="96" customFormat="1" ht="13.2" customHeight="1" x14ac:dyDescent="0.3">
      <c r="A672" s="234" t="e">
        <f t="shared" si="29"/>
        <v>#REF!</v>
      </c>
      <c r="B672" s="99"/>
      <c r="C672" s="413"/>
      <c r="D672" s="101" t="s">
        <v>2253</v>
      </c>
      <c r="E672" s="226">
        <v>2620000</v>
      </c>
    </row>
    <row r="673" spans="1:5" s="96" customFormat="1" ht="13.2" customHeight="1" x14ac:dyDescent="0.3">
      <c r="A673" s="234" t="e">
        <f t="shared" si="29"/>
        <v>#REF!</v>
      </c>
      <c r="B673" s="99"/>
      <c r="C673" s="413"/>
      <c r="D673" s="101" t="s">
        <v>2254</v>
      </c>
      <c r="E673" s="226">
        <v>2700000</v>
      </c>
    </row>
    <row r="674" spans="1:5" s="96" customFormat="1" ht="16.5" customHeight="1" x14ac:dyDescent="0.3">
      <c r="A674" s="234" t="e">
        <f t="shared" si="29"/>
        <v>#REF!</v>
      </c>
      <c r="B674" s="99"/>
      <c r="C674" s="413"/>
      <c r="D674" s="101" t="s">
        <v>2255</v>
      </c>
      <c r="E674" s="226">
        <v>2750000</v>
      </c>
    </row>
    <row r="675" spans="1:5" s="96" customFormat="1" ht="13.2" customHeight="1" x14ac:dyDescent="0.3">
      <c r="A675" s="234" t="e">
        <f t="shared" si="29"/>
        <v>#REF!</v>
      </c>
      <c r="B675" s="102"/>
      <c r="C675" s="418"/>
      <c r="D675" s="419" t="s">
        <v>2256</v>
      </c>
      <c r="E675" s="226">
        <v>2900000</v>
      </c>
    </row>
    <row r="676" spans="1:5" s="96" customFormat="1" ht="13.2" customHeight="1" x14ac:dyDescent="0.3">
      <c r="A676" s="234" t="e">
        <f t="shared" si="29"/>
        <v>#REF!</v>
      </c>
      <c r="B676" s="410" t="s">
        <v>2249</v>
      </c>
      <c r="C676" s="411">
        <v>700</v>
      </c>
      <c r="D676" s="420" t="s">
        <v>2257</v>
      </c>
      <c r="E676" s="226">
        <v>2850000</v>
      </c>
    </row>
    <row r="677" spans="1:5" s="96" customFormat="1" ht="13.2" customHeight="1" x14ac:dyDescent="0.3">
      <c r="A677" s="234" t="e">
        <f t="shared" si="29"/>
        <v>#REF!</v>
      </c>
      <c r="B677" s="102"/>
      <c r="C677" s="418"/>
      <c r="D677" s="102" t="s">
        <v>2258</v>
      </c>
      <c r="E677" s="226">
        <v>3500000</v>
      </c>
    </row>
    <row r="678" spans="1:5" s="96" customFormat="1" ht="13.2" customHeight="1" x14ac:dyDescent="0.3">
      <c r="A678" s="229" t="s">
        <v>3290</v>
      </c>
      <c r="B678" s="232" t="s">
        <v>1826</v>
      </c>
      <c r="C678" s="224">
        <v>120</v>
      </c>
      <c r="D678" s="339" t="s">
        <v>1837</v>
      </c>
      <c r="E678" s="226">
        <v>440000</v>
      </c>
    </row>
    <row r="679" spans="1:5" s="96" customFormat="1" ht="13.2" customHeight="1" x14ac:dyDescent="0.3">
      <c r="A679" s="230" t="str">
        <f>A678</f>
        <v>칼라플 터치
(CFT)</v>
      </c>
      <c r="B679" s="235"/>
      <c r="C679" s="491"/>
      <c r="D679" s="510" t="s">
        <v>1838</v>
      </c>
      <c r="E679" s="226">
        <v>460000</v>
      </c>
    </row>
    <row r="680" spans="1:5" s="96" customFormat="1" ht="13.2" customHeight="1" x14ac:dyDescent="0.3">
      <c r="A680" s="230"/>
      <c r="B680" s="235"/>
      <c r="C680" s="106">
        <v>230</v>
      </c>
      <c r="D680" s="251" t="s">
        <v>1839</v>
      </c>
      <c r="E680" s="226">
        <v>720000</v>
      </c>
    </row>
    <row r="681" spans="1:5" s="96" customFormat="1" ht="13.2" customHeight="1" x14ac:dyDescent="0.3">
      <c r="A681" s="230"/>
      <c r="B681" s="235"/>
      <c r="C681" s="491"/>
      <c r="D681" s="510" t="s">
        <v>1840</v>
      </c>
      <c r="E681" s="226">
        <v>840000</v>
      </c>
    </row>
    <row r="682" spans="1:5" ht="15" customHeight="1" x14ac:dyDescent="0.3">
      <c r="A682" s="230"/>
      <c r="B682" s="235"/>
      <c r="C682" s="106">
        <v>230</v>
      </c>
      <c r="D682" s="251" t="s">
        <v>1841</v>
      </c>
      <c r="E682" s="226">
        <v>990000</v>
      </c>
    </row>
    <row r="683" spans="1:5" ht="15" customHeight="1" x14ac:dyDescent="0.3">
      <c r="A683" s="230"/>
      <c r="B683" s="235"/>
      <c r="C683" s="491"/>
      <c r="D683" s="510" t="s">
        <v>1842</v>
      </c>
      <c r="E683" s="226">
        <v>1030000</v>
      </c>
    </row>
    <row r="684" spans="1:5" ht="15" customHeight="1" x14ac:dyDescent="0.3">
      <c r="A684" s="230"/>
      <c r="B684" s="235"/>
      <c r="C684" s="106">
        <v>350</v>
      </c>
      <c r="D684" s="116" t="s">
        <v>3291</v>
      </c>
      <c r="E684" s="226">
        <v>1500000</v>
      </c>
    </row>
    <row r="685" spans="1:5" ht="15" customHeight="1" x14ac:dyDescent="0.3">
      <c r="A685" s="230"/>
      <c r="B685" s="235"/>
      <c r="C685" s="106"/>
      <c r="D685" s="116" t="s">
        <v>3292</v>
      </c>
      <c r="E685" s="226">
        <v>1550000</v>
      </c>
    </row>
    <row r="686" spans="1:5" ht="15" customHeight="1" x14ac:dyDescent="0.3">
      <c r="A686" s="230"/>
      <c r="B686" s="235"/>
      <c r="C686" s="106"/>
      <c r="D686" s="116" t="s">
        <v>3293</v>
      </c>
      <c r="E686" s="226">
        <v>1550000</v>
      </c>
    </row>
    <row r="687" spans="1:5" ht="15" customHeight="1" x14ac:dyDescent="0.3">
      <c r="A687" s="230"/>
      <c r="B687" s="235"/>
      <c r="C687" s="104">
        <v>120</v>
      </c>
      <c r="D687" s="421" t="s">
        <v>3294</v>
      </c>
      <c r="E687" s="226">
        <v>460000</v>
      </c>
    </row>
    <row r="688" spans="1:5" ht="15" customHeight="1" x14ac:dyDescent="0.3">
      <c r="A688" s="230"/>
      <c r="B688" s="235"/>
      <c r="C688" s="106">
        <v>150</v>
      </c>
      <c r="D688" s="116" t="s">
        <v>3295</v>
      </c>
      <c r="E688" s="226">
        <v>570000</v>
      </c>
    </row>
    <row r="689" spans="1:5" ht="15" customHeight="1" x14ac:dyDescent="0.3">
      <c r="A689" s="230"/>
      <c r="B689" s="235"/>
      <c r="C689" s="106">
        <v>230</v>
      </c>
      <c r="D689" s="116" t="s">
        <v>3296</v>
      </c>
      <c r="E689" s="226">
        <v>950000</v>
      </c>
    </row>
    <row r="690" spans="1:5" ht="15" customHeight="1" x14ac:dyDescent="0.3">
      <c r="A690" s="230"/>
      <c r="B690" s="235"/>
      <c r="C690" s="106">
        <v>300</v>
      </c>
      <c r="D690" s="116" t="s">
        <v>3297</v>
      </c>
      <c r="E690" s="226">
        <v>1240000</v>
      </c>
    </row>
    <row r="691" spans="1:5" ht="15" customHeight="1" x14ac:dyDescent="0.3">
      <c r="A691" s="230"/>
      <c r="B691" s="235"/>
      <c r="C691" s="491">
        <v>350</v>
      </c>
      <c r="D691" s="511" t="s">
        <v>3298</v>
      </c>
      <c r="E691" s="226">
        <v>1450000</v>
      </c>
    </row>
    <row r="692" spans="1:5" ht="15" customHeight="1" x14ac:dyDescent="0.3">
      <c r="A692" s="229" t="s">
        <v>2259</v>
      </c>
      <c r="B692" s="232" t="s">
        <v>1921</v>
      </c>
      <c r="C692" s="224">
        <v>200</v>
      </c>
      <c r="D692" s="225" t="s">
        <v>2029</v>
      </c>
      <c r="E692" s="226">
        <v>425000</v>
      </c>
    </row>
    <row r="693" spans="1:5" ht="15" customHeight="1" x14ac:dyDescent="0.3">
      <c r="A693" s="230" t="str">
        <f>A692</f>
        <v>컨택팩
(CTT)</v>
      </c>
      <c r="B693" s="235"/>
      <c r="C693" s="106">
        <v>250</v>
      </c>
      <c r="D693" s="110"/>
      <c r="E693" s="226">
        <v>530000</v>
      </c>
    </row>
    <row r="694" spans="1:5" ht="15" customHeight="1" x14ac:dyDescent="0.3">
      <c r="A694" s="230" t="str">
        <f>A693</f>
        <v>컨택팩
(CTT)</v>
      </c>
      <c r="B694" s="235"/>
      <c r="C694" s="106">
        <v>300</v>
      </c>
      <c r="D694" s="110"/>
      <c r="E694" s="226">
        <v>635000</v>
      </c>
    </row>
    <row r="695" spans="1:5" ht="15" customHeight="1" x14ac:dyDescent="0.3">
      <c r="A695" s="230" t="str">
        <f>A694</f>
        <v>컨택팩
(CTT)</v>
      </c>
      <c r="B695" s="235"/>
      <c r="C695" s="106">
        <v>360</v>
      </c>
      <c r="D695" s="110"/>
      <c r="E695" s="226">
        <v>760000</v>
      </c>
    </row>
    <row r="696" spans="1:5" ht="15" customHeight="1" x14ac:dyDescent="0.3">
      <c r="A696" s="317" t="str">
        <f>A695</f>
        <v>컨택팩
(CTT)</v>
      </c>
      <c r="B696" s="330"/>
      <c r="C696" s="315">
        <v>450</v>
      </c>
      <c r="D696" s="318"/>
      <c r="E696" s="226">
        <v>1075000</v>
      </c>
    </row>
    <row r="697" spans="1:5" ht="15" customHeight="1" x14ac:dyDescent="0.3">
      <c r="A697" s="229" t="s">
        <v>3299</v>
      </c>
      <c r="B697" s="223" t="s">
        <v>1784</v>
      </c>
      <c r="C697" s="106">
        <v>200</v>
      </c>
      <c r="D697" s="110"/>
      <c r="E697" s="226">
        <v>450000</v>
      </c>
    </row>
    <row r="698" spans="1:5" ht="15" customHeight="1" x14ac:dyDescent="0.3">
      <c r="A698" s="322" t="e">
        <f>#REF!</f>
        <v>#REF!</v>
      </c>
      <c r="B698" s="323"/>
      <c r="C698" s="324">
        <v>370</v>
      </c>
      <c r="D698" s="325"/>
      <c r="E698" s="226">
        <v>840000</v>
      </c>
    </row>
    <row r="699" spans="1:5" ht="15" customHeight="1" x14ac:dyDescent="0.3">
      <c r="A699" s="229" t="s">
        <v>3300</v>
      </c>
      <c r="B699" s="227"/>
      <c r="C699" s="106">
        <v>120</v>
      </c>
      <c r="D699" s="110" t="s">
        <v>2260</v>
      </c>
      <c r="E699" s="226">
        <v>365000</v>
      </c>
    </row>
    <row r="700" spans="1:5" ht="15" customHeight="1" x14ac:dyDescent="0.3">
      <c r="A700" s="229" t="str">
        <f>A699</f>
        <v>카카오
(CACA)</v>
      </c>
      <c r="B700" s="227" t="s">
        <v>1787</v>
      </c>
      <c r="C700" s="106">
        <v>250</v>
      </c>
      <c r="D700" s="110" t="s">
        <v>2261</v>
      </c>
      <c r="E700" s="226">
        <v>625000</v>
      </c>
    </row>
    <row r="701" spans="1:5" ht="15" customHeight="1" x14ac:dyDescent="0.3">
      <c r="A701" s="229" t="str">
        <f>A700</f>
        <v>카카오
(CACA)</v>
      </c>
      <c r="B701" s="314"/>
      <c r="C701" s="315">
        <v>350</v>
      </c>
      <c r="D701" s="110" t="s">
        <v>2262</v>
      </c>
      <c r="E701" s="226">
        <v>1070000</v>
      </c>
    </row>
    <row r="702" spans="1:5" ht="15" customHeight="1" x14ac:dyDescent="0.3">
      <c r="A702" s="237" t="s">
        <v>2264</v>
      </c>
      <c r="B702" s="422" t="s">
        <v>2007</v>
      </c>
      <c r="C702" s="423">
        <v>120</v>
      </c>
      <c r="D702" s="298" t="s">
        <v>2265</v>
      </c>
      <c r="E702" s="226">
        <v>700000</v>
      </c>
    </row>
    <row r="703" spans="1:5" ht="15" customHeight="1" x14ac:dyDescent="0.3">
      <c r="A703" s="230" t="e">
        <f>#REF!</f>
        <v>#REF!</v>
      </c>
      <c r="B703" s="271" t="s">
        <v>1846</v>
      </c>
      <c r="C703" s="272">
        <v>120</v>
      </c>
      <c r="D703" s="273" t="s">
        <v>2266</v>
      </c>
      <c r="E703" s="226">
        <v>735000</v>
      </c>
    </row>
    <row r="704" spans="1:5" ht="15" customHeight="1" x14ac:dyDescent="0.3">
      <c r="A704" s="230" t="e">
        <f>#REF!</f>
        <v>#REF!</v>
      </c>
      <c r="B704" s="235"/>
      <c r="C704" s="106"/>
      <c r="D704" s="110" t="s">
        <v>2267</v>
      </c>
      <c r="E704" s="226">
        <v>700000</v>
      </c>
    </row>
    <row r="705" spans="1:5" ht="15" customHeight="1" x14ac:dyDescent="0.3">
      <c r="A705" s="230" t="e">
        <f>#REF!</f>
        <v>#REF!</v>
      </c>
      <c r="B705" s="235"/>
      <c r="C705" s="106"/>
      <c r="D705" s="110" t="s">
        <v>2268</v>
      </c>
      <c r="E705" s="226">
        <v>900000</v>
      </c>
    </row>
    <row r="706" spans="1:5" ht="15" customHeight="1" x14ac:dyDescent="0.3">
      <c r="A706" s="230"/>
      <c r="B706" s="235"/>
      <c r="C706" s="106"/>
      <c r="D706" s="110" t="s">
        <v>2269</v>
      </c>
      <c r="E706" s="226">
        <v>835000</v>
      </c>
    </row>
    <row r="707" spans="1:5" ht="15" customHeight="1" x14ac:dyDescent="0.3">
      <c r="A707" s="230"/>
      <c r="B707" s="488"/>
      <c r="C707" s="489"/>
      <c r="D707" s="490" t="s">
        <v>3301</v>
      </c>
      <c r="E707" s="226">
        <v>835000</v>
      </c>
    </row>
    <row r="708" spans="1:5" ht="15" customHeight="1" x14ac:dyDescent="0.3">
      <c r="A708" s="230" t="e">
        <f>#REF!</f>
        <v>#REF!</v>
      </c>
      <c r="B708" s="488" t="s">
        <v>2007</v>
      </c>
      <c r="C708" s="489">
        <v>250</v>
      </c>
      <c r="D708" s="490" t="s">
        <v>2270</v>
      </c>
      <c r="E708" s="226">
        <v>1400000</v>
      </c>
    </row>
    <row r="709" spans="1:5" ht="15" customHeight="1" x14ac:dyDescent="0.3">
      <c r="A709" s="230"/>
      <c r="B709" s="227" t="s">
        <v>1846</v>
      </c>
      <c r="C709" s="106">
        <v>250</v>
      </c>
      <c r="D709" s="110" t="s">
        <v>3302</v>
      </c>
      <c r="E709" s="226">
        <v>1400000</v>
      </c>
    </row>
    <row r="710" spans="1:5" ht="15" customHeight="1" x14ac:dyDescent="0.3">
      <c r="A710" s="230" t="e">
        <f>#REF!</f>
        <v>#REF!</v>
      </c>
      <c r="B710" s="488" t="s">
        <v>2007</v>
      </c>
      <c r="C710" s="424">
        <v>300</v>
      </c>
      <c r="D710" s="374" t="s">
        <v>2271</v>
      </c>
      <c r="E710" s="226">
        <v>1690000</v>
      </c>
    </row>
    <row r="711" spans="1:5" ht="15" customHeight="1" x14ac:dyDescent="0.3">
      <c r="A711" s="230"/>
      <c r="B711" s="271" t="s">
        <v>1846</v>
      </c>
      <c r="C711" s="272">
        <v>300</v>
      </c>
      <c r="D711" s="273" t="s">
        <v>3303</v>
      </c>
      <c r="E711" s="226">
        <v>1690000</v>
      </c>
    </row>
    <row r="712" spans="1:5" ht="15" customHeight="1" x14ac:dyDescent="0.3">
      <c r="A712" s="230"/>
      <c r="B712" s="425"/>
      <c r="C712" s="489"/>
      <c r="D712" s="490" t="s">
        <v>3304</v>
      </c>
      <c r="E712" s="226">
        <v>1690000</v>
      </c>
    </row>
    <row r="713" spans="1:5" ht="15" customHeight="1" x14ac:dyDescent="0.3">
      <c r="A713" s="230" t="e">
        <f>#REF!</f>
        <v>#REF!</v>
      </c>
      <c r="B713" s="227" t="s">
        <v>1786</v>
      </c>
      <c r="C713" s="106">
        <v>250</v>
      </c>
      <c r="D713" s="110" t="s">
        <v>2272</v>
      </c>
      <c r="E713" s="226">
        <v>985000</v>
      </c>
    </row>
    <row r="714" spans="1:5" ht="15" customHeight="1" x14ac:dyDescent="0.3">
      <c r="A714" s="230" t="e">
        <f>#REF!</f>
        <v>#REF!</v>
      </c>
      <c r="B714" s="227"/>
      <c r="C714" s="106"/>
      <c r="D714" s="110" t="s">
        <v>3305</v>
      </c>
      <c r="E714" s="226">
        <v>985000</v>
      </c>
    </row>
    <row r="715" spans="1:5" ht="15" customHeight="1" x14ac:dyDescent="0.3">
      <c r="A715" s="230"/>
      <c r="B715" s="227" t="s">
        <v>1820</v>
      </c>
      <c r="C715" s="106">
        <v>250</v>
      </c>
      <c r="D715" s="110" t="s">
        <v>3306</v>
      </c>
      <c r="E715" s="226">
        <v>985000</v>
      </c>
    </row>
    <row r="716" spans="1:5" ht="15" customHeight="1" x14ac:dyDescent="0.3">
      <c r="A716" s="241"/>
      <c r="B716" s="323"/>
      <c r="C716" s="324" t="s">
        <v>1787</v>
      </c>
      <c r="D716" s="325" t="s">
        <v>2273</v>
      </c>
      <c r="E716" s="226">
        <v>985000</v>
      </c>
    </row>
    <row r="717" spans="1:5" ht="15" customHeight="1" x14ac:dyDescent="0.3">
      <c r="A717" s="210" t="s">
        <v>2274</v>
      </c>
      <c r="B717" s="227" t="s">
        <v>1788</v>
      </c>
      <c r="C717" s="106">
        <v>135</v>
      </c>
      <c r="D717" s="110" t="s">
        <v>2275</v>
      </c>
      <c r="E717" s="226">
        <v>1160000</v>
      </c>
    </row>
    <row r="718" spans="1:5" ht="15" customHeight="1" x14ac:dyDescent="0.3">
      <c r="A718" s="210" t="str">
        <f>A717</f>
        <v>큐리어스 매터
(CMT)</v>
      </c>
      <c r="B718" s="227"/>
      <c r="C718" s="491"/>
      <c r="D718" s="495" t="s">
        <v>2276</v>
      </c>
      <c r="E718" s="226">
        <v>1250000</v>
      </c>
    </row>
    <row r="719" spans="1:5" ht="15" customHeight="1" x14ac:dyDescent="0.3">
      <c r="A719" s="210" t="e">
        <f>#REF!</f>
        <v>#REF!</v>
      </c>
      <c r="B719" s="227"/>
      <c r="C719" s="104">
        <v>270</v>
      </c>
      <c r="D719" s="110" t="s">
        <v>2277</v>
      </c>
      <c r="E719" s="226">
        <v>2190000</v>
      </c>
    </row>
    <row r="720" spans="1:5" ht="15" customHeight="1" x14ac:dyDescent="0.3">
      <c r="A720" s="210" t="e">
        <f>A719</f>
        <v>#REF!</v>
      </c>
      <c r="B720" s="227"/>
      <c r="C720" s="106"/>
      <c r="D720" s="510" t="s">
        <v>2278</v>
      </c>
      <c r="E720" s="226">
        <v>2380000</v>
      </c>
    </row>
    <row r="721" spans="1:5" ht="15" customHeight="1" x14ac:dyDescent="0.3">
      <c r="A721" s="210" t="e">
        <f>#REF!</f>
        <v>#REF!</v>
      </c>
      <c r="B721" s="227"/>
      <c r="C721" s="104">
        <v>380</v>
      </c>
      <c r="D721" s="110" t="s">
        <v>2279</v>
      </c>
      <c r="E721" s="226">
        <v>3075000</v>
      </c>
    </row>
    <row r="722" spans="1:5" ht="15" customHeight="1" x14ac:dyDescent="0.3">
      <c r="A722" s="211" t="e">
        <f>A721</f>
        <v>#REF!</v>
      </c>
      <c r="B722" s="323"/>
      <c r="C722" s="324"/>
      <c r="D722" s="325" t="s">
        <v>2280</v>
      </c>
      <c r="E722" s="226">
        <v>3350000</v>
      </c>
    </row>
    <row r="723" spans="1:5" ht="15" customHeight="1" x14ac:dyDescent="0.3">
      <c r="A723" s="337" t="s">
        <v>2281</v>
      </c>
      <c r="B723" s="227" t="s">
        <v>1788</v>
      </c>
      <c r="C723" s="106">
        <v>135</v>
      </c>
      <c r="D723" s="426" t="s">
        <v>2282</v>
      </c>
      <c r="E723" s="226">
        <v>1400000</v>
      </c>
    </row>
    <row r="724" spans="1:5" ht="15" customHeight="1" x14ac:dyDescent="0.3">
      <c r="A724" s="337"/>
      <c r="B724" s="227"/>
      <c r="C724" s="106"/>
      <c r="D724" s="507" t="s">
        <v>3307</v>
      </c>
      <c r="E724" s="226">
        <v>1685000</v>
      </c>
    </row>
    <row r="725" spans="1:5" ht="15" customHeight="1" x14ac:dyDescent="0.3">
      <c r="A725" s="337" t="e">
        <f>#REF!</f>
        <v>#REF!</v>
      </c>
      <c r="B725" s="227"/>
      <c r="C725" s="104">
        <v>270</v>
      </c>
      <c r="D725" s="245" t="s">
        <v>2277</v>
      </c>
      <c r="E725" s="226">
        <v>2515000</v>
      </c>
    </row>
    <row r="726" spans="1:5" ht="15" customHeight="1" x14ac:dyDescent="0.3">
      <c r="A726" s="337" t="e">
        <f>A725</f>
        <v>#REF!</v>
      </c>
      <c r="B726" s="227"/>
      <c r="C726" s="106"/>
      <c r="D726" s="508" t="s">
        <v>2283</v>
      </c>
      <c r="E726" s="226">
        <v>3085000</v>
      </c>
    </row>
    <row r="727" spans="1:5" ht="15" customHeight="1" x14ac:dyDescent="0.3">
      <c r="A727" s="337" t="e">
        <f>#REF!</f>
        <v>#REF!</v>
      </c>
      <c r="B727" s="227"/>
      <c r="C727" s="104">
        <v>380</v>
      </c>
      <c r="D727" s="245" t="s">
        <v>2279</v>
      </c>
      <c r="E727" s="226">
        <v>3500000</v>
      </c>
    </row>
    <row r="728" spans="1:5" ht="15" customHeight="1" x14ac:dyDescent="0.3">
      <c r="A728" s="336" t="e">
        <f>A727</f>
        <v>#REF!</v>
      </c>
      <c r="B728" s="227"/>
      <c r="C728" s="324"/>
      <c r="D728" s="245" t="s">
        <v>2284</v>
      </c>
      <c r="E728" s="226">
        <v>4300000</v>
      </c>
    </row>
    <row r="729" spans="1:5" ht="15" customHeight="1" x14ac:dyDescent="0.3">
      <c r="A729" s="237" t="s">
        <v>2287</v>
      </c>
      <c r="B729" s="427" t="s">
        <v>1789</v>
      </c>
      <c r="C729" s="106">
        <v>258</v>
      </c>
      <c r="D729" s="240" t="s">
        <v>3308</v>
      </c>
      <c r="E729" s="226">
        <v>340000</v>
      </c>
    </row>
    <row r="730" spans="1:5" ht="15" customHeight="1" x14ac:dyDescent="0.3">
      <c r="A730" s="230" t="str">
        <f>A729</f>
        <v>크라프트팩 EV
(KPAKE)</v>
      </c>
      <c r="B730" s="227"/>
      <c r="C730" s="106">
        <v>288</v>
      </c>
      <c r="D730" s="110" t="s">
        <v>3309</v>
      </c>
      <c r="E730" s="226">
        <v>370000</v>
      </c>
    </row>
    <row r="731" spans="1:5" ht="15" customHeight="1" x14ac:dyDescent="0.3">
      <c r="A731" s="230" t="str">
        <f>A730</f>
        <v>크라프트팩 EV
(KPAKE)</v>
      </c>
      <c r="B731" s="227"/>
      <c r="C731" s="106">
        <v>302</v>
      </c>
      <c r="D731" s="110" t="s">
        <v>3310</v>
      </c>
      <c r="E731" s="226">
        <v>392000</v>
      </c>
    </row>
    <row r="732" spans="1:5" ht="15" customHeight="1" x14ac:dyDescent="0.3">
      <c r="A732" s="230" t="str">
        <f>A731</f>
        <v>크라프트팩 EV
(KPAKE)</v>
      </c>
      <c r="B732" s="227"/>
      <c r="C732" s="106">
        <v>332</v>
      </c>
      <c r="D732" s="110" t="s">
        <v>3311</v>
      </c>
      <c r="E732" s="226">
        <v>430000</v>
      </c>
    </row>
    <row r="733" spans="1:5" ht="15" customHeight="1" x14ac:dyDescent="0.3">
      <c r="A733" s="230" t="str">
        <f>A732</f>
        <v>크라프트팩 EV
(KPAKE)</v>
      </c>
      <c r="B733" s="227"/>
      <c r="C733" s="106">
        <v>356</v>
      </c>
      <c r="D733" s="110" t="s">
        <v>3312</v>
      </c>
      <c r="E733" s="226">
        <v>455000</v>
      </c>
    </row>
    <row r="734" spans="1:5" ht="15" customHeight="1" x14ac:dyDescent="0.3">
      <c r="A734" s="230" t="str">
        <f>A733</f>
        <v>크라프트팩 EV
(KPAKE)</v>
      </c>
      <c r="B734" s="227"/>
      <c r="C734" s="106">
        <v>380</v>
      </c>
      <c r="D734" s="110" t="s">
        <v>3313</v>
      </c>
      <c r="E734" s="226">
        <v>490000</v>
      </c>
    </row>
    <row r="735" spans="1:5" ht="15" customHeight="1" x14ac:dyDescent="0.3">
      <c r="A735" s="230" t="e">
        <f>#REF!</f>
        <v>#REF!</v>
      </c>
      <c r="B735" s="227"/>
      <c r="C735" s="491">
        <v>410</v>
      </c>
      <c r="D735" s="110" t="s">
        <v>2288</v>
      </c>
      <c r="E735" s="226">
        <v>525000</v>
      </c>
    </row>
    <row r="736" spans="1:5" ht="15" customHeight="1" x14ac:dyDescent="0.3">
      <c r="A736" s="230" t="e">
        <f t="shared" ref="A736:A748" si="30">A735</f>
        <v>#REF!</v>
      </c>
      <c r="B736" s="103" t="s">
        <v>1786</v>
      </c>
      <c r="C736" s="106">
        <v>258</v>
      </c>
      <c r="D736" s="112" t="s">
        <v>2289</v>
      </c>
      <c r="E736" s="226">
        <v>237000</v>
      </c>
    </row>
    <row r="737" spans="1:5" ht="15" customHeight="1" x14ac:dyDescent="0.3">
      <c r="A737" s="230" t="e">
        <f t="shared" si="30"/>
        <v>#REF!</v>
      </c>
      <c r="B737" s="227"/>
      <c r="C737" s="106">
        <v>288</v>
      </c>
      <c r="D737" s="110" t="s">
        <v>2046</v>
      </c>
      <c r="E737" s="226">
        <v>257000</v>
      </c>
    </row>
    <row r="738" spans="1:5" ht="15" customHeight="1" x14ac:dyDescent="0.3">
      <c r="A738" s="230" t="e">
        <f t="shared" si="30"/>
        <v>#REF!</v>
      </c>
      <c r="B738" s="227"/>
      <c r="C738" s="106">
        <v>302</v>
      </c>
      <c r="D738" s="110" t="s">
        <v>3314</v>
      </c>
      <c r="E738" s="226">
        <v>272000</v>
      </c>
    </row>
    <row r="739" spans="1:5" ht="15" customHeight="1" x14ac:dyDescent="0.3">
      <c r="A739" s="230" t="e">
        <f t="shared" si="30"/>
        <v>#REF!</v>
      </c>
      <c r="B739" s="227"/>
      <c r="C739" s="106">
        <v>332</v>
      </c>
      <c r="D739" s="110" t="s">
        <v>2150</v>
      </c>
      <c r="E739" s="226">
        <v>297500</v>
      </c>
    </row>
    <row r="740" spans="1:5" ht="15" customHeight="1" x14ac:dyDescent="0.3">
      <c r="A740" s="230" t="e">
        <f t="shared" si="30"/>
        <v>#REF!</v>
      </c>
      <c r="B740" s="227"/>
      <c r="C740" s="106">
        <v>356</v>
      </c>
      <c r="D740" s="110" t="s">
        <v>2151</v>
      </c>
      <c r="E740" s="226">
        <v>315000</v>
      </c>
    </row>
    <row r="741" spans="1:5" ht="15" customHeight="1" x14ac:dyDescent="0.3">
      <c r="A741" s="230" t="e">
        <f t="shared" si="30"/>
        <v>#REF!</v>
      </c>
      <c r="B741" s="227"/>
      <c r="C741" s="106">
        <v>380</v>
      </c>
      <c r="D741" s="110" t="s">
        <v>3315</v>
      </c>
      <c r="E741" s="226">
        <v>340000</v>
      </c>
    </row>
    <row r="742" spans="1:5" ht="15" customHeight="1" x14ac:dyDescent="0.3">
      <c r="A742" s="230" t="e">
        <f t="shared" si="30"/>
        <v>#REF!</v>
      </c>
      <c r="B742" s="227"/>
      <c r="C742" s="106">
        <v>410</v>
      </c>
      <c r="D742" s="110" t="s">
        <v>3316</v>
      </c>
      <c r="E742" s="226">
        <v>365000</v>
      </c>
    </row>
    <row r="743" spans="1:5" ht="15" customHeight="1" x14ac:dyDescent="0.3">
      <c r="A743" s="230" t="e">
        <f t="shared" si="30"/>
        <v>#REF!</v>
      </c>
      <c r="B743" s="103" t="s">
        <v>1857</v>
      </c>
      <c r="C743" s="104">
        <v>258</v>
      </c>
      <c r="D743" s="112" t="s">
        <v>2290</v>
      </c>
      <c r="E743" s="226">
        <v>148000</v>
      </c>
    </row>
    <row r="744" spans="1:5" ht="15" customHeight="1" x14ac:dyDescent="0.3">
      <c r="A744" s="230" t="e">
        <f t="shared" si="30"/>
        <v>#REF!</v>
      </c>
      <c r="B744" s="227"/>
      <c r="C744" s="106">
        <v>288</v>
      </c>
      <c r="D744" s="110" t="s">
        <v>2291</v>
      </c>
      <c r="E744" s="226">
        <v>161000</v>
      </c>
    </row>
    <row r="745" spans="1:5" ht="15" customHeight="1" x14ac:dyDescent="0.3">
      <c r="A745" s="230" t="e">
        <f t="shared" si="30"/>
        <v>#REF!</v>
      </c>
      <c r="B745" s="227"/>
      <c r="C745" s="106">
        <v>302</v>
      </c>
      <c r="D745" s="110" t="s">
        <v>2292</v>
      </c>
      <c r="E745" s="226">
        <v>170000</v>
      </c>
    </row>
    <row r="746" spans="1:5" ht="15" customHeight="1" x14ac:dyDescent="0.3">
      <c r="A746" s="230" t="e">
        <f t="shared" si="30"/>
        <v>#REF!</v>
      </c>
      <c r="B746" s="227"/>
      <c r="C746" s="106">
        <v>332</v>
      </c>
      <c r="D746" s="110" t="s">
        <v>2293</v>
      </c>
      <c r="E746" s="226">
        <v>186000</v>
      </c>
    </row>
    <row r="747" spans="1:5" ht="15" customHeight="1" x14ac:dyDescent="0.3">
      <c r="A747" s="230" t="e">
        <f t="shared" si="30"/>
        <v>#REF!</v>
      </c>
      <c r="B747" s="227"/>
      <c r="C747" s="106">
        <v>356</v>
      </c>
      <c r="D747" s="110" t="s">
        <v>2294</v>
      </c>
      <c r="E747" s="226">
        <v>198000</v>
      </c>
    </row>
    <row r="748" spans="1:5" ht="15" customHeight="1" x14ac:dyDescent="0.3">
      <c r="A748" s="230" t="e">
        <f t="shared" si="30"/>
        <v>#REF!</v>
      </c>
      <c r="B748" s="103" t="s">
        <v>1858</v>
      </c>
      <c r="C748" s="104">
        <v>258</v>
      </c>
      <c r="D748" s="112" t="s">
        <v>3317</v>
      </c>
    </row>
    <row r="749" spans="1:5" ht="15" customHeight="1" x14ac:dyDescent="0.3">
      <c r="A749" s="317" t="e">
        <f>#REF!</f>
        <v>#REF!</v>
      </c>
      <c r="B749" s="314" t="s">
        <v>1787</v>
      </c>
      <c r="C749" s="315" t="s">
        <v>3318</v>
      </c>
      <c r="D749" s="318" t="s">
        <v>3319</v>
      </c>
    </row>
    <row r="750" spans="1:5" ht="15" customHeight="1" x14ac:dyDescent="0.3">
      <c r="A750" s="229" t="s">
        <v>2296</v>
      </c>
      <c r="B750" s="428" t="s">
        <v>3320</v>
      </c>
      <c r="C750" s="224">
        <v>60</v>
      </c>
      <c r="D750" s="270" t="s">
        <v>3321</v>
      </c>
      <c r="E750" s="226">
        <v>213000</v>
      </c>
    </row>
    <row r="751" spans="1:5" ht="15" customHeight="1" x14ac:dyDescent="0.3">
      <c r="A751" s="230" t="str">
        <f t="shared" ref="A751:A760" si="31">A750</f>
        <v>크리스탈 트레싱지
(CRS)</v>
      </c>
      <c r="B751" s="291" t="s">
        <v>1784</v>
      </c>
      <c r="C751" s="106">
        <v>70</v>
      </c>
      <c r="D751" s="245" t="s">
        <v>2299</v>
      </c>
      <c r="E751" s="226">
        <v>247000</v>
      </c>
    </row>
    <row r="752" spans="1:5" ht="15" customHeight="1" x14ac:dyDescent="0.3">
      <c r="A752" s="230" t="str">
        <f t="shared" si="31"/>
        <v>크리스탈 트레싱지
(CRS)</v>
      </c>
      <c r="B752" s="291" t="s">
        <v>3322</v>
      </c>
      <c r="C752" s="106">
        <v>80</v>
      </c>
      <c r="D752" s="245" t="s">
        <v>1967</v>
      </c>
      <c r="E752" s="226">
        <v>284000</v>
      </c>
    </row>
    <row r="753" spans="1:5" ht="15" customHeight="1" x14ac:dyDescent="0.3">
      <c r="A753" s="230" t="str">
        <f t="shared" si="31"/>
        <v>크리스탈 트레싱지
(CRS)</v>
      </c>
      <c r="B753" s="291"/>
      <c r="C753" s="106">
        <v>90</v>
      </c>
      <c r="D753" s="245" t="s">
        <v>1800</v>
      </c>
      <c r="E753" s="226">
        <v>320000</v>
      </c>
    </row>
    <row r="754" spans="1:5" ht="15" customHeight="1" x14ac:dyDescent="0.3">
      <c r="A754" s="230" t="str">
        <f t="shared" si="31"/>
        <v>크리스탈 트레싱지
(CRS)</v>
      </c>
      <c r="B754" s="291"/>
      <c r="C754" s="106">
        <v>100</v>
      </c>
      <c r="D754" s="245" t="s">
        <v>1996</v>
      </c>
      <c r="E754" s="226">
        <v>355000</v>
      </c>
    </row>
    <row r="755" spans="1:5" ht="15" customHeight="1" x14ac:dyDescent="0.3">
      <c r="A755" s="230" t="str">
        <f t="shared" si="31"/>
        <v>크리스탈 트레싱지
(CRS)</v>
      </c>
      <c r="B755" s="291"/>
      <c r="C755" s="106">
        <v>110</v>
      </c>
      <c r="D755" s="245" t="s">
        <v>3323</v>
      </c>
      <c r="E755" s="226">
        <v>391000</v>
      </c>
    </row>
    <row r="756" spans="1:5" ht="15" customHeight="1" x14ac:dyDescent="0.3">
      <c r="A756" s="230" t="str">
        <f t="shared" si="31"/>
        <v>크리스탈 트레싱지
(CRS)</v>
      </c>
      <c r="B756" s="291"/>
      <c r="C756" s="106">
        <v>130</v>
      </c>
      <c r="D756" s="245" t="s">
        <v>2043</v>
      </c>
      <c r="E756" s="226">
        <v>464000</v>
      </c>
    </row>
    <row r="757" spans="1:5" ht="15" customHeight="1" x14ac:dyDescent="0.3">
      <c r="A757" s="230" t="str">
        <f t="shared" si="31"/>
        <v>크리스탈 트레싱지
(CRS)</v>
      </c>
      <c r="B757" s="291"/>
      <c r="C757" s="106">
        <v>150</v>
      </c>
      <c r="D757" s="245" t="s">
        <v>2297</v>
      </c>
      <c r="E757" s="226">
        <v>570000</v>
      </c>
    </row>
    <row r="758" spans="1:5" ht="15" customHeight="1" x14ac:dyDescent="0.3">
      <c r="A758" s="230" t="str">
        <f t="shared" si="31"/>
        <v>크리스탈 트레싱지
(CRS)</v>
      </c>
      <c r="B758" s="291"/>
      <c r="C758" s="106">
        <v>170</v>
      </c>
      <c r="D758" s="245" t="s">
        <v>1823</v>
      </c>
      <c r="E758" s="226">
        <v>645000</v>
      </c>
    </row>
    <row r="759" spans="1:5" ht="15" customHeight="1" x14ac:dyDescent="0.3">
      <c r="A759" s="230" t="str">
        <f t="shared" si="31"/>
        <v>크리스탈 트레싱지
(CRS)</v>
      </c>
      <c r="B759" s="291"/>
      <c r="C759" s="106">
        <v>180</v>
      </c>
      <c r="D759" s="245" t="s">
        <v>2044</v>
      </c>
      <c r="E759" s="226">
        <v>680000</v>
      </c>
    </row>
    <row r="760" spans="1:5" ht="15" customHeight="1" x14ac:dyDescent="0.3">
      <c r="A760" s="230" t="str">
        <f t="shared" si="31"/>
        <v>크리스탈 트레싱지
(CRS)</v>
      </c>
      <c r="B760" s="291"/>
      <c r="C760" s="106">
        <v>200</v>
      </c>
      <c r="D760" s="429" t="s">
        <v>2298</v>
      </c>
      <c r="E760" s="226">
        <v>845000</v>
      </c>
    </row>
    <row r="761" spans="1:5" ht="15" customHeight="1" x14ac:dyDescent="0.3">
      <c r="A761" s="230"/>
      <c r="B761" s="430" t="s">
        <v>1927</v>
      </c>
      <c r="C761" s="431">
        <v>100</v>
      </c>
      <c r="D761" s="399" t="s">
        <v>3324</v>
      </c>
      <c r="E761" s="226">
        <v>247000</v>
      </c>
    </row>
    <row r="762" spans="1:5" ht="15" customHeight="1" x14ac:dyDescent="0.3">
      <c r="A762" s="230" t="e">
        <f>#REF!</f>
        <v>#REF!</v>
      </c>
      <c r="B762" s="430" t="s">
        <v>1843</v>
      </c>
      <c r="C762" s="431">
        <v>70</v>
      </c>
      <c r="D762" s="399" t="s">
        <v>2299</v>
      </c>
      <c r="E762" s="226">
        <v>314000</v>
      </c>
    </row>
    <row r="763" spans="1:5" ht="15" customHeight="1" x14ac:dyDescent="0.3">
      <c r="A763" s="230" t="e">
        <f>A762</f>
        <v>#REF!</v>
      </c>
      <c r="B763" s="432"/>
      <c r="C763" s="344">
        <v>80</v>
      </c>
      <c r="D763" s="245" t="s">
        <v>1967</v>
      </c>
      <c r="E763" s="226">
        <v>357500</v>
      </c>
    </row>
    <row r="764" spans="1:5" ht="15" customHeight="1" x14ac:dyDescent="0.3">
      <c r="A764" s="241" t="e">
        <f>A763</f>
        <v>#REF!</v>
      </c>
      <c r="B764" s="433"/>
      <c r="C764" s="352">
        <v>90</v>
      </c>
      <c r="D764" s="350" t="s">
        <v>1800</v>
      </c>
      <c r="E764" s="226">
        <v>402000</v>
      </c>
    </row>
    <row r="765" spans="1:5" ht="15" customHeight="1" x14ac:dyDescent="0.3">
      <c r="A765" s="237" t="s">
        <v>3325</v>
      </c>
      <c r="B765" s="434" t="s">
        <v>1846</v>
      </c>
      <c r="C765" s="239">
        <v>73</v>
      </c>
      <c r="D765" s="240" t="s">
        <v>3326</v>
      </c>
      <c r="E765" s="226">
        <v>247000</v>
      </c>
    </row>
    <row r="766" spans="1:5" ht="15" customHeight="1" x14ac:dyDescent="0.3">
      <c r="A766" s="230" t="str">
        <f t="shared" ref="A766" si="32">A765</f>
        <v>크리스탈 트레싱지 2
(CRS2</v>
      </c>
      <c r="B766" s="435"/>
      <c r="C766" s="106">
        <v>83</v>
      </c>
      <c r="D766" s="110" t="s">
        <v>1800</v>
      </c>
      <c r="E766" s="226">
        <v>284000</v>
      </c>
    </row>
    <row r="767" spans="1:5" ht="15" customHeight="1" x14ac:dyDescent="0.3">
      <c r="A767" s="230" t="e">
        <f>#REF!</f>
        <v>#REF!</v>
      </c>
      <c r="B767" s="435"/>
      <c r="C767" s="106">
        <v>102</v>
      </c>
      <c r="D767" s="110" t="s">
        <v>2152</v>
      </c>
      <c r="E767" s="226">
        <v>355000</v>
      </c>
    </row>
    <row r="768" spans="1:5" ht="15" customHeight="1" x14ac:dyDescent="0.3">
      <c r="A768" s="241" t="e">
        <f>#REF!</f>
        <v>#REF!</v>
      </c>
      <c r="B768" s="436"/>
      <c r="C768" s="324">
        <v>130</v>
      </c>
      <c r="D768" s="325" t="s">
        <v>1801</v>
      </c>
      <c r="E768" s="226">
        <v>464000</v>
      </c>
    </row>
    <row r="769" spans="1:5" ht="15" customHeight="1" x14ac:dyDescent="0.3">
      <c r="A769" s="230" t="s">
        <v>2301</v>
      </c>
      <c r="B769" s="437" t="s">
        <v>1789</v>
      </c>
      <c r="C769" s="106">
        <v>90</v>
      </c>
      <c r="D769" s="245" t="s">
        <v>3327</v>
      </c>
      <c r="E769" s="226">
        <v>355000</v>
      </c>
    </row>
    <row r="770" spans="1:5" ht="15" customHeight="1" x14ac:dyDescent="0.3">
      <c r="A770" s="230" t="str">
        <f>A769</f>
        <v>클래식 크래스트
(CCL)</v>
      </c>
      <c r="B770" s="227" t="s">
        <v>1787</v>
      </c>
      <c r="C770" s="104">
        <v>118</v>
      </c>
      <c r="D770" s="112" t="s">
        <v>2302</v>
      </c>
      <c r="E770" s="226">
        <v>495000</v>
      </c>
    </row>
    <row r="771" spans="1:5" ht="15" customHeight="1" x14ac:dyDescent="0.3">
      <c r="A771" s="230" t="str">
        <f t="shared" ref="A771:A772" si="33">A770</f>
        <v>클래식 크래스트
(CCL)</v>
      </c>
      <c r="B771" s="227"/>
      <c r="C771" s="106" t="s">
        <v>1787</v>
      </c>
      <c r="D771" s="110" t="s">
        <v>2303</v>
      </c>
      <c r="E771" s="226">
        <v>495000</v>
      </c>
    </row>
    <row r="772" spans="1:5" ht="15" customHeight="1" x14ac:dyDescent="0.3">
      <c r="A772" s="230" t="str">
        <f t="shared" si="33"/>
        <v>클래식 크래스트
(CCL)</v>
      </c>
      <c r="B772" s="227"/>
      <c r="C772" s="106"/>
      <c r="D772" s="110" t="s">
        <v>2304</v>
      </c>
      <c r="E772" s="226">
        <v>490000</v>
      </c>
    </row>
    <row r="773" spans="1:5" ht="15" customHeight="1" x14ac:dyDescent="0.3">
      <c r="A773" s="230" t="e">
        <f>#REF!</f>
        <v>#REF!</v>
      </c>
      <c r="B773" s="227"/>
      <c r="C773" s="106"/>
      <c r="D773" s="110" t="s">
        <v>2305</v>
      </c>
      <c r="E773" s="226">
        <v>495000</v>
      </c>
    </row>
    <row r="774" spans="1:5" ht="15" customHeight="1" x14ac:dyDescent="0.3">
      <c r="A774" s="230"/>
      <c r="B774" s="227"/>
      <c r="C774" s="106"/>
      <c r="D774" s="110" t="s">
        <v>3328</v>
      </c>
      <c r="E774" s="226">
        <v>735000</v>
      </c>
    </row>
    <row r="775" spans="1:5" ht="15" customHeight="1" x14ac:dyDescent="0.3">
      <c r="A775" s="230" t="e">
        <f>A773</f>
        <v>#REF!</v>
      </c>
      <c r="B775" s="227"/>
      <c r="C775" s="106"/>
      <c r="D775" s="110" t="s">
        <v>3329</v>
      </c>
      <c r="E775" s="226">
        <v>685000</v>
      </c>
    </row>
    <row r="776" spans="1:5" ht="15" customHeight="1" x14ac:dyDescent="0.3">
      <c r="A776" s="230" t="e">
        <f>#REF!</f>
        <v>#REF!</v>
      </c>
      <c r="B776" s="438" t="s">
        <v>2007</v>
      </c>
      <c r="C776" s="275">
        <v>176</v>
      </c>
      <c r="D776" s="374" t="s">
        <v>3330</v>
      </c>
      <c r="E776" s="226">
        <v>735000</v>
      </c>
    </row>
    <row r="777" spans="1:5" ht="15" customHeight="1" x14ac:dyDescent="0.3">
      <c r="A777" s="230"/>
      <c r="B777" s="227" t="s">
        <v>1968</v>
      </c>
      <c r="C777" s="106">
        <v>176</v>
      </c>
      <c r="D777" s="110" t="s">
        <v>3331</v>
      </c>
      <c r="E777" s="226">
        <v>1090000</v>
      </c>
    </row>
    <row r="778" spans="1:5" ht="15" customHeight="1" x14ac:dyDescent="0.3">
      <c r="A778" s="230" t="e">
        <f>A776</f>
        <v>#REF!</v>
      </c>
      <c r="B778" s="504"/>
      <c r="C778" s="106"/>
      <c r="D778" s="110" t="s">
        <v>3332</v>
      </c>
      <c r="E778" s="226">
        <v>725000</v>
      </c>
    </row>
    <row r="779" spans="1:5" ht="15" customHeight="1" x14ac:dyDescent="0.3">
      <c r="A779" s="230" t="e">
        <f t="shared" ref="A779:A780" si="34">A778</f>
        <v>#REF!</v>
      </c>
      <c r="B779" s="227" t="s">
        <v>1846</v>
      </c>
      <c r="C779" s="104">
        <v>216</v>
      </c>
      <c r="D779" s="112" t="s">
        <v>3333</v>
      </c>
      <c r="E779" s="226">
        <v>920000</v>
      </c>
    </row>
    <row r="780" spans="1:5" ht="15" customHeight="1" x14ac:dyDescent="0.3">
      <c r="A780" s="230" t="e">
        <f t="shared" si="34"/>
        <v>#REF!</v>
      </c>
      <c r="B780" s="227"/>
      <c r="C780" s="106"/>
      <c r="D780" s="110" t="s">
        <v>3334</v>
      </c>
      <c r="E780" s="226">
        <v>910000</v>
      </c>
    </row>
    <row r="781" spans="1:5" ht="15" customHeight="1" x14ac:dyDescent="0.3">
      <c r="A781" s="230"/>
      <c r="B781" s="227"/>
      <c r="C781" s="106"/>
      <c r="D781" s="110" t="s">
        <v>3335</v>
      </c>
      <c r="E781" s="226">
        <v>890000</v>
      </c>
    </row>
    <row r="782" spans="1:5" ht="15" customHeight="1" x14ac:dyDescent="0.3">
      <c r="A782" s="230"/>
      <c r="B782" s="227"/>
      <c r="C782" s="106"/>
      <c r="D782" s="110" t="s">
        <v>3336</v>
      </c>
      <c r="E782" s="226">
        <v>1360000</v>
      </c>
    </row>
    <row r="783" spans="1:5" ht="15" customHeight="1" x14ac:dyDescent="0.3">
      <c r="A783" s="230" t="e">
        <f>A780</f>
        <v>#REF!</v>
      </c>
      <c r="B783" s="227"/>
      <c r="C783" s="491"/>
      <c r="D783" s="492" t="s">
        <v>3337</v>
      </c>
      <c r="E783" s="226">
        <v>1270000</v>
      </c>
    </row>
    <row r="784" spans="1:5" ht="15" customHeight="1" x14ac:dyDescent="0.3">
      <c r="A784" s="230" t="e">
        <f t="shared" ref="A784:A792" si="35">A783</f>
        <v>#REF!</v>
      </c>
      <c r="B784" s="227"/>
      <c r="C784" s="106">
        <v>270</v>
      </c>
      <c r="D784" s="110" t="s">
        <v>2046</v>
      </c>
      <c r="E784" s="226">
        <v>1185000</v>
      </c>
    </row>
    <row r="785" spans="1:5" ht="15" customHeight="1" x14ac:dyDescent="0.3">
      <c r="A785" s="230" t="e">
        <f t="shared" si="35"/>
        <v>#REF!</v>
      </c>
      <c r="B785" s="493"/>
      <c r="C785" s="106"/>
      <c r="D785" s="110" t="s">
        <v>2150</v>
      </c>
      <c r="E785" s="226">
        <v>1140000</v>
      </c>
    </row>
    <row r="786" spans="1:5" ht="15" customHeight="1" x14ac:dyDescent="0.3">
      <c r="A786" s="230" t="e">
        <f t="shared" si="35"/>
        <v>#REF!</v>
      </c>
      <c r="B786" s="103" t="s">
        <v>1786</v>
      </c>
      <c r="C786" s="104">
        <v>118</v>
      </c>
      <c r="D786" s="112" t="s">
        <v>2306</v>
      </c>
      <c r="E786" s="226">
        <v>340000</v>
      </c>
    </row>
    <row r="787" spans="1:5" ht="15" customHeight="1" x14ac:dyDescent="0.3">
      <c r="A787" s="230" t="e">
        <f t="shared" si="35"/>
        <v>#REF!</v>
      </c>
      <c r="B787" s="227"/>
      <c r="C787" s="106"/>
      <c r="D787" s="110" t="s">
        <v>2307</v>
      </c>
      <c r="E787" s="226">
        <v>340000</v>
      </c>
    </row>
    <row r="788" spans="1:5" ht="15" customHeight="1" x14ac:dyDescent="0.3">
      <c r="A788" s="230" t="e">
        <f>#REF!</f>
        <v>#REF!</v>
      </c>
      <c r="B788" s="227"/>
      <c r="C788" s="104">
        <v>176</v>
      </c>
      <c r="D788" s="112" t="s">
        <v>2308</v>
      </c>
      <c r="E788" s="226">
        <v>510000</v>
      </c>
    </row>
    <row r="789" spans="1:5" ht="15" customHeight="1" x14ac:dyDescent="0.3">
      <c r="A789" s="230" t="e">
        <f t="shared" si="35"/>
        <v>#REF!</v>
      </c>
      <c r="B789" s="227"/>
      <c r="C789" s="491" t="s">
        <v>1787</v>
      </c>
      <c r="D789" s="492" t="s">
        <v>2309</v>
      </c>
      <c r="E789" s="226">
        <v>510000</v>
      </c>
    </row>
    <row r="790" spans="1:5" ht="15" customHeight="1" x14ac:dyDescent="0.3">
      <c r="A790" s="230" t="e">
        <f t="shared" si="35"/>
        <v>#REF!</v>
      </c>
      <c r="B790" s="227"/>
      <c r="C790" s="106">
        <v>216</v>
      </c>
      <c r="D790" s="110" t="s">
        <v>3338</v>
      </c>
      <c r="E790" s="226">
        <v>635000</v>
      </c>
    </row>
    <row r="791" spans="1:5" ht="15" customHeight="1" x14ac:dyDescent="0.3">
      <c r="A791" s="230" t="e">
        <f t="shared" si="35"/>
        <v>#REF!</v>
      </c>
      <c r="B791" s="493"/>
      <c r="C791" s="491" t="s">
        <v>1787</v>
      </c>
      <c r="D791" s="492" t="s">
        <v>3339</v>
      </c>
      <c r="E791" s="226">
        <v>620000</v>
      </c>
    </row>
    <row r="792" spans="1:5" ht="15" customHeight="1" x14ac:dyDescent="0.3">
      <c r="A792" s="317" t="e">
        <f t="shared" si="35"/>
        <v>#REF!</v>
      </c>
      <c r="B792" s="227" t="s">
        <v>2197</v>
      </c>
      <c r="C792" s="106">
        <v>118</v>
      </c>
      <c r="D792" s="110" t="s">
        <v>2310</v>
      </c>
      <c r="E792" s="226">
        <v>520000</v>
      </c>
    </row>
    <row r="793" spans="1:5" ht="15" customHeight="1" x14ac:dyDescent="0.3">
      <c r="A793" s="229" t="s">
        <v>2311</v>
      </c>
      <c r="B793" s="223" t="s">
        <v>1789</v>
      </c>
      <c r="C793" s="224">
        <v>118</v>
      </c>
      <c r="D793" s="225" t="s">
        <v>2302</v>
      </c>
      <c r="E793" s="226">
        <v>490000</v>
      </c>
    </row>
    <row r="794" spans="1:5" ht="15" customHeight="1" x14ac:dyDescent="0.3">
      <c r="A794" s="230" t="str">
        <f t="shared" ref="A794:A799" si="36">A793</f>
        <v>클래식 크래스트
에그쉘
(CCLE)</v>
      </c>
      <c r="B794" s="227"/>
      <c r="C794" s="106"/>
      <c r="D794" s="110" t="s">
        <v>2312</v>
      </c>
      <c r="E794" s="226">
        <v>485000</v>
      </c>
    </row>
    <row r="795" spans="1:5" ht="15" customHeight="1" x14ac:dyDescent="0.3">
      <c r="A795" s="230" t="e">
        <f>#REF!</f>
        <v>#REF!</v>
      </c>
      <c r="B795" s="227"/>
      <c r="C795" s="106"/>
      <c r="D795" s="110" t="s">
        <v>2305</v>
      </c>
      <c r="E795" s="226">
        <v>730000</v>
      </c>
    </row>
    <row r="796" spans="1:5" ht="15" customHeight="1" x14ac:dyDescent="0.3">
      <c r="A796" s="230" t="e">
        <f t="shared" si="36"/>
        <v>#REF!</v>
      </c>
      <c r="B796" s="227"/>
      <c r="C796" s="104">
        <v>216</v>
      </c>
      <c r="D796" s="112" t="s">
        <v>1800</v>
      </c>
      <c r="E796" s="226">
        <v>920000</v>
      </c>
    </row>
    <row r="797" spans="1:5" ht="15" customHeight="1" x14ac:dyDescent="0.3">
      <c r="A797" s="230" t="e">
        <f t="shared" si="36"/>
        <v>#REF!</v>
      </c>
      <c r="B797" s="227"/>
      <c r="C797" s="106"/>
      <c r="D797" s="110" t="s">
        <v>2313</v>
      </c>
      <c r="E797" s="226">
        <v>910000</v>
      </c>
    </row>
    <row r="798" spans="1:5" ht="15" customHeight="1" x14ac:dyDescent="0.3">
      <c r="A798" s="230" t="e">
        <f t="shared" si="36"/>
        <v>#REF!</v>
      </c>
      <c r="B798" s="227"/>
      <c r="C798" s="106"/>
      <c r="D798" s="110" t="s">
        <v>2043</v>
      </c>
      <c r="E798" s="226">
        <v>1020000</v>
      </c>
    </row>
    <row r="799" spans="1:5" ht="15" customHeight="1" x14ac:dyDescent="0.3">
      <c r="A799" s="230" t="e">
        <f t="shared" si="36"/>
        <v>#REF!</v>
      </c>
      <c r="B799" s="227"/>
      <c r="C799" s="106"/>
      <c r="D799" s="110" t="s">
        <v>1801</v>
      </c>
      <c r="E799" s="226">
        <v>1100000</v>
      </c>
    </row>
    <row r="800" spans="1:5" ht="15" customHeight="1" x14ac:dyDescent="0.3">
      <c r="A800" s="230"/>
      <c r="B800" s="227"/>
      <c r="C800" s="106"/>
      <c r="D800" s="110" t="s">
        <v>2044</v>
      </c>
      <c r="E800" s="226">
        <v>1125000</v>
      </c>
    </row>
    <row r="801" spans="1:5" ht="15" customHeight="1" x14ac:dyDescent="0.3">
      <c r="A801" s="230" t="e">
        <f>A799</f>
        <v>#REF!</v>
      </c>
      <c r="B801" s="227"/>
      <c r="C801" s="106"/>
      <c r="D801" s="110" t="s">
        <v>3340</v>
      </c>
      <c r="E801" s="226">
        <v>1360000</v>
      </c>
    </row>
    <row r="802" spans="1:5" ht="15" customHeight="1" x14ac:dyDescent="0.3">
      <c r="A802" s="230" t="e">
        <f>A801</f>
        <v>#REF!</v>
      </c>
      <c r="B802" s="227"/>
      <c r="C802" s="491"/>
      <c r="D802" s="492" t="s">
        <v>3341</v>
      </c>
      <c r="E802" s="226">
        <v>1275000</v>
      </c>
    </row>
    <row r="803" spans="1:5" ht="15" customHeight="1" x14ac:dyDescent="0.3">
      <c r="A803" s="230" t="e">
        <f>A802</f>
        <v>#REF!</v>
      </c>
      <c r="B803" s="227"/>
      <c r="C803" s="106">
        <v>270</v>
      </c>
      <c r="D803" s="110" t="s">
        <v>2062</v>
      </c>
      <c r="E803" s="226">
        <v>1185000</v>
      </c>
    </row>
    <row r="804" spans="1:5" ht="15" customHeight="1" x14ac:dyDescent="0.3">
      <c r="A804" s="230"/>
      <c r="B804" s="227"/>
      <c r="C804" s="106"/>
      <c r="D804" s="110" t="s">
        <v>1946</v>
      </c>
      <c r="E804" s="226">
        <v>1175000</v>
      </c>
    </row>
    <row r="805" spans="1:5" ht="15" customHeight="1" x14ac:dyDescent="0.3">
      <c r="A805" s="230" t="e">
        <f>#REF!</f>
        <v>#REF!</v>
      </c>
      <c r="B805" s="227"/>
      <c r="C805" s="106"/>
      <c r="D805" s="110" t="s">
        <v>2314</v>
      </c>
      <c r="E805" s="226">
        <v>1135000</v>
      </c>
    </row>
    <row r="806" spans="1:5" ht="15" customHeight="1" x14ac:dyDescent="0.3">
      <c r="A806" s="230"/>
      <c r="B806" s="227"/>
      <c r="C806" s="106"/>
      <c r="D806" s="110" t="s">
        <v>2011</v>
      </c>
      <c r="E806" s="226">
        <v>1270000</v>
      </c>
    </row>
    <row r="807" spans="1:5" ht="15" customHeight="1" x14ac:dyDescent="0.3">
      <c r="A807" s="230"/>
      <c r="B807" s="227"/>
      <c r="C807" s="106"/>
      <c r="D807" s="110" t="s">
        <v>2315</v>
      </c>
      <c r="E807" s="226">
        <v>1400000</v>
      </c>
    </row>
    <row r="808" spans="1:5" ht="15" customHeight="1" x14ac:dyDescent="0.3">
      <c r="A808" s="230" t="e">
        <f>A805</f>
        <v>#REF!</v>
      </c>
      <c r="B808" s="227"/>
      <c r="C808" s="106"/>
      <c r="D808" s="110" t="s">
        <v>3342</v>
      </c>
      <c r="E808" s="226">
        <v>1740000</v>
      </c>
    </row>
    <row r="809" spans="1:5" ht="15" customHeight="1" x14ac:dyDescent="0.3">
      <c r="A809" s="230" t="e">
        <f>A808</f>
        <v>#REF!</v>
      </c>
      <c r="B809" s="227"/>
      <c r="C809" s="491"/>
      <c r="D809" s="492" t="s">
        <v>3343</v>
      </c>
      <c r="E809" s="226">
        <v>1635000</v>
      </c>
    </row>
    <row r="810" spans="1:5" ht="15" customHeight="1" x14ac:dyDescent="0.3">
      <c r="A810" s="230" t="e">
        <f>A809</f>
        <v>#REF!</v>
      </c>
      <c r="B810" s="227"/>
      <c r="C810" s="106">
        <v>352</v>
      </c>
      <c r="D810" s="110" t="s">
        <v>1847</v>
      </c>
      <c r="E810" s="226">
        <v>1610000</v>
      </c>
    </row>
    <row r="811" spans="1:5" ht="15" customHeight="1" x14ac:dyDescent="0.3">
      <c r="A811" s="230" t="e">
        <f>A810</f>
        <v>#REF!</v>
      </c>
      <c r="B811" s="227"/>
      <c r="C811" s="106"/>
      <c r="D811" s="110" t="s">
        <v>2316</v>
      </c>
      <c r="E811" s="226">
        <v>1600000</v>
      </c>
    </row>
    <row r="812" spans="1:5" ht="15" customHeight="1" x14ac:dyDescent="0.3">
      <c r="A812" s="230"/>
      <c r="B812" s="227"/>
      <c r="C812" s="106"/>
      <c r="D812" s="110" t="s">
        <v>2317</v>
      </c>
      <c r="E812" s="226">
        <v>1950000</v>
      </c>
    </row>
    <row r="813" spans="1:5" ht="15" customHeight="1" x14ac:dyDescent="0.3">
      <c r="A813" s="230" t="e">
        <f>A811</f>
        <v>#REF!</v>
      </c>
      <c r="B813" s="227"/>
      <c r="C813" s="106"/>
      <c r="D813" s="110" t="s">
        <v>2318</v>
      </c>
      <c r="E813" s="226">
        <v>2340000</v>
      </c>
    </row>
    <row r="814" spans="1:5" ht="15" customHeight="1" x14ac:dyDescent="0.3">
      <c r="A814" s="317" t="e">
        <f>A813</f>
        <v>#REF!</v>
      </c>
      <c r="B814" s="314"/>
      <c r="C814" s="315"/>
      <c r="D814" s="318" t="s">
        <v>3344</v>
      </c>
      <c r="E814" s="226">
        <v>2215000</v>
      </c>
    </row>
    <row r="815" spans="1:5" ht="15" customHeight="1" x14ac:dyDescent="0.3">
      <c r="A815" s="230" t="s">
        <v>3345</v>
      </c>
      <c r="B815" s="227" t="s">
        <v>1784</v>
      </c>
      <c r="C815" s="106">
        <v>176</v>
      </c>
      <c r="D815" s="114" t="s">
        <v>3346</v>
      </c>
      <c r="E815" s="226">
        <v>745000</v>
      </c>
    </row>
    <row r="816" spans="1:5" ht="15" customHeight="1" x14ac:dyDescent="0.3">
      <c r="A816" s="230" t="str">
        <f>A815</f>
        <v xml:space="preserve">클래식 린넨 커버
(LC)
 </v>
      </c>
      <c r="B816" s="227"/>
      <c r="C816" s="104">
        <v>216</v>
      </c>
      <c r="D816" s="439">
        <v>201</v>
      </c>
      <c r="E816" s="226">
        <v>990000</v>
      </c>
    </row>
    <row r="817" spans="1:5" ht="15" customHeight="1" x14ac:dyDescent="0.3">
      <c r="A817" s="230"/>
      <c r="B817" s="227"/>
      <c r="C817" s="106"/>
      <c r="D817" s="114">
        <v>205</v>
      </c>
      <c r="E817" s="226">
        <v>920000</v>
      </c>
    </row>
    <row r="818" spans="1:5" ht="15" customHeight="1" x14ac:dyDescent="0.3">
      <c r="A818" s="230"/>
      <c r="B818" s="227"/>
      <c r="C818" s="106"/>
      <c r="D818" s="114">
        <v>207</v>
      </c>
      <c r="E818" s="226">
        <v>910000</v>
      </c>
    </row>
    <row r="819" spans="1:5" ht="15" customHeight="1" x14ac:dyDescent="0.3">
      <c r="A819" s="230"/>
      <c r="B819" s="227"/>
      <c r="C819" s="106"/>
      <c r="D819" s="114">
        <v>208</v>
      </c>
      <c r="E819" s="226">
        <v>915000</v>
      </c>
    </row>
    <row r="820" spans="1:5" ht="15" customHeight="1" x14ac:dyDescent="0.3">
      <c r="A820" s="230" t="e">
        <f>#REF!</f>
        <v>#REF!</v>
      </c>
      <c r="B820" s="227"/>
      <c r="C820" s="106"/>
      <c r="D820" s="114" t="s">
        <v>3347</v>
      </c>
      <c r="E820" s="226">
        <v>910000</v>
      </c>
    </row>
    <row r="821" spans="1:5" ht="15" customHeight="1" x14ac:dyDescent="0.3">
      <c r="A821" s="230" t="e">
        <f>#REF!</f>
        <v>#REF!</v>
      </c>
      <c r="B821" s="227"/>
      <c r="C821" s="106"/>
      <c r="D821" s="114">
        <v>219</v>
      </c>
      <c r="E821" s="226">
        <v>1045000</v>
      </c>
    </row>
    <row r="822" spans="1:5" ht="15" customHeight="1" x14ac:dyDescent="0.3">
      <c r="A822" s="230"/>
      <c r="B822" s="227"/>
      <c r="C822" s="106"/>
      <c r="D822" s="440">
        <v>220</v>
      </c>
      <c r="E822" s="226">
        <v>1175000</v>
      </c>
    </row>
    <row r="823" spans="1:5" ht="15" customHeight="1" x14ac:dyDescent="0.3">
      <c r="A823" s="230" t="e">
        <f>#REF!</f>
        <v>#REF!</v>
      </c>
      <c r="B823" s="227"/>
      <c r="C823" s="106"/>
      <c r="D823" s="440" t="s">
        <v>2319</v>
      </c>
      <c r="E823" s="226">
        <v>1265000</v>
      </c>
    </row>
    <row r="824" spans="1:5" ht="15" customHeight="1" x14ac:dyDescent="0.3">
      <c r="A824" s="230" t="e">
        <f t="shared" ref="A824:A830" si="37">A823</f>
        <v>#REF!</v>
      </c>
      <c r="B824" s="227"/>
      <c r="C824" s="491"/>
      <c r="D824" s="512">
        <v>227</v>
      </c>
      <c r="E824" s="226">
        <v>1000000</v>
      </c>
    </row>
    <row r="825" spans="1:5" ht="15" customHeight="1" x14ac:dyDescent="0.3">
      <c r="A825" s="230" t="e">
        <f>#REF!</f>
        <v>#REF!</v>
      </c>
      <c r="B825" s="103" t="s">
        <v>1789</v>
      </c>
      <c r="C825" s="104">
        <v>238</v>
      </c>
      <c r="D825" s="439" t="s">
        <v>2320</v>
      </c>
      <c r="E825" s="226">
        <v>1000000</v>
      </c>
    </row>
    <row r="826" spans="1:5" ht="15" customHeight="1" x14ac:dyDescent="0.3">
      <c r="A826" s="230" t="e">
        <f t="shared" si="37"/>
        <v>#REF!</v>
      </c>
      <c r="B826" s="227"/>
      <c r="C826" s="106" t="s">
        <v>1787</v>
      </c>
      <c r="D826" s="114" t="s">
        <v>2321</v>
      </c>
      <c r="E826" s="226">
        <v>1000000</v>
      </c>
    </row>
    <row r="827" spans="1:5" ht="15" customHeight="1" x14ac:dyDescent="0.3">
      <c r="A827" s="230" t="e">
        <f t="shared" si="37"/>
        <v>#REF!</v>
      </c>
      <c r="B827" s="227"/>
      <c r="C827" s="108">
        <v>270</v>
      </c>
      <c r="D827" s="441" t="s">
        <v>2322</v>
      </c>
      <c r="E827" s="226">
        <v>1150000</v>
      </c>
    </row>
    <row r="828" spans="1:5" ht="15" customHeight="1" x14ac:dyDescent="0.3">
      <c r="A828" s="230" t="e">
        <f t="shared" si="37"/>
        <v>#REF!</v>
      </c>
      <c r="B828" s="227"/>
      <c r="C828" s="106">
        <v>352</v>
      </c>
      <c r="D828" s="114" t="s">
        <v>2323</v>
      </c>
      <c r="E828" s="226">
        <v>1550000</v>
      </c>
    </row>
    <row r="829" spans="1:5" ht="15" customHeight="1" x14ac:dyDescent="0.3">
      <c r="A829" s="230" t="e">
        <f t="shared" si="37"/>
        <v>#REF!</v>
      </c>
      <c r="B829" s="312" t="s">
        <v>1786</v>
      </c>
      <c r="C829" s="272">
        <v>216</v>
      </c>
      <c r="D829" s="442" t="s">
        <v>3348</v>
      </c>
      <c r="E829" s="226">
        <v>635000</v>
      </c>
    </row>
    <row r="830" spans="1:5" ht="15" customHeight="1" x14ac:dyDescent="0.3">
      <c r="A830" s="230" t="e">
        <f t="shared" si="37"/>
        <v>#REF!</v>
      </c>
      <c r="B830" s="235" t="s">
        <v>1820</v>
      </c>
      <c r="C830" s="106">
        <v>216</v>
      </c>
      <c r="D830" s="114" t="s">
        <v>2324</v>
      </c>
      <c r="E830" s="226">
        <v>635000</v>
      </c>
    </row>
    <row r="831" spans="1:5" ht="15" customHeight="1" x14ac:dyDescent="0.3">
      <c r="A831" s="230"/>
      <c r="B831" s="235" t="s">
        <v>2325</v>
      </c>
      <c r="C831" s="106">
        <v>216</v>
      </c>
      <c r="D831" s="345" t="s">
        <v>2326</v>
      </c>
      <c r="E831" s="226">
        <v>795000</v>
      </c>
    </row>
    <row r="832" spans="1:5" ht="15" customHeight="1" x14ac:dyDescent="0.3">
      <c r="A832" s="230" t="e">
        <f>#REF!</f>
        <v>#REF!</v>
      </c>
      <c r="B832" s="235" t="s">
        <v>1787</v>
      </c>
      <c r="C832" s="106" t="s">
        <v>1787</v>
      </c>
      <c r="D832" s="114" t="s">
        <v>3349</v>
      </c>
      <c r="E832" s="226">
        <v>860000</v>
      </c>
    </row>
    <row r="833" spans="1:5" ht="15" customHeight="1" x14ac:dyDescent="0.3">
      <c r="A833" s="230"/>
      <c r="B833" s="443" t="s">
        <v>2300</v>
      </c>
      <c r="C833" s="108">
        <v>216</v>
      </c>
      <c r="D833" s="441" t="s">
        <v>3350</v>
      </c>
      <c r="E833" s="226">
        <v>915000</v>
      </c>
    </row>
    <row r="834" spans="1:5" ht="15" customHeight="1" x14ac:dyDescent="0.3">
      <c r="A834" s="230" t="e">
        <f>#REF!</f>
        <v>#REF!</v>
      </c>
      <c r="B834" s="103" t="s">
        <v>1786</v>
      </c>
      <c r="C834" s="108">
        <v>270</v>
      </c>
      <c r="D834" s="441" t="s">
        <v>2327</v>
      </c>
      <c r="E834" s="226">
        <v>800000</v>
      </c>
    </row>
    <row r="835" spans="1:5" ht="15" customHeight="1" x14ac:dyDescent="0.3">
      <c r="A835" s="317" t="e">
        <f t="shared" ref="A835" si="38">A834</f>
        <v>#REF!</v>
      </c>
      <c r="B835" s="314"/>
      <c r="C835" s="315">
        <v>352</v>
      </c>
      <c r="D835" s="444" t="s">
        <v>2328</v>
      </c>
      <c r="E835" s="226">
        <v>1075000</v>
      </c>
    </row>
    <row r="836" spans="1:5" ht="15" customHeight="1" x14ac:dyDescent="0.3">
      <c r="A836" s="229" t="s">
        <v>2329</v>
      </c>
      <c r="B836" s="223" t="s">
        <v>1789</v>
      </c>
      <c r="C836" s="224">
        <v>118</v>
      </c>
      <c r="D836" s="445">
        <v>10</v>
      </c>
      <c r="E836" s="226">
        <v>490000</v>
      </c>
    </row>
    <row r="837" spans="1:5" ht="15" customHeight="1" x14ac:dyDescent="0.3">
      <c r="A837" s="230" t="str">
        <f>A836</f>
        <v>클래식 린넨 텍스트
(LT)</v>
      </c>
      <c r="B837" s="227"/>
      <c r="C837" s="106"/>
      <c r="D837" s="110">
        <v>22</v>
      </c>
      <c r="E837" s="226">
        <v>495000</v>
      </c>
    </row>
    <row r="838" spans="1:5" ht="15" customHeight="1" x14ac:dyDescent="0.3">
      <c r="A838" s="229" t="s">
        <v>2330</v>
      </c>
      <c r="B838" s="223" t="s">
        <v>2285</v>
      </c>
      <c r="C838" s="224">
        <v>118</v>
      </c>
      <c r="D838" s="225" t="s">
        <v>2331</v>
      </c>
      <c r="E838" s="226">
        <v>550000</v>
      </c>
    </row>
    <row r="839" spans="1:5" ht="15" customHeight="1" x14ac:dyDescent="0.3">
      <c r="A839" s="230" t="str">
        <f t="shared" ref="A839:A844" si="39">A838</f>
        <v xml:space="preserve">클래식 스티플
(CCLS) </v>
      </c>
      <c r="B839" s="227"/>
      <c r="C839" s="106"/>
      <c r="D839" s="110" t="s">
        <v>2332</v>
      </c>
      <c r="E839" s="226">
        <v>550000</v>
      </c>
    </row>
    <row r="840" spans="1:5" ht="15" customHeight="1" x14ac:dyDescent="0.3">
      <c r="A840" s="230"/>
      <c r="B840" s="227"/>
      <c r="C840" s="106"/>
      <c r="D840" s="110" t="s">
        <v>2337</v>
      </c>
      <c r="E840" s="226">
        <v>700000</v>
      </c>
    </row>
    <row r="841" spans="1:5" ht="15" customHeight="1" x14ac:dyDescent="0.3">
      <c r="A841" s="230" t="e">
        <f>#REF!</f>
        <v>#REF!</v>
      </c>
      <c r="B841" s="227"/>
      <c r="C841" s="106"/>
      <c r="D841" s="110" t="s">
        <v>2333</v>
      </c>
      <c r="E841" s="226">
        <v>550000</v>
      </c>
    </row>
    <row r="842" spans="1:5" ht="15" customHeight="1" x14ac:dyDescent="0.3">
      <c r="A842" s="230" t="e">
        <f>A841</f>
        <v>#REF!</v>
      </c>
      <c r="B842" s="227"/>
      <c r="C842" s="106"/>
      <c r="D842" s="110" t="s">
        <v>2334</v>
      </c>
      <c r="E842" s="226">
        <v>550000</v>
      </c>
    </row>
    <row r="843" spans="1:5" s="96" customFormat="1" ht="15" customHeight="1" x14ac:dyDescent="0.3">
      <c r="A843" s="230" t="e">
        <f t="shared" si="39"/>
        <v>#REF!</v>
      </c>
      <c r="B843" s="227"/>
      <c r="C843" s="106"/>
      <c r="D843" s="110" t="s">
        <v>2335</v>
      </c>
      <c r="E843" s="226">
        <v>750000</v>
      </c>
    </row>
    <row r="844" spans="1:5" s="96" customFormat="1" ht="15" customHeight="1" x14ac:dyDescent="0.3">
      <c r="A844" s="230" t="e">
        <f t="shared" si="39"/>
        <v>#REF!</v>
      </c>
      <c r="B844" s="227"/>
      <c r="C844" s="106"/>
      <c r="D844" s="110" t="s">
        <v>2336</v>
      </c>
      <c r="E844" s="226">
        <v>620000</v>
      </c>
    </row>
    <row r="845" spans="1:5" s="96" customFormat="1" ht="15" customHeight="1" x14ac:dyDescent="0.3">
      <c r="A845" s="230" t="e">
        <f>#REF!</f>
        <v>#REF!</v>
      </c>
      <c r="B845" s="227"/>
      <c r="C845" s="104">
        <v>216</v>
      </c>
      <c r="D845" s="112" t="s">
        <v>2338</v>
      </c>
      <c r="E845" s="226">
        <v>1035000</v>
      </c>
    </row>
    <row r="846" spans="1:5" s="96" customFormat="1" ht="15" customHeight="1" x14ac:dyDescent="0.3">
      <c r="A846" s="230" t="e">
        <f t="shared" ref="A846:A850" si="40">A845</f>
        <v>#REF!</v>
      </c>
      <c r="B846" s="227"/>
      <c r="C846" s="106"/>
      <c r="D846" s="110" t="s">
        <v>2339</v>
      </c>
      <c r="E846" s="226">
        <v>1025000</v>
      </c>
    </row>
    <row r="847" spans="1:5" s="96" customFormat="1" ht="15" customHeight="1" x14ac:dyDescent="0.3">
      <c r="A847" s="230" t="e">
        <f t="shared" si="40"/>
        <v>#REF!</v>
      </c>
      <c r="B847" s="227"/>
      <c r="C847" s="106"/>
      <c r="D847" s="110" t="s">
        <v>2340</v>
      </c>
      <c r="E847" s="226">
        <v>1035000</v>
      </c>
    </row>
    <row r="848" spans="1:5" s="96" customFormat="1" ht="15" customHeight="1" x14ac:dyDescent="0.3">
      <c r="A848" s="230" t="e">
        <f t="shared" si="40"/>
        <v>#REF!</v>
      </c>
      <c r="B848" s="227"/>
      <c r="C848" s="106"/>
      <c r="D848" s="110" t="s">
        <v>3351</v>
      </c>
      <c r="E848" s="226">
        <v>1400000</v>
      </c>
    </row>
    <row r="849" spans="1:5" s="96" customFormat="1" ht="15" customHeight="1" x14ac:dyDescent="0.3">
      <c r="A849" s="230" t="e">
        <f t="shared" si="40"/>
        <v>#REF!</v>
      </c>
      <c r="B849" s="227"/>
      <c r="C849" s="106"/>
      <c r="D849" s="110" t="s">
        <v>2341</v>
      </c>
      <c r="E849" s="226">
        <v>1155000</v>
      </c>
    </row>
    <row r="850" spans="1:5" s="96" customFormat="1" ht="15" customHeight="1" x14ac:dyDescent="0.3">
      <c r="A850" s="230" t="e">
        <f t="shared" si="40"/>
        <v>#REF!</v>
      </c>
      <c r="B850" s="227"/>
      <c r="C850" s="106"/>
      <c r="D850" s="110" t="s">
        <v>3352</v>
      </c>
      <c r="E850" s="226">
        <v>1310000</v>
      </c>
    </row>
    <row r="851" spans="1:5" s="96" customFormat="1" ht="15" customHeight="1" x14ac:dyDescent="0.3">
      <c r="A851" s="230" t="e">
        <f>#REF!</f>
        <v>#REF!</v>
      </c>
      <c r="B851" s="227"/>
      <c r="C851" s="104">
        <v>270</v>
      </c>
      <c r="D851" s="112" t="s">
        <v>2342</v>
      </c>
      <c r="E851" s="226">
        <v>1320000</v>
      </c>
    </row>
    <row r="852" spans="1:5" s="96" customFormat="1" ht="15" customHeight="1" x14ac:dyDescent="0.3">
      <c r="A852" s="230"/>
      <c r="B852" s="227"/>
      <c r="C852" s="106"/>
      <c r="D852" s="110" t="s">
        <v>1926</v>
      </c>
      <c r="E852" s="226">
        <v>1800000</v>
      </c>
    </row>
    <row r="853" spans="1:5" s="96" customFormat="1" ht="15" customHeight="1" x14ac:dyDescent="0.3">
      <c r="A853" s="230" t="e">
        <f>#REF!</f>
        <v>#REF!</v>
      </c>
      <c r="B853" s="227"/>
      <c r="C853" s="106"/>
      <c r="D853" s="110" t="s">
        <v>2343</v>
      </c>
      <c r="E853" s="226">
        <v>1265000</v>
      </c>
    </row>
    <row r="854" spans="1:5" s="96" customFormat="1" ht="15" customHeight="1" x14ac:dyDescent="0.3">
      <c r="A854" s="230" t="e">
        <f>#REF!</f>
        <v>#REF!</v>
      </c>
      <c r="B854" s="227"/>
      <c r="C854" s="491"/>
      <c r="D854" s="492" t="s">
        <v>3353</v>
      </c>
      <c r="E854" s="226">
        <v>1665000</v>
      </c>
    </row>
    <row r="855" spans="1:5" s="96" customFormat="1" ht="15" customHeight="1" x14ac:dyDescent="0.3">
      <c r="A855" s="230" t="e">
        <f t="shared" ref="A855:A857" si="41">A854</f>
        <v>#REF!</v>
      </c>
      <c r="B855" s="227"/>
      <c r="C855" s="106">
        <v>352</v>
      </c>
      <c r="D855" s="110" t="s">
        <v>2344</v>
      </c>
      <c r="E855" s="226">
        <v>1800000</v>
      </c>
    </row>
    <row r="856" spans="1:5" s="96" customFormat="1" ht="15" customHeight="1" x14ac:dyDescent="0.3">
      <c r="A856" s="230" t="e">
        <f t="shared" si="41"/>
        <v>#REF!</v>
      </c>
      <c r="B856" s="227"/>
      <c r="C856" s="106"/>
      <c r="D856" s="110" t="s">
        <v>2345</v>
      </c>
      <c r="E856" s="226">
        <v>2420000</v>
      </c>
    </row>
    <row r="857" spans="1:5" s="96" customFormat="1" ht="15" customHeight="1" x14ac:dyDescent="0.3">
      <c r="A857" s="230" t="e">
        <f t="shared" si="41"/>
        <v>#REF!</v>
      </c>
      <c r="B857" s="103" t="s">
        <v>1895</v>
      </c>
      <c r="C857" s="104">
        <v>270</v>
      </c>
      <c r="D857" s="112" t="s">
        <v>2346</v>
      </c>
      <c r="E857" s="226">
        <v>925000</v>
      </c>
    </row>
    <row r="858" spans="1:5" s="96" customFormat="1" ht="15" customHeight="1" x14ac:dyDescent="0.3">
      <c r="A858" s="446" t="s">
        <v>2347</v>
      </c>
      <c r="B858" s="103" t="s">
        <v>2285</v>
      </c>
      <c r="C858" s="104">
        <v>118</v>
      </c>
      <c r="D858" s="112" t="s">
        <v>2058</v>
      </c>
      <c r="E858" s="226">
        <v>525000</v>
      </c>
    </row>
    <row r="859" spans="1:5" s="96" customFormat="1" ht="15" customHeight="1" x14ac:dyDescent="0.3">
      <c r="A859" s="230" t="str">
        <f t="shared" ref="A859:A868" si="42">A858</f>
        <v xml:space="preserve">클래식 테크위브
(CCLT) </v>
      </c>
      <c r="B859" s="227"/>
      <c r="C859" s="106"/>
      <c r="D859" s="110" t="s">
        <v>2185</v>
      </c>
      <c r="E859" s="226">
        <v>520000</v>
      </c>
    </row>
    <row r="860" spans="1:5" s="96" customFormat="1" ht="15" customHeight="1" x14ac:dyDescent="0.3">
      <c r="A860" s="230" t="str">
        <f t="shared" si="42"/>
        <v xml:space="preserve">클래식 테크위브
(CCLT) </v>
      </c>
      <c r="B860" s="227"/>
      <c r="C860" s="106"/>
      <c r="D860" s="110" t="s">
        <v>2109</v>
      </c>
      <c r="E860" s="226">
        <v>715000</v>
      </c>
    </row>
    <row r="861" spans="1:5" s="96" customFormat="1" ht="15" customHeight="1" x14ac:dyDescent="0.3">
      <c r="A861" s="230" t="str">
        <f t="shared" si="42"/>
        <v xml:space="preserve">클래식 테크위브
(CCLT) </v>
      </c>
      <c r="B861" s="227"/>
      <c r="C861" s="104">
        <v>216</v>
      </c>
      <c r="D861" s="112" t="s">
        <v>1800</v>
      </c>
      <c r="E861" s="226">
        <v>980000</v>
      </c>
    </row>
    <row r="862" spans="1:5" s="96" customFormat="1" ht="15" customHeight="1" x14ac:dyDescent="0.3">
      <c r="A862" s="230" t="str">
        <f t="shared" si="42"/>
        <v xml:space="preserve">클래식 테크위브
(CCLT) </v>
      </c>
      <c r="B862" s="227"/>
      <c r="C862" s="106"/>
      <c r="D862" s="110" t="s">
        <v>1996</v>
      </c>
      <c r="E862" s="226">
        <v>970000</v>
      </c>
    </row>
    <row r="863" spans="1:5" ht="15" customHeight="1" x14ac:dyDescent="0.3">
      <c r="A863" s="230" t="str">
        <f t="shared" si="42"/>
        <v xml:space="preserve">클래식 테크위브
(CCLT) </v>
      </c>
      <c r="B863" s="227"/>
      <c r="C863" s="106"/>
      <c r="D863" s="110" t="s">
        <v>2152</v>
      </c>
      <c r="E863" s="226">
        <v>1110000</v>
      </c>
    </row>
    <row r="864" spans="1:5" ht="15" customHeight="1" x14ac:dyDescent="0.3">
      <c r="A864" s="230" t="str">
        <f t="shared" si="42"/>
        <v xml:space="preserve">클래식 테크위브
(CCLT) </v>
      </c>
      <c r="B864" s="227"/>
      <c r="C864" s="106"/>
      <c r="D864" s="110" t="s">
        <v>1801</v>
      </c>
      <c r="E864" s="226">
        <v>1250000</v>
      </c>
    </row>
    <row r="865" spans="1:5" ht="15" customHeight="1" x14ac:dyDescent="0.3">
      <c r="A865" s="230" t="str">
        <f t="shared" si="42"/>
        <v xml:space="preserve">클래식 테크위브
(CCLT) </v>
      </c>
      <c r="B865" s="227"/>
      <c r="C865" s="106"/>
      <c r="D865" s="110" t="s">
        <v>2348</v>
      </c>
      <c r="E865" s="226">
        <v>1330000</v>
      </c>
    </row>
    <row r="866" spans="1:5" ht="15" customHeight="1" x14ac:dyDescent="0.3">
      <c r="A866" s="230" t="str">
        <f t="shared" si="42"/>
        <v xml:space="preserve">클래식 테크위브
(CCLT) </v>
      </c>
      <c r="B866" s="227"/>
      <c r="C866" s="104">
        <v>270</v>
      </c>
      <c r="D866" s="112" t="s">
        <v>2062</v>
      </c>
      <c r="E866" s="226">
        <v>1255000</v>
      </c>
    </row>
    <row r="867" spans="1:5" ht="15" customHeight="1" x14ac:dyDescent="0.3">
      <c r="A867" s="230" t="str">
        <f t="shared" si="42"/>
        <v xml:space="preserve">클래식 테크위브
(CCLT) </v>
      </c>
      <c r="B867" s="227"/>
      <c r="C867" s="106"/>
      <c r="D867" s="110" t="s">
        <v>1946</v>
      </c>
      <c r="E867" s="226">
        <v>1210000</v>
      </c>
    </row>
    <row r="868" spans="1:5" ht="15" customHeight="1" x14ac:dyDescent="0.3">
      <c r="A868" s="230" t="str">
        <f t="shared" si="42"/>
        <v xml:space="preserve">클래식 테크위브
(CCLT) </v>
      </c>
      <c r="B868" s="227"/>
      <c r="C868" s="106"/>
      <c r="D868" s="110" t="s">
        <v>2314</v>
      </c>
      <c r="E868" s="226">
        <v>1375000</v>
      </c>
    </row>
    <row r="869" spans="1:5" ht="15" customHeight="1" x14ac:dyDescent="0.3">
      <c r="A869" s="230"/>
      <c r="B869" s="227"/>
      <c r="C869" s="106"/>
      <c r="D869" s="110" t="s">
        <v>2011</v>
      </c>
      <c r="E869" s="226">
        <v>1660000</v>
      </c>
    </row>
    <row r="870" spans="1:5" ht="15" customHeight="1" x14ac:dyDescent="0.3">
      <c r="A870" s="230" t="str">
        <f>A868</f>
        <v xml:space="preserve">클래식 테크위브
(CCLT) </v>
      </c>
      <c r="B870" s="227"/>
      <c r="C870" s="106"/>
      <c r="D870" s="110" t="s">
        <v>2193</v>
      </c>
      <c r="E870" s="226">
        <v>1710000</v>
      </c>
    </row>
    <row r="871" spans="1:5" ht="15" customHeight="1" x14ac:dyDescent="0.3">
      <c r="A871" s="230" t="str">
        <f>A870</f>
        <v xml:space="preserve">클래식 테크위브
(CCLT) </v>
      </c>
      <c r="B871" s="227"/>
      <c r="C871" s="491"/>
      <c r="D871" s="492" t="s">
        <v>2012</v>
      </c>
      <c r="E871" s="226">
        <v>1600000</v>
      </c>
    </row>
    <row r="872" spans="1:5" ht="15" customHeight="1" x14ac:dyDescent="0.3">
      <c r="A872" s="230" t="e">
        <f>#REF!</f>
        <v>#REF!</v>
      </c>
      <c r="B872" s="227"/>
      <c r="C872" s="106">
        <v>352</v>
      </c>
      <c r="D872" s="110" t="s">
        <v>1847</v>
      </c>
      <c r="E872" s="226">
        <v>1710000</v>
      </c>
    </row>
    <row r="873" spans="1:5" ht="15" customHeight="1" x14ac:dyDescent="0.3">
      <c r="A873" s="230" t="e">
        <f>A872</f>
        <v>#REF!</v>
      </c>
      <c r="B873" s="227"/>
      <c r="C873" s="106"/>
      <c r="D873" s="110" t="s">
        <v>2316</v>
      </c>
      <c r="E873" s="226">
        <v>1810000</v>
      </c>
    </row>
    <row r="874" spans="1:5" ht="15" customHeight="1" x14ac:dyDescent="0.3">
      <c r="A874" s="230" t="e">
        <f>A873</f>
        <v>#REF!</v>
      </c>
      <c r="B874" s="323"/>
      <c r="C874" s="324"/>
      <c r="D874" s="325" t="s">
        <v>2349</v>
      </c>
      <c r="E874" s="226">
        <v>2300000</v>
      </c>
    </row>
    <row r="875" spans="1:5" ht="15" customHeight="1" x14ac:dyDescent="0.3">
      <c r="A875" s="237" t="s">
        <v>2350</v>
      </c>
      <c r="B875" s="447" t="s">
        <v>1921</v>
      </c>
      <c r="C875" s="239">
        <v>220</v>
      </c>
      <c r="D875" s="448" t="s">
        <v>2351</v>
      </c>
      <c r="E875" s="226">
        <v>1000000</v>
      </c>
    </row>
    <row r="876" spans="1:5" ht="15" customHeight="1" x14ac:dyDescent="0.3">
      <c r="A876" s="230"/>
      <c r="B876" s="235" t="s">
        <v>1846</v>
      </c>
      <c r="C876" s="106">
        <v>120</v>
      </c>
      <c r="D876" s="449" t="s">
        <v>3354</v>
      </c>
      <c r="E876" s="226">
        <v>640000</v>
      </c>
    </row>
    <row r="877" spans="1:5" ht="15" customHeight="1" x14ac:dyDescent="0.3">
      <c r="A877" s="241" t="str">
        <f>A875</f>
        <v>킹덤
(KDM)</v>
      </c>
      <c r="B877" s="331" t="s">
        <v>2352</v>
      </c>
      <c r="C877" s="324">
        <v>100</v>
      </c>
      <c r="D877" s="450" t="s">
        <v>2353</v>
      </c>
      <c r="E877" s="226">
        <v>180000</v>
      </c>
    </row>
    <row r="878" spans="1:5" ht="15" customHeight="1" x14ac:dyDescent="0.3">
      <c r="A878" s="237" t="s">
        <v>3355</v>
      </c>
      <c r="B878" s="427" t="s">
        <v>1789</v>
      </c>
      <c r="C878" s="239">
        <v>90</v>
      </c>
      <c r="D878" s="240"/>
      <c r="E878" s="226">
        <v>600000</v>
      </c>
    </row>
    <row r="879" spans="1:5" ht="15" customHeight="1" x14ac:dyDescent="0.3">
      <c r="A879" s="241" t="e">
        <f>#REF!</f>
        <v>#REF!</v>
      </c>
      <c r="B879" s="323" t="s">
        <v>1789</v>
      </c>
      <c r="C879" s="324">
        <v>60</v>
      </c>
      <c r="D879" s="325" t="s">
        <v>2354</v>
      </c>
      <c r="E879" s="226">
        <v>665000</v>
      </c>
    </row>
    <row r="895" spans="1:5" s="96" customFormat="1" ht="14.4" customHeight="1" x14ac:dyDescent="0.3">
      <c r="A895" s="451"/>
      <c r="B895" s="116"/>
      <c r="C895" s="452"/>
      <c r="D895" s="453"/>
      <c r="E895" s="226"/>
    </row>
    <row r="896" spans="1:5" s="96" customFormat="1" ht="14.4" customHeight="1" x14ac:dyDescent="0.3">
      <c r="A896" s="451"/>
      <c r="B896" s="116"/>
      <c r="C896" s="452"/>
      <c r="D896" s="453"/>
      <c r="E896" s="226"/>
    </row>
    <row r="897" spans="1:5" s="96" customFormat="1" ht="14.4" customHeight="1" x14ac:dyDescent="0.3">
      <c r="A897" s="451"/>
      <c r="B897" s="116"/>
      <c r="C897" s="452"/>
      <c r="D897" s="453"/>
      <c r="E897" s="226"/>
    </row>
    <row r="898" spans="1:5" s="96" customFormat="1" ht="14.4" customHeight="1" x14ac:dyDescent="0.3">
      <c r="A898" s="451"/>
      <c r="B898" s="116"/>
      <c r="C898" s="452"/>
      <c r="D898" s="453"/>
      <c r="E898" s="226"/>
    </row>
    <row r="899" spans="1:5" s="96" customFormat="1" ht="14.4" customHeight="1" x14ac:dyDescent="0.3">
      <c r="A899" s="451"/>
      <c r="B899" s="116"/>
      <c r="C899" s="452"/>
      <c r="D899" s="453"/>
      <c r="E899" s="226"/>
    </row>
    <row r="900" spans="1:5" s="96" customFormat="1" ht="14.4" customHeight="1" x14ac:dyDescent="0.3">
      <c r="A900" s="451"/>
      <c r="B900" s="116"/>
      <c r="C900" s="452"/>
      <c r="D900" s="453"/>
      <c r="E900" s="226"/>
    </row>
    <row r="901" spans="1:5" s="96" customFormat="1" ht="13.95" customHeight="1" x14ac:dyDescent="0.3">
      <c r="A901" s="451"/>
      <c r="B901" s="116"/>
      <c r="C901" s="452"/>
      <c r="D901" s="453"/>
      <c r="E901" s="226"/>
    </row>
    <row r="902" spans="1:5" s="96" customFormat="1" ht="13.95" customHeight="1" x14ac:dyDescent="0.3">
      <c r="A902" s="451"/>
      <c r="B902" s="116"/>
      <c r="C902" s="452"/>
      <c r="D902" s="453"/>
      <c r="E902" s="226"/>
    </row>
    <row r="967" spans="1:5" s="96" customFormat="1" ht="14.4" customHeight="1" x14ac:dyDescent="0.3">
      <c r="A967" s="451"/>
      <c r="B967" s="116"/>
      <c r="C967" s="452"/>
      <c r="D967" s="453"/>
      <c r="E967" s="226"/>
    </row>
    <row r="968" spans="1:5" s="96" customFormat="1" ht="14.4" customHeight="1" x14ac:dyDescent="0.3">
      <c r="A968" s="451"/>
      <c r="B968" s="116"/>
      <c r="C968" s="452"/>
      <c r="D968" s="453"/>
      <c r="E968" s="226"/>
    </row>
    <row r="969" spans="1:5" s="96" customFormat="1" ht="14.4" customHeight="1" x14ac:dyDescent="0.3">
      <c r="A969" s="451"/>
      <c r="B969" s="116"/>
      <c r="C969" s="452"/>
      <c r="D969" s="453"/>
      <c r="E969" s="226"/>
    </row>
    <row r="970" spans="1:5" s="96" customFormat="1" ht="14.4" customHeight="1" x14ac:dyDescent="0.3">
      <c r="A970" s="451"/>
      <c r="B970" s="116"/>
      <c r="C970" s="452"/>
      <c r="D970" s="453"/>
      <c r="E970" s="226"/>
    </row>
    <row r="971" spans="1:5" s="96" customFormat="1" ht="14.4" customHeight="1" x14ac:dyDescent="0.3">
      <c r="A971" s="451"/>
      <c r="B971" s="116"/>
      <c r="C971" s="452"/>
      <c r="D971" s="453"/>
      <c r="E971" s="226"/>
    </row>
    <row r="972" spans="1:5" s="96" customFormat="1" ht="14.4" customHeight="1" x14ac:dyDescent="0.3">
      <c r="A972" s="451"/>
      <c r="B972" s="116"/>
      <c r="C972" s="452"/>
      <c r="D972" s="453"/>
      <c r="E972" s="226"/>
    </row>
    <row r="973" spans="1:5" s="96" customFormat="1" ht="14.4" customHeight="1" x14ac:dyDescent="0.3">
      <c r="A973" s="451"/>
      <c r="B973" s="116"/>
      <c r="C973" s="452"/>
      <c r="D973" s="453"/>
      <c r="E973" s="226"/>
    </row>
    <row r="974" spans="1:5" s="96" customFormat="1" ht="14.4" customHeight="1" x14ac:dyDescent="0.3">
      <c r="A974" s="451"/>
      <c r="B974" s="116"/>
      <c r="C974" s="452"/>
      <c r="D974" s="453"/>
      <c r="E974" s="226"/>
    </row>
    <row r="975" spans="1:5" s="96" customFormat="1" ht="14.4" customHeight="1" x14ac:dyDescent="0.3">
      <c r="A975" s="451"/>
      <c r="B975" s="116"/>
      <c r="C975" s="452"/>
      <c r="D975" s="453"/>
      <c r="E975" s="226"/>
    </row>
    <row r="976" spans="1:5" s="96" customFormat="1" ht="14.4" customHeight="1" x14ac:dyDescent="0.3">
      <c r="A976" s="451"/>
      <c r="B976" s="116"/>
      <c r="C976" s="452"/>
      <c r="D976" s="453"/>
      <c r="E976" s="226"/>
    </row>
    <row r="977" spans="1:5" s="96" customFormat="1" ht="14.4" customHeight="1" x14ac:dyDescent="0.3">
      <c r="A977" s="451"/>
      <c r="B977" s="116"/>
      <c r="C977" s="452"/>
      <c r="D977" s="453"/>
      <c r="E977" s="226"/>
    </row>
    <row r="978" spans="1:5" s="96" customFormat="1" ht="14.4" customHeight="1" x14ac:dyDescent="0.3">
      <c r="A978" s="451"/>
      <c r="B978" s="116"/>
      <c r="C978" s="452"/>
      <c r="D978" s="453"/>
      <c r="E978" s="226"/>
    </row>
    <row r="979" spans="1:5" s="96" customFormat="1" ht="14.4" customHeight="1" x14ac:dyDescent="0.3">
      <c r="A979" s="451"/>
      <c r="B979" s="116"/>
      <c r="C979" s="452"/>
      <c r="D979" s="453"/>
      <c r="E979" s="226"/>
    </row>
    <row r="1052" spans="1:5" s="96" customFormat="1" ht="15" customHeight="1" x14ac:dyDescent="0.3">
      <c r="A1052" s="451"/>
      <c r="B1052" s="116"/>
      <c r="C1052" s="452"/>
      <c r="D1052" s="453"/>
      <c r="E1052" s="226"/>
    </row>
    <row r="1053" spans="1:5" s="96" customFormat="1" ht="15" customHeight="1" x14ac:dyDescent="0.3">
      <c r="A1053" s="451"/>
      <c r="B1053" s="116"/>
      <c r="C1053" s="452"/>
      <c r="D1053" s="453"/>
      <c r="E1053" s="226"/>
    </row>
    <row r="1054" spans="1:5" s="96" customFormat="1" ht="15" customHeight="1" x14ac:dyDescent="0.3">
      <c r="A1054" s="451"/>
      <c r="B1054" s="116"/>
      <c r="C1054" s="452"/>
      <c r="D1054" s="453"/>
      <c r="E1054" s="226"/>
    </row>
    <row r="1055" spans="1:5" s="96" customFormat="1" ht="15" customHeight="1" x14ac:dyDescent="0.3">
      <c r="A1055" s="451"/>
      <c r="B1055" s="116"/>
      <c r="C1055" s="452"/>
      <c r="D1055" s="453"/>
      <c r="E1055" s="226"/>
    </row>
    <row r="1056" spans="1:5" s="96" customFormat="1" ht="15" customHeight="1" x14ac:dyDescent="0.3">
      <c r="A1056" s="451"/>
      <c r="B1056" s="116"/>
      <c r="C1056" s="452"/>
      <c r="D1056" s="453"/>
      <c r="E1056" s="226"/>
    </row>
    <row r="1057" spans="1:5" s="96" customFormat="1" ht="15" customHeight="1" x14ac:dyDescent="0.3">
      <c r="A1057" s="451"/>
      <c r="B1057" s="116"/>
      <c r="C1057" s="452"/>
      <c r="D1057" s="453"/>
      <c r="E1057" s="226"/>
    </row>
    <row r="1058" spans="1:5" s="96" customFormat="1" ht="15" customHeight="1" x14ac:dyDescent="0.3">
      <c r="A1058" s="451"/>
      <c r="B1058" s="116"/>
      <c r="C1058" s="452"/>
      <c r="D1058" s="453"/>
      <c r="E1058" s="226"/>
    </row>
    <row r="1059" spans="1:5" s="96" customFormat="1" ht="15" customHeight="1" x14ac:dyDescent="0.3">
      <c r="A1059" s="451"/>
      <c r="B1059" s="116"/>
      <c r="C1059" s="452"/>
      <c r="D1059" s="453"/>
      <c r="E1059" s="226"/>
    </row>
    <row r="1060" spans="1:5" s="96" customFormat="1" ht="15" customHeight="1" x14ac:dyDescent="0.3">
      <c r="A1060" s="451"/>
      <c r="B1060" s="116"/>
      <c r="C1060" s="452"/>
      <c r="D1060" s="453"/>
      <c r="E1060" s="226"/>
    </row>
    <row r="1061" spans="1:5" s="96" customFormat="1" ht="15" customHeight="1" x14ac:dyDescent="0.3">
      <c r="A1061" s="451"/>
      <c r="B1061" s="116"/>
      <c r="C1061" s="452"/>
      <c r="D1061" s="453"/>
      <c r="E1061" s="226"/>
    </row>
    <row r="1062" spans="1:5" s="96" customFormat="1" ht="15" customHeight="1" x14ac:dyDescent="0.3">
      <c r="A1062" s="451"/>
      <c r="B1062" s="116"/>
      <c r="C1062" s="452"/>
      <c r="D1062" s="453"/>
      <c r="E1062" s="226"/>
    </row>
    <row r="1063" spans="1:5" s="96" customFormat="1" ht="15" customHeight="1" x14ac:dyDescent="0.3">
      <c r="A1063" s="451"/>
      <c r="B1063" s="116"/>
      <c r="C1063" s="452"/>
      <c r="D1063" s="453"/>
      <c r="E1063" s="226"/>
    </row>
    <row r="1064" spans="1:5" s="96" customFormat="1" ht="15" customHeight="1" x14ac:dyDescent="0.3">
      <c r="A1064" s="451"/>
      <c r="B1064" s="116"/>
      <c r="C1064" s="452"/>
      <c r="D1064" s="453"/>
      <c r="E1064" s="226"/>
    </row>
    <row r="1065" spans="1:5" s="96" customFormat="1" ht="16.5" customHeight="1" x14ac:dyDescent="0.3">
      <c r="A1065" s="451"/>
      <c r="B1065" s="116"/>
      <c r="C1065" s="452"/>
      <c r="D1065" s="453"/>
      <c r="E1065" s="226"/>
    </row>
    <row r="1066" spans="1:5" s="96" customFormat="1" ht="13.2" customHeight="1" x14ac:dyDescent="0.3">
      <c r="A1066" s="451"/>
      <c r="B1066" s="116"/>
      <c r="C1066" s="452"/>
      <c r="D1066" s="453"/>
      <c r="E1066" s="226"/>
    </row>
    <row r="1067" spans="1:5" s="96" customFormat="1" ht="13.2" customHeight="1" x14ac:dyDescent="0.3">
      <c r="A1067" s="451"/>
      <c r="B1067" s="116"/>
      <c r="C1067" s="452"/>
      <c r="D1067" s="453"/>
      <c r="E1067" s="226"/>
    </row>
    <row r="1068" spans="1:5" s="96" customFormat="1" ht="13.2" customHeight="1" x14ac:dyDescent="0.3">
      <c r="A1068" s="451"/>
      <c r="B1068" s="116"/>
      <c r="C1068" s="452"/>
      <c r="D1068" s="453"/>
      <c r="E1068" s="226"/>
    </row>
    <row r="1069" spans="1:5" s="96" customFormat="1" ht="13.2" customHeight="1" x14ac:dyDescent="0.3">
      <c r="A1069" s="451"/>
      <c r="B1069" s="116"/>
      <c r="C1069" s="452"/>
      <c r="D1069" s="453"/>
      <c r="E1069" s="226"/>
    </row>
    <row r="1070" spans="1:5" s="96" customFormat="1" ht="13.2" customHeight="1" x14ac:dyDescent="0.3">
      <c r="A1070" s="451"/>
      <c r="B1070" s="116"/>
      <c r="C1070" s="452"/>
      <c r="D1070" s="453"/>
      <c r="E1070" s="226"/>
    </row>
    <row r="1071" spans="1:5" s="96" customFormat="1" ht="13.2" customHeight="1" x14ac:dyDescent="0.3">
      <c r="A1071" s="451"/>
      <c r="B1071" s="116"/>
      <c r="C1071" s="452"/>
      <c r="D1071" s="453"/>
      <c r="E1071" s="226"/>
    </row>
    <row r="1072" spans="1:5" s="96" customFormat="1" ht="13.2" customHeight="1" x14ac:dyDescent="0.3">
      <c r="A1072" s="451"/>
      <c r="B1072" s="116"/>
      <c r="C1072" s="452"/>
      <c r="D1072" s="453"/>
      <c r="E1072" s="226"/>
    </row>
    <row r="1073" spans="1:5" s="96" customFormat="1" ht="13.2" customHeight="1" x14ac:dyDescent="0.3">
      <c r="A1073" s="451"/>
      <c r="B1073" s="116"/>
      <c r="C1073" s="452"/>
      <c r="D1073" s="453"/>
      <c r="E1073" s="226"/>
    </row>
    <row r="1074" spans="1:5" s="96" customFormat="1" ht="13.2" customHeight="1" x14ac:dyDescent="0.3">
      <c r="A1074" s="451"/>
      <c r="B1074" s="116"/>
      <c r="C1074" s="452"/>
      <c r="D1074" s="453"/>
      <c r="E1074" s="226"/>
    </row>
    <row r="1075" spans="1:5" s="96" customFormat="1" ht="16.5" customHeight="1" x14ac:dyDescent="0.3">
      <c r="A1075" s="451"/>
      <c r="B1075" s="116"/>
      <c r="C1075" s="452"/>
      <c r="D1075" s="453"/>
      <c r="E1075" s="226"/>
    </row>
    <row r="1076" spans="1:5" s="96" customFormat="1" ht="13.2" customHeight="1" x14ac:dyDescent="0.3">
      <c r="A1076" s="451"/>
      <c r="B1076" s="116"/>
      <c r="C1076" s="452"/>
      <c r="D1076" s="453"/>
      <c r="E1076" s="226"/>
    </row>
    <row r="1077" spans="1:5" s="96" customFormat="1" ht="13.2" customHeight="1" x14ac:dyDescent="0.3">
      <c r="A1077" s="451"/>
      <c r="B1077" s="116"/>
      <c r="C1077" s="452"/>
      <c r="D1077" s="453"/>
      <c r="E1077" s="226"/>
    </row>
    <row r="1078" spans="1:5" s="96" customFormat="1" ht="13.2" customHeight="1" x14ac:dyDescent="0.3">
      <c r="A1078" s="451"/>
      <c r="B1078" s="116"/>
      <c r="C1078" s="452"/>
      <c r="D1078" s="453"/>
      <c r="E1078" s="226"/>
    </row>
    <row r="1079" spans="1:5" s="96" customFormat="1" ht="13.2" customHeight="1" x14ac:dyDescent="0.3">
      <c r="A1079" s="451"/>
      <c r="B1079" s="116"/>
      <c r="C1079" s="452"/>
      <c r="D1079" s="453"/>
      <c r="E1079" s="226"/>
    </row>
    <row r="1080" spans="1:5" s="96" customFormat="1" ht="13.2" customHeight="1" x14ac:dyDescent="0.3">
      <c r="A1080" s="451"/>
      <c r="B1080" s="116"/>
      <c r="C1080" s="452"/>
      <c r="D1080" s="453"/>
      <c r="E1080" s="226"/>
    </row>
    <row r="1081" spans="1:5" s="96" customFormat="1" ht="13.2" customHeight="1" x14ac:dyDescent="0.3">
      <c r="A1081" s="451"/>
      <c r="B1081" s="116"/>
      <c r="C1081" s="452"/>
      <c r="D1081" s="453"/>
      <c r="E1081" s="226"/>
    </row>
    <row r="1082" spans="1:5" s="96" customFormat="1" ht="13.2" customHeight="1" x14ac:dyDescent="0.3">
      <c r="A1082" s="451"/>
      <c r="B1082" s="116"/>
      <c r="C1082" s="452"/>
      <c r="D1082" s="453"/>
      <c r="E1082" s="226"/>
    </row>
    <row r="1083" spans="1:5" s="96" customFormat="1" ht="13.2" customHeight="1" x14ac:dyDescent="0.3">
      <c r="A1083" s="451"/>
      <c r="B1083" s="116"/>
      <c r="C1083" s="452"/>
      <c r="D1083" s="453"/>
      <c r="E1083" s="226"/>
    </row>
    <row r="1084" spans="1:5" s="96" customFormat="1" ht="13.2" customHeight="1" x14ac:dyDescent="0.3">
      <c r="A1084" s="451"/>
      <c r="B1084" s="116"/>
      <c r="C1084" s="452"/>
      <c r="D1084" s="453"/>
      <c r="E1084" s="226"/>
    </row>
    <row r="1092" spans="1:5" s="96" customFormat="1" ht="16.5" customHeight="1" x14ac:dyDescent="0.3">
      <c r="A1092" s="451"/>
      <c r="B1092" s="116"/>
      <c r="C1092" s="452"/>
      <c r="D1092" s="453"/>
      <c r="E1092" s="226"/>
    </row>
    <row r="1093" spans="1:5" s="96" customFormat="1" ht="13.2" customHeight="1" x14ac:dyDescent="0.3">
      <c r="A1093" s="451"/>
      <c r="B1093" s="116"/>
      <c r="C1093" s="452"/>
      <c r="D1093" s="453"/>
      <c r="E1093" s="226"/>
    </row>
    <row r="1094" spans="1:5" s="96" customFormat="1" ht="13.2" customHeight="1" x14ac:dyDescent="0.3">
      <c r="A1094" s="451"/>
      <c r="B1094" s="116"/>
      <c r="C1094" s="452"/>
      <c r="D1094" s="453"/>
      <c r="E1094" s="226"/>
    </row>
    <row r="1095" spans="1:5" s="96" customFormat="1" ht="13.2" customHeight="1" x14ac:dyDescent="0.3">
      <c r="A1095" s="451"/>
      <c r="B1095" s="116"/>
      <c r="C1095" s="452"/>
      <c r="D1095" s="453"/>
      <c r="E1095" s="226"/>
    </row>
    <row r="1096" spans="1:5" s="96" customFormat="1" ht="13.2" customHeight="1" x14ac:dyDescent="0.3">
      <c r="A1096" s="451"/>
      <c r="B1096" s="116"/>
      <c r="C1096" s="452"/>
      <c r="D1096" s="453"/>
      <c r="E1096" s="226"/>
    </row>
    <row r="1097" spans="1:5" s="96" customFormat="1" ht="13.2" customHeight="1" x14ac:dyDescent="0.3">
      <c r="A1097" s="451"/>
      <c r="B1097" s="116"/>
      <c r="C1097" s="452"/>
      <c r="D1097" s="453"/>
      <c r="E1097" s="226"/>
    </row>
    <row r="1098" spans="1:5" s="96" customFormat="1" ht="13.2" customHeight="1" x14ac:dyDescent="0.3">
      <c r="A1098" s="451"/>
      <c r="B1098" s="116"/>
      <c r="C1098" s="452"/>
      <c r="D1098" s="453"/>
      <c r="E1098" s="226"/>
    </row>
    <row r="1099" spans="1:5" s="96" customFormat="1" ht="13.2" customHeight="1" x14ac:dyDescent="0.3">
      <c r="A1099" s="451"/>
      <c r="B1099" s="116"/>
      <c r="C1099" s="452"/>
      <c r="D1099" s="453"/>
      <c r="E1099" s="226"/>
    </row>
    <row r="1100" spans="1:5" s="96" customFormat="1" ht="13.2" customHeight="1" x14ac:dyDescent="0.3">
      <c r="A1100" s="451"/>
      <c r="B1100" s="116"/>
      <c r="C1100" s="452"/>
      <c r="D1100" s="453"/>
      <c r="E1100" s="226"/>
    </row>
    <row r="1111" ht="18" customHeight="1" x14ac:dyDescent="0.3"/>
    <row r="1119" ht="15.6" customHeight="1" x14ac:dyDescent="0.3"/>
    <row r="1120" ht="15.6" customHeight="1" x14ac:dyDescent="0.3"/>
    <row r="1121" ht="15.6" customHeight="1" x14ac:dyDescent="0.3"/>
    <row r="1316" spans="1:5" ht="27.9" customHeight="1" x14ac:dyDescent="0.3"/>
    <row r="1317" spans="1:5" s="98" customFormat="1" ht="15" customHeight="1" x14ac:dyDescent="0.3">
      <c r="A1317" s="451"/>
      <c r="B1317" s="116"/>
      <c r="C1317" s="452"/>
      <c r="D1317" s="453"/>
      <c r="E1317" s="226"/>
    </row>
    <row r="1318" spans="1:5" s="98" customFormat="1" ht="15" customHeight="1" x14ac:dyDescent="0.3">
      <c r="A1318" s="451"/>
      <c r="B1318" s="116"/>
      <c r="C1318" s="452"/>
      <c r="D1318" s="453"/>
      <c r="E1318" s="226"/>
    </row>
    <row r="1319" spans="1:5" s="98" customFormat="1" ht="15" customHeight="1" x14ac:dyDescent="0.3">
      <c r="A1319" s="451"/>
      <c r="B1319" s="116"/>
      <c r="C1319" s="452"/>
      <c r="D1319" s="453"/>
      <c r="E1319" s="226"/>
    </row>
    <row r="1320" spans="1:5" s="98" customFormat="1" ht="15" customHeight="1" x14ac:dyDescent="0.3">
      <c r="A1320" s="451"/>
      <c r="B1320" s="116"/>
      <c r="C1320" s="452"/>
      <c r="D1320" s="453"/>
      <c r="E1320" s="226"/>
    </row>
    <row r="1321" spans="1:5" s="98" customFormat="1" ht="15" customHeight="1" x14ac:dyDescent="0.3">
      <c r="A1321" s="451"/>
      <c r="B1321" s="116"/>
      <c r="C1321" s="452"/>
      <c r="D1321" s="453"/>
      <c r="E1321" s="226"/>
    </row>
    <row r="1322" spans="1:5" s="98" customFormat="1" ht="15" customHeight="1" x14ac:dyDescent="0.3">
      <c r="A1322" s="451"/>
      <c r="B1322" s="116"/>
      <c r="C1322" s="452"/>
      <c r="D1322" s="453"/>
      <c r="E1322" s="226"/>
    </row>
    <row r="1323" spans="1:5" s="98" customFormat="1" ht="15" customHeight="1" x14ac:dyDescent="0.3">
      <c r="A1323" s="451"/>
      <c r="B1323" s="116"/>
      <c r="C1323" s="452"/>
      <c r="D1323" s="453"/>
      <c r="E1323" s="226"/>
    </row>
    <row r="1324" spans="1:5" s="98" customFormat="1" ht="15" customHeight="1" x14ac:dyDescent="0.3">
      <c r="A1324" s="451"/>
      <c r="B1324" s="116"/>
      <c r="C1324" s="452"/>
      <c r="D1324" s="453"/>
      <c r="E1324" s="226"/>
    </row>
    <row r="1325" spans="1:5" s="98" customFormat="1" ht="15" customHeight="1" x14ac:dyDescent="0.3">
      <c r="A1325" s="451"/>
      <c r="B1325" s="116"/>
      <c r="C1325" s="452"/>
      <c r="D1325" s="453"/>
      <c r="E1325" s="226"/>
    </row>
    <row r="1326" spans="1:5" s="98" customFormat="1" ht="15" customHeight="1" x14ac:dyDescent="0.3">
      <c r="A1326" s="451"/>
      <c r="B1326" s="116"/>
      <c r="C1326" s="452"/>
      <c r="D1326" s="453"/>
      <c r="E1326" s="226"/>
    </row>
    <row r="1327" spans="1:5" s="98" customFormat="1" ht="15" customHeight="1" x14ac:dyDescent="0.3">
      <c r="A1327" s="451"/>
      <c r="B1327" s="116"/>
      <c r="C1327" s="452"/>
      <c r="D1327" s="453"/>
      <c r="E1327" s="226"/>
    </row>
    <row r="1328" spans="1:5" s="98" customFormat="1" ht="15" customHeight="1" x14ac:dyDescent="0.3">
      <c r="A1328" s="451"/>
      <c r="B1328" s="116"/>
      <c r="C1328" s="452"/>
      <c r="D1328" s="453"/>
      <c r="E1328" s="226"/>
    </row>
    <row r="1329" spans="1:5" s="98" customFormat="1" ht="15" customHeight="1" x14ac:dyDescent="0.3">
      <c r="A1329" s="451"/>
      <c r="B1329" s="116"/>
      <c r="C1329" s="452"/>
      <c r="D1329" s="453"/>
      <c r="E1329" s="226"/>
    </row>
    <row r="1330" spans="1:5" s="98" customFormat="1" ht="15" customHeight="1" x14ac:dyDescent="0.3">
      <c r="A1330" s="451"/>
      <c r="B1330" s="116"/>
      <c r="C1330" s="452"/>
      <c r="D1330" s="453"/>
      <c r="E1330" s="226"/>
    </row>
    <row r="1331" spans="1:5" s="98" customFormat="1" ht="15" customHeight="1" x14ac:dyDescent="0.3">
      <c r="A1331" s="451"/>
      <c r="B1331" s="116"/>
      <c r="C1331" s="452"/>
      <c r="D1331" s="453"/>
      <c r="E1331" s="226"/>
    </row>
    <row r="1332" spans="1:5" s="98" customFormat="1" ht="15" customHeight="1" x14ac:dyDescent="0.3">
      <c r="A1332" s="451"/>
      <c r="B1332" s="116"/>
      <c r="C1332" s="452"/>
      <c r="D1332" s="453"/>
      <c r="E1332" s="226"/>
    </row>
    <row r="1333" spans="1:5" s="98" customFormat="1" ht="15" customHeight="1" x14ac:dyDescent="0.3">
      <c r="A1333" s="451"/>
      <c r="B1333" s="116"/>
      <c r="C1333" s="452"/>
      <c r="D1333" s="453"/>
      <c r="E1333" s="226"/>
    </row>
    <row r="1334" spans="1:5" s="98" customFormat="1" ht="15" customHeight="1" x14ac:dyDescent="0.3">
      <c r="A1334" s="451"/>
      <c r="B1334" s="116"/>
      <c r="C1334" s="452"/>
      <c r="D1334" s="453"/>
      <c r="E1334" s="226"/>
    </row>
    <row r="1335" spans="1:5" s="98" customFormat="1" ht="15" customHeight="1" x14ac:dyDescent="0.3">
      <c r="A1335" s="451"/>
      <c r="B1335" s="116"/>
      <c r="C1335" s="452"/>
      <c r="D1335" s="453"/>
      <c r="E1335" s="226"/>
    </row>
    <row r="1336" spans="1:5" s="98" customFormat="1" ht="15" customHeight="1" x14ac:dyDescent="0.3">
      <c r="A1336" s="451"/>
      <c r="B1336" s="116"/>
      <c r="C1336" s="452"/>
      <c r="D1336" s="453"/>
      <c r="E1336" s="226"/>
    </row>
    <row r="1337" spans="1:5" s="98" customFormat="1" ht="15" customHeight="1" x14ac:dyDescent="0.3">
      <c r="A1337" s="451"/>
      <c r="B1337" s="116"/>
      <c r="C1337" s="452"/>
      <c r="D1337" s="453"/>
      <c r="E1337" s="226"/>
    </row>
    <row r="1338" spans="1:5" s="98" customFormat="1" ht="15" customHeight="1" x14ac:dyDescent="0.3">
      <c r="A1338" s="451"/>
      <c r="B1338" s="116"/>
      <c r="C1338" s="452"/>
      <c r="D1338" s="453"/>
      <c r="E1338" s="226"/>
    </row>
    <row r="1339" spans="1:5" s="98" customFormat="1" ht="15" customHeight="1" x14ac:dyDescent="0.3">
      <c r="A1339" s="451"/>
      <c r="B1339" s="116"/>
      <c r="C1339" s="452"/>
      <c r="D1339" s="453"/>
      <c r="E1339" s="226"/>
    </row>
    <row r="1340" spans="1:5" s="98" customFormat="1" ht="15" customHeight="1" x14ac:dyDescent="0.3">
      <c r="A1340" s="451"/>
      <c r="B1340" s="116"/>
      <c r="C1340" s="452"/>
      <c r="D1340" s="453"/>
      <c r="E1340" s="226"/>
    </row>
    <row r="1341" spans="1:5" s="98" customFormat="1" ht="15" customHeight="1" x14ac:dyDescent="0.3">
      <c r="A1341" s="451"/>
      <c r="B1341" s="116"/>
      <c r="C1341" s="452"/>
      <c r="D1341" s="453"/>
      <c r="E1341" s="226"/>
    </row>
    <row r="1342" spans="1:5" s="98" customFormat="1" ht="15" customHeight="1" x14ac:dyDescent="0.3">
      <c r="A1342" s="451"/>
      <c r="B1342" s="116"/>
      <c r="C1342" s="452"/>
      <c r="D1342" s="453"/>
      <c r="E1342" s="226"/>
    </row>
    <row r="1343" spans="1:5" s="98" customFormat="1" ht="15" customHeight="1" x14ac:dyDescent="0.3">
      <c r="A1343" s="451"/>
      <c r="B1343" s="116"/>
      <c r="C1343" s="452"/>
      <c r="D1343" s="453"/>
      <c r="E1343" s="226"/>
    </row>
    <row r="1344" spans="1:5" s="98" customFormat="1" ht="15" customHeight="1" x14ac:dyDescent="0.3">
      <c r="A1344" s="451"/>
      <c r="B1344" s="116"/>
      <c r="C1344" s="452"/>
      <c r="D1344" s="453"/>
      <c r="E1344" s="226"/>
    </row>
    <row r="1345" spans="1:5" s="98" customFormat="1" ht="15" customHeight="1" x14ac:dyDescent="0.3">
      <c r="A1345" s="451"/>
      <c r="B1345" s="116"/>
      <c r="C1345" s="452"/>
      <c r="D1345" s="453"/>
      <c r="E1345" s="226"/>
    </row>
    <row r="1346" spans="1:5" s="98" customFormat="1" ht="15" customHeight="1" x14ac:dyDescent="0.3">
      <c r="A1346" s="451"/>
      <c r="B1346" s="116"/>
      <c r="C1346" s="452"/>
      <c r="D1346" s="453"/>
      <c r="E1346" s="226"/>
    </row>
    <row r="1347" spans="1:5" s="98" customFormat="1" ht="15" customHeight="1" x14ac:dyDescent="0.3">
      <c r="A1347" s="451"/>
      <c r="B1347" s="116"/>
      <c r="C1347" s="452"/>
      <c r="D1347" s="453"/>
      <c r="E1347" s="226"/>
    </row>
    <row r="1348" spans="1:5" s="98" customFormat="1" ht="15" customHeight="1" x14ac:dyDescent="0.3">
      <c r="A1348" s="451"/>
      <c r="B1348" s="116"/>
      <c r="C1348" s="452"/>
      <c r="D1348" s="453"/>
      <c r="E1348" s="226"/>
    </row>
    <row r="1349" spans="1:5" s="98" customFormat="1" ht="15" customHeight="1" x14ac:dyDescent="0.3">
      <c r="A1349" s="451"/>
      <c r="B1349" s="116"/>
      <c r="C1349" s="452"/>
      <c r="D1349" s="453"/>
      <c r="E1349" s="226"/>
    </row>
    <row r="1350" spans="1:5" s="98" customFormat="1" ht="15" customHeight="1" x14ac:dyDescent="0.3">
      <c r="A1350" s="451"/>
      <c r="B1350" s="116"/>
      <c r="C1350" s="452"/>
      <c r="D1350" s="453"/>
      <c r="E1350" s="226"/>
    </row>
    <row r="1351" spans="1:5" s="98" customFormat="1" ht="15" customHeight="1" x14ac:dyDescent="0.3">
      <c r="A1351" s="451"/>
      <c r="B1351" s="116"/>
      <c r="C1351" s="452"/>
      <c r="D1351" s="453"/>
      <c r="E1351" s="226"/>
    </row>
    <row r="1352" spans="1:5" s="98" customFormat="1" ht="15" customHeight="1" x14ac:dyDescent="0.3">
      <c r="A1352" s="451"/>
      <c r="B1352" s="116"/>
      <c r="C1352" s="452"/>
      <c r="D1352" s="453"/>
      <c r="E1352" s="226"/>
    </row>
    <row r="1353" spans="1:5" s="98" customFormat="1" ht="15" customHeight="1" x14ac:dyDescent="0.3">
      <c r="A1353" s="451"/>
      <c r="B1353" s="116"/>
      <c r="C1353" s="452"/>
      <c r="D1353" s="453"/>
      <c r="E1353" s="226"/>
    </row>
    <row r="1354" spans="1:5" s="98" customFormat="1" ht="15" customHeight="1" x14ac:dyDescent="0.3">
      <c r="A1354" s="451"/>
      <c r="B1354" s="116"/>
      <c r="C1354" s="452"/>
      <c r="D1354" s="453"/>
      <c r="E1354" s="226"/>
    </row>
    <row r="1355" spans="1:5" s="98" customFormat="1" ht="15" customHeight="1" x14ac:dyDescent="0.3">
      <c r="A1355" s="451"/>
      <c r="B1355" s="116"/>
      <c r="C1355" s="452"/>
      <c r="D1355" s="453"/>
      <c r="E1355" s="226"/>
    </row>
    <row r="1356" spans="1:5" s="98" customFormat="1" ht="15" customHeight="1" x14ac:dyDescent="0.3">
      <c r="A1356" s="451"/>
      <c r="B1356" s="116"/>
      <c r="C1356" s="452"/>
      <c r="D1356" s="453"/>
      <c r="E1356" s="226"/>
    </row>
    <row r="1357" spans="1:5" s="98" customFormat="1" ht="15" customHeight="1" x14ac:dyDescent="0.3">
      <c r="A1357" s="451"/>
      <c r="B1357" s="116"/>
      <c r="C1357" s="452"/>
      <c r="D1357" s="453"/>
      <c r="E1357" s="226"/>
    </row>
    <row r="1358" spans="1:5" s="98" customFormat="1" ht="15" customHeight="1" x14ac:dyDescent="0.3">
      <c r="A1358" s="451"/>
      <c r="B1358" s="116"/>
      <c r="C1358" s="452"/>
      <c r="D1358" s="453"/>
      <c r="E1358" s="226"/>
    </row>
    <row r="1462" spans="1:5" s="96" customFormat="1" ht="16.5" customHeight="1" x14ac:dyDescent="0.3">
      <c r="A1462" s="451"/>
      <c r="B1462" s="116"/>
      <c r="C1462" s="452"/>
      <c r="D1462" s="453"/>
      <c r="E1462" s="226"/>
    </row>
    <row r="1463" spans="1:5" s="96" customFormat="1" ht="13.2" customHeight="1" x14ac:dyDescent="0.3">
      <c r="A1463" s="451"/>
      <c r="B1463" s="116"/>
      <c r="C1463" s="452"/>
      <c r="D1463" s="453"/>
      <c r="E1463" s="226"/>
    </row>
    <row r="1464" spans="1:5" s="96" customFormat="1" ht="13.2" customHeight="1" x14ac:dyDescent="0.3">
      <c r="A1464" s="451"/>
      <c r="B1464" s="116"/>
      <c r="C1464" s="452"/>
      <c r="D1464" s="453"/>
      <c r="E1464" s="226"/>
    </row>
    <row r="1465" spans="1:5" s="96" customFormat="1" ht="13.2" customHeight="1" x14ac:dyDescent="0.3">
      <c r="A1465" s="451"/>
      <c r="B1465" s="116"/>
      <c r="C1465" s="452"/>
      <c r="D1465" s="453"/>
      <c r="E1465" s="226"/>
    </row>
    <row r="1466" spans="1:5" s="96" customFormat="1" ht="16.5" customHeight="1" x14ac:dyDescent="0.3">
      <c r="A1466" s="451"/>
      <c r="B1466" s="116"/>
      <c r="C1466" s="452"/>
      <c r="D1466" s="453"/>
      <c r="E1466" s="226"/>
    </row>
    <row r="1467" spans="1:5" s="96" customFormat="1" ht="13.2" customHeight="1" x14ac:dyDescent="0.3">
      <c r="A1467" s="451"/>
      <c r="B1467" s="116"/>
      <c r="C1467" s="452"/>
      <c r="D1467" s="453"/>
      <c r="E1467" s="226"/>
    </row>
    <row r="1468" spans="1:5" s="96" customFormat="1" ht="13.2" customHeight="1" x14ac:dyDescent="0.3">
      <c r="A1468" s="451"/>
      <c r="B1468" s="116"/>
      <c r="C1468" s="452"/>
      <c r="D1468" s="453"/>
      <c r="E1468" s="226"/>
    </row>
    <row r="1469" spans="1:5" s="96" customFormat="1" ht="13.2" customHeight="1" x14ac:dyDescent="0.3">
      <c r="A1469" s="451"/>
      <c r="B1469" s="116"/>
      <c r="C1469" s="452"/>
      <c r="D1469" s="453"/>
      <c r="E1469" s="226"/>
    </row>
    <row r="1470" spans="1:5" s="96" customFormat="1" ht="13.2" customHeight="1" x14ac:dyDescent="0.3">
      <c r="A1470" s="451"/>
      <c r="B1470" s="116"/>
      <c r="C1470" s="452"/>
      <c r="D1470" s="453"/>
      <c r="E1470" s="226"/>
    </row>
    <row r="1471" spans="1:5" s="96" customFormat="1" ht="12" customHeight="1" x14ac:dyDescent="0.3">
      <c r="A1471" s="451"/>
      <c r="B1471" s="116"/>
      <c r="C1471" s="452"/>
      <c r="D1471" s="453"/>
      <c r="E1471" s="226"/>
    </row>
    <row r="1472" spans="1:5" s="96" customFormat="1" ht="13.2" x14ac:dyDescent="0.3">
      <c r="A1472" s="451"/>
      <c r="B1472" s="116"/>
      <c r="C1472" s="452"/>
      <c r="D1472" s="453"/>
      <c r="E1472" s="226"/>
    </row>
    <row r="1473" ht="13.2" customHeight="1" x14ac:dyDescent="0.3"/>
    <row r="1474" ht="13.2" customHeight="1" x14ac:dyDescent="0.3"/>
    <row r="1475" ht="13.2" customHeight="1" x14ac:dyDescent="0.3"/>
    <row r="1476" ht="15.6" customHeight="1" x14ac:dyDescent="0.3"/>
    <row r="1597" ht="14.4" customHeight="1" x14ac:dyDescent="0.3"/>
    <row r="1598" ht="14.4" customHeight="1" x14ac:dyDescent="0.3"/>
    <row r="1599" ht="14.4" customHeight="1" x14ac:dyDescent="0.3"/>
    <row r="1600" ht="14.4" customHeight="1" x14ac:dyDescent="0.3"/>
    <row r="1601" spans="1:5" ht="14.4" customHeight="1" x14ac:dyDescent="0.3"/>
    <row r="1602" spans="1:5" ht="14.4" customHeight="1" x14ac:dyDescent="0.3"/>
    <row r="1603" spans="1:5" ht="14.4" customHeight="1" x14ac:dyDescent="0.3"/>
    <row r="1604" spans="1:5" ht="14.4" customHeight="1" x14ac:dyDescent="0.3"/>
    <row r="1605" spans="1:5" ht="14.4" customHeight="1" x14ac:dyDescent="0.3"/>
    <row r="1606" spans="1:5" ht="14.4" customHeight="1" x14ac:dyDescent="0.3"/>
    <row r="1607" spans="1:5" ht="14.4" customHeight="1" x14ac:dyDescent="0.3"/>
    <row r="1608" spans="1:5" s="96" customFormat="1" ht="14.4" customHeight="1" x14ac:dyDescent="0.3">
      <c r="A1608" s="451"/>
      <c r="B1608" s="116"/>
      <c r="C1608" s="452"/>
      <c r="D1608" s="453"/>
      <c r="E1608" s="226"/>
    </row>
    <row r="1609" spans="1:5" s="96" customFormat="1" ht="14.4" customHeight="1" x14ac:dyDescent="0.3">
      <c r="A1609" s="451"/>
      <c r="B1609" s="116"/>
      <c r="C1609" s="452"/>
      <c r="D1609" s="453"/>
      <c r="E1609" s="226"/>
    </row>
    <row r="1610" spans="1:5" s="96" customFormat="1" ht="14.4" customHeight="1" x14ac:dyDescent="0.3">
      <c r="A1610" s="451"/>
      <c r="B1610" s="116"/>
      <c r="C1610" s="452"/>
      <c r="D1610" s="453"/>
      <c r="E1610" s="226"/>
    </row>
    <row r="1611" spans="1:5" s="96" customFormat="1" ht="14.4" customHeight="1" x14ac:dyDescent="0.3">
      <c r="A1611" s="451"/>
      <c r="B1611" s="116"/>
      <c r="C1611" s="452"/>
      <c r="D1611" s="453"/>
      <c r="E1611" s="226"/>
    </row>
    <row r="1612" spans="1:5" s="96" customFormat="1" ht="14.4" customHeight="1" x14ac:dyDescent="0.3">
      <c r="A1612" s="451"/>
      <c r="B1612" s="116"/>
      <c r="C1612" s="452"/>
      <c r="D1612" s="453"/>
      <c r="E1612" s="226"/>
    </row>
    <row r="1613" spans="1:5" s="96" customFormat="1" ht="14.4" customHeight="1" x14ac:dyDescent="0.3">
      <c r="A1613" s="451"/>
      <c r="B1613" s="116"/>
      <c r="C1613" s="452"/>
      <c r="D1613" s="453"/>
      <c r="E1613" s="226"/>
    </row>
    <row r="1614" spans="1:5" s="96" customFormat="1" ht="14.4" customHeight="1" x14ac:dyDescent="0.3">
      <c r="A1614" s="451"/>
      <c r="B1614" s="116"/>
      <c r="C1614" s="452"/>
      <c r="D1614" s="453"/>
      <c r="E1614" s="226"/>
    </row>
    <row r="1615" spans="1:5" s="96" customFormat="1" ht="14.4" customHeight="1" x14ac:dyDescent="0.3">
      <c r="A1615" s="451"/>
      <c r="B1615" s="116"/>
      <c r="C1615" s="452"/>
      <c r="D1615" s="453"/>
      <c r="E1615" s="226"/>
    </row>
    <row r="1616" spans="1:5" s="96" customFormat="1" ht="14.4" customHeight="1" x14ac:dyDescent="0.3">
      <c r="A1616" s="451"/>
      <c r="B1616" s="116"/>
      <c r="C1616" s="452"/>
      <c r="D1616" s="453"/>
      <c r="E1616" s="226"/>
    </row>
    <row r="1617" spans="1:5" s="96" customFormat="1" ht="14.4" customHeight="1" x14ac:dyDescent="0.3">
      <c r="A1617" s="451"/>
      <c r="B1617" s="116"/>
      <c r="C1617" s="452"/>
      <c r="D1617" s="453"/>
      <c r="E1617" s="226"/>
    </row>
    <row r="1618" spans="1:5" s="96" customFormat="1" ht="14.4" customHeight="1" x14ac:dyDescent="0.3">
      <c r="A1618" s="451"/>
      <c r="B1618" s="116"/>
      <c r="C1618" s="452"/>
      <c r="D1618" s="453"/>
      <c r="E1618" s="226"/>
    </row>
    <row r="1619" spans="1:5" s="96" customFormat="1" ht="14.4" customHeight="1" x14ac:dyDescent="0.3">
      <c r="A1619" s="451"/>
      <c r="B1619" s="116"/>
      <c r="C1619" s="452"/>
      <c r="D1619" s="453"/>
      <c r="E1619" s="226"/>
    </row>
    <row r="1620" spans="1:5" s="96" customFormat="1" ht="14.4" customHeight="1" x14ac:dyDescent="0.3">
      <c r="A1620" s="451"/>
      <c r="B1620" s="116"/>
      <c r="C1620" s="452"/>
      <c r="D1620" s="453"/>
      <c r="E1620" s="226"/>
    </row>
    <row r="1621" spans="1:5" s="96" customFormat="1" ht="14.4" customHeight="1" x14ac:dyDescent="0.3">
      <c r="A1621" s="451"/>
      <c r="B1621" s="116"/>
      <c r="C1621" s="452"/>
      <c r="D1621" s="453"/>
      <c r="E1621" s="226"/>
    </row>
    <row r="1622" spans="1:5" s="96" customFormat="1" ht="14.4" customHeight="1" x14ac:dyDescent="0.3">
      <c r="A1622" s="451"/>
      <c r="B1622" s="116"/>
      <c r="C1622" s="452"/>
      <c r="D1622" s="453"/>
      <c r="E1622" s="226"/>
    </row>
    <row r="1623" spans="1:5" s="96" customFormat="1" ht="14.4" customHeight="1" x14ac:dyDescent="0.3">
      <c r="A1623" s="451"/>
      <c r="B1623" s="116"/>
      <c r="C1623" s="452"/>
      <c r="D1623" s="453"/>
      <c r="E1623" s="226"/>
    </row>
    <row r="1624" spans="1:5" s="96" customFormat="1" ht="14.4" customHeight="1" x14ac:dyDescent="0.3">
      <c r="A1624" s="451"/>
      <c r="B1624" s="116"/>
      <c r="C1624" s="452"/>
      <c r="D1624" s="453"/>
      <c r="E1624" s="226"/>
    </row>
    <row r="1625" spans="1:5" s="96" customFormat="1" ht="14.4" customHeight="1" x14ac:dyDescent="0.3">
      <c r="A1625" s="451"/>
      <c r="B1625" s="116"/>
      <c r="C1625" s="452"/>
      <c r="D1625" s="453"/>
      <c r="E1625" s="226"/>
    </row>
    <row r="1626" spans="1:5" s="96" customFormat="1" ht="14.4" customHeight="1" x14ac:dyDescent="0.3">
      <c r="A1626" s="451"/>
      <c r="B1626" s="116"/>
      <c r="C1626" s="452"/>
      <c r="D1626" s="453"/>
      <c r="E1626" s="226"/>
    </row>
    <row r="1627" spans="1:5" s="96" customFormat="1" ht="14.4" customHeight="1" x14ac:dyDescent="0.3">
      <c r="A1627" s="451"/>
      <c r="B1627" s="116"/>
      <c r="C1627" s="452"/>
      <c r="D1627" s="453"/>
      <c r="E1627" s="226"/>
    </row>
    <row r="1628" spans="1:5" s="96" customFormat="1" ht="14.4" customHeight="1" x14ac:dyDescent="0.3">
      <c r="A1628" s="451"/>
      <c r="B1628" s="116"/>
      <c r="C1628" s="452"/>
      <c r="D1628" s="453"/>
      <c r="E1628" s="226"/>
    </row>
    <row r="1629" spans="1:5" s="96" customFormat="1" ht="14.4" customHeight="1" x14ac:dyDescent="0.3">
      <c r="A1629" s="451"/>
      <c r="B1629" s="116"/>
      <c r="C1629" s="452"/>
      <c r="D1629" s="453"/>
      <c r="E1629" s="226"/>
    </row>
    <row r="1630" spans="1:5" s="96" customFormat="1" ht="14.4" customHeight="1" x14ac:dyDescent="0.3">
      <c r="A1630" s="451"/>
      <c r="B1630" s="116"/>
      <c r="C1630" s="452"/>
      <c r="D1630" s="453"/>
      <c r="E1630" s="226"/>
    </row>
    <row r="1631" spans="1:5" s="96" customFormat="1" ht="14.4" customHeight="1" x14ac:dyDescent="0.3">
      <c r="A1631" s="451"/>
      <c r="B1631" s="116"/>
      <c r="C1631" s="452"/>
      <c r="D1631" s="453"/>
      <c r="E1631" s="226"/>
    </row>
    <row r="1632" spans="1:5" s="96" customFormat="1" ht="14.4" customHeight="1" x14ac:dyDescent="0.3">
      <c r="A1632" s="451"/>
      <c r="B1632" s="116"/>
      <c r="C1632" s="452"/>
      <c r="D1632" s="453"/>
      <c r="E1632" s="226"/>
    </row>
    <row r="1633" spans="1:5" s="96" customFormat="1" ht="14.4" customHeight="1" x14ac:dyDescent="0.3">
      <c r="A1633" s="451"/>
      <c r="B1633" s="116"/>
      <c r="C1633" s="452"/>
      <c r="D1633" s="453"/>
      <c r="E1633" s="226"/>
    </row>
    <row r="1634" spans="1:5" s="96" customFormat="1" ht="14.4" customHeight="1" x14ac:dyDescent="0.3">
      <c r="A1634" s="451"/>
      <c r="B1634" s="116"/>
      <c r="C1634" s="452"/>
      <c r="D1634" s="453"/>
      <c r="E1634" s="226"/>
    </row>
    <row r="1635" spans="1:5" s="96" customFormat="1" ht="14.4" customHeight="1" x14ac:dyDescent="0.3">
      <c r="A1635" s="451"/>
      <c r="B1635" s="116"/>
      <c r="C1635" s="452"/>
      <c r="D1635" s="453"/>
      <c r="E1635" s="226"/>
    </row>
    <row r="1636" spans="1:5" s="96" customFormat="1" ht="14.4" customHeight="1" x14ac:dyDescent="0.3">
      <c r="A1636" s="451"/>
      <c r="B1636" s="116"/>
      <c r="C1636" s="452"/>
      <c r="D1636" s="453"/>
      <c r="E1636" s="226"/>
    </row>
    <row r="1637" spans="1:5" s="96" customFormat="1" ht="14.4" customHeight="1" x14ac:dyDescent="0.3">
      <c r="A1637" s="451"/>
      <c r="B1637" s="116"/>
      <c r="C1637" s="452"/>
      <c r="D1637" s="453"/>
      <c r="E1637" s="226"/>
    </row>
    <row r="1638" spans="1:5" s="96" customFormat="1" ht="14.4" customHeight="1" x14ac:dyDescent="0.3">
      <c r="A1638" s="451"/>
      <c r="B1638" s="116"/>
      <c r="C1638" s="452"/>
      <c r="D1638" s="453"/>
      <c r="E1638" s="226"/>
    </row>
    <row r="1639" spans="1:5" s="96" customFormat="1" ht="14.4" customHeight="1" x14ac:dyDescent="0.3">
      <c r="A1639" s="451"/>
      <c r="B1639" s="116"/>
      <c r="C1639" s="452"/>
      <c r="D1639" s="453"/>
      <c r="E1639" s="226"/>
    </row>
    <row r="1640" spans="1:5" s="96" customFormat="1" ht="14.4" customHeight="1" x14ac:dyDescent="0.3">
      <c r="A1640" s="451"/>
      <c r="B1640" s="116"/>
      <c r="C1640" s="452"/>
      <c r="D1640" s="453"/>
      <c r="E1640" s="226"/>
    </row>
    <row r="1641" spans="1:5" s="96" customFormat="1" ht="14.4" customHeight="1" x14ac:dyDescent="0.3">
      <c r="A1641" s="451"/>
      <c r="B1641" s="116"/>
      <c r="C1641" s="452"/>
      <c r="D1641" s="453"/>
      <c r="E1641" s="226"/>
    </row>
    <row r="1642" spans="1:5" s="96" customFormat="1" ht="14.4" customHeight="1" x14ac:dyDescent="0.3">
      <c r="A1642" s="451"/>
      <c r="B1642" s="116"/>
      <c r="C1642" s="452"/>
      <c r="D1642" s="453"/>
      <c r="E1642" s="226"/>
    </row>
    <row r="1643" spans="1:5" s="96" customFormat="1" ht="14.4" customHeight="1" x14ac:dyDescent="0.3">
      <c r="A1643" s="451"/>
      <c r="B1643" s="116"/>
      <c r="C1643" s="452"/>
      <c r="D1643" s="453"/>
      <c r="E1643" s="226"/>
    </row>
    <row r="1644" spans="1:5" s="96" customFormat="1" ht="14.4" customHeight="1" x14ac:dyDescent="0.3">
      <c r="A1644" s="451"/>
      <c r="B1644" s="116"/>
      <c r="C1644" s="452"/>
      <c r="D1644" s="453"/>
      <c r="E1644" s="226"/>
    </row>
    <row r="1645" spans="1:5" s="96" customFormat="1" ht="14.4" customHeight="1" x14ac:dyDescent="0.3">
      <c r="A1645" s="451"/>
      <c r="B1645" s="116"/>
      <c r="C1645" s="452"/>
      <c r="D1645" s="453"/>
      <c r="E1645" s="226"/>
    </row>
    <row r="1646" spans="1:5" s="96" customFormat="1" ht="14.4" customHeight="1" x14ac:dyDescent="0.3">
      <c r="A1646" s="451"/>
      <c r="B1646" s="116"/>
      <c r="C1646" s="452"/>
      <c r="D1646" s="453"/>
      <c r="E1646" s="226"/>
    </row>
    <row r="1647" spans="1:5" s="96" customFormat="1" ht="14.4" customHeight="1" x14ac:dyDescent="0.3">
      <c r="A1647" s="451"/>
      <c r="B1647" s="116"/>
      <c r="C1647" s="452"/>
      <c r="D1647" s="453"/>
      <c r="E1647" s="226"/>
    </row>
    <row r="1648" spans="1:5" s="96" customFormat="1" ht="14.4" customHeight="1" x14ac:dyDescent="0.3">
      <c r="A1648" s="451"/>
      <c r="B1648" s="116"/>
      <c r="C1648" s="452"/>
      <c r="D1648" s="453"/>
      <c r="E1648" s="226"/>
    </row>
    <row r="1649" spans="1:5" s="96" customFormat="1" ht="14.4" customHeight="1" x14ac:dyDescent="0.3">
      <c r="A1649" s="451"/>
      <c r="B1649" s="116"/>
      <c r="C1649" s="452"/>
      <c r="D1649" s="453"/>
      <c r="E1649" s="226"/>
    </row>
    <row r="1650" spans="1:5" s="96" customFormat="1" ht="14.4" customHeight="1" x14ac:dyDescent="0.3">
      <c r="A1650" s="451"/>
      <c r="B1650" s="116"/>
      <c r="C1650" s="452"/>
      <c r="D1650" s="453"/>
      <c r="E1650" s="226"/>
    </row>
    <row r="1651" spans="1:5" s="96" customFormat="1" ht="14.4" customHeight="1" x14ac:dyDescent="0.3">
      <c r="A1651" s="451"/>
      <c r="B1651" s="116"/>
      <c r="C1651" s="452"/>
      <c r="D1651" s="453"/>
      <c r="E1651" s="226"/>
    </row>
    <row r="1652" spans="1:5" s="96" customFormat="1" ht="14.4" customHeight="1" x14ac:dyDescent="0.3">
      <c r="A1652" s="451"/>
      <c r="B1652" s="116"/>
      <c r="C1652" s="452"/>
      <c r="D1652" s="453"/>
      <c r="E1652" s="226"/>
    </row>
    <row r="1653" spans="1:5" s="96" customFormat="1" ht="14.4" customHeight="1" x14ac:dyDescent="0.3">
      <c r="A1653" s="451"/>
      <c r="B1653" s="116"/>
      <c r="C1653" s="452"/>
      <c r="D1653" s="453"/>
      <c r="E1653" s="226"/>
    </row>
    <row r="1654" spans="1:5" s="96" customFormat="1" ht="14.4" customHeight="1" x14ac:dyDescent="0.3">
      <c r="A1654" s="451"/>
      <c r="B1654" s="116"/>
      <c r="C1654" s="452"/>
      <c r="D1654" s="453"/>
      <c r="E1654" s="226"/>
    </row>
    <row r="1655" spans="1:5" s="96" customFormat="1" ht="14.4" customHeight="1" x14ac:dyDescent="0.3">
      <c r="A1655" s="451"/>
      <c r="B1655" s="116"/>
      <c r="C1655" s="452"/>
      <c r="D1655" s="453"/>
      <c r="E1655" s="226"/>
    </row>
    <row r="1656" spans="1:5" s="96" customFormat="1" ht="14.4" customHeight="1" x14ac:dyDescent="0.3">
      <c r="A1656" s="451"/>
      <c r="B1656" s="116"/>
      <c r="C1656" s="452"/>
      <c r="D1656" s="453"/>
      <c r="E1656" s="226"/>
    </row>
    <row r="1657" spans="1:5" s="96" customFormat="1" ht="14.4" customHeight="1" x14ac:dyDescent="0.3">
      <c r="A1657" s="451"/>
      <c r="B1657" s="116"/>
      <c r="C1657" s="452"/>
      <c r="D1657" s="453"/>
      <c r="E1657" s="226"/>
    </row>
    <row r="1658" spans="1:5" s="96" customFormat="1" ht="14.4" customHeight="1" x14ac:dyDescent="0.3">
      <c r="A1658" s="451"/>
      <c r="B1658" s="116"/>
      <c r="C1658" s="452"/>
      <c r="D1658" s="453"/>
      <c r="E1658" s="226"/>
    </row>
    <row r="1659" spans="1:5" s="96" customFormat="1" ht="14.4" customHeight="1" x14ac:dyDescent="0.3">
      <c r="A1659" s="451"/>
      <c r="B1659" s="116"/>
      <c r="C1659" s="452"/>
      <c r="D1659" s="453"/>
      <c r="E1659" s="226"/>
    </row>
    <row r="1660" spans="1:5" s="96" customFormat="1" ht="14.4" customHeight="1" x14ac:dyDescent="0.3">
      <c r="A1660" s="451"/>
      <c r="B1660" s="116"/>
      <c r="C1660" s="452"/>
      <c r="D1660" s="453"/>
      <c r="E1660" s="226"/>
    </row>
    <row r="1661" spans="1:5" s="96" customFormat="1" ht="14.4" customHeight="1" x14ac:dyDescent="0.3">
      <c r="A1661" s="451"/>
      <c r="B1661" s="116"/>
      <c r="C1661" s="452"/>
      <c r="D1661" s="453"/>
      <c r="E1661" s="226"/>
    </row>
    <row r="1662" spans="1:5" s="96" customFormat="1" ht="14.4" customHeight="1" x14ac:dyDescent="0.3">
      <c r="A1662" s="451"/>
      <c r="B1662" s="116"/>
      <c r="C1662" s="452"/>
      <c r="D1662" s="453"/>
      <c r="E1662" s="226"/>
    </row>
    <row r="1663" spans="1:5" s="96" customFormat="1" ht="14.4" customHeight="1" x14ac:dyDescent="0.3">
      <c r="A1663" s="451"/>
      <c r="B1663" s="116"/>
      <c r="C1663" s="452"/>
      <c r="D1663" s="453"/>
      <c r="E1663" s="226"/>
    </row>
    <row r="1664" spans="1:5" s="96" customFormat="1" ht="14.4" customHeight="1" x14ac:dyDescent="0.3">
      <c r="A1664" s="451"/>
      <c r="B1664" s="116"/>
      <c r="C1664" s="452"/>
      <c r="D1664" s="453"/>
      <c r="E1664" s="226"/>
    </row>
    <row r="1665" spans="1:5" s="96" customFormat="1" ht="14.4" customHeight="1" x14ac:dyDescent="0.3">
      <c r="A1665" s="451"/>
      <c r="B1665" s="116"/>
      <c r="C1665" s="452"/>
      <c r="D1665" s="453"/>
      <c r="E1665" s="226"/>
    </row>
    <row r="1666" spans="1:5" s="96" customFormat="1" ht="14.4" customHeight="1" x14ac:dyDescent="0.3">
      <c r="A1666" s="451"/>
      <c r="B1666" s="116"/>
      <c r="C1666" s="452"/>
      <c r="D1666" s="453"/>
      <c r="E1666" s="226"/>
    </row>
    <row r="1667" spans="1:5" s="96" customFormat="1" ht="14.4" customHeight="1" x14ac:dyDescent="0.3">
      <c r="A1667" s="451"/>
      <c r="B1667" s="116"/>
      <c r="C1667" s="452"/>
      <c r="D1667" s="453"/>
      <c r="E1667" s="226"/>
    </row>
    <row r="1668" spans="1:5" s="96" customFormat="1" ht="14.4" customHeight="1" x14ac:dyDescent="0.3">
      <c r="A1668" s="451"/>
      <c r="B1668" s="116"/>
      <c r="C1668" s="452"/>
      <c r="D1668" s="453"/>
      <c r="E1668" s="226"/>
    </row>
    <row r="1669" spans="1:5" s="96" customFormat="1" ht="14.4" customHeight="1" x14ac:dyDescent="0.3">
      <c r="A1669" s="451"/>
      <c r="B1669" s="116"/>
      <c r="C1669" s="452"/>
      <c r="D1669" s="453"/>
      <c r="E1669" s="226"/>
    </row>
    <row r="1670" spans="1:5" s="96" customFormat="1" ht="14.4" customHeight="1" x14ac:dyDescent="0.3">
      <c r="A1670" s="451"/>
      <c r="B1670" s="116"/>
      <c r="C1670" s="452"/>
      <c r="D1670" s="453"/>
      <c r="E1670" s="226"/>
    </row>
    <row r="1671" spans="1:5" s="96" customFormat="1" ht="14.4" customHeight="1" x14ac:dyDescent="0.3">
      <c r="A1671" s="451"/>
      <c r="B1671" s="116"/>
      <c r="C1671" s="452"/>
      <c r="D1671" s="453"/>
      <c r="E1671" s="226"/>
    </row>
    <row r="1672" spans="1:5" s="96" customFormat="1" ht="14.4" customHeight="1" x14ac:dyDescent="0.3">
      <c r="A1672" s="451"/>
      <c r="B1672" s="116"/>
      <c r="C1672" s="452"/>
      <c r="D1672" s="453"/>
      <c r="E1672" s="226"/>
    </row>
    <row r="1673" spans="1:5" s="96" customFormat="1" ht="14.4" customHeight="1" x14ac:dyDescent="0.3">
      <c r="A1673" s="451"/>
      <c r="B1673" s="116"/>
      <c r="C1673" s="452"/>
      <c r="D1673" s="453"/>
      <c r="E1673" s="226"/>
    </row>
    <row r="1674" spans="1:5" s="96" customFormat="1" ht="14.4" customHeight="1" x14ac:dyDescent="0.3">
      <c r="A1674" s="451"/>
      <c r="B1674" s="116"/>
      <c r="C1674" s="452"/>
      <c r="D1674" s="453"/>
      <c r="E1674" s="226"/>
    </row>
    <row r="1675" spans="1:5" s="96" customFormat="1" ht="14.4" customHeight="1" x14ac:dyDescent="0.3">
      <c r="A1675" s="451"/>
      <c r="B1675" s="116"/>
      <c r="C1675" s="452"/>
      <c r="D1675" s="453"/>
      <c r="E1675" s="226"/>
    </row>
    <row r="1676" spans="1:5" s="96" customFormat="1" ht="14.4" customHeight="1" x14ac:dyDescent="0.3">
      <c r="A1676" s="451"/>
      <c r="B1676" s="116"/>
      <c r="C1676" s="452"/>
      <c r="D1676" s="453"/>
      <c r="E1676" s="226"/>
    </row>
    <row r="1677" spans="1:5" ht="14.1" customHeight="1" x14ac:dyDescent="0.3"/>
    <row r="1678" spans="1:5" ht="14.1" customHeight="1" x14ac:dyDescent="0.3"/>
    <row r="1679" spans="1:5" ht="14.1" customHeight="1" x14ac:dyDescent="0.3"/>
    <row r="1680" spans="1:5" ht="14.1" customHeight="1" x14ac:dyDescent="0.3"/>
    <row r="1681" ht="14.1" customHeight="1" x14ac:dyDescent="0.3"/>
    <row r="1682" ht="14.1" customHeight="1" x14ac:dyDescent="0.3"/>
    <row r="1683" ht="14.1" customHeight="1" x14ac:dyDescent="0.3"/>
    <row r="1684" ht="14.1" customHeight="1" x14ac:dyDescent="0.3"/>
    <row r="1685" ht="14.1" customHeight="1" x14ac:dyDescent="0.3"/>
    <row r="1686" ht="14.1" customHeight="1" x14ac:dyDescent="0.3"/>
    <row r="1687" ht="14.1" customHeight="1" x14ac:dyDescent="0.3"/>
    <row r="1688" ht="14.1" customHeight="1" x14ac:dyDescent="0.3"/>
    <row r="1689" ht="14.1" customHeight="1" x14ac:dyDescent="0.3"/>
    <row r="1690" ht="14.1" customHeight="1" x14ac:dyDescent="0.3"/>
    <row r="1705" ht="13.95" customHeight="1" x14ac:dyDescent="0.3"/>
    <row r="1750" spans="1:5" s="98" customFormat="1" ht="15" customHeight="1" x14ac:dyDescent="0.3">
      <c r="A1750" s="451"/>
      <c r="B1750" s="116"/>
      <c r="C1750" s="452"/>
      <c r="D1750" s="453"/>
      <c r="E1750" s="226"/>
    </row>
    <row r="1751" spans="1:5" s="98" customFormat="1" ht="15" customHeight="1" x14ac:dyDescent="0.3">
      <c r="A1751" s="451"/>
      <c r="B1751" s="116"/>
      <c r="C1751" s="452"/>
      <c r="D1751" s="453"/>
      <c r="E1751" s="226"/>
    </row>
    <row r="1752" spans="1:5" s="98" customFormat="1" ht="15" customHeight="1" x14ac:dyDescent="0.3">
      <c r="A1752" s="451"/>
      <c r="B1752" s="116"/>
      <c r="C1752" s="452"/>
      <c r="D1752" s="453"/>
      <c r="E1752" s="226"/>
    </row>
    <row r="1753" spans="1:5" s="96" customFormat="1" ht="15" customHeight="1" x14ac:dyDescent="0.3">
      <c r="A1753" s="451"/>
      <c r="B1753" s="116"/>
      <c r="C1753" s="452"/>
      <c r="D1753" s="453"/>
      <c r="E1753" s="226"/>
    </row>
    <row r="1754" spans="1:5" s="96" customFormat="1" ht="15" customHeight="1" x14ac:dyDescent="0.3">
      <c r="A1754" s="451"/>
      <c r="B1754" s="116"/>
      <c r="C1754" s="452"/>
      <c r="D1754" s="453"/>
      <c r="E1754" s="226"/>
    </row>
    <row r="1755" spans="1:5" s="96" customFormat="1" ht="15" customHeight="1" x14ac:dyDescent="0.3">
      <c r="A1755" s="451"/>
      <c r="B1755" s="116"/>
      <c r="C1755" s="452"/>
      <c r="D1755" s="453"/>
      <c r="E1755" s="226"/>
    </row>
    <row r="1756" spans="1:5" s="96" customFormat="1" ht="15" customHeight="1" x14ac:dyDescent="0.3">
      <c r="A1756" s="451"/>
      <c r="B1756" s="116"/>
      <c r="C1756" s="452"/>
      <c r="D1756" s="453"/>
      <c r="E1756" s="226"/>
    </row>
    <row r="1757" spans="1:5" s="96" customFormat="1" ht="15" customHeight="1" x14ac:dyDescent="0.3">
      <c r="A1757" s="451"/>
      <c r="B1757" s="116"/>
      <c r="C1757" s="452"/>
      <c r="D1757" s="453"/>
      <c r="E1757" s="226"/>
    </row>
    <row r="1758" spans="1:5" s="96" customFormat="1" ht="15" customHeight="1" x14ac:dyDescent="0.3">
      <c r="A1758" s="451"/>
      <c r="B1758" s="116"/>
      <c r="C1758" s="452"/>
      <c r="D1758" s="453"/>
      <c r="E1758" s="226"/>
    </row>
    <row r="1759" spans="1:5" s="96" customFormat="1" ht="15" customHeight="1" x14ac:dyDescent="0.3">
      <c r="A1759" s="451"/>
      <c r="B1759" s="116"/>
      <c r="C1759" s="452"/>
      <c r="D1759" s="453"/>
      <c r="E1759" s="226"/>
    </row>
    <row r="1760" spans="1:5" s="96" customFormat="1" ht="15" customHeight="1" x14ac:dyDescent="0.3">
      <c r="A1760" s="451"/>
      <c r="B1760" s="116"/>
      <c r="C1760" s="452"/>
      <c r="D1760" s="453"/>
      <c r="E1760" s="226"/>
    </row>
    <row r="1761" spans="1:5" s="96" customFormat="1" ht="15" customHeight="1" x14ac:dyDescent="0.3">
      <c r="A1761" s="451"/>
      <c r="B1761" s="116"/>
      <c r="C1761" s="452"/>
      <c r="D1761" s="453"/>
      <c r="E1761" s="226"/>
    </row>
    <row r="1762" spans="1:5" s="96" customFormat="1" ht="15" customHeight="1" x14ac:dyDescent="0.3">
      <c r="A1762" s="451"/>
      <c r="B1762" s="116"/>
      <c r="C1762" s="452"/>
      <c r="D1762" s="453"/>
      <c r="E1762" s="226"/>
    </row>
    <row r="1763" spans="1:5" s="96" customFormat="1" ht="15" customHeight="1" x14ac:dyDescent="0.3">
      <c r="A1763" s="451"/>
      <c r="B1763" s="116"/>
      <c r="C1763" s="452"/>
      <c r="D1763" s="453"/>
      <c r="E1763" s="226"/>
    </row>
    <row r="1764" spans="1:5" s="96" customFormat="1" ht="15" customHeight="1" x14ac:dyDescent="0.3">
      <c r="A1764" s="451"/>
      <c r="B1764" s="116"/>
      <c r="C1764" s="452"/>
      <c r="D1764" s="453"/>
      <c r="E1764" s="226"/>
    </row>
    <row r="1765" spans="1:5" s="96" customFormat="1" ht="15" customHeight="1" x14ac:dyDescent="0.3">
      <c r="A1765" s="451"/>
      <c r="B1765" s="116"/>
      <c r="C1765" s="452"/>
      <c r="D1765" s="453"/>
      <c r="E1765" s="226"/>
    </row>
    <row r="1766" spans="1:5" s="96" customFormat="1" ht="15" customHeight="1" x14ac:dyDescent="0.3">
      <c r="A1766" s="451"/>
      <c r="B1766" s="116"/>
      <c r="C1766" s="452"/>
      <c r="D1766" s="453"/>
      <c r="E1766" s="226"/>
    </row>
    <row r="1767" spans="1:5" s="96" customFormat="1" ht="15" customHeight="1" x14ac:dyDescent="0.3">
      <c r="A1767" s="451"/>
      <c r="B1767" s="116"/>
      <c r="C1767" s="452"/>
      <c r="D1767" s="453"/>
      <c r="E1767" s="226"/>
    </row>
    <row r="1768" spans="1:5" s="96" customFormat="1" ht="15" customHeight="1" x14ac:dyDescent="0.3">
      <c r="A1768" s="451"/>
      <c r="B1768" s="116"/>
      <c r="C1768" s="452"/>
      <c r="D1768" s="453"/>
      <c r="E1768" s="226"/>
    </row>
    <row r="1769" spans="1:5" s="96" customFormat="1" ht="15" customHeight="1" x14ac:dyDescent="0.3">
      <c r="A1769" s="451"/>
      <c r="B1769" s="116"/>
      <c r="C1769" s="452"/>
      <c r="D1769" s="453"/>
      <c r="E1769" s="226"/>
    </row>
    <row r="1770" spans="1:5" s="96" customFormat="1" ht="15" customHeight="1" x14ac:dyDescent="0.3">
      <c r="A1770" s="451"/>
      <c r="B1770" s="116"/>
      <c r="C1770" s="452"/>
      <c r="D1770" s="453"/>
      <c r="E1770" s="226"/>
    </row>
    <row r="1771" spans="1:5" s="96" customFormat="1" ht="15" customHeight="1" x14ac:dyDescent="0.3">
      <c r="A1771" s="451"/>
      <c r="B1771" s="116"/>
      <c r="C1771" s="452"/>
      <c r="D1771" s="453"/>
      <c r="E1771" s="226"/>
    </row>
    <row r="1772" spans="1:5" s="96" customFormat="1" ht="15" customHeight="1" x14ac:dyDescent="0.3">
      <c r="A1772" s="451"/>
      <c r="B1772" s="116"/>
      <c r="C1772" s="452"/>
      <c r="D1772" s="453"/>
      <c r="E1772" s="226"/>
    </row>
    <row r="1773" spans="1:5" s="96" customFormat="1" ht="15" customHeight="1" x14ac:dyDescent="0.3">
      <c r="A1773" s="451"/>
      <c r="B1773" s="116"/>
      <c r="C1773" s="452"/>
      <c r="D1773" s="453"/>
      <c r="E1773" s="226"/>
    </row>
    <row r="1774" spans="1:5" s="96" customFormat="1" ht="15" customHeight="1" x14ac:dyDescent="0.3">
      <c r="A1774" s="451"/>
      <c r="B1774" s="116"/>
      <c r="C1774" s="452"/>
      <c r="D1774" s="453"/>
      <c r="E1774" s="226"/>
    </row>
    <row r="1775" spans="1:5" s="96" customFormat="1" ht="15" customHeight="1" x14ac:dyDescent="0.3">
      <c r="A1775" s="451"/>
      <c r="B1775" s="116"/>
      <c r="C1775" s="452"/>
      <c r="D1775" s="453"/>
      <c r="E1775" s="226"/>
    </row>
    <row r="1776" spans="1:5" s="96" customFormat="1" ht="15" customHeight="1" x14ac:dyDescent="0.3">
      <c r="A1776" s="451"/>
      <c r="B1776" s="116"/>
      <c r="C1776" s="452"/>
      <c r="D1776" s="453"/>
      <c r="E1776" s="226"/>
    </row>
    <row r="1777" spans="1:5" s="96" customFormat="1" ht="15" customHeight="1" x14ac:dyDescent="0.3">
      <c r="A1777" s="451"/>
      <c r="B1777" s="116"/>
      <c r="C1777" s="452"/>
      <c r="D1777" s="453"/>
      <c r="E1777" s="226"/>
    </row>
    <row r="1778" spans="1:5" s="96" customFormat="1" ht="15" customHeight="1" x14ac:dyDescent="0.3">
      <c r="A1778" s="451"/>
      <c r="B1778" s="116"/>
      <c r="C1778" s="452"/>
      <c r="D1778" s="453"/>
      <c r="E1778" s="226"/>
    </row>
    <row r="1779" spans="1:5" s="96" customFormat="1" ht="15" customHeight="1" x14ac:dyDescent="0.3">
      <c r="A1779" s="451"/>
      <c r="B1779" s="116"/>
      <c r="C1779" s="452"/>
      <c r="D1779" s="453"/>
      <c r="E1779" s="226"/>
    </row>
    <row r="1780" spans="1:5" s="96" customFormat="1" ht="15" customHeight="1" x14ac:dyDescent="0.3">
      <c r="A1780" s="451"/>
      <c r="B1780" s="116"/>
      <c r="C1780" s="452"/>
      <c r="D1780" s="453"/>
      <c r="E1780" s="226"/>
    </row>
    <row r="1781" spans="1:5" s="96" customFormat="1" ht="15" customHeight="1" x14ac:dyDescent="0.3">
      <c r="A1781" s="451"/>
      <c r="B1781" s="116"/>
      <c r="C1781" s="452"/>
      <c r="D1781" s="453"/>
      <c r="E1781" s="226"/>
    </row>
    <row r="1782" spans="1:5" s="96" customFormat="1" ht="15" customHeight="1" x14ac:dyDescent="0.3">
      <c r="A1782" s="451"/>
      <c r="B1782" s="116"/>
      <c r="C1782" s="452"/>
      <c r="D1782" s="453"/>
      <c r="E1782" s="226"/>
    </row>
    <row r="1783" spans="1:5" s="96" customFormat="1" ht="15" customHeight="1" x14ac:dyDescent="0.3">
      <c r="A1783" s="451"/>
      <c r="B1783" s="116"/>
      <c r="C1783" s="452"/>
      <c r="D1783" s="453"/>
      <c r="E1783" s="226"/>
    </row>
    <row r="1784" spans="1:5" s="96" customFormat="1" ht="12" customHeight="1" x14ac:dyDescent="0.3">
      <c r="A1784" s="451"/>
      <c r="B1784" s="116"/>
      <c r="C1784" s="452"/>
      <c r="D1784" s="453"/>
      <c r="E1784" s="226"/>
    </row>
    <row r="1785" spans="1:5" s="96" customFormat="1" ht="13.2" customHeight="1" x14ac:dyDescent="0.3">
      <c r="A1785" s="451"/>
      <c r="B1785" s="116"/>
      <c r="C1785" s="452"/>
      <c r="D1785" s="453"/>
      <c r="E1785" s="226"/>
    </row>
    <row r="1786" spans="1:5" s="96" customFormat="1" ht="13.2" customHeight="1" x14ac:dyDescent="0.3">
      <c r="A1786" s="451"/>
      <c r="B1786" s="116"/>
      <c r="C1786" s="452"/>
      <c r="D1786" s="453"/>
      <c r="E1786" s="226"/>
    </row>
    <row r="1787" spans="1:5" s="96" customFormat="1" ht="13.2" customHeight="1" x14ac:dyDescent="0.3">
      <c r="A1787" s="451"/>
      <c r="B1787" s="116"/>
      <c r="C1787" s="452"/>
      <c r="D1787" s="453"/>
      <c r="E1787" s="226"/>
    </row>
    <row r="1788" spans="1:5" s="96" customFormat="1" ht="13.2" customHeight="1" x14ac:dyDescent="0.3">
      <c r="A1788" s="451"/>
      <c r="B1788" s="116"/>
      <c r="C1788" s="452"/>
      <c r="D1788" s="453"/>
      <c r="E1788" s="226"/>
    </row>
    <row r="1789" spans="1:5" s="96" customFormat="1" ht="13.2" customHeight="1" x14ac:dyDescent="0.3">
      <c r="A1789" s="451"/>
      <c r="B1789" s="116"/>
      <c r="C1789" s="452"/>
      <c r="D1789" s="453"/>
      <c r="E1789" s="226"/>
    </row>
    <row r="1790" spans="1:5" s="96" customFormat="1" ht="13.2" customHeight="1" x14ac:dyDescent="0.3">
      <c r="A1790" s="451"/>
      <c r="B1790" s="116"/>
      <c r="C1790" s="452"/>
      <c r="D1790" s="453"/>
      <c r="E1790" s="226"/>
    </row>
    <row r="1791" spans="1:5" s="96" customFormat="1" ht="13.2" customHeight="1" x14ac:dyDescent="0.3">
      <c r="A1791" s="451"/>
      <c r="B1791" s="116"/>
      <c r="C1791" s="452"/>
      <c r="D1791" s="453"/>
      <c r="E1791" s="226"/>
    </row>
    <row r="1792" spans="1:5" s="96" customFormat="1" ht="13.2" customHeight="1" x14ac:dyDescent="0.3">
      <c r="A1792" s="451"/>
      <c r="B1792" s="116"/>
      <c r="C1792" s="452"/>
      <c r="D1792" s="453"/>
      <c r="E1792" s="226"/>
    </row>
    <row r="1793" spans="1:5" s="96" customFormat="1" ht="13.2" customHeight="1" x14ac:dyDescent="0.3">
      <c r="A1793" s="451"/>
      <c r="B1793" s="116"/>
      <c r="C1793" s="452"/>
      <c r="D1793" s="453"/>
      <c r="E1793" s="226"/>
    </row>
    <row r="1794" spans="1:5" s="96" customFormat="1" ht="13.2" customHeight="1" x14ac:dyDescent="0.3">
      <c r="A1794" s="451"/>
      <c r="B1794" s="116"/>
      <c r="C1794" s="452"/>
      <c r="D1794" s="453"/>
      <c r="E1794" s="226"/>
    </row>
    <row r="1795" spans="1:5" s="96" customFormat="1" ht="13.2" customHeight="1" x14ac:dyDescent="0.3">
      <c r="A1795" s="451"/>
      <c r="B1795" s="116"/>
      <c r="C1795" s="452"/>
      <c r="D1795" s="453"/>
      <c r="E1795" s="226"/>
    </row>
    <row r="1796" spans="1:5" s="96" customFormat="1" ht="13.2" customHeight="1" x14ac:dyDescent="0.3">
      <c r="A1796" s="451"/>
      <c r="B1796" s="116"/>
      <c r="C1796" s="452"/>
      <c r="D1796" s="453"/>
      <c r="E1796" s="226"/>
    </row>
    <row r="1797" spans="1:5" s="96" customFormat="1" ht="13.2" customHeight="1" x14ac:dyDescent="0.3">
      <c r="A1797" s="451"/>
      <c r="B1797" s="116"/>
      <c r="C1797" s="452"/>
      <c r="D1797" s="453"/>
      <c r="E1797" s="226"/>
    </row>
    <row r="1798" spans="1:5" s="96" customFormat="1" ht="13.2" customHeight="1" x14ac:dyDescent="0.3">
      <c r="A1798" s="451"/>
      <c r="B1798" s="116"/>
      <c r="C1798" s="452"/>
      <c r="D1798" s="453"/>
      <c r="E1798" s="226"/>
    </row>
    <row r="1799" spans="1:5" s="96" customFormat="1" ht="13.2" customHeight="1" x14ac:dyDescent="0.3">
      <c r="A1799" s="451"/>
      <c r="B1799" s="116"/>
      <c r="C1799" s="452"/>
      <c r="D1799" s="453"/>
      <c r="E1799" s="226"/>
    </row>
    <row r="1800" spans="1:5" s="96" customFormat="1" ht="13.2" customHeight="1" x14ac:dyDescent="0.3">
      <c r="A1800" s="451"/>
      <c r="B1800" s="116"/>
      <c r="C1800" s="452"/>
      <c r="D1800" s="453"/>
      <c r="E1800" s="226"/>
    </row>
    <row r="1801" spans="1:5" s="96" customFormat="1" ht="13.2" customHeight="1" x14ac:dyDescent="0.3">
      <c r="A1801" s="451"/>
      <c r="B1801" s="116"/>
      <c r="C1801" s="452"/>
      <c r="D1801" s="453"/>
      <c r="E1801" s="226"/>
    </row>
    <row r="1802" spans="1:5" s="96" customFormat="1" ht="13.2" customHeight="1" x14ac:dyDescent="0.3">
      <c r="A1802" s="451"/>
      <c r="B1802" s="116"/>
      <c r="C1802" s="452"/>
      <c r="D1802" s="453"/>
      <c r="E1802" s="226"/>
    </row>
    <row r="1803" spans="1:5" s="96" customFormat="1" ht="13.2" customHeight="1" x14ac:dyDescent="0.3">
      <c r="A1803" s="451"/>
      <c r="B1803" s="116"/>
      <c r="C1803" s="452"/>
      <c r="D1803" s="453"/>
      <c r="E1803" s="226"/>
    </row>
    <row r="1804" spans="1:5" s="96" customFormat="1" ht="13.2" customHeight="1" x14ac:dyDescent="0.3">
      <c r="A1804" s="451"/>
      <c r="B1804" s="116"/>
      <c r="C1804" s="452"/>
      <c r="D1804" s="453"/>
      <c r="E1804" s="226"/>
    </row>
    <row r="1805" spans="1:5" s="96" customFormat="1" ht="13.2" customHeight="1" x14ac:dyDescent="0.3">
      <c r="A1805" s="451"/>
      <c r="B1805" s="116"/>
      <c r="C1805" s="452"/>
      <c r="D1805" s="453"/>
      <c r="E1805" s="226"/>
    </row>
    <row r="1806" spans="1:5" s="96" customFormat="1" ht="13.2" customHeight="1" x14ac:dyDescent="0.3">
      <c r="A1806" s="451"/>
      <c r="B1806" s="116"/>
      <c r="C1806" s="452"/>
      <c r="D1806" s="453"/>
      <c r="E1806" s="226"/>
    </row>
    <row r="1807" spans="1:5" s="96" customFormat="1" ht="13.2" customHeight="1" x14ac:dyDescent="0.3">
      <c r="A1807" s="451"/>
      <c r="B1807" s="116"/>
      <c r="C1807" s="452"/>
      <c r="D1807" s="453"/>
      <c r="E1807" s="226"/>
    </row>
    <row r="1808" spans="1:5" s="96" customFormat="1" ht="13.2" customHeight="1" x14ac:dyDescent="0.3">
      <c r="A1808" s="451"/>
      <c r="B1808" s="116"/>
      <c r="C1808" s="452"/>
      <c r="D1808" s="453"/>
      <c r="E1808" s="226"/>
    </row>
    <row r="1809" spans="1:5" s="96" customFormat="1" ht="13.2" customHeight="1" x14ac:dyDescent="0.3">
      <c r="A1809" s="451"/>
      <c r="B1809" s="116"/>
      <c r="C1809" s="452"/>
      <c r="D1809" s="453"/>
      <c r="E1809" s="226"/>
    </row>
    <row r="1810" spans="1:5" s="96" customFormat="1" ht="13.2" customHeight="1" x14ac:dyDescent="0.3">
      <c r="A1810" s="451"/>
      <c r="B1810" s="116"/>
      <c r="C1810" s="452"/>
      <c r="D1810" s="453"/>
      <c r="E1810" s="226"/>
    </row>
    <row r="1811" spans="1:5" s="96" customFormat="1" ht="13.2" customHeight="1" x14ac:dyDescent="0.3">
      <c r="A1811" s="451"/>
      <c r="B1811" s="116"/>
      <c r="C1811" s="452"/>
      <c r="D1811" s="453"/>
      <c r="E1811" s="226"/>
    </row>
    <row r="1812" spans="1:5" s="96" customFormat="1" ht="13.2" customHeight="1" x14ac:dyDescent="0.3">
      <c r="A1812" s="451"/>
      <c r="B1812" s="116"/>
      <c r="C1812" s="452"/>
      <c r="D1812" s="453"/>
      <c r="E1812" s="226"/>
    </row>
    <row r="1813" spans="1:5" s="96" customFormat="1" ht="13.2" customHeight="1" x14ac:dyDescent="0.3">
      <c r="A1813" s="451"/>
      <c r="B1813" s="116"/>
      <c r="C1813" s="452"/>
      <c r="D1813" s="453"/>
      <c r="E1813" s="226"/>
    </row>
    <row r="1814" spans="1:5" s="96" customFormat="1" ht="13.2" customHeight="1" x14ac:dyDescent="0.3">
      <c r="A1814" s="451"/>
      <c r="B1814" s="116"/>
      <c r="C1814" s="452"/>
      <c r="D1814" s="453"/>
      <c r="E1814" s="226"/>
    </row>
    <row r="1815" spans="1:5" s="96" customFormat="1" ht="12" customHeight="1" x14ac:dyDescent="0.3">
      <c r="A1815" s="451"/>
      <c r="B1815" s="116"/>
      <c r="C1815" s="452"/>
      <c r="D1815" s="453"/>
      <c r="E1815" s="226"/>
    </row>
    <row r="1816" spans="1:5" s="96" customFormat="1" ht="13.2" customHeight="1" x14ac:dyDescent="0.3">
      <c r="A1816" s="451"/>
      <c r="B1816" s="116"/>
      <c r="C1816" s="452"/>
      <c r="D1816" s="453"/>
      <c r="E1816" s="226"/>
    </row>
    <row r="1817" spans="1:5" s="96" customFormat="1" ht="13.2" x14ac:dyDescent="0.3">
      <c r="A1817" s="451"/>
      <c r="B1817" s="116"/>
      <c r="C1817" s="452"/>
      <c r="D1817" s="453"/>
      <c r="E1817" s="226"/>
    </row>
    <row r="1818" spans="1:5" s="96" customFormat="1" ht="13.2" x14ac:dyDescent="0.3">
      <c r="A1818" s="451"/>
      <c r="B1818" s="116"/>
      <c r="C1818" s="452"/>
      <c r="D1818" s="453"/>
      <c r="E1818" s="226"/>
    </row>
    <row r="1819" spans="1:5" s="96" customFormat="1" ht="13.2" x14ac:dyDescent="0.3">
      <c r="A1819" s="451"/>
      <c r="B1819" s="116"/>
      <c r="C1819" s="452"/>
      <c r="D1819" s="453"/>
      <c r="E1819" s="226"/>
    </row>
    <row r="1820" spans="1:5" s="96" customFormat="1" ht="13.2" x14ac:dyDescent="0.3">
      <c r="A1820" s="451"/>
      <c r="B1820" s="116"/>
      <c r="C1820" s="452"/>
      <c r="D1820" s="453"/>
      <c r="E1820" s="226"/>
    </row>
    <row r="1821" spans="1:5" s="96" customFormat="1" ht="13.2" x14ac:dyDescent="0.3">
      <c r="A1821" s="451"/>
      <c r="B1821" s="116"/>
      <c r="C1821" s="452"/>
      <c r="D1821" s="453"/>
      <c r="E1821" s="226"/>
    </row>
    <row r="1822" spans="1:5" s="96" customFormat="1" ht="13.2" customHeight="1" x14ac:dyDescent="0.3">
      <c r="A1822" s="451"/>
      <c r="B1822" s="116"/>
      <c r="C1822" s="452"/>
      <c r="D1822" s="453"/>
      <c r="E1822" s="226"/>
    </row>
    <row r="1883" ht="14.4" customHeight="1" x14ac:dyDescent="0.3"/>
    <row r="1925" spans="1:5" s="96" customFormat="1" ht="14.4" customHeight="1" x14ac:dyDescent="0.3">
      <c r="A1925" s="451"/>
      <c r="B1925" s="116"/>
      <c r="C1925" s="452"/>
      <c r="D1925" s="453"/>
      <c r="E1925" s="226"/>
    </row>
    <row r="1926" spans="1:5" s="96" customFormat="1" ht="14.4" customHeight="1" x14ac:dyDescent="0.3">
      <c r="A1926" s="451"/>
      <c r="B1926" s="116"/>
      <c r="C1926" s="452"/>
      <c r="D1926" s="453"/>
      <c r="E1926" s="226"/>
    </row>
    <row r="1927" spans="1:5" s="96" customFormat="1" ht="14.4" customHeight="1" x14ac:dyDescent="0.3">
      <c r="A1927" s="451"/>
      <c r="B1927" s="116"/>
      <c r="C1927" s="452"/>
      <c r="D1927" s="453"/>
      <c r="E1927" s="226"/>
    </row>
    <row r="1928" spans="1:5" s="96" customFormat="1" ht="14.4" customHeight="1" x14ac:dyDescent="0.3">
      <c r="A1928" s="451"/>
      <c r="B1928" s="116"/>
      <c r="C1928" s="452"/>
      <c r="D1928" s="453"/>
      <c r="E1928" s="226"/>
    </row>
    <row r="1929" spans="1:5" s="96" customFormat="1" ht="14.4" customHeight="1" x14ac:dyDescent="0.3">
      <c r="A1929" s="451"/>
      <c r="B1929" s="116"/>
      <c r="C1929" s="452"/>
      <c r="D1929" s="453"/>
      <c r="E1929" s="226"/>
    </row>
    <row r="1930" spans="1:5" s="96" customFormat="1" ht="14.4" customHeight="1" x14ac:dyDescent="0.3">
      <c r="A1930" s="451"/>
      <c r="B1930" s="116"/>
      <c r="C1930" s="452"/>
      <c r="D1930" s="453"/>
      <c r="E1930" s="226"/>
    </row>
    <row r="1931" spans="1:5" s="96" customFormat="1" ht="14.4" customHeight="1" x14ac:dyDescent="0.3">
      <c r="A1931" s="451"/>
      <c r="B1931" s="116"/>
      <c r="C1931" s="452"/>
      <c r="D1931" s="453"/>
      <c r="E1931" s="226"/>
    </row>
    <row r="1932" spans="1:5" s="96" customFormat="1" ht="14.4" customHeight="1" x14ac:dyDescent="0.3">
      <c r="A1932" s="451"/>
      <c r="B1932" s="116"/>
      <c r="C1932" s="452"/>
      <c r="D1932" s="453"/>
      <c r="E1932" s="226"/>
    </row>
    <row r="1933" spans="1:5" s="96" customFormat="1" ht="14.4" customHeight="1" x14ac:dyDescent="0.3">
      <c r="A1933" s="451"/>
      <c r="B1933" s="116"/>
      <c r="C1933" s="452"/>
      <c r="D1933" s="453"/>
      <c r="E1933" s="226"/>
    </row>
    <row r="1934" spans="1:5" s="96" customFormat="1" ht="14.4" customHeight="1" x14ac:dyDescent="0.3">
      <c r="A1934" s="451"/>
      <c r="B1934" s="116"/>
      <c r="C1934" s="452"/>
      <c r="D1934" s="453"/>
      <c r="E1934" s="226"/>
    </row>
    <row r="1935" spans="1:5" s="96" customFormat="1" ht="14.4" customHeight="1" x14ac:dyDescent="0.3">
      <c r="A1935" s="451"/>
      <c r="B1935" s="116"/>
      <c r="C1935" s="452"/>
      <c r="D1935" s="453"/>
      <c r="E1935" s="226"/>
    </row>
    <row r="1936" spans="1:5" s="96" customFormat="1" ht="14.4" customHeight="1" x14ac:dyDescent="0.3">
      <c r="A1936" s="451"/>
      <c r="B1936" s="116"/>
      <c r="C1936" s="452"/>
      <c r="D1936" s="453"/>
      <c r="E1936" s="226"/>
    </row>
    <row r="1937" spans="1:5" s="96" customFormat="1" ht="14.4" customHeight="1" x14ac:dyDescent="0.3">
      <c r="A1937" s="451"/>
      <c r="B1937" s="116"/>
      <c r="C1937" s="452"/>
      <c r="D1937" s="453"/>
      <c r="E1937" s="226"/>
    </row>
    <row r="1938" spans="1:5" s="96" customFormat="1" ht="14.4" customHeight="1" x14ac:dyDescent="0.3">
      <c r="A1938" s="451"/>
      <c r="B1938" s="116"/>
      <c r="C1938" s="452"/>
      <c r="D1938" s="453"/>
      <c r="E1938" s="226"/>
    </row>
    <row r="1939" spans="1:5" s="96" customFormat="1" ht="14.4" customHeight="1" x14ac:dyDescent="0.3">
      <c r="A1939" s="451"/>
      <c r="B1939" s="116"/>
      <c r="C1939" s="452"/>
      <c r="D1939" s="453"/>
      <c r="E1939" s="226"/>
    </row>
    <row r="1940" spans="1:5" s="96" customFormat="1" ht="14.4" customHeight="1" x14ac:dyDescent="0.3">
      <c r="A1940" s="451"/>
      <c r="B1940" s="116"/>
      <c r="C1940" s="452"/>
      <c r="D1940" s="453"/>
      <c r="E1940" s="226"/>
    </row>
    <row r="1941" spans="1:5" s="96" customFormat="1" ht="14.4" customHeight="1" x14ac:dyDescent="0.3">
      <c r="A1941" s="451"/>
      <c r="B1941" s="116"/>
      <c r="C1941" s="452"/>
      <c r="D1941" s="453"/>
      <c r="E1941" s="226"/>
    </row>
    <row r="1942" spans="1:5" s="96" customFormat="1" ht="14.4" customHeight="1" x14ac:dyDescent="0.3">
      <c r="A1942" s="451"/>
      <c r="B1942" s="116"/>
      <c r="C1942" s="452"/>
      <c r="D1942" s="453"/>
      <c r="E1942" s="226"/>
    </row>
    <row r="1943" spans="1:5" s="96" customFormat="1" ht="14.4" customHeight="1" x14ac:dyDescent="0.3">
      <c r="A1943" s="451"/>
      <c r="B1943" s="116"/>
      <c r="C1943" s="452"/>
      <c r="D1943" s="453"/>
      <c r="E1943" s="226"/>
    </row>
    <row r="1944" spans="1:5" s="96" customFormat="1" ht="14.4" customHeight="1" x14ac:dyDescent="0.3">
      <c r="A1944" s="451"/>
      <c r="B1944" s="116"/>
      <c r="C1944" s="452"/>
      <c r="D1944" s="453"/>
      <c r="E1944" s="226"/>
    </row>
    <row r="1945" spans="1:5" s="96" customFormat="1" ht="14.4" customHeight="1" x14ac:dyDescent="0.3">
      <c r="A1945" s="451"/>
      <c r="B1945" s="116"/>
      <c r="C1945" s="452"/>
      <c r="D1945" s="453"/>
      <c r="E1945" s="226"/>
    </row>
    <row r="1946" spans="1:5" s="96" customFormat="1" ht="14.4" customHeight="1" x14ac:dyDescent="0.3">
      <c r="A1946" s="451"/>
      <c r="B1946" s="116"/>
      <c r="C1946" s="452"/>
      <c r="D1946" s="453"/>
      <c r="E1946" s="226"/>
    </row>
    <row r="1947" spans="1:5" s="96" customFormat="1" ht="14.4" customHeight="1" x14ac:dyDescent="0.3">
      <c r="A1947" s="451"/>
      <c r="B1947" s="116"/>
      <c r="C1947" s="452"/>
      <c r="D1947" s="453"/>
      <c r="E1947" s="226"/>
    </row>
    <row r="1948" spans="1:5" s="96" customFormat="1" ht="14.4" customHeight="1" x14ac:dyDescent="0.3">
      <c r="A1948" s="451"/>
      <c r="B1948" s="116"/>
      <c r="C1948" s="452"/>
      <c r="D1948" s="453"/>
      <c r="E1948" s="226"/>
    </row>
    <row r="2024" ht="24.6" customHeight="1" x14ac:dyDescent="0.3"/>
    <row r="2035" ht="24" customHeight="1" x14ac:dyDescent="0.3"/>
    <row r="2044" ht="45" customHeight="1" x14ac:dyDescent="0.3"/>
    <row r="2046" ht="27" customHeight="1" x14ac:dyDescent="0.3"/>
    <row r="2047" ht="25.2" customHeight="1" x14ac:dyDescent="0.3"/>
    <row r="2434" spans="7:7" ht="15" customHeight="1" x14ac:dyDescent="0.3">
      <c r="G2434" s="113"/>
    </row>
    <row r="2435" spans="7:7" ht="15" customHeight="1" x14ac:dyDescent="0.3">
      <c r="G2435" s="113"/>
    </row>
    <row r="2436" spans="7:7" ht="15" customHeight="1" x14ac:dyDescent="0.3">
      <c r="G2436" s="113"/>
    </row>
    <row r="2437" spans="7:7" ht="15" customHeight="1" x14ac:dyDescent="0.3">
      <c r="G2437" s="113"/>
    </row>
    <row r="2438" spans="7:7" ht="15" customHeight="1" x14ac:dyDescent="0.3">
      <c r="G2438" s="113"/>
    </row>
    <row r="2439" spans="7:7" ht="15" customHeight="1" x14ac:dyDescent="0.3">
      <c r="G2439" s="113"/>
    </row>
    <row r="2440" spans="7:7" ht="15" customHeight="1" x14ac:dyDescent="0.3">
      <c r="G2440" s="113"/>
    </row>
    <row r="2441" spans="7:7" ht="15" customHeight="1" x14ac:dyDescent="0.3">
      <c r="G2441" s="113"/>
    </row>
    <row r="2442" spans="7:7" ht="15" customHeight="1" x14ac:dyDescent="0.3">
      <c r="G2442" s="113"/>
    </row>
    <row r="2443" spans="7:7" ht="15" customHeight="1" x14ac:dyDescent="0.3">
      <c r="G2443" s="113"/>
    </row>
    <row r="2444" spans="7:7" ht="15" customHeight="1" x14ac:dyDescent="0.3">
      <c r="G2444" s="113"/>
    </row>
    <row r="2445" spans="7:7" ht="15" customHeight="1" x14ac:dyDescent="0.3">
      <c r="G2445" s="113"/>
    </row>
    <row r="2446" spans="7:7" ht="15" customHeight="1" x14ac:dyDescent="0.3">
      <c r="G2446" s="113"/>
    </row>
    <row r="2660" spans="1:5" s="96" customFormat="1" ht="14.4" customHeight="1" x14ac:dyDescent="0.3">
      <c r="A2660" s="451"/>
      <c r="B2660" s="116"/>
      <c r="C2660" s="452"/>
      <c r="D2660" s="453"/>
      <c r="E2660" s="226"/>
    </row>
    <row r="2661" spans="1:5" s="96" customFormat="1" ht="14.4" customHeight="1" x14ac:dyDescent="0.3">
      <c r="A2661" s="451"/>
      <c r="B2661" s="116"/>
      <c r="C2661" s="452"/>
      <c r="D2661" s="453"/>
      <c r="E2661" s="226"/>
    </row>
    <row r="2662" spans="1:5" s="96" customFormat="1" ht="14.4" customHeight="1" x14ac:dyDescent="0.3">
      <c r="A2662" s="451"/>
      <c r="B2662" s="116"/>
      <c r="C2662" s="452"/>
      <c r="D2662" s="453"/>
      <c r="E2662" s="226"/>
    </row>
    <row r="2663" spans="1:5" s="96" customFormat="1" ht="14.4" customHeight="1" x14ac:dyDescent="0.3">
      <c r="A2663" s="451"/>
      <c r="B2663" s="116"/>
      <c r="C2663" s="452"/>
      <c r="D2663" s="453"/>
      <c r="E2663" s="226"/>
    </row>
    <row r="2664" spans="1:5" s="96" customFormat="1" ht="14.4" customHeight="1" x14ac:dyDescent="0.3">
      <c r="A2664" s="451"/>
      <c r="B2664" s="116"/>
      <c r="C2664" s="452"/>
      <c r="D2664" s="453"/>
      <c r="E2664" s="226"/>
    </row>
    <row r="2665" spans="1:5" s="96" customFormat="1" ht="14.4" customHeight="1" x14ac:dyDescent="0.3">
      <c r="A2665" s="451"/>
      <c r="B2665" s="116"/>
      <c r="C2665" s="452"/>
      <c r="D2665" s="453"/>
      <c r="E2665" s="226"/>
    </row>
    <row r="2666" spans="1:5" s="96" customFormat="1" ht="14.4" customHeight="1" x14ac:dyDescent="0.3">
      <c r="A2666" s="451"/>
      <c r="B2666" s="116"/>
      <c r="C2666" s="452"/>
      <c r="D2666" s="453"/>
      <c r="E2666" s="226"/>
    </row>
    <row r="2667" spans="1:5" s="96" customFormat="1" ht="14.4" customHeight="1" x14ac:dyDescent="0.3">
      <c r="A2667" s="451"/>
      <c r="B2667" s="116"/>
      <c r="C2667" s="452"/>
      <c r="D2667" s="453"/>
      <c r="E2667" s="226"/>
    </row>
    <row r="2668" spans="1:5" s="96" customFormat="1" ht="14.4" customHeight="1" x14ac:dyDescent="0.3">
      <c r="A2668" s="451"/>
      <c r="B2668" s="116"/>
      <c r="C2668" s="452"/>
      <c r="D2668" s="453"/>
      <c r="E2668" s="226"/>
    </row>
    <row r="2669" spans="1:5" s="96" customFormat="1" ht="14.4" customHeight="1" x14ac:dyDescent="0.3">
      <c r="A2669" s="451"/>
      <c r="B2669" s="116"/>
      <c r="C2669" s="452"/>
      <c r="D2669" s="453"/>
      <c r="E2669" s="226"/>
    </row>
    <row r="2670" spans="1:5" s="96" customFormat="1" ht="14.4" customHeight="1" x14ac:dyDescent="0.3">
      <c r="A2670" s="451"/>
      <c r="B2670" s="116"/>
      <c r="C2670" s="452"/>
      <c r="D2670" s="453"/>
      <c r="E2670" s="226"/>
    </row>
    <row r="2713" ht="14.4" customHeight="1" x14ac:dyDescent="0.3"/>
  </sheetData>
  <mergeCells count="83">
    <mergeCell ref="A699:A701"/>
    <mergeCell ref="A702:A716"/>
    <mergeCell ref="A717:A722"/>
    <mergeCell ref="A723:A728"/>
    <mergeCell ref="A729:A749"/>
    <mergeCell ref="A750:A764"/>
    <mergeCell ref="A765:A768"/>
    <mergeCell ref="A769:A792"/>
    <mergeCell ref="A793:A814"/>
    <mergeCell ref="A505:A508"/>
    <mergeCell ref="A509:A525"/>
    <mergeCell ref="A526:A533"/>
    <mergeCell ref="A534:A538"/>
    <mergeCell ref="A539:A549"/>
    <mergeCell ref="A550:A555"/>
    <mergeCell ref="A556:A559"/>
    <mergeCell ref="A560:A565"/>
    <mergeCell ref="A566:A568"/>
    <mergeCell ref="A2:A7"/>
    <mergeCell ref="A8:A13"/>
    <mergeCell ref="A14:A17"/>
    <mergeCell ref="A18:A26"/>
    <mergeCell ref="A27:A37"/>
    <mergeCell ref="A38:A47"/>
    <mergeCell ref="A48:A49"/>
    <mergeCell ref="A50:A62"/>
    <mergeCell ref="A63:A71"/>
    <mergeCell ref="A72:A91"/>
    <mergeCell ref="A92:A142"/>
    <mergeCell ref="A143:A153"/>
    <mergeCell ref="A154:A156"/>
    <mergeCell ref="A157:A159"/>
    <mergeCell ref="A160:A163"/>
    <mergeCell ref="A164:A175"/>
    <mergeCell ref="A176:A179"/>
    <mergeCell ref="A180:A188"/>
    <mergeCell ref="A189:A218"/>
    <mergeCell ref="A219:A236"/>
    <mergeCell ref="A240:A243"/>
    <mergeCell ref="A244:A264"/>
    <mergeCell ref="A265:A279"/>
    <mergeCell ref="A280:A287"/>
    <mergeCell ref="A288:A292"/>
    <mergeCell ref="A293:A295"/>
    <mergeCell ref="A296:A302"/>
    <mergeCell ref="A303:A306"/>
    <mergeCell ref="A307:A313"/>
    <mergeCell ref="A314:A327"/>
    <mergeCell ref="A328:A334"/>
    <mergeCell ref="A335:A346"/>
    <mergeCell ref="A347:A353"/>
    <mergeCell ref="A354:A368"/>
    <mergeCell ref="A369:A375"/>
    <mergeCell ref="A376:A382"/>
    <mergeCell ref="A383:A388"/>
    <mergeCell ref="A389:A397"/>
    <mergeCell ref="A398:A400"/>
    <mergeCell ref="A401:A442"/>
    <mergeCell ref="A443:A451"/>
    <mergeCell ref="A452:A469"/>
    <mergeCell ref="A470:A473"/>
    <mergeCell ref="A474:A478"/>
    <mergeCell ref="A479:A480"/>
    <mergeCell ref="A481:A499"/>
    <mergeCell ref="A500:A504"/>
    <mergeCell ref="A569:A572"/>
    <mergeCell ref="A573:A578"/>
    <mergeCell ref="A579:A582"/>
    <mergeCell ref="A583:A589"/>
    <mergeCell ref="A590:A607"/>
    <mergeCell ref="A608:A609"/>
    <mergeCell ref="A610:A618"/>
    <mergeCell ref="A619:A641"/>
    <mergeCell ref="A642:A677"/>
    <mergeCell ref="A678:A691"/>
    <mergeCell ref="A692:A696"/>
    <mergeCell ref="A697:A698"/>
    <mergeCell ref="A815:A835"/>
    <mergeCell ref="A836:A837"/>
    <mergeCell ref="A838:A857"/>
    <mergeCell ref="A858:A874"/>
    <mergeCell ref="A875:A877"/>
    <mergeCell ref="A878:A879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118" bestFit="1" customWidth="1"/>
    <col min="2" max="2" width="12.59765625" style="118" bestFit="1" customWidth="1"/>
    <col min="5" max="5" width="9.3984375" style="126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213" t="s">
        <v>1783</v>
      </c>
      <c r="F1" s="214"/>
      <c r="G1" s="149" t="s">
        <v>2789</v>
      </c>
    </row>
    <row r="2" spans="1:7" x14ac:dyDescent="0.4">
      <c r="A2" s="119" t="s">
        <v>2357</v>
      </c>
      <c r="B2" s="115" t="s">
        <v>1784</v>
      </c>
      <c r="C2" s="120">
        <v>60</v>
      </c>
      <c r="D2" s="120"/>
      <c r="E2" s="123">
        <v>57560</v>
      </c>
    </row>
    <row r="3" spans="1:7" x14ac:dyDescent="0.4">
      <c r="A3" s="119" t="s">
        <v>2357</v>
      </c>
      <c r="B3" s="115" t="s">
        <v>1784</v>
      </c>
      <c r="C3">
        <v>70</v>
      </c>
      <c r="E3" s="124">
        <v>56530</v>
      </c>
    </row>
    <row r="4" spans="1:7" x14ac:dyDescent="0.4">
      <c r="A4" s="119" t="s">
        <v>2357</v>
      </c>
      <c r="B4" s="115" t="s">
        <v>1784</v>
      </c>
      <c r="C4">
        <v>75</v>
      </c>
      <c r="E4" s="124">
        <v>59420</v>
      </c>
    </row>
    <row r="5" spans="1:7" x14ac:dyDescent="0.4">
      <c r="A5" s="119" t="s">
        <v>2357</v>
      </c>
      <c r="B5" s="115" t="s">
        <v>2359</v>
      </c>
      <c r="C5">
        <v>80</v>
      </c>
      <c r="E5" s="124">
        <v>62090</v>
      </c>
    </row>
    <row r="6" spans="1:7" x14ac:dyDescent="0.4">
      <c r="A6" s="119" t="s">
        <v>2357</v>
      </c>
      <c r="B6" s="115" t="s">
        <v>2359</v>
      </c>
      <c r="C6">
        <v>90</v>
      </c>
      <c r="E6" s="124">
        <v>69560</v>
      </c>
    </row>
    <row r="7" spans="1:7" x14ac:dyDescent="0.4">
      <c r="A7" s="119" t="s">
        <v>2357</v>
      </c>
      <c r="B7" s="115" t="s">
        <v>2359</v>
      </c>
      <c r="C7">
        <v>100</v>
      </c>
      <c r="E7" s="124">
        <v>76920</v>
      </c>
    </row>
    <row r="8" spans="1:7" x14ac:dyDescent="0.4">
      <c r="A8" s="119" t="s">
        <v>2357</v>
      </c>
      <c r="B8" s="115" t="s">
        <v>2359</v>
      </c>
      <c r="C8">
        <v>120</v>
      </c>
      <c r="E8" s="124">
        <v>92310</v>
      </c>
    </row>
    <row r="9" spans="1:7" x14ac:dyDescent="0.4">
      <c r="A9" s="119" t="s">
        <v>2357</v>
      </c>
      <c r="B9" s="115" t="s">
        <v>2359</v>
      </c>
      <c r="C9">
        <v>150</v>
      </c>
      <c r="E9" s="124">
        <v>115380</v>
      </c>
    </row>
    <row r="10" spans="1:7" x14ac:dyDescent="0.4">
      <c r="A10" s="119" t="s">
        <v>2357</v>
      </c>
      <c r="B10" s="121" t="s">
        <v>2360</v>
      </c>
      <c r="C10">
        <v>60</v>
      </c>
      <c r="E10" s="124">
        <v>39980</v>
      </c>
    </row>
    <row r="11" spans="1:7" x14ac:dyDescent="0.4">
      <c r="A11" s="119" t="s">
        <v>2357</v>
      </c>
      <c r="B11" s="121" t="s">
        <v>2360</v>
      </c>
      <c r="C11">
        <v>70</v>
      </c>
      <c r="E11" s="124">
        <v>39270</v>
      </c>
    </row>
    <row r="12" spans="1:7" x14ac:dyDescent="0.4">
      <c r="A12" s="119" t="s">
        <v>2357</v>
      </c>
      <c r="B12" s="121" t="s">
        <v>2360</v>
      </c>
      <c r="C12">
        <v>75</v>
      </c>
      <c r="E12" s="124">
        <v>41270</v>
      </c>
    </row>
    <row r="13" spans="1:7" x14ac:dyDescent="0.4">
      <c r="A13" s="119" t="s">
        <v>2357</v>
      </c>
      <c r="B13" s="121" t="s">
        <v>2360</v>
      </c>
      <c r="C13">
        <v>80</v>
      </c>
      <c r="E13" s="124">
        <v>43130</v>
      </c>
    </row>
    <row r="14" spans="1:7" x14ac:dyDescent="0.4">
      <c r="A14" s="119" t="s">
        <v>2357</v>
      </c>
      <c r="B14" s="121" t="s">
        <v>2360</v>
      </c>
      <c r="C14">
        <v>90</v>
      </c>
      <c r="E14" s="124">
        <v>48320</v>
      </c>
    </row>
    <row r="15" spans="1:7" x14ac:dyDescent="0.4">
      <c r="A15" s="119" t="s">
        <v>2357</v>
      </c>
      <c r="B15" s="121" t="s">
        <v>2360</v>
      </c>
      <c r="C15">
        <v>100</v>
      </c>
      <c r="E15" s="124">
        <v>53440</v>
      </c>
    </row>
    <row r="16" spans="1:7" x14ac:dyDescent="0.4">
      <c r="A16" s="119" t="s">
        <v>2357</v>
      </c>
      <c r="B16" s="121" t="s">
        <v>2360</v>
      </c>
      <c r="C16">
        <v>120</v>
      </c>
      <c r="E16" s="124">
        <v>64130</v>
      </c>
    </row>
    <row r="17" spans="1:11" x14ac:dyDescent="0.4">
      <c r="A17" s="119" t="s">
        <v>2357</v>
      </c>
      <c r="B17" s="121" t="s">
        <v>2360</v>
      </c>
      <c r="C17" s="127">
        <v>150</v>
      </c>
      <c r="D17" s="122"/>
      <c r="E17" s="125">
        <v>80150</v>
      </c>
    </row>
    <row r="18" spans="1:11" x14ac:dyDescent="0.4">
      <c r="A18" s="118" t="s">
        <v>2358</v>
      </c>
      <c r="B18" s="115" t="s">
        <v>2359</v>
      </c>
      <c r="C18">
        <v>70</v>
      </c>
      <c r="E18" s="126">
        <v>58230</v>
      </c>
    </row>
    <row r="19" spans="1:11" x14ac:dyDescent="0.4">
      <c r="A19" s="118" t="s">
        <v>2358</v>
      </c>
      <c r="B19" s="115" t="s">
        <v>2359</v>
      </c>
      <c r="C19">
        <v>80</v>
      </c>
      <c r="E19" s="126">
        <v>63950</v>
      </c>
    </row>
    <row r="20" spans="1:11" x14ac:dyDescent="0.4">
      <c r="A20" s="118" t="s">
        <v>2358</v>
      </c>
      <c r="B20" s="115" t="s">
        <v>2359</v>
      </c>
      <c r="C20">
        <v>95</v>
      </c>
      <c r="E20" s="126">
        <v>75540</v>
      </c>
    </row>
    <row r="21" spans="1:11" x14ac:dyDescent="0.4">
      <c r="A21" s="118" t="s">
        <v>2358</v>
      </c>
      <c r="B21" s="115" t="s">
        <v>2359</v>
      </c>
      <c r="C21">
        <v>100</v>
      </c>
      <c r="E21" s="126">
        <v>79230</v>
      </c>
    </row>
    <row r="22" spans="1:11" x14ac:dyDescent="0.4">
      <c r="A22" s="118" t="s">
        <v>2358</v>
      </c>
      <c r="B22" s="121" t="s">
        <v>2360</v>
      </c>
      <c r="C22">
        <v>70</v>
      </c>
      <c r="E22" s="126">
        <v>40450</v>
      </c>
    </row>
    <row r="23" spans="1:11" x14ac:dyDescent="0.4">
      <c r="A23" s="118" t="s">
        <v>2358</v>
      </c>
      <c r="B23" s="121" t="s">
        <v>2360</v>
      </c>
      <c r="C23">
        <v>80</v>
      </c>
      <c r="E23" s="126">
        <v>44430</v>
      </c>
    </row>
    <row r="24" spans="1:11" x14ac:dyDescent="0.4">
      <c r="A24" s="118" t="s">
        <v>2358</v>
      </c>
      <c r="B24" s="121" t="s">
        <v>2360</v>
      </c>
      <c r="C24">
        <v>95</v>
      </c>
      <c r="E24" s="126">
        <v>52470</v>
      </c>
    </row>
    <row r="25" spans="1:11" x14ac:dyDescent="0.4">
      <c r="A25" s="118" t="s">
        <v>2358</v>
      </c>
      <c r="B25" s="121" t="s">
        <v>2360</v>
      </c>
      <c r="C25">
        <v>100</v>
      </c>
      <c r="E25" s="126">
        <v>55040</v>
      </c>
    </row>
    <row r="26" spans="1:11" x14ac:dyDescent="0.4">
      <c r="A26" s="118" t="s">
        <v>2361</v>
      </c>
      <c r="B26" s="115" t="s">
        <v>2359</v>
      </c>
      <c r="C26">
        <v>105</v>
      </c>
      <c r="E26" s="126">
        <v>165870</v>
      </c>
      <c r="G26" s="150">
        <v>149</v>
      </c>
      <c r="H26" s="115"/>
      <c r="K26" s="129"/>
    </row>
    <row r="27" spans="1:11" x14ac:dyDescent="0.4">
      <c r="A27" s="118" t="s">
        <v>2361</v>
      </c>
      <c r="B27" s="115" t="s">
        <v>2359</v>
      </c>
      <c r="C27">
        <v>130</v>
      </c>
      <c r="E27" s="126">
        <v>205360</v>
      </c>
      <c r="G27" s="150">
        <v>183</v>
      </c>
      <c r="H27" s="115"/>
      <c r="K27" s="129"/>
    </row>
    <row r="28" spans="1:11" x14ac:dyDescent="0.4">
      <c r="A28" s="118" t="s">
        <v>2361</v>
      </c>
      <c r="B28" s="115" t="s">
        <v>2359</v>
      </c>
      <c r="C28">
        <v>160</v>
      </c>
      <c r="E28" s="126">
        <v>254760</v>
      </c>
      <c r="G28" s="150">
        <v>223</v>
      </c>
      <c r="H28" s="115"/>
      <c r="K28" s="129"/>
    </row>
    <row r="29" spans="1:11" x14ac:dyDescent="0.4">
      <c r="A29" s="118" t="s">
        <v>2361</v>
      </c>
      <c r="B29" s="115" t="s">
        <v>2359</v>
      </c>
      <c r="C29">
        <v>190</v>
      </c>
      <c r="E29" s="126">
        <v>300140</v>
      </c>
      <c r="G29" s="150">
        <v>261</v>
      </c>
      <c r="H29" s="115"/>
      <c r="K29" s="129"/>
    </row>
    <row r="30" spans="1:11" x14ac:dyDescent="0.4">
      <c r="A30" s="118" t="s">
        <v>2361</v>
      </c>
      <c r="B30" s="115" t="s">
        <v>2359</v>
      </c>
      <c r="C30">
        <v>210</v>
      </c>
      <c r="E30" s="126">
        <v>331740</v>
      </c>
      <c r="G30" s="150">
        <v>286</v>
      </c>
      <c r="H30" s="115"/>
      <c r="K30" s="129"/>
    </row>
    <row r="31" spans="1:11" x14ac:dyDescent="0.4">
      <c r="A31" s="118" t="s">
        <v>2361</v>
      </c>
      <c r="B31" s="115" t="s">
        <v>2359</v>
      </c>
      <c r="C31">
        <v>230</v>
      </c>
      <c r="E31" s="126">
        <v>363330</v>
      </c>
      <c r="G31" s="150">
        <v>312</v>
      </c>
      <c r="H31" s="115"/>
      <c r="K31" s="129"/>
    </row>
    <row r="32" spans="1:11" ht="18" thickBot="1" x14ac:dyDescent="0.45">
      <c r="A32" s="118" t="s">
        <v>2361</v>
      </c>
      <c r="B32" s="115" t="s">
        <v>2359</v>
      </c>
      <c r="C32">
        <v>310</v>
      </c>
      <c r="E32" s="126">
        <v>489710</v>
      </c>
      <c r="H32" s="115"/>
      <c r="K32" s="129"/>
    </row>
    <row r="33" spans="1:11" ht="18" thickBot="1" x14ac:dyDescent="0.45">
      <c r="A33" s="118" t="s">
        <v>2361</v>
      </c>
      <c r="B33" s="121" t="s">
        <v>2360</v>
      </c>
      <c r="C33">
        <v>105</v>
      </c>
      <c r="E33" s="126">
        <v>115230</v>
      </c>
      <c r="G33" s="150">
        <v>149</v>
      </c>
      <c r="H33" s="117"/>
      <c r="K33" s="128"/>
    </row>
    <row r="34" spans="1:11" ht="18" thickBot="1" x14ac:dyDescent="0.45">
      <c r="A34" s="118" t="s">
        <v>2361</v>
      </c>
      <c r="B34" s="121" t="s">
        <v>2360</v>
      </c>
      <c r="C34">
        <v>130</v>
      </c>
      <c r="E34" s="126">
        <v>142650</v>
      </c>
      <c r="G34" s="150">
        <v>183</v>
      </c>
      <c r="H34" s="117"/>
      <c r="K34" s="128"/>
    </row>
    <row r="35" spans="1:11" ht="18" thickBot="1" x14ac:dyDescent="0.45">
      <c r="A35" s="118" t="s">
        <v>2361</v>
      </c>
      <c r="B35" s="121" t="s">
        <v>2360</v>
      </c>
      <c r="C35">
        <v>160</v>
      </c>
      <c r="E35" s="126">
        <v>175580</v>
      </c>
      <c r="G35" s="150">
        <v>223</v>
      </c>
      <c r="H35" s="117"/>
      <c r="K35" s="128"/>
    </row>
    <row r="36" spans="1:11" ht="18" thickBot="1" x14ac:dyDescent="0.45">
      <c r="A36" s="118" t="s">
        <v>2361</v>
      </c>
      <c r="B36" s="121" t="s">
        <v>2360</v>
      </c>
      <c r="C36">
        <v>190</v>
      </c>
      <c r="E36" s="126">
        <v>208500</v>
      </c>
      <c r="G36" s="150">
        <v>261</v>
      </c>
      <c r="H36" s="117"/>
      <c r="K36" s="128"/>
    </row>
    <row r="37" spans="1:11" ht="18" thickBot="1" x14ac:dyDescent="0.45">
      <c r="A37" s="118" t="s">
        <v>2361</v>
      </c>
      <c r="B37" s="121" t="s">
        <v>2360</v>
      </c>
      <c r="C37">
        <v>210</v>
      </c>
      <c r="E37" s="126">
        <v>230440</v>
      </c>
      <c r="G37" s="150">
        <v>286</v>
      </c>
      <c r="H37" s="117"/>
      <c r="K37" s="128"/>
    </row>
    <row r="38" spans="1:11" ht="18" thickBot="1" x14ac:dyDescent="0.45">
      <c r="A38" s="118" t="s">
        <v>2361</v>
      </c>
      <c r="B38" s="121" t="s">
        <v>2360</v>
      </c>
      <c r="C38">
        <v>230</v>
      </c>
      <c r="E38" s="126">
        <v>252390</v>
      </c>
      <c r="G38" s="150">
        <v>312</v>
      </c>
      <c r="H38" s="117"/>
      <c r="K38" s="128"/>
    </row>
    <row r="39" spans="1:11" ht="18" thickBot="1" x14ac:dyDescent="0.45">
      <c r="A39" s="118" t="s">
        <v>2361</v>
      </c>
      <c r="B39" s="121" t="s">
        <v>2360</v>
      </c>
      <c r="C39">
        <v>310</v>
      </c>
      <c r="E39" s="126">
        <v>340180</v>
      </c>
      <c r="H39" s="115"/>
      <c r="K39" s="128"/>
    </row>
    <row r="40" spans="1:11" ht="18" thickBot="1" x14ac:dyDescent="0.45">
      <c r="A40" s="118" t="s">
        <v>2362</v>
      </c>
      <c r="B40" s="115" t="s">
        <v>2359</v>
      </c>
      <c r="C40">
        <v>105</v>
      </c>
      <c r="E40" s="126">
        <v>165870</v>
      </c>
      <c r="G40" s="150">
        <v>149</v>
      </c>
      <c r="H40" s="115"/>
      <c r="K40" s="128"/>
    </row>
    <row r="41" spans="1:11" ht="18" thickBot="1" x14ac:dyDescent="0.45">
      <c r="A41" s="118" t="s">
        <v>2362</v>
      </c>
      <c r="B41" s="115" t="s">
        <v>2359</v>
      </c>
      <c r="C41">
        <v>130</v>
      </c>
      <c r="E41" s="126">
        <v>205360</v>
      </c>
      <c r="G41" s="150">
        <v>183</v>
      </c>
      <c r="H41" s="115"/>
      <c r="K41" s="128"/>
    </row>
    <row r="42" spans="1:11" ht="18" thickBot="1" x14ac:dyDescent="0.45">
      <c r="A42" s="118" t="s">
        <v>2362</v>
      </c>
      <c r="B42" s="115" t="s">
        <v>2359</v>
      </c>
      <c r="C42">
        <v>160</v>
      </c>
      <c r="E42" s="126">
        <v>252760</v>
      </c>
      <c r="G42" s="150">
        <v>223</v>
      </c>
      <c r="H42" s="115"/>
      <c r="K42" s="128"/>
    </row>
    <row r="43" spans="1:11" ht="18" thickBot="1" x14ac:dyDescent="0.45">
      <c r="A43" s="118" t="s">
        <v>2362</v>
      </c>
      <c r="B43" s="115" t="s">
        <v>2359</v>
      </c>
      <c r="C43">
        <v>190</v>
      </c>
      <c r="E43" s="126">
        <v>300140</v>
      </c>
      <c r="G43" s="150">
        <v>261</v>
      </c>
      <c r="H43" s="115"/>
      <c r="K43" s="128"/>
    </row>
    <row r="44" spans="1:11" ht="18" thickBot="1" x14ac:dyDescent="0.45">
      <c r="A44" s="118" t="s">
        <v>2362</v>
      </c>
      <c r="B44" s="115" t="s">
        <v>2359</v>
      </c>
      <c r="C44">
        <v>210</v>
      </c>
      <c r="E44" s="126">
        <v>331740</v>
      </c>
      <c r="G44" s="150">
        <v>286</v>
      </c>
      <c r="H44" s="115"/>
      <c r="K44" s="128"/>
    </row>
    <row r="45" spans="1:11" ht="18" thickBot="1" x14ac:dyDescent="0.45">
      <c r="A45" s="118" t="s">
        <v>2362</v>
      </c>
      <c r="B45" s="115" t="s">
        <v>2359</v>
      </c>
      <c r="C45">
        <v>230</v>
      </c>
      <c r="E45" s="126">
        <v>363330</v>
      </c>
      <c r="G45" s="150">
        <v>312</v>
      </c>
      <c r="H45" s="117"/>
      <c r="K45" s="128"/>
    </row>
    <row r="46" spans="1:11" ht="18" thickBot="1" x14ac:dyDescent="0.45">
      <c r="A46" s="118" t="s">
        <v>2362</v>
      </c>
      <c r="B46" s="115" t="s">
        <v>2359</v>
      </c>
      <c r="C46">
        <v>310</v>
      </c>
      <c r="E46" s="126">
        <v>489710</v>
      </c>
      <c r="H46" s="117"/>
      <c r="K46" s="128"/>
    </row>
    <row r="47" spans="1:11" ht="18" thickBot="1" x14ac:dyDescent="0.45">
      <c r="A47" s="118" t="s">
        <v>2362</v>
      </c>
      <c r="B47" s="121" t="s">
        <v>2360</v>
      </c>
      <c r="C47">
        <v>105</v>
      </c>
      <c r="E47" s="126">
        <v>115230</v>
      </c>
      <c r="G47" s="150">
        <v>149</v>
      </c>
      <c r="H47" s="117"/>
      <c r="K47" s="128"/>
    </row>
    <row r="48" spans="1:11" ht="18" thickBot="1" x14ac:dyDescent="0.45">
      <c r="A48" s="118" t="s">
        <v>2362</v>
      </c>
      <c r="B48" s="121" t="s">
        <v>2360</v>
      </c>
      <c r="C48">
        <v>130</v>
      </c>
      <c r="E48" s="126">
        <v>142650</v>
      </c>
      <c r="G48" s="150">
        <v>183</v>
      </c>
      <c r="H48" s="117"/>
      <c r="K48" s="128"/>
    </row>
    <row r="49" spans="1:11" ht="18" thickBot="1" x14ac:dyDescent="0.45">
      <c r="A49" s="118" t="s">
        <v>2362</v>
      </c>
      <c r="B49" s="121" t="s">
        <v>2360</v>
      </c>
      <c r="C49">
        <v>160</v>
      </c>
      <c r="E49" s="126">
        <v>175580</v>
      </c>
      <c r="G49" s="150">
        <v>223</v>
      </c>
      <c r="H49" s="117"/>
      <c r="K49" s="128"/>
    </row>
    <row r="50" spans="1:11" ht="18" thickBot="1" x14ac:dyDescent="0.45">
      <c r="A50" s="118" t="s">
        <v>2362</v>
      </c>
      <c r="B50" s="121" t="s">
        <v>2360</v>
      </c>
      <c r="C50">
        <v>190</v>
      </c>
      <c r="E50" s="126">
        <v>208500</v>
      </c>
      <c r="G50" s="150">
        <v>261</v>
      </c>
      <c r="H50" s="117"/>
      <c r="K50" s="128"/>
    </row>
    <row r="51" spans="1:11" x14ac:dyDescent="0.4">
      <c r="A51" s="118" t="s">
        <v>2362</v>
      </c>
      <c r="B51" s="121" t="s">
        <v>2360</v>
      </c>
      <c r="C51">
        <v>210</v>
      </c>
      <c r="E51" s="126">
        <v>230440</v>
      </c>
      <c r="G51" s="150">
        <v>286</v>
      </c>
    </row>
    <row r="52" spans="1:11" x14ac:dyDescent="0.4">
      <c r="A52" s="118" t="s">
        <v>2362</v>
      </c>
      <c r="B52" s="121" t="s">
        <v>2360</v>
      </c>
      <c r="C52">
        <v>230</v>
      </c>
      <c r="E52" s="126">
        <v>252390</v>
      </c>
      <c r="G52" s="150">
        <v>312</v>
      </c>
    </row>
    <row r="53" spans="1:11" x14ac:dyDescent="0.4">
      <c r="A53" s="118" t="s">
        <v>2362</v>
      </c>
      <c r="B53" s="121" t="s">
        <v>2360</v>
      </c>
      <c r="C53">
        <v>310</v>
      </c>
      <c r="E53" s="126">
        <v>340180</v>
      </c>
    </row>
    <row r="54" spans="1:11" x14ac:dyDescent="0.4">
      <c r="A54" s="118" t="s">
        <v>2363</v>
      </c>
      <c r="B54" s="115" t="s">
        <v>2359</v>
      </c>
      <c r="C54">
        <v>230</v>
      </c>
      <c r="E54" s="126">
        <v>172180</v>
      </c>
    </row>
    <row r="55" spans="1:11" x14ac:dyDescent="0.4">
      <c r="A55" s="118" t="s">
        <v>2363</v>
      </c>
      <c r="B55" s="115" t="s">
        <v>2359</v>
      </c>
      <c r="C55">
        <v>250</v>
      </c>
      <c r="E55" s="126">
        <v>187150</v>
      </c>
    </row>
    <row r="56" spans="1:11" x14ac:dyDescent="0.4">
      <c r="A56" s="118" t="s">
        <v>2363</v>
      </c>
      <c r="B56" s="115" t="s">
        <v>2359</v>
      </c>
      <c r="C56">
        <v>280</v>
      </c>
      <c r="E56" s="126">
        <v>209610</v>
      </c>
    </row>
    <row r="57" spans="1:11" x14ac:dyDescent="0.4">
      <c r="A57" s="118" t="s">
        <v>2364</v>
      </c>
      <c r="B57" s="115" t="s">
        <v>2359</v>
      </c>
      <c r="C57">
        <v>210</v>
      </c>
      <c r="E57" s="126">
        <v>246435</v>
      </c>
    </row>
    <row r="58" spans="1:11" x14ac:dyDescent="0.4">
      <c r="A58" s="118" t="s">
        <v>2364</v>
      </c>
      <c r="B58" s="115" t="s">
        <v>2359</v>
      </c>
      <c r="C58">
        <v>230</v>
      </c>
      <c r="E58" s="126">
        <v>269905</v>
      </c>
    </row>
    <row r="59" spans="1:11" x14ac:dyDescent="0.4">
      <c r="A59" s="118" t="s">
        <v>2364</v>
      </c>
      <c r="B59" s="115" t="s">
        <v>2359</v>
      </c>
      <c r="C59">
        <v>300</v>
      </c>
      <c r="E59" s="126">
        <v>352050</v>
      </c>
    </row>
    <row r="60" spans="1:11" x14ac:dyDescent="0.4">
      <c r="A60" s="118" t="s">
        <v>2364</v>
      </c>
      <c r="B60" s="115" t="s">
        <v>2359</v>
      </c>
      <c r="C60">
        <v>250</v>
      </c>
      <c r="E60" s="126">
        <v>410720</v>
      </c>
    </row>
    <row r="61" spans="1:11" x14ac:dyDescent="0.4">
      <c r="A61" s="118" t="s">
        <v>2364</v>
      </c>
      <c r="B61" s="115" t="s">
        <v>2359</v>
      </c>
      <c r="C61">
        <v>400</v>
      </c>
      <c r="E61" s="126">
        <v>469400</v>
      </c>
    </row>
    <row r="62" spans="1:11" x14ac:dyDescent="0.4">
      <c r="A62" s="118" t="s">
        <v>2364</v>
      </c>
      <c r="B62" s="121" t="s">
        <v>2360</v>
      </c>
      <c r="C62">
        <v>210</v>
      </c>
      <c r="E62" s="126">
        <v>171189</v>
      </c>
    </row>
    <row r="63" spans="1:11" x14ac:dyDescent="0.4">
      <c r="A63" s="118" t="s">
        <v>2364</v>
      </c>
      <c r="B63" s="121" t="s">
        <v>2360</v>
      </c>
      <c r="C63">
        <v>230</v>
      </c>
      <c r="E63" s="126">
        <v>187492</v>
      </c>
    </row>
    <row r="64" spans="1:11" x14ac:dyDescent="0.4">
      <c r="A64" s="118" t="s">
        <v>2364</v>
      </c>
      <c r="B64" s="121" t="s">
        <v>2360</v>
      </c>
      <c r="C64">
        <v>300</v>
      </c>
      <c r="E64" s="126">
        <v>244560</v>
      </c>
    </row>
    <row r="65" spans="1:5" x14ac:dyDescent="0.4">
      <c r="A65" s="118" t="s">
        <v>2364</v>
      </c>
      <c r="B65" s="121" t="s">
        <v>2360</v>
      </c>
      <c r="C65">
        <v>250</v>
      </c>
      <c r="E65" s="126">
        <v>285310</v>
      </c>
    </row>
    <row r="66" spans="1:5" x14ac:dyDescent="0.4">
      <c r="A66" s="118" t="s">
        <v>2364</v>
      </c>
      <c r="B66" s="121" t="s">
        <v>2360</v>
      </c>
      <c r="C66">
        <v>400</v>
      </c>
      <c r="E66" s="126">
        <v>326070</v>
      </c>
    </row>
    <row r="67" spans="1:5" x14ac:dyDescent="0.4">
      <c r="A67" s="118" t="s">
        <v>2365</v>
      </c>
      <c r="B67" s="115" t="s">
        <v>2359</v>
      </c>
      <c r="C67">
        <v>300</v>
      </c>
      <c r="E67" s="126">
        <v>352050</v>
      </c>
    </row>
    <row r="68" spans="1:5" x14ac:dyDescent="0.4">
      <c r="A68" s="118" t="s">
        <v>2365</v>
      </c>
      <c r="B68" s="115" t="s">
        <v>2359</v>
      </c>
      <c r="C68">
        <v>350</v>
      </c>
      <c r="E68" s="126">
        <v>410720</v>
      </c>
    </row>
    <row r="69" spans="1:5" x14ac:dyDescent="0.4">
      <c r="A69" s="118" t="s">
        <v>2365</v>
      </c>
      <c r="B69" s="115" t="s">
        <v>2359</v>
      </c>
      <c r="C69">
        <v>400</v>
      </c>
      <c r="E69" s="126">
        <v>469400</v>
      </c>
    </row>
    <row r="70" spans="1:5" x14ac:dyDescent="0.4">
      <c r="A70" s="118" t="s">
        <v>2365</v>
      </c>
      <c r="B70" s="115" t="s">
        <v>2359</v>
      </c>
      <c r="C70">
        <v>450</v>
      </c>
      <c r="E70" s="126">
        <v>529070</v>
      </c>
    </row>
    <row r="71" spans="1:5" x14ac:dyDescent="0.4">
      <c r="A71" s="118" t="s">
        <v>2365</v>
      </c>
      <c r="B71" s="121" t="s">
        <v>2360</v>
      </c>
      <c r="C71">
        <v>300</v>
      </c>
      <c r="E71" s="126">
        <v>244560</v>
      </c>
    </row>
    <row r="72" spans="1:5" x14ac:dyDescent="0.4">
      <c r="A72" s="118" t="s">
        <v>2365</v>
      </c>
      <c r="B72" s="121" t="s">
        <v>2360</v>
      </c>
      <c r="C72">
        <v>350</v>
      </c>
      <c r="E72" s="126">
        <v>285310</v>
      </c>
    </row>
    <row r="73" spans="1:5" x14ac:dyDescent="0.4">
      <c r="A73" s="118" t="s">
        <v>2365</v>
      </c>
      <c r="B73" s="121" t="s">
        <v>2360</v>
      </c>
      <c r="C73">
        <v>400</v>
      </c>
      <c r="E73" s="126">
        <v>326070</v>
      </c>
    </row>
    <row r="74" spans="1:5" x14ac:dyDescent="0.4">
      <c r="A74" s="118" t="s">
        <v>2365</v>
      </c>
      <c r="B74" s="121" t="s">
        <v>2360</v>
      </c>
      <c r="C74">
        <v>450</v>
      </c>
      <c r="E74" s="126">
        <v>366935</v>
      </c>
    </row>
    <row r="75" spans="1:5" x14ac:dyDescent="0.4">
      <c r="A75" s="118" t="s">
        <v>2366</v>
      </c>
      <c r="B75" s="115" t="s">
        <v>2359</v>
      </c>
      <c r="C75">
        <v>300</v>
      </c>
      <c r="E75" s="126">
        <v>275950</v>
      </c>
    </row>
    <row r="76" spans="1:5" x14ac:dyDescent="0.4">
      <c r="A76" s="118" t="s">
        <v>2366</v>
      </c>
      <c r="B76" s="115" t="s">
        <v>2359</v>
      </c>
      <c r="C76">
        <v>350</v>
      </c>
      <c r="E76" s="126">
        <v>321950</v>
      </c>
    </row>
    <row r="77" spans="1:5" x14ac:dyDescent="0.4">
      <c r="A77" s="118" t="s">
        <v>2366</v>
      </c>
      <c r="B77" s="115" t="s">
        <v>2359</v>
      </c>
      <c r="C77">
        <v>400</v>
      </c>
      <c r="E77" s="126">
        <v>367940</v>
      </c>
    </row>
    <row r="78" spans="1:5" x14ac:dyDescent="0.4">
      <c r="A78" s="118" t="s">
        <v>2366</v>
      </c>
      <c r="B78" s="121" t="s">
        <v>2360</v>
      </c>
      <c r="C78">
        <v>300</v>
      </c>
      <c r="E78" s="126">
        <v>191700</v>
      </c>
    </row>
    <row r="79" spans="1:5" x14ac:dyDescent="0.4">
      <c r="A79" s="118" t="s">
        <v>2366</v>
      </c>
      <c r="B79" s="121" t="s">
        <v>2360</v>
      </c>
      <c r="C79">
        <v>350</v>
      </c>
      <c r="E79" s="126">
        <v>223640</v>
      </c>
    </row>
    <row r="80" spans="1:5" x14ac:dyDescent="0.4">
      <c r="A80" s="118" t="s">
        <v>2366</v>
      </c>
      <c r="B80" s="121" t="s">
        <v>2360</v>
      </c>
      <c r="C80">
        <v>400</v>
      </c>
      <c r="E80" s="126">
        <v>255590</v>
      </c>
    </row>
    <row r="81" spans="1:5" x14ac:dyDescent="0.4">
      <c r="A81" s="118" t="s">
        <v>2367</v>
      </c>
      <c r="B81" s="115" t="s">
        <v>2359</v>
      </c>
      <c r="C81">
        <v>300</v>
      </c>
      <c r="E81" s="126">
        <v>275950</v>
      </c>
    </row>
    <row r="82" spans="1:5" x14ac:dyDescent="0.4">
      <c r="A82" s="118" t="s">
        <v>2367</v>
      </c>
      <c r="B82" s="115" t="s">
        <v>2359</v>
      </c>
      <c r="C82">
        <v>350</v>
      </c>
      <c r="E82" s="126">
        <v>321950</v>
      </c>
    </row>
    <row r="83" spans="1:5" x14ac:dyDescent="0.4">
      <c r="A83" s="118" t="s">
        <v>2367</v>
      </c>
      <c r="B83" s="115" t="s">
        <v>2359</v>
      </c>
      <c r="C83">
        <v>400</v>
      </c>
      <c r="E83" s="126">
        <v>367940</v>
      </c>
    </row>
    <row r="84" spans="1:5" x14ac:dyDescent="0.4">
      <c r="A84" s="118" t="s">
        <v>2367</v>
      </c>
      <c r="B84" s="121" t="s">
        <v>2360</v>
      </c>
      <c r="C84">
        <v>300</v>
      </c>
      <c r="E84" s="126">
        <v>191700</v>
      </c>
    </row>
    <row r="85" spans="1:5" x14ac:dyDescent="0.4">
      <c r="A85" s="118" t="s">
        <v>2367</v>
      </c>
      <c r="B85" s="121" t="s">
        <v>2360</v>
      </c>
      <c r="C85">
        <v>350</v>
      </c>
      <c r="E85" s="126">
        <v>223640</v>
      </c>
    </row>
    <row r="86" spans="1:5" x14ac:dyDescent="0.4">
      <c r="A86" s="118" t="s">
        <v>2367</v>
      </c>
      <c r="B86" s="121" t="s">
        <v>2360</v>
      </c>
      <c r="C86">
        <v>400</v>
      </c>
      <c r="E86" s="126">
        <v>255590</v>
      </c>
    </row>
    <row r="87" spans="1:5" x14ac:dyDescent="0.4">
      <c r="A87" s="118" t="s">
        <v>2368</v>
      </c>
      <c r="B87" s="115" t="s">
        <v>2359</v>
      </c>
      <c r="C87">
        <v>350</v>
      </c>
      <c r="E87" s="126">
        <v>410720</v>
      </c>
    </row>
    <row r="88" spans="1:5" x14ac:dyDescent="0.4">
      <c r="A88" s="118" t="s">
        <v>2368</v>
      </c>
      <c r="B88" s="115" t="s">
        <v>2359</v>
      </c>
      <c r="C88">
        <v>400</v>
      </c>
      <c r="E88" s="126">
        <v>469400</v>
      </c>
    </row>
    <row r="89" spans="1:5" x14ac:dyDescent="0.4">
      <c r="A89" s="118" t="s">
        <v>2368</v>
      </c>
      <c r="B89" s="121" t="s">
        <v>2360</v>
      </c>
      <c r="C89">
        <v>350</v>
      </c>
      <c r="E89" s="126">
        <v>285310</v>
      </c>
    </row>
    <row r="90" spans="1:5" x14ac:dyDescent="0.4">
      <c r="A90" s="118" t="s">
        <v>2368</v>
      </c>
      <c r="B90" s="121" t="s">
        <v>2360</v>
      </c>
      <c r="C90">
        <v>400</v>
      </c>
      <c r="E90" s="126">
        <v>326070</v>
      </c>
    </row>
    <row r="91" spans="1:5" x14ac:dyDescent="0.4">
      <c r="A91" s="118" t="s">
        <v>2369</v>
      </c>
      <c r="B91" s="115" t="s">
        <v>2359</v>
      </c>
      <c r="C91">
        <v>210</v>
      </c>
      <c r="E91" s="126">
        <v>246435</v>
      </c>
    </row>
    <row r="92" spans="1:5" x14ac:dyDescent="0.4">
      <c r="A92" s="118" t="s">
        <v>2369</v>
      </c>
      <c r="B92" s="115" t="s">
        <v>2359</v>
      </c>
      <c r="C92">
        <v>330</v>
      </c>
      <c r="E92" s="126">
        <v>387260</v>
      </c>
    </row>
    <row r="93" spans="1:5" x14ac:dyDescent="0.4">
      <c r="A93" s="118" t="s">
        <v>2369</v>
      </c>
      <c r="B93" s="121" t="s">
        <v>2360</v>
      </c>
      <c r="C93">
        <v>210</v>
      </c>
      <c r="E93" s="126">
        <v>171189</v>
      </c>
    </row>
    <row r="94" spans="1:5" x14ac:dyDescent="0.4">
      <c r="A94" s="118" t="s">
        <v>2369</v>
      </c>
      <c r="B94" s="121" t="s">
        <v>2360</v>
      </c>
      <c r="C94">
        <v>330</v>
      </c>
      <c r="E94" s="126">
        <v>269010</v>
      </c>
    </row>
    <row r="95" spans="1:5" x14ac:dyDescent="0.4">
      <c r="A95" s="118" t="s">
        <v>2370</v>
      </c>
      <c r="B95" s="121" t="s">
        <v>2360</v>
      </c>
      <c r="C95">
        <v>300</v>
      </c>
      <c r="E95" s="126">
        <v>362690</v>
      </c>
    </row>
    <row r="96" spans="1:5" x14ac:dyDescent="0.4">
      <c r="A96" s="118" t="s">
        <v>2370</v>
      </c>
      <c r="B96" s="121" t="s">
        <v>2360</v>
      </c>
      <c r="C96">
        <v>350</v>
      </c>
      <c r="E96" s="126">
        <v>423140</v>
      </c>
    </row>
    <row r="97" spans="1:5" x14ac:dyDescent="0.4">
      <c r="A97" s="118" t="s">
        <v>2370</v>
      </c>
      <c r="B97" s="121" t="s">
        <v>2360</v>
      </c>
      <c r="C97">
        <v>400</v>
      </c>
      <c r="E97" s="126">
        <v>483590</v>
      </c>
    </row>
    <row r="98" spans="1:5" x14ac:dyDescent="0.4">
      <c r="A98" s="118" t="s">
        <v>2370</v>
      </c>
      <c r="B98" s="115" t="s">
        <v>2359</v>
      </c>
      <c r="C98">
        <v>300</v>
      </c>
      <c r="E98" s="126">
        <v>251950</v>
      </c>
    </row>
    <row r="99" spans="1:5" x14ac:dyDescent="0.4">
      <c r="A99" s="118" t="s">
        <v>2370</v>
      </c>
      <c r="B99" s="115" t="s">
        <v>2359</v>
      </c>
      <c r="C99">
        <v>350</v>
      </c>
      <c r="E99" s="126">
        <v>293940</v>
      </c>
    </row>
    <row r="100" spans="1:5" x14ac:dyDescent="0.4">
      <c r="A100" s="118" t="s">
        <v>2370</v>
      </c>
      <c r="B100" s="115" t="s">
        <v>2359</v>
      </c>
      <c r="C100">
        <v>400</v>
      </c>
      <c r="E100" s="126">
        <v>335930</v>
      </c>
    </row>
    <row r="101" spans="1:5" x14ac:dyDescent="0.4">
      <c r="A101" s="118" t="s">
        <v>2371</v>
      </c>
      <c r="B101" s="115" t="s">
        <v>2359</v>
      </c>
      <c r="C101">
        <v>200</v>
      </c>
      <c r="E101" s="126">
        <v>145380</v>
      </c>
    </row>
    <row r="102" spans="1:5" x14ac:dyDescent="0.4">
      <c r="A102" s="118" t="s">
        <v>2372</v>
      </c>
      <c r="B102" s="115" t="s">
        <v>2359</v>
      </c>
      <c r="C102">
        <v>220</v>
      </c>
      <c r="E102" s="126">
        <v>159920</v>
      </c>
    </row>
    <row r="103" spans="1:5" x14ac:dyDescent="0.4">
      <c r="A103" s="118" t="s">
        <v>2387</v>
      </c>
      <c r="B103" s="115" t="s">
        <v>2359</v>
      </c>
      <c r="C103">
        <v>70</v>
      </c>
      <c r="E103" s="126">
        <v>59100</v>
      </c>
    </row>
    <row r="104" spans="1:5" x14ac:dyDescent="0.4">
      <c r="A104" s="118" t="s">
        <v>2387</v>
      </c>
      <c r="B104" s="115" t="s">
        <v>2359</v>
      </c>
      <c r="C104">
        <v>80</v>
      </c>
      <c r="E104" s="126">
        <v>64910</v>
      </c>
    </row>
    <row r="105" spans="1:5" x14ac:dyDescent="0.4">
      <c r="A105" s="118" t="s">
        <v>2387</v>
      </c>
      <c r="B105" s="121" t="s">
        <v>2360</v>
      </c>
      <c r="C105">
        <v>70</v>
      </c>
      <c r="E105" s="126">
        <v>41060</v>
      </c>
    </row>
    <row r="106" spans="1:5" x14ac:dyDescent="0.4">
      <c r="A106" s="118" t="s">
        <v>2387</v>
      </c>
      <c r="B106" s="121" t="s">
        <v>2360</v>
      </c>
      <c r="C106">
        <v>80</v>
      </c>
      <c r="E106" s="126">
        <v>45090</v>
      </c>
    </row>
    <row r="107" spans="1:5" x14ac:dyDescent="0.4">
      <c r="A107" s="118" t="s">
        <v>2388</v>
      </c>
      <c r="B107" s="115" t="s">
        <v>2359</v>
      </c>
      <c r="C107">
        <v>70</v>
      </c>
      <c r="E107" s="126">
        <v>57910</v>
      </c>
    </row>
    <row r="108" spans="1:5" x14ac:dyDescent="0.4">
      <c r="A108" s="118" t="s">
        <v>2388</v>
      </c>
      <c r="B108" s="115" t="s">
        <v>2359</v>
      </c>
      <c r="C108">
        <v>80</v>
      </c>
      <c r="E108" s="126">
        <v>68670</v>
      </c>
    </row>
    <row r="109" spans="1:5" x14ac:dyDescent="0.4">
      <c r="A109" s="118" t="s">
        <v>2388</v>
      </c>
      <c r="B109" s="121" t="s">
        <v>2360</v>
      </c>
      <c r="C109">
        <v>70</v>
      </c>
      <c r="E109" s="126">
        <v>40220</v>
      </c>
    </row>
    <row r="110" spans="1:5" x14ac:dyDescent="0.4">
      <c r="A110" s="118" t="s">
        <v>2388</v>
      </c>
      <c r="B110" s="121" t="s">
        <v>2360</v>
      </c>
      <c r="C110">
        <v>80</v>
      </c>
      <c r="E110" s="126">
        <v>47700</v>
      </c>
    </row>
    <row r="111" spans="1:5" x14ac:dyDescent="0.4">
      <c r="A111" s="118" t="s">
        <v>2761</v>
      </c>
      <c r="B111" s="115" t="s">
        <v>2359</v>
      </c>
      <c r="C111">
        <v>70</v>
      </c>
      <c r="E111" s="126">
        <v>59640</v>
      </c>
    </row>
    <row r="112" spans="1:5" x14ac:dyDescent="0.4">
      <c r="A112" s="118" t="s">
        <v>2761</v>
      </c>
      <c r="B112" s="115" t="s">
        <v>2359</v>
      </c>
      <c r="C112">
        <v>80</v>
      </c>
      <c r="E112" s="126">
        <v>70730</v>
      </c>
    </row>
    <row r="113" spans="1:5" x14ac:dyDescent="0.4">
      <c r="A113" s="118" t="s">
        <v>2761</v>
      </c>
      <c r="B113" s="121" t="s">
        <v>2360</v>
      </c>
      <c r="C113">
        <v>70</v>
      </c>
      <c r="E113" s="126">
        <v>41430</v>
      </c>
    </row>
    <row r="114" spans="1:5" x14ac:dyDescent="0.4">
      <c r="A114" s="118" t="s">
        <v>2761</v>
      </c>
      <c r="B114" s="121" t="s">
        <v>2360</v>
      </c>
      <c r="C114">
        <v>80</v>
      </c>
      <c r="E114" s="126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93"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9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213" t="s">
        <v>1783</v>
      </c>
      <c r="F1" s="214"/>
      <c r="G1" s="149" t="s">
        <v>2789</v>
      </c>
    </row>
    <row r="2" spans="1:7" x14ac:dyDescent="0.4">
      <c r="A2" t="s">
        <v>2373</v>
      </c>
      <c r="B2" s="115" t="s">
        <v>2359</v>
      </c>
      <c r="C2">
        <v>80</v>
      </c>
      <c r="E2" s="129">
        <v>87140</v>
      </c>
      <c r="G2" s="150">
        <v>64</v>
      </c>
    </row>
    <row r="3" spans="1:7" x14ac:dyDescent="0.4">
      <c r="A3" t="s">
        <v>2373</v>
      </c>
      <c r="B3" s="115" t="s">
        <v>2359</v>
      </c>
      <c r="C3">
        <v>100</v>
      </c>
      <c r="E3" s="129">
        <v>88000</v>
      </c>
      <c r="G3" s="150">
        <v>80</v>
      </c>
    </row>
    <row r="4" spans="1:7" x14ac:dyDescent="0.4">
      <c r="A4" t="s">
        <v>2373</v>
      </c>
      <c r="B4" s="115" t="s">
        <v>2359</v>
      </c>
      <c r="C4">
        <v>120</v>
      </c>
      <c r="E4" s="129">
        <v>105590</v>
      </c>
      <c r="G4" s="150">
        <v>96</v>
      </c>
    </row>
    <row r="5" spans="1:7" x14ac:dyDescent="0.4">
      <c r="A5" t="s">
        <v>2373</v>
      </c>
      <c r="B5" s="115" t="s">
        <v>2359</v>
      </c>
      <c r="C5">
        <v>150</v>
      </c>
      <c r="E5" s="129">
        <v>134290</v>
      </c>
      <c r="G5" s="150">
        <v>125</v>
      </c>
    </row>
    <row r="6" spans="1:7" x14ac:dyDescent="0.4">
      <c r="A6" t="s">
        <v>2373</v>
      </c>
      <c r="B6" s="115" t="s">
        <v>2359</v>
      </c>
      <c r="C6">
        <v>180</v>
      </c>
      <c r="E6" s="129">
        <v>161150</v>
      </c>
      <c r="G6" s="150">
        <v>151</v>
      </c>
    </row>
    <row r="7" spans="1:7" x14ac:dyDescent="0.4">
      <c r="A7" t="s">
        <v>2373</v>
      </c>
      <c r="B7" s="115" t="s">
        <v>2359</v>
      </c>
      <c r="C7">
        <v>200</v>
      </c>
      <c r="E7" s="129">
        <v>179050</v>
      </c>
      <c r="G7" s="150">
        <v>178</v>
      </c>
    </row>
    <row r="8" spans="1:7" x14ac:dyDescent="0.4">
      <c r="A8" t="s">
        <v>2373</v>
      </c>
      <c r="B8" s="115" t="s">
        <v>2359</v>
      </c>
      <c r="C8">
        <v>250</v>
      </c>
      <c r="E8" s="129">
        <v>223810</v>
      </c>
      <c r="G8" s="150">
        <v>235</v>
      </c>
    </row>
    <row r="9" spans="1:7" x14ac:dyDescent="0.4">
      <c r="A9" t="s">
        <v>2373</v>
      </c>
      <c r="B9" s="115" t="s">
        <v>2359</v>
      </c>
      <c r="C9">
        <v>300</v>
      </c>
      <c r="E9" s="129">
        <v>268580</v>
      </c>
      <c r="G9" s="150">
        <v>290</v>
      </c>
    </row>
    <row r="10" spans="1:7" x14ac:dyDescent="0.4">
      <c r="A10" t="s">
        <v>2373</v>
      </c>
      <c r="B10" s="117" t="s">
        <v>2360</v>
      </c>
      <c r="C10">
        <v>80</v>
      </c>
      <c r="E10" s="129">
        <v>60530</v>
      </c>
      <c r="G10" s="150">
        <v>64</v>
      </c>
    </row>
    <row r="11" spans="1:7" x14ac:dyDescent="0.4">
      <c r="A11" t="s">
        <v>2373</v>
      </c>
      <c r="B11" s="117" t="s">
        <v>2360</v>
      </c>
      <c r="C11">
        <v>100</v>
      </c>
      <c r="E11" s="129">
        <v>61130</v>
      </c>
      <c r="G11" s="150">
        <v>80</v>
      </c>
    </row>
    <row r="12" spans="1:7" x14ac:dyDescent="0.4">
      <c r="A12" t="s">
        <v>2373</v>
      </c>
      <c r="B12" s="117" t="s">
        <v>2360</v>
      </c>
      <c r="C12">
        <v>120</v>
      </c>
      <c r="E12" s="129">
        <v>73350</v>
      </c>
      <c r="G12" s="150">
        <v>96</v>
      </c>
    </row>
    <row r="13" spans="1:7" x14ac:dyDescent="0.4">
      <c r="A13" t="s">
        <v>2373</v>
      </c>
      <c r="B13" s="117" t="s">
        <v>2360</v>
      </c>
      <c r="C13">
        <v>150</v>
      </c>
      <c r="E13" s="129">
        <v>111940</v>
      </c>
      <c r="G13" s="150">
        <v>125</v>
      </c>
    </row>
    <row r="14" spans="1:7" x14ac:dyDescent="0.4">
      <c r="A14" t="s">
        <v>2373</v>
      </c>
      <c r="B14" s="117" t="s">
        <v>2360</v>
      </c>
      <c r="C14">
        <v>180</v>
      </c>
      <c r="E14" s="129">
        <v>124380</v>
      </c>
      <c r="G14" s="150">
        <v>151</v>
      </c>
    </row>
    <row r="15" spans="1:7" x14ac:dyDescent="0.4">
      <c r="A15" t="s">
        <v>2373</v>
      </c>
      <c r="B15" s="117" t="s">
        <v>2360</v>
      </c>
      <c r="C15">
        <v>200</v>
      </c>
      <c r="E15" s="129">
        <v>124380</v>
      </c>
      <c r="G15" s="150">
        <v>178</v>
      </c>
    </row>
    <row r="16" spans="1:7" x14ac:dyDescent="0.4">
      <c r="A16" t="s">
        <v>2373</v>
      </c>
      <c r="B16" s="117" t="s">
        <v>2360</v>
      </c>
      <c r="C16">
        <v>250</v>
      </c>
      <c r="E16" s="129">
        <v>155470</v>
      </c>
      <c r="G16" s="150">
        <v>235</v>
      </c>
    </row>
    <row r="17" spans="1:7" x14ac:dyDescent="0.4">
      <c r="A17" t="s">
        <v>2373</v>
      </c>
      <c r="B17" s="117" t="s">
        <v>2360</v>
      </c>
      <c r="C17">
        <v>300</v>
      </c>
      <c r="E17" s="129">
        <v>186570</v>
      </c>
      <c r="G17" s="150">
        <v>290</v>
      </c>
    </row>
    <row r="18" spans="1:7" x14ac:dyDescent="0.4">
      <c r="A18" t="s">
        <v>2374</v>
      </c>
      <c r="B18" s="115" t="s">
        <v>2359</v>
      </c>
      <c r="C18">
        <v>80</v>
      </c>
      <c r="E18" s="129">
        <v>87140</v>
      </c>
      <c r="G18" s="150">
        <v>71</v>
      </c>
    </row>
    <row r="19" spans="1:7" x14ac:dyDescent="0.4">
      <c r="A19" t="s">
        <v>2374</v>
      </c>
      <c r="B19" s="115" t="s">
        <v>2359</v>
      </c>
      <c r="C19">
        <v>100</v>
      </c>
      <c r="E19" s="129">
        <v>88000</v>
      </c>
      <c r="G19" s="150">
        <v>92</v>
      </c>
    </row>
    <row r="20" spans="1:7" x14ac:dyDescent="0.4">
      <c r="A20" t="s">
        <v>2374</v>
      </c>
      <c r="B20" s="115" t="s">
        <v>2359</v>
      </c>
      <c r="C20">
        <v>120</v>
      </c>
      <c r="E20" s="129">
        <v>105590</v>
      </c>
      <c r="G20" s="150">
        <v>108</v>
      </c>
    </row>
    <row r="21" spans="1:7" x14ac:dyDescent="0.4">
      <c r="A21" t="s">
        <v>2374</v>
      </c>
      <c r="B21" s="115" t="s">
        <v>2359</v>
      </c>
      <c r="C21">
        <v>150</v>
      </c>
      <c r="E21" s="129">
        <v>134290</v>
      </c>
      <c r="G21" s="150">
        <v>140</v>
      </c>
    </row>
    <row r="22" spans="1:7" x14ac:dyDescent="0.4">
      <c r="A22" t="s">
        <v>2374</v>
      </c>
      <c r="B22" s="115" t="s">
        <v>2359</v>
      </c>
      <c r="C22">
        <v>180</v>
      </c>
      <c r="E22" s="129">
        <v>161150</v>
      </c>
      <c r="G22" s="150">
        <v>176</v>
      </c>
    </row>
    <row r="23" spans="1:7" x14ac:dyDescent="0.4">
      <c r="A23" t="s">
        <v>2374</v>
      </c>
      <c r="B23" s="115" t="s">
        <v>2359</v>
      </c>
      <c r="C23">
        <v>200</v>
      </c>
      <c r="E23" s="129">
        <v>179050</v>
      </c>
      <c r="G23" s="150">
        <v>200</v>
      </c>
    </row>
    <row r="24" spans="1:7" x14ac:dyDescent="0.4">
      <c r="A24" t="s">
        <v>2374</v>
      </c>
      <c r="B24" s="115" t="s">
        <v>2359</v>
      </c>
      <c r="C24">
        <v>250</v>
      </c>
      <c r="E24" s="129">
        <v>223810</v>
      </c>
      <c r="G24" s="150">
        <v>260</v>
      </c>
    </row>
    <row r="25" spans="1:7" x14ac:dyDescent="0.4">
      <c r="A25" t="s">
        <v>2374</v>
      </c>
      <c r="B25" s="115" t="s">
        <v>2359</v>
      </c>
      <c r="C25">
        <v>300</v>
      </c>
      <c r="E25" s="129">
        <v>268580</v>
      </c>
      <c r="G25" s="150">
        <v>320</v>
      </c>
    </row>
    <row r="26" spans="1:7" x14ac:dyDescent="0.4">
      <c r="A26" t="s">
        <v>2374</v>
      </c>
      <c r="B26" s="117" t="s">
        <v>2360</v>
      </c>
      <c r="C26">
        <v>80</v>
      </c>
      <c r="E26" s="129">
        <v>60530</v>
      </c>
      <c r="G26" s="150">
        <v>71</v>
      </c>
    </row>
    <row r="27" spans="1:7" x14ac:dyDescent="0.4">
      <c r="A27" t="s">
        <v>2374</v>
      </c>
      <c r="B27" s="117" t="s">
        <v>2360</v>
      </c>
      <c r="C27">
        <v>100</v>
      </c>
      <c r="E27" s="129">
        <v>61130</v>
      </c>
      <c r="G27" s="150">
        <v>92</v>
      </c>
    </row>
    <row r="28" spans="1:7" x14ac:dyDescent="0.4">
      <c r="A28" t="s">
        <v>2374</v>
      </c>
      <c r="B28" s="117" t="s">
        <v>2360</v>
      </c>
      <c r="C28">
        <v>120</v>
      </c>
      <c r="E28" s="129">
        <v>73350</v>
      </c>
      <c r="G28" s="150">
        <v>108</v>
      </c>
    </row>
    <row r="29" spans="1:7" x14ac:dyDescent="0.4">
      <c r="A29" t="s">
        <v>2374</v>
      </c>
      <c r="B29" s="117" t="s">
        <v>2360</v>
      </c>
      <c r="C29">
        <v>150</v>
      </c>
      <c r="E29" s="129">
        <v>111940</v>
      </c>
      <c r="G29" s="150">
        <v>140</v>
      </c>
    </row>
    <row r="30" spans="1:7" x14ac:dyDescent="0.4">
      <c r="A30" t="s">
        <v>2374</v>
      </c>
      <c r="B30" s="117" t="s">
        <v>2360</v>
      </c>
      <c r="C30">
        <v>180</v>
      </c>
      <c r="E30" s="129">
        <v>124380</v>
      </c>
      <c r="G30" s="150">
        <v>176</v>
      </c>
    </row>
    <row r="31" spans="1:7" x14ac:dyDescent="0.4">
      <c r="A31" t="s">
        <v>2374</v>
      </c>
      <c r="B31" s="117" t="s">
        <v>2360</v>
      </c>
      <c r="C31">
        <v>200</v>
      </c>
      <c r="E31" s="129">
        <v>124380</v>
      </c>
      <c r="G31" s="150">
        <v>200</v>
      </c>
    </row>
    <row r="32" spans="1:7" x14ac:dyDescent="0.4">
      <c r="A32" t="s">
        <v>2374</v>
      </c>
      <c r="B32" s="117" t="s">
        <v>2360</v>
      </c>
      <c r="C32">
        <v>250</v>
      </c>
      <c r="E32" s="129">
        <v>155470</v>
      </c>
      <c r="G32" s="150">
        <v>260</v>
      </c>
    </row>
    <row r="33" spans="1:7" x14ac:dyDescent="0.4">
      <c r="A33" t="s">
        <v>2374</v>
      </c>
      <c r="B33" s="117" t="s">
        <v>2360</v>
      </c>
      <c r="C33">
        <v>300</v>
      </c>
      <c r="E33" s="129">
        <v>186570</v>
      </c>
      <c r="G33" s="150">
        <v>320</v>
      </c>
    </row>
    <row r="34" spans="1:7" x14ac:dyDescent="0.4">
      <c r="A34" t="s">
        <v>2375</v>
      </c>
      <c r="B34" s="115" t="s">
        <v>2359</v>
      </c>
      <c r="C34">
        <v>70</v>
      </c>
      <c r="D34" t="s">
        <v>2376</v>
      </c>
      <c r="E34" s="129">
        <v>65010</v>
      </c>
      <c r="G34" s="150">
        <v>87</v>
      </c>
    </row>
    <row r="35" spans="1:7" x14ac:dyDescent="0.4">
      <c r="A35" t="s">
        <v>2375</v>
      </c>
      <c r="B35" s="115" t="s">
        <v>2359</v>
      </c>
      <c r="C35">
        <v>80</v>
      </c>
      <c r="D35" t="s">
        <v>2376</v>
      </c>
      <c r="E35" s="129">
        <v>71400</v>
      </c>
      <c r="G35" s="150">
        <v>94</v>
      </c>
    </row>
    <row r="36" spans="1:7" x14ac:dyDescent="0.4">
      <c r="A36" t="s">
        <v>2375</v>
      </c>
      <c r="B36" s="115" t="s">
        <v>2359</v>
      </c>
      <c r="C36">
        <v>100</v>
      </c>
      <c r="D36" t="s">
        <v>2376</v>
      </c>
      <c r="E36" s="129">
        <v>88470</v>
      </c>
      <c r="G36" s="150">
        <v>114</v>
      </c>
    </row>
    <row r="37" spans="1:7" x14ac:dyDescent="0.4">
      <c r="A37" t="s">
        <v>2375</v>
      </c>
      <c r="B37" s="115" t="s">
        <v>2359</v>
      </c>
      <c r="C37">
        <v>120</v>
      </c>
      <c r="D37" t="s">
        <v>2376</v>
      </c>
      <c r="E37" s="129">
        <v>106160</v>
      </c>
      <c r="G37" s="150">
        <v>135</v>
      </c>
    </row>
    <row r="38" spans="1:7" x14ac:dyDescent="0.4">
      <c r="A38" t="s">
        <v>2375</v>
      </c>
      <c r="B38" s="115" t="s">
        <v>2359</v>
      </c>
      <c r="C38">
        <v>150</v>
      </c>
      <c r="D38" t="s">
        <v>2376</v>
      </c>
      <c r="E38" s="129">
        <v>132700</v>
      </c>
      <c r="G38" s="150">
        <v>167</v>
      </c>
    </row>
    <row r="39" spans="1:7" x14ac:dyDescent="0.4">
      <c r="A39" t="s">
        <v>2375</v>
      </c>
      <c r="B39" s="115" t="s">
        <v>2359</v>
      </c>
      <c r="C39">
        <v>180</v>
      </c>
      <c r="D39" t="s">
        <v>2376</v>
      </c>
      <c r="E39" s="129">
        <v>159240</v>
      </c>
      <c r="G39" s="150">
        <v>201</v>
      </c>
    </row>
    <row r="40" spans="1:7" x14ac:dyDescent="0.4">
      <c r="A40" t="s">
        <v>2375</v>
      </c>
      <c r="B40" s="115" t="s">
        <v>2359</v>
      </c>
      <c r="C40">
        <v>220</v>
      </c>
      <c r="D40" t="s">
        <v>2376</v>
      </c>
      <c r="E40" s="129">
        <v>203370</v>
      </c>
      <c r="G40" s="150">
        <v>244</v>
      </c>
    </row>
    <row r="41" spans="1:7" x14ac:dyDescent="0.4">
      <c r="A41" t="s">
        <v>2375</v>
      </c>
      <c r="B41" s="115" t="s">
        <v>2359</v>
      </c>
      <c r="C41">
        <v>260</v>
      </c>
      <c r="D41" t="s">
        <v>2376</v>
      </c>
      <c r="E41" s="129">
        <v>240340</v>
      </c>
      <c r="G41" s="150">
        <v>285</v>
      </c>
    </row>
    <row r="42" spans="1:7" x14ac:dyDescent="0.4">
      <c r="A42" t="s">
        <v>2375</v>
      </c>
      <c r="B42" s="117" t="s">
        <v>2360</v>
      </c>
      <c r="C42">
        <v>70</v>
      </c>
      <c r="D42" t="s">
        <v>2377</v>
      </c>
      <c r="E42" s="129">
        <v>45160</v>
      </c>
      <c r="G42" s="150">
        <v>87</v>
      </c>
    </row>
    <row r="43" spans="1:7" x14ac:dyDescent="0.4">
      <c r="A43" t="s">
        <v>2375</v>
      </c>
      <c r="B43" s="117" t="s">
        <v>2360</v>
      </c>
      <c r="C43">
        <v>80</v>
      </c>
      <c r="D43" t="s">
        <v>2377</v>
      </c>
      <c r="E43" s="129">
        <v>49600</v>
      </c>
      <c r="G43" s="150">
        <v>94</v>
      </c>
    </row>
    <row r="44" spans="1:7" x14ac:dyDescent="0.4">
      <c r="A44" t="s">
        <v>2375</v>
      </c>
      <c r="B44" s="117" t="s">
        <v>2360</v>
      </c>
      <c r="C44">
        <v>100</v>
      </c>
      <c r="D44" t="s">
        <v>2377</v>
      </c>
      <c r="E44" s="129">
        <v>61460</v>
      </c>
      <c r="G44" s="150">
        <v>115</v>
      </c>
    </row>
    <row r="45" spans="1:7" x14ac:dyDescent="0.4">
      <c r="A45" t="s">
        <v>2375</v>
      </c>
      <c r="B45" s="117" t="s">
        <v>2360</v>
      </c>
      <c r="C45">
        <v>120</v>
      </c>
      <c r="D45" t="s">
        <v>2377</v>
      </c>
      <c r="E45" s="129">
        <v>73750</v>
      </c>
      <c r="G45" s="150">
        <v>135</v>
      </c>
    </row>
    <row r="46" spans="1:7" x14ac:dyDescent="0.4">
      <c r="A46" t="s">
        <v>2375</v>
      </c>
      <c r="B46" s="117" t="s">
        <v>2360</v>
      </c>
      <c r="C46">
        <v>150</v>
      </c>
      <c r="D46" t="s">
        <v>2377</v>
      </c>
      <c r="E46" s="129">
        <v>92180</v>
      </c>
      <c r="G46" s="150">
        <v>167</v>
      </c>
    </row>
    <row r="47" spans="1:7" x14ac:dyDescent="0.4">
      <c r="A47" t="s">
        <v>2375</v>
      </c>
      <c r="B47" s="117" t="s">
        <v>2360</v>
      </c>
      <c r="C47">
        <v>180</v>
      </c>
      <c r="D47" t="s">
        <v>2377</v>
      </c>
      <c r="E47" s="129">
        <v>110620</v>
      </c>
      <c r="G47" s="150">
        <v>201</v>
      </c>
    </row>
    <row r="48" spans="1:7" x14ac:dyDescent="0.4">
      <c r="A48" t="s">
        <v>2375</v>
      </c>
      <c r="B48" s="117" t="s">
        <v>2360</v>
      </c>
      <c r="C48">
        <v>220</v>
      </c>
      <c r="D48" t="s">
        <v>2377</v>
      </c>
      <c r="E48" s="129">
        <v>141270</v>
      </c>
      <c r="G48" s="150">
        <v>244</v>
      </c>
    </row>
    <row r="49" spans="1:7" ht="18" thickBot="1" x14ac:dyDescent="0.45">
      <c r="A49" t="s">
        <v>2375</v>
      </c>
      <c r="B49" s="117" t="s">
        <v>2360</v>
      </c>
      <c r="C49">
        <v>260</v>
      </c>
      <c r="D49" t="s">
        <v>2377</v>
      </c>
      <c r="E49" s="129">
        <v>166960</v>
      </c>
      <c r="G49" s="150">
        <v>285</v>
      </c>
    </row>
    <row r="50" spans="1:7" ht="18" thickBot="1" x14ac:dyDescent="0.45">
      <c r="A50" t="s">
        <v>2379</v>
      </c>
      <c r="B50" s="115" t="s">
        <v>2359</v>
      </c>
      <c r="C50">
        <v>105</v>
      </c>
      <c r="D50" t="s">
        <v>2378</v>
      </c>
      <c r="E50" s="130">
        <v>197010</v>
      </c>
      <c r="G50" s="150">
        <v>140</v>
      </c>
    </row>
    <row r="51" spans="1:7" ht="18" thickBot="1" x14ac:dyDescent="0.45">
      <c r="A51" t="s">
        <v>2379</v>
      </c>
      <c r="B51" s="115" t="s">
        <v>2359</v>
      </c>
      <c r="C51">
        <v>130</v>
      </c>
      <c r="D51" t="s">
        <v>2378</v>
      </c>
      <c r="E51" s="130">
        <v>243920</v>
      </c>
      <c r="G51" s="150">
        <v>170</v>
      </c>
    </row>
    <row r="52" spans="1:7" ht="18" thickBot="1" x14ac:dyDescent="0.45">
      <c r="A52" t="s">
        <v>2379</v>
      </c>
      <c r="B52" s="115" t="s">
        <v>2359</v>
      </c>
      <c r="C52">
        <v>160</v>
      </c>
      <c r="D52" t="s">
        <v>2378</v>
      </c>
      <c r="E52" s="130">
        <v>300210</v>
      </c>
      <c r="G52" s="150">
        <v>210</v>
      </c>
    </row>
    <row r="53" spans="1:7" ht="18" thickBot="1" x14ac:dyDescent="0.45">
      <c r="A53" t="s">
        <v>2379</v>
      </c>
      <c r="B53" s="115" t="s">
        <v>2359</v>
      </c>
      <c r="C53">
        <v>190</v>
      </c>
      <c r="D53" t="s">
        <v>2378</v>
      </c>
      <c r="E53" s="130">
        <v>356500</v>
      </c>
      <c r="G53" s="150">
        <v>260</v>
      </c>
    </row>
    <row r="54" spans="1:7" ht="18" thickBot="1" x14ac:dyDescent="0.45">
      <c r="A54" t="s">
        <v>2379</v>
      </c>
      <c r="B54" s="115" t="s">
        <v>2359</v>
      </c>
      <c r="C54">
        <v>210</v>
      </c>
      <c r="D54" t="s">
        <v>2378</v>
      </c>
      <c r="E54" s="130">
        <v>394030</v>
      </c>
      <c r="G54" s="150">
        <v>300</v>
      </c>
    </row>
    <row r="55" spans="1:7" ht="18" thickBot="1" x14ac:dyDescent="0.45">
      <c r="A55" t="s">
        <v>2379</v>
      </c>
      <c r="B55" s="115" t="s">
        <v>2359</v>
      </c>
      <c r="C55">
        <v>240</v>
      </c>
      <c r="D55" t="s">
        <v>2378</v>
      </c>
      <c r="E55" s="130">
        <v>450320</v>
      </c>
      <c r="G55" s="150">
        <v>330</v>
      </c>
    </row>
    <row r="56" spans="1:7" x14ac:dyDescent="0.4">
      <c r="A56" t="s">
        <v>2379</v>
      </c>
      <c r="B56" s="117" t="s">
        <v>2360</v>
      </c>
      <c r="C56">
        <v>105</v>
      </c>
      <c r="D56" t="s">
        <v>2378</v>
      </c>
      <c r="E56" s="129">
        <v>136860</v>
      </c>
      <c r="G56" s="150">
        <v>140</v>
      </c>
    </row>
    <row r="57" spans="1:7" x14ac:dyDescent="0.4">
      <c r="A57" t="s">
        <v>2379</v>
      </c>
      <c r="B57" s="117" t="s">
        <v>2360</v>
      </c>
      <c r="C57">
        <v>130</v>
      </c>
      <c r="D57" t="s">
        <v>2378</v>
      </c>
      <c r="E57" s="129">
        <v>169440</v>
      </c>
      <c r="G57" s="150">
        <v>170</v>
      </c>
    </row>
    <row r="58" spans="1:7" x14ac:dyDescent="0.4">
      <c r="A58" t="s">
        <v>2379</v>
      </c>
      <c r="B58" s="117" t="s">
        <v>2360</v>
      </c>
      <c r="C58">
        <v>160</v>
      </c>
      <c r="D58" t="s">
        <v>2378</v>
      </c>
      <c r="E58" s="129">
        <v>208540</v>
      </c>
      <c r="G58" s="150">
        <v>210</v>
      </c>
    </row>
    <row r="59" spans="1:7" x14ac:dyDescent="0.4">
      <c r="A59" t="s">
        <v>2379</v>
      </c>
      <c r="B59" s="117" t="s">
        <v>2360</v>
      </c>
      <c r="C59">
        <v>190</v>
      </c>
      <c r="D59" t="s">
        <v>2378</v>
      </c>
      <c r="E59" s="129">
        <v>247650</v>
      </c>
      <c r="G59" s="150">
        <v>260</v>
      </c>
    </row>
    <row r="60" spans="1:7" x14ac:dyDescent="0.4">
      <c r="A60" t="s">
        <v>2379</v>
      </c>
      <c r="B60" s="117" t="s">
        <v>2360</v>
      </c>
      <c r="C60">
        <v>210</v>
      </c>
      <c r="D60" t="s">
        <v>2378</v>
      </c>
      <c r="E60" s="129">
        <v>273710</v>
      </c>
      <c r="G60" s="150">
        <v>300</v>
      </c>
    </row>
    <row r="61" spans="1:7" x14ac:dyDescent="0.4">
      <c r="A61" t="s">
        <v>2379</v>
      </c>
      <c r="B61" s="117" t="s">
        <v>2360</v>
      </c>
      <c r="C61">
        <v>240</v>
      </c>
      <c r="D61" t="s">
        <v>2378</v>
      </c>
      <c r="E61" s="129">
        <v>312820</v>
      </c>
      <c r="G61" s="150">
        <v>330</v>
      </c>
    </row>
    <row r="62" spans="1:7" x14ac:dyDescent="0.4">
      <c r="A62" t="s">
        <v>2379</v>
      </c>
      <c r="B62" s="115" t="s">
        <v>2359</v>
      </c>
      <c r="C62">
        <v>105</v>
      </c>
      <c r="D62" t="s">
        <v>2380</v>
      </c>
      <c r="E62" s="129">
        <v>197010</v>
      </c>
      <c r="G62" s="150">
        <v>140</v>
      </c>
    </row>
    <row r="63" spans="1:7" x14ac:dyDescent="0.4">
      <c r="A63" t="s">
        <v>2379</v>
      </c>
      <c r="B63" s="115" t="s">
        <v>2359</v>
      </c>
      <c r="C63">
        <v>130</v>
      </c>
      <c r="D63" t="s">
        <v>2380</v>
      </c>
      <c r="E63" s="129">
        <v>243920</v>
      </c>
      <c r="G63" s="150">
        <v>170</v>
      </c>
    </row>
    <row r="64" spans="1:7" x14ac:dyDescent="0.4">
      <c r="A64" t="s">
        <v>2379</v>
      </c>
      <c r="B64" s="115" t="s">
        <v>2359</v>
      </c>
      <c r="C64">
        <v>160</v>
      </c>
      <c r="D64" t="s">
        <v>2380</v>
      </c>
      <c r="E64" s="129">
        <v>300210</v>
      </c>
      <c r="G64" s="150">
        <v>210</v>
      </c>
    </row>
    <row r="65" spans="1:7" x14ac:dyDescent="0.4">
      <c r="A65" t="s">
        <v>2379</v>
      </c>
      <c r="B65" s="115" t="s">
        <v>2359</v>
      </c>
      <c r="C65">
        <v>190</v>
      </c>
      <c r="D65" t="s">
        <v>2380</v>
      </c>
      <c r="E65" s="129">
        <v>356500</v>
      </c>
      <c r="G65" s="150">
        <v>260</v>
      </c>
    </row>
    <row r="66" spans="1:7" x14ac:dyDescent="0.4">
      <c r="A66" t="s">
        <v>2379</v>
      </c>
      <c r="B66" s="115" t="s">
        <v>2359</v>
      </c>
      <c r="C66">
        <v>210</v>
      </c>
      <c r="D66" t="s">
        <v>2380</v>
      </c>
      <c r="E66" s="129">
        <v>394030</v>
      </c>
      <c r="G66" s="150">
        <v>300</v>
      </c>
    </row>
    <row r="67" spans="1:7" x14ac:dyDescent="0.4">
      <c r="A67" t="s">
        <v>2379</v>
      </c>
      <c r="B67" s="117" t="s">
        <v>2360</v>
      </c>
      <c r="C67">
        <v>240</v>
      </c>
      <c r="D67" t="s">
        <v>2380</v>
      </c>
      <c r="E67" s="129">
        <v>450320</v>
      </c>
      <c r="G67" s="150">
        <v>330</v>
      </c>
    </row>
    <row r="68" spans="1:7" x14ac:dyDescent="0.4">
      <c r="A68" t="s">
        <v>2379</v>
      </c>
      <c r="B68" s="117" t="s">
        <v>2360</v>
      </c>
      <c r="C68">
        <v>105</v>
      </c>
      <c r="D68" t="s">
        <v>2380</v>
      </c>
      <c r="E68" s="129">
        <v>136860</v>
      </c>
      <c r="G68" s="150">
        <v>140</v>
      </c>
    </row>
    <row r="69" spans="1:7" x14ac:dyDescent="0.4">
      <c r="A69" t="s">
        <v>2379</v>
      </c>
      <c r="B69" s="117" t="s">
        <v>2360</v>
      </c>
      <c r="C69">
        <v>130</v>
      </c>
      <c r="D69" t="s">
        <v>2380</v>
      </c>
      <c r="E69" s="129">
        <v>169440</v>
      </c>
      <c r="G69" s="150">
        <v>170</v>
      </c>
    </row>
    <row r="70" spans="1:7" x14ac:dyDescent="0.4">
      <c r="A70" t="s">
        <v>2379</v>
      </c>
      <c r="B70" s="117" t="s">
        <v>2360</v>
      </c>
      <c r="C70">
        <v>160</v>
      </c>
      <c r="D70" t="s">
        <v>2380</v>
      </c>
      <c r="E70" s="129">
        <v>208540</v>
      </c>
      <c r="G70" s="150">
        <v>210</v>
      </c>
    </row>
    <row r="71" spans="1:7" x14ac:dyDescent="0.4">
      <c r="A71" t="s">
        <v>2379</v>
      </c>
      <c r="B71" s="117" t="s">
        <v>2360</v>
      </c>
      <c r="C71">
        <v>190</v>
      </c>
      <c r="D71" t="s">
        <v>2380</v>
      </c>
      <c r="E71" s="129">
        <v>247650</v>
      </c>
      <c r="G71" s="150">
        <v>260</v>
      </c>
    </row>
    <row r="72" spans="1:7" x14ac:dyDescent="0.4">
      <c r="A72" t="s">
        <v>2379</v>
      </c>
      <c r="B72" s="117" t="s">
        <v>2360</v>
      </c>
      <c r="C72">
        <v>210</v>
      </c>
      <c r="D72" t="s">
        <v>2380</v>
      </c>
      <c r="E72" s="129">
        <v>273710</v>
      </c>
      <c r="G72" s="150">
        <v>300</v>
      </c>
    </row>
    <row r="73" spans="1:7" x14ac:dyDescent="0.4">
      <c r="A73" t="s">
        <v>2379</v>
      </c>
      <c r="B73" s="117" t="s">
        <v>2360</v>
      </c>
      <c r="C73">
        <v>240</v>
      </c>
      <c r="D73" t="s">
        <v>2380</v>
      </c>
      <c r="E73" s="129">
        <v>312820</v>
      </c>
      <c r="G73" s="150">
        <v>330</v>
      </c>
    </row>
    <row r="74" spans="1:7" x14ac:dyDescent="0.4">
      <c r="A74" t="s">
        <v>2379</v>
      </c>
      <c r="B74" s="117" t="s">
        <v>2360</v>
      </c>
      <c r="C74">
        <v>310</v>
      </c>
      <c r="E74" s="129">
        <v>404050</v>
      </c>
    </row>
    <row r="75" spans="1:7" x14ac:dyDescent="0.4">
      <c r="A75" t="s">
        <v>2381</v>
      </c>
      <c r="B75" s="115" t="s">
        <v>2359</v>
      </c>
      <c r="C75">
        <v>200</v>
      </c>
      <c r="E75" s="129">
        <v>260000</v>
      </c>
      <c r="G75" s="150">
        <v>235</v>
      </c>
    </row>
    <row r="76" spans="1:7" x14ac:dyDescent="0.4">
      <c r="A76" t="s">
        <v>2381</v>
      </c>
      <c r="B76" s="115" t="s">
        <v>2359</v>
      </c>
      <c r="C76">
        <v>250</v>
      </c>
      <c r="E76" s="129">
        <v>321890</v>
      </c>
      <c r="G76" s="150">
        <v>295</v>
      </c>
    </row>
    <row r="77" spans="1:7" x14ac:dyDescent="0.4">
      <c r="A77" t="s">
        <v>2381</v>
      </c>
      <c r="B77" s="115" t="s">
        <v>2359</v>
      </c>
      <c r="C77">
        <v>300</v>
      </c>
      <c r="E77" s="129">
        <v>386260</v>
      </c>
      <c r="G77" s="150">
        <v>355</v>
      </c>
    </row>
    <row r="78" spans="1:7" x14ac:dyDescent="0.4">
      <c r="A78" t="s">
        <v>2381</v>
      </c>
      <c r="B78" s="115" t="s">
        <v>2359</v>
      </c>
      <c r="C78">
        <v>350</v>
      </c>
      <c r="E78" s="129">
        <v>450640</v>
      </c>
      <c r="G78" s="150">
        <v>415</v>
      </c>
    </row>
    <row r="79" spans="1:7" x14ac:dyDescent="0.4">
      <c r="A79" t="s">
        <v>2381</v>
      </c>
      <c r="B79" s="115" t="s">
        <v>2359</v>
      </c>
      <c r="C79">
        <v>400</v>
      </c>
      <c r="E79" s="129">
        <v>515020</v>
      </c>
      <c r="G79" s="150">
        <v>480</v>
      </c>
    </row>
    <row r="80" spans="1:7" x14ac:dyDescent="0.4">
      <c r="A80" t="s">
        <v>2381</v>
      </c>
      <c r="B80" s="117" t="s">
        <v>2360</v>
      </c>
      <c r="C80">
        <v>200</v>
      </c>
      <c r="E80" s="129">
        <v>180610</v>
      </c>
      <c r="G80" s="150">
        <v>235</v>
      </c>
    </row>
    <row r="81" spans="1:7" x14ac:dyDescent="0.4">
      <c r="A81" t="s">
        <v>2381</v>
      </c>
      <c r="B81" s="117" t="s">
        <v>2360</v>
      </c>
      <c r="C81">
        <v>250</v>
      </c>
      <c r="E81" s="129">
        <v>223600</v>
      </c>
      <c r="G81" s="150">
        <v>295</v>
      </c>
    </row>
    <row r="82" spans="1:7" x14ac:dyDescent="0.4">
      <c r="A82" t="s">
        <v>2381</v>
      </c>
      <c r="B82" s="117" t="s">
        <v>2360</v>
      </c>
      <c r="C82">
        <v>300</v>
      </c>
      <c r="E82" s="129">
        <v>268320</v>
      </c>
      <c r="G82" s="150">
        <v>355</v>
      </c>
    </row>
    <row r="83" spans="1:7" x14ac:dyDescent="0.4">
      <c r="A83" t="s">
        <v>2381</v>
      </c>
      <c r="B83" s="117" t="s">
        <v>2360</v>
      </c>
      <c r="C83">
        <v>350</v>
      </c>
      <c r="E83" s="129">
        <v>313040</v>
      </c>
      <c r="G83" s="150">
        <v>415</v>
      </c>
    </row>
    <row r="84" spans="1:7" ht="18" thickBot="1" x14ac:dyDescent="0.45">
      <c r="A84" t="s">
        <v>2381</v>
      </c>
      <c r="B84" s="117" t="s">
        <v>2360</v>
      </c>
      <c r="C84">
        <v>400</v>
      </c>
      <c r="E84" s="129">
        <v>357760</v>
      </c>
      <c r="G84" s="150">
        <v>480</v>
      </c>
    </row>
    <row r="85" spans="1:7" ht="18" thickBot="1" x14ac:dyDescent="0.45">
      <c r="A85" t="s">
        <v>2382</v>
      </c>
      <c r="B85" s="115" t="s">
        <v>2359</v>
      </c>
      <c r="C85">
        <v>300</v>
      </c>
      <c r="D85" t="s">
        <v>2383</v>
      </c>
      <c r="E85" s="131">
        <v>358760</v>
      </c>
      <c r="G85" s="150">
        <v>380</v>
      </c>
    </row>
    <row r="86" spans="1:7" x14ac:dyDescent="0.4">
      <c r="A86" t="s">
        <v>2382</v>
      </c>
      <c r="B86" s="115" t="s">
        <v>2359</v>
      </c>
      <c r="C86">
        <v>350</v>
      </c>
      <c r="D86" t="s">
        <v>2383</v>
      </c>
      <c r="E86" s="132">
        <v>418550</v>
      </c>
      <c r="G86" s="150">
        <v>455</v>
      </c>
    </row>
    <row r="87" spans="1:7" ht="18" thickBot="1" x14ac:dyDescent="0.45">
      <c r="A87" t="s">
        <v>2382</v>
      </c>
      <c r="B87" s="115" t="s">
        <v>2359</v>
      </c>
      <c r="C87">
        <v>400</v>
      </c>
      <c r="D87" t="s">
        <v>2383</v>
      </c>
      <c r="E87" s="132">
        <v>478340</v>
      </c>
      <c r="G87" s="150">
        <v>520</v>
      </c>
    </row>
    <row r="88" spans="1:7" ht="18" thickBot="1" x14ac:dyDescent="0.45">
      <c r="A88" t="s">
        <v>2382</v>
      </c>
      <c r="B88" s="117" t="s">
        <v>2360</v>
      </c>
      <c r="C88">
        <v>300</v>
      </c>
      <c r="D88" t="s">
        <v>2383</v>
      </c>
      <c r="E88" s="131">
        <v>249210</v>
      </c>
      <c r="G88" s="150">
        <v>380</v>
      </c>
    </row>
    <row r="89" spans="1:7" ht="18" thickBot="1" x14ac:dyDescent="0.45">
      <c r="A89" t="s">
        <v>2382</v>
      </c>
      <c r="B89" s="117" t="s">
        <v>2360</v>
      </c>
      <c r="C89">
        <v>350</v>
      </c>
      <c r="D89" t="s">
        <v>2383</v>
      </c>
      <c r="E89" s="131">
        <v>290750</v>
      </c>
      <c r="G89" s="150">
        <v>455</v>
      </c>
    </row>
    <row r="90" spans="1:7" ht="18" thickBot="1" x14ac:dyDescent="0.45">
      <c r="A90" t="s">
        <v>2382</v>
      </c>
      <c r="B90" s="117" t="s">
        <v>2360</v>
      </c>
      <c r="C90">
        <v>400</v>
      </c>
      <c r="D90" t="s">
        <v>2383</v>
      </c>
      <c r="E90" s="131">
        <v>332280</v>
      </c>
      <c r="G90" s="150">
        <v>520</v>
      </c>
    </row>
    <row r="91" spans="1:7" x14ac:dyDescent="0.4">
      <c r="A91" t="s">
        <v>2382</v>
      </c>
      <c r="B91" s="115" t="s">
        <v>2359</v>
      </c>
      <c r="C91">
        <v>250</v>
      </c>
      <c r="D91" t="s">
        <v>2384</v>
      </c>
      <c r="E91" s="129">
        <v>311260</v>
      </c>
      <c r="G91" s="150">
        <v>310</v>
      </c>
    </row>
    <row r="92" spans="1:7" x14ac:dyDescent="0.4">
      <c r="A92" t="s">
        <v>2382</v>
      </c>
      <c r="B92" s="115" t="s">
        <v>2359</v>
      </c>
      <c r="C92">
        <v>300</v>
      </c>
      <c r="D92" t="s">
        <v>2384</v>
      </c>
      <c r="E92" s="129">
        <v>364120</v>
      </c>
      <c r="G92" s="150">
        <v>380</v>
      </c>
    </row>
    <row r="93" spans="1:7" x14ac:dyDescent="0.4">
      <c r="A93" t="s">
        <v>2382</v>
      </c>
      <c r="B93" s="115" t="s">
        <v>2359</v>
      </c>
      <c r="C93">
        <v>350</v>
      </c>
      <c r="D93" t="s">
        <v>2384</v>
      </c>
      <c r="E93" s="129">
        <v>424810</v>
      </c>
      <c r="G93" s="150">
        <v>445</v>
      </c>
    </row>
    <row r="94" spans="1:7" ht="18" thickBot="1" x14ac:dyDescent="0.45">
      <c r="A94" t="s">
        <v>2382</v>
      </c>
      <c r="B94" s="115" t="s">
        <v>2359</v>
      </c>
      <c r="C94">
        <v>400</v>
      </c>
      <c r="D94" t="s">
        <v>2384</v>
      </c>
      <c r="E94" s="129">
        <v>485490</v>
      </c>
      <c r="G94" s="150">
        <v>505</v>
      </c>
    </row>
    <row r="95" spans="1:7" ht="18" thickBot="1" x14ac:dyDescent="0.45">
      <c r="A95" t="s">
        <v>2382</v>
      </c>
      <c r="B95" s="117" t="s">
        <v>2360</v>
      </c>
      <c r="C95">
        <v>250</v>
      </c>
      <c r="D95" t="s">
        <v>2384</v>
      </c>
      <c r="E95" s="131">
        <v>216220</v>
      </c>
      <c r="G95" s="150">
        <v>310</v>
      </c>
    </row>
    <row r="96" spans="1:7" ht="18" thickBot="1" x14ac:dyDescent="0.45">
      <c r="A96" t="s">
        <v>2382</v>
      </c>
      <c r="B96" s="117" t="s">
        <v>2360</v>
      </c>
      <c r="C96">
        <v>300</v>
      </c>
      <c r="D96" t="s">
        <v>2384</v>
      </c>
      <c r="E96" s="131">
        <v>252940</v>
      </c>
      <c r="G96" s="150">
        <v>380</v>
      </c>
    </row>
    <row r="97" spans="1:7" ht="18" thickBot="1" x14ac:dyDescent="0.45">
      <c r="A97" t="s">
        <v>2382</v>
      </c>
      <c r="B97" s="117" t="s">
        <v>2360</v>
      </c>
      <c r="C97">
        <v>350</v>
      </c>
      <c r="D97" t="s">
        <v>2384</v>
      </c>
      <c r="E97" s="131">
        <v>295100</v>
      </c>
      <c r="G97" s="150">
        <v>445</v>
      </c>
    </row>
    <row r="98" spans="1:7" ht="18" thickBot="1" x14ac:dyDescent="0.45">
      <c r="A98" t="s">
        <v>2382</v>
      </c>
      <c r="B98" s="117" t="s">
        <v>2360</v>
      </c>
      <c r="C98">
        <v>400</v>
      </c>
      <c r="D98" t="s">
        <v>2384</v>
      </c>
      <c r="E98" s="131">
        <v>337250</v>
      </c>
      <c r="G98" s="150">
        <v>505</v>
      </c>
    </row>
    <row r="99" spans="1:7" x14ac:dyDescent="0.4">
      <c r="A99" t="s">
        <v>2385</v>
      </c>
      <c r="B99" s="115" t="s">
        <v>2359</v>
      </c>
      <c r="C99">
        <v>105</v>
      </c>
      <c r="E99" s="132">
        <v>91370</v>
      </c>
      <c r="G99" s="150">
        <v>170</v>
      </c>
    </row>
    <row r="100" spans="1:7" x14ac:dyDescent="0.4">
      <c r="A100" t="s">
        <v>2385</v>
      </c>
      <c r="B100" s="115" t="s">
        <v>2359</v>
      </c>
      <c r="C100">
        <v>130</v>
      </c>
      <c r="E100" s="132">
        <v>112620</v>
      </c>
      <c r="G100" s="150">
        <v>205</v>
      </c>
    </row>
    <row r="101" spans="1:7" x14ac:dyDescent="0.4">
      <c r="A101" t="s">
        <v>2385</v>
      </c>
      <c r="B101" s="115" t="s">
        <v>2359</v>
      </c>
      <c r="C101">
        <v>170</v>
      </c>
      <c r="E101" s="132">
        <v>147270</v>
      </c>
      <c r="G101" s="150">
        <v>268</v>
      </c>
    </row>
    <row r="102" spans="1:7" ht="18" thickBot="1" x14ac:dyDescent="0.45">
      <c r="A102" t="s">
        <v>2385</v>
      </c>
      <c r="B102" s="115" t="s">
        <v>2359</v>
      </c>
      <c r="C102">
        <v>180</v>
      </c>
      <c r="E102" s="132">
        <v>155930</v>
      </c>
      <c r="G102" s="150">
        <v>275</v>
      </c>
    </row>
    <row r="103" spans="1:7" ht="18" thickBot="1" x14ac:dyDescent="0.45">
      <c r="A103" t="s">
        <v>2385</v>
      </c>
      <c r="B103" s="117" t="s">
        <v>2360</v>
      </c>
      <c r="C103">
        <v>105</v>
      </c>
      <c r="E103" s="131">
        <v>63470</v>
      </c>
      <c r="G103" s="150">
        <v>170</v>
      </c>
    </row>
    <row r="104" spans="1:7" ht="18" thickBot="1" x14ac:dyDescent="0.45">
      <c r="A104" t="s">
        <v>2385</v>
      </c>
      <c r="B104" s="117" t="s">
        <v>2360</v>
      </c>
      <c r="C104">
        <v>130</v>
      </c>
      <c r="E104" s="131">
        <v>78230</v>
      </c>
      <c r="G104" s="150">
        <v>205</v>
      </c>
    </row>
    <row r="105" spans="1:7" ht="18" thickBot="1" x14ac:dyDescent="0.45">
      <c r="A105" t="s">
        <v>2385</v>
      </c>
      <c r="B105" s="117" t="s">
        <v>2360</v>
      </c>
      <c r="C105">
        <v>170</v>
      </c>
      <c r="E105" s="131">
        <v>102300</v>
      </c>
      <c r="G105" s="150">
        <v>268</v>
      </c>
    </row>
    <row r="106" spans="1:7" ht="18" thickBot="1" x14ac:dyDescent="0.45">
      <c r="A106" t="s">
        <v>2385</v>
      </c>
      <c r="B106" s="117" t="s">
        <v>2360</v>
      </c>
      <c r="C106">
        <v>180</v>
      </c>
      <c r="E106" s="131">
        <v>108320</v>
      </c>
      <c r="G106" s="150">
        <v>275</v>
      </c>
    </row>
    <row r="107" spans="1:7" x14ac:dyDescent="0.4">
      <c r="A107" t="s">
        <v>2386</v>
      </c>
      <c r="B107" s="115" t="s">
        <v>2359</v>
      </c>
      <c r="C107">
        <v>200</v>
      </c>
      <c r="E107" s="132">
        <v>248850</v>
      </c>
    </row>
    <row r="108" spans="1:7" ht="18" thickBot="1" x14ac:dyDescent="0.45">
      <c r="A108" t="s">
        <v>2386</v>
      </c>
      <c r="B108" s="115" t="s">
        <v>2359</v>
      </c>
      <c r="C108">
        <v>220</v>
      </c>
      <c r="E108" s="132">
        <v>273740</v>
      </c>
    </row>
    <row r="109" spans="1:7" ht="18" thickBot="1" x14ac:dyDescent="0.45">
      <c r="A109" t="s">
        <v>2386</v>
      </c>
      <c r="B109" s="117" t="s">
        <v>2360</v>
      </c>
      <c r="C109">
        <v>200</v>
      </c>
      <c r="E109" s="131">
        <v>172870</v>
      </c>
    </row>
    <row r="110" spans="1:7" ht="18" thickBot="1" x14ac:dyDescent="0.45">
      <c r="A110" t="s">
        <v>2386</v>
      </c>
      <c r="B110" s="117" t="s">
        <v>2360</v>
      </c>
      <c r="C110">
        <v>220</v>
      </c>
      <c r="E110" s="131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118" bestFit="1" customWidth="1"/>
    <col min="2" max="2" width="12" customWidth="1"/>
    <col min="4" max="4" width="46.3984375" bestFit="1" customWidth="1"/>
    <col min="5" max="5" width="13.59765625" style="143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2789</v>
      </c>
    </row>
    <row r="2" spans="1:7" ht="40.5" customHeight="1" x14ac:dyDescent="0.4">
      <c r="A2" s="219" t="s">
        <v>2396</v>
      </c>
      <c r="B2" s="217" t="s">
        <v>2394</v>
      </c>
      <c r="C2">
        <v>70</v>
      </c>
      <c r="D2" s="219" t="s">
        <v>2395</v>
      </c>
      <c r="E2" s="143">
        <v>148770</v>
      </c>
    </row>
    <row r="3" spans="1:7" x14ac:dyDescent="0.4">
      <c r="A3" s="218"/>
      <c r="B3" s="215"/>
      <c r="C3">
        <v>75</v>
      </c>
      <c r="D3" s="218"/>
      <c r="E3" s="143">
        <v>159390</v>
      </c>
    </row>
    <row r="4" spans="1:7" x14ac:dyDescent="0.4">
      <c r="A4" s="218"/>
      <c r="B4" s="215"/>
      <c r="C4">
        <v>90</v>
      </c>
      <c r="D4" s="218"/>
      <c r="E4" s="143">
        <v>180680</v>
      </c>
    </row>
    <row r="5" spans="1:7" x14ac:dyDescent="0.4">
      <c r="A5" s="218"/>
      <c r="B5" s="215"/>
      <c r="C5">
        <v>100</v>
      </c>
      <c r="D5" s="218"/>
      <c r="E5" s="143">
        <v>188740</v>
      </c>
    </row>
    <row r="6" spans="1:7" x14ac:dyDescent="0.4">
      <c r="A6" s="218"/>
      <c r="B6" s="215"/>
      <c r="C6">
        <v>110</v>
      </c>
      <c r="D6" s="218"/>
      <c r="E6" s="143">
        <v>207610</v>
      </c>
    </row>
    <row r="7" spans="1:7" x14ac:dyDescent="0.4">
      <c r="A7" s="218"/>
      <c r="B7" s="215"/>
      <c r="C7">
        <v>120</v>
      </c>
      <c r="D7" s="218"/>
      <c r="E7" s="143">
        <v>226480</v>
      </c>
    </row>
    <row r="8" spans="1:7" x14ac:dyDescent="0.4">
      <c r="A8" s="218"/>
      <c r="B8" s="215"/>
      <c r="C8">
        <v>140</v>
      </c>
      <c r="D8" s="218"/>
      <c r="E8" s="143">
        <v>256370</v>
      </c>
    </row>
    <row r="9" spans="1:7" x14ac:dyDescent="0.4">
      <c r="A9" s="218"/>
      <c r="B9" s="215"/>
      <c r="C9">
        <v>150</v>
      </c>
      <c r="D9" s="218"/>
      <c r="E9" s="143">
        <v>274680</v>
      </c>
    </row>
    <row r="10" spans="1:7" x14ac:dyDescent="0.4">
      <c r="A10" s="218"/>
      <c r="B10" s="215"/>
      <c r="C10">
        <v>200</v>
      </c>
      <c r="D10" s="218"/>
      <c r="E10" s="143">
        <v>366320</v>
      </c>
    </row>
    <row r="11" spans="1:7" x14ac:dyDescent="0.4">
      <c r="A11" s="218"/>
      <c r="B11" s="215"/>
      <c r="C11">
        <v>220</v>
      </c>
      <c r="D11" s="218"/>
      <c r="E11" s="143">
        <v>402960</v>
      </c>
    </row>
    <row r="12" spans="1:7" x14ac:dyDescent="0.4">
      <c r="A12" s="218"/>
      <c r="B12" s="215"/>
      <c r="C12">
        <v>350</v>
      </c>
      <c r="D12" t="s">
        <v>2397</v>
      </c>
      <c r="E12" s="143">
        <v>641070</v>
      </c>
    </row>
    <row r="13" spans="1:7" ht="16.5" customHeight="1" x14ac:dyDescent="0.4">
      <c r="A13" s="218" t="s">
        <v>2399</v>
      </c>
      <c r="B13" s="215"/>
      <c r="C13">
        <v>110</v>
      </c>
      <c r="D13" s="218" t="s">
        <v>2398</v>
      </c>
      <c r="E13" s="143">
        <v>223650</v>
      </c>
    </row>
    <row r="14" spans="1:7" x14ac:dyDescent="0.4">
      <c r="A14" s="218"/>
      <c r="B14" s="215"/>
      <c r="C14">
        <v>120</v>
      </c>
      <c r="D14" s="215"/>
      <c r="E14" s="143">
        <v>243980</v>
      </c>
    </row>
    <row r="15" spans="1:7" x14ac:dyDescent="0.4">
      <c r="A15" s="218"/>
      <c r="B15" s="215"/>
      <c r="C15">
        <v>150</v>
      </c>
      <c r="D15" s="215"/>
      <c r="E15" s="143">
        <v>290180</v>
      </c>
    </row>
    <row r="16" spans="1:7" x14ac:dyDescent="0.4">
      <c r="A16" s="218"/>
      <c r="B16" s="215"/>
      <c r="C16">
        <v>200</v>
      </c>
      <c r="D16" s="215"/>
      <c r="E16" s="143">
        <v>389600</v>
      </c>
    </row>
    <row r="17" spans="1:11" ht="33" customHeight="1" x14ac:dyDescent="0.4">
      <c r="A17" s="218" t="s">
        <v>2400</v>
      </c>
      <c r="B17" s="215"/>
      <c r="C17">
        <v>110</v>
      </c>
      <c r="D17" s="218" t="s">
        <v>2402</v>
      </c>
      <c r="E17" s="143">
        <v>240740</v>
      </c>
      <c r="K17" s="140"/>
    </row>
    <row r="18" spans="1:11" x14ac:dyDescent="0.4">
      <c r="A18" s="218"/>
      <c r="B18" s="215"/>
      <c r="C18">
        <v>120</v>
      </c>
      <c r="D18" s="215"/>
      <c r="E18" s="143">
        <v>262630</v>
      </c>
    </row>
    <row r="19" spans="1:11" x14ac:dyDescent="0.4">
      <c r="A19" s="218"/>
      <c r="B19" s="215"/>
      <c r="C19">
        <v>200</v>
      </c>
      <c r="D19" s="215"/>
      <c r="E19" s="143">
        <v>424470</v>
      </c>
    </row>
    <row r="20" spans="1:11" ht="33" customHeight="1" x14ac:dyDescent="0.4">
      <c r="A20" s="218" t="s">
        <v>2401</v>
      </c>
      <c r="B20" s="215"/>
      <c r="C20">
        <v>110</v>
      </c>
      <c r="D20" s="218" t="s">
        <v>2403</v>
      </c>
      <c r="E20" s="143">
        <v>274550</v>
      </c>
    </row>
    <row r="21" spans="1:11" x14ac:dyDescent="0.4">
      <c r="A21" s="218"/>
      <c r="B21" s="215"/>
      <c r="C21">
        <v>120</v>
      </c>
      <c r="D21" s="215"/>
      <c r="E21" s="143">
        <v>299510</v>
      </c>
    </row>
    <row r="22" spans="1:11" x14ac:dyDescent="0.4">
      <c r="A22" s="218"/>
      <c r="B22" s="215"/>
      <c r="C22">
        <v>200</v>
      </c>
      <c r="D22" s="215"/>
      <c r="E22" s="143">
        <v>486240</v>
      </c>
    </row>
    <row r="23" spans="1:11" ht="69.599999999999994" x14ac:dyDescent="0.4">
      <c r="A23" s="218" t="s">
        <v>2404</v>
      </c>
      <c r="B23" s="215"/>
      <c r="C23">
        <v>180</v>
      </c>
      <c r="D23" s="140" t="s">
        <v>2405</v>
      </c>
      <c r="E23" s="143">
        <v>420110</v>
      </c>
    </row>
    <row r="24" spans="1:11" x14ac:dyDescent="0.4">
      <c r="A24" s="218"/>
      <c r="B24" s="215"/>
      <c r="C24">
        <v>200</v>
      </c>
      <c r="D24" s="215" t="s">
        <v>2406</v>
      </c>
      <c r="E24" s="143">
        <v>466790</v>
      </c>
    </row>
    <row r="25" spans="1:11" x14ac:dyDescent="0.4">
      <c r="A25" s="218"/>
      <c r="B25" s="215"/>
      <c r="C25">
        <v>250</v>
      </c>
      <c r="D25" s="215"/>
      <c r="E25" s="143">
        <v>583490</v>
      </c>
    </row>
    <row r="26" spans="1:11" x14ac:dyDescent="0.4">
      <c r="A26" s="218"/>
      <c r="B26" s="215"/>
      <c r="C26">
        <v>300</v>
      </c>
      <c r="D26" s="215"/>
      <c r="E26" s="143">
        <v>560150</v>
      </c>
    </row>
    <row r="27" spans="1:11" x14ac:dyDescent="0.4">
      <c r="A27" s="218"/>
      <c r="B27" s="215"/>
      <c r="C27">
        <v>350</v>
      </c>
      <c r="D27" s="215"/>
      <c r="E27" s="143">
        <v>653510</v>
      </c>
    </row>
    <row r="28" spans="1:11" ht="34.799999999999997" x14ac:dyDescent="0.4">
      <c r="A28" s="141" t="s">
        <v>2407</v>
      </c>
      <c r="B28" s="215"/>
      <c r="C28">
        <v>180</v>
      </c>
      <c r="D28" t="s">
        <v>2408</v>
      </c>
      <c r="E28" s="143">
        <v>505930</v>
      </c>
    </row>
    <row r="29" spans="1:11" ht="34.799999999999997" x14ac:dyDescent="0.4">
      <c r="A29" s="141" t="s">
        <v>2409</v>
      </c>
      <c r="B29" s="215"/>
      <c r="C29">
        <v>180</v>
      </c>
      <c r="D29" t="s">
        <v>2410</v>
      </c>
      <c r="E29" s="143">
        <v>544650</v>
      </c>
    </row>
    <row r="30" spans="1:11" ht="33" customHeight="1" x14ac:dyDescent="0.4">
      <c r="A30" s="218" t="s">
        <v>2411</v>
      </c>
      <c r="B30" s="215"/>
      <c r="C30">
        <v>180</v>
      </c>
      <c r="D30" t="s">
        <v>2412</v>
      </c>
      <c r="E30" s="143">
        <v>589900</v>
      </c>
    </row>
    <row r="31" spans="1:11" x14ac:dyDescent="0.4">
      <c r="A31" s="218"/>
      <c r="B31" s="215"/>
      <c r="C31">
        <v>200</v>
      </c>
      <c r="D31" t="s">
        <v>2413</v>
      </c>
      <c r="E31" s="143">
        <v>655440</v>
      </c>
    </row>
    <row r="32" spans="1:11" x14ac:dyDescent="0.4">
      <c r="A32" s="215" t="s">
        <v>2414</v>
      </c>
      <c r="B32" s="215"/>
      <c r="C32">
        <v>90</v>
      </c>
      <c r="D32" s="218" t="s">
        <v>2415</v>
      </c>
      <c r="E32" s="143">
        <v>200240</v>
      </c>
    </row>
    <row r="33" spans="1:5" x14ac:dyDescent="0.4">
      <c r="A33" s="215"/>
      <c r="B33" s="215"/>
      <c r="C33">
        <v>120</v>
      </c>
      <c r="D33" s="215"/>
      <c r="E33" s="143">
        <v>246750</v>
      </c>
    </row>
    <row r="34" spans="1:5" x14ac:dyDescent="0.4">
      <c r="A34" s="215"/>
      <c r="B34" s="215"/>
      <c r="C34">
        <v>180</v>
      </c>
      <c r="D34" s="215"/>
      <c r="E34" s="143">
        <v>370120</v>
      </c>
    </row>
    <row r="35" spans="1:5" ht="33" customHeight="1" x14ac:dyDescent="0.4">
      <c r="A35" s="218" t="s">
        <v>2416</v>
      </c>
      <c r="B35" s="215"/>
      <c r="C35">
        <v>220</v>
      </c>
      <c r="D35" t="s">
        <v>2417</v>
      </c>
      <c r="E35" s="143">
        <v>490130</v>
      </c>
    </row>
    <row r="36" spans="1:5" x14ac:dyDescent="0.4">
      <c r="A36" s="218"/>
      <c r="B36" s="215"/>
      <c r="C36">
        <v>200</v>
      </c>
      <c r="D36" s="215" t="s">
        <v>2376</v>
      </c>
      <c r="E36" s="143">
        <v>455580</v>
      </c>
    </row>
    <row r="37" spans="1:5" x14ac:dyDescent="0.4">
      <c r="A37" s="218"/>
      <c r="B37" s="215"/>
      <c r="C37">
        <v>350</v>
      </c>
      <c r="D37" s="215"/>
      <c r="E37" s="143">
        <v>779760</v>
      </c>
    </row>
    <row r="38" spans="1:5" ht="34.799999999999997" x14ac:dyDescent="0.4">
      <c r="A38" s="141" t="s">
        <v>2419</v>
      </c>
      <c r="B38" s="215"/>
      <c r="C38">
        <v>180</v>
      </c>
      <c r="D38" t="s">
        <v>2418</v>
      </c>
      <c r="E38" s="143">
        <v>619400</v>
      </c>
    </row>
    <row r="39" spans="1:5" x14ac:dyDescent="0.4">
      <c r="A39" s="215" t="s">
        <v>2420</v>
      </c>
      <c r="B39" s="215"/>
      <c r="C39">
        <v>120</v>
      </c>
      <c r="D39" t="s">
        <v>2376</v>
      </c>
      <c r="E39" s="143">
        <v>243930</v>
      </c>
    </row>
    <row r="40" spans="1:5" x14ac:dyDescent="0.4">
      <c r="A40" s="215"/>
      <c r="B40" s="215"/>
      <c r="C40">
        <v>200</v>
      </c>
      <c r="E40" s="143">
        <v>406550</v>
      </c>
    </row>
    <row r="41" spans="1:5" x14ac:dyDescent="0.4">
      <c r="A41" s="215"/>
      <c r="B41" s="215"/>
      <c r="C41">
        <v>300</v>
      </c>
      <c r="E41" s="143">
        <v>609820</v>
      </c>
    </row>
    <row r="42" spans="1:5" x14ac:dyDescent="0.4">
      <c r="A42" s="215" t="s">
        <v>2421</v>
      </c>
      <c r="B42" s="215"/>
      <c r="C42">
        <v>120</v>
      </c>
      <c r="D42" t="s">
        <v>2376</v>
      </c>
      <c r="E42" s="143">
        <v>237020</v>
      </c>
    </row>
    <row r="43" spans="1:5" x14ac:dyDescent="0.4">
      <c r="A43" s="215"/>
      <c r="B43" s="215"/>
      <c r="C43">
        <v>220</v>
      </c>
      <c r="E43" s="143">
        <v>434530</v>
      </c>
    </row>
    <row r="44" spans="1:5" x14ac:dyDescent="0.4">
      <c r="A44" s="215" t="s">
        <v>2422</v>
      </c>
      <c r="B44" s="215"/>
      <c r="C44">
        <v>200</v>
      </c>
      <c r="D44" s="215" t="s">
        <v>2423</v>
      </c>
      <c r="E44" s="143">
        <v>261080</v>
      </c>
    </row>
    <row r="45" spans="1:5" x14ac:dyDescent="0.4">
      <c r="A45" s="215"/>
      <c r="B45" s="215"/>
      <c r="C45">
        <v>230</v>
      </c>
      <c r="D45" s="215"/>
      <c r="E45" s="143">
        <v>300240</v>
      </c>
    </row>
    <row r="46" spans="1:5" x14ac:dyDescent="0.4">
      <c r="A46" s="215" t="s">
        <v>2424</v>
      </c>
      <c r="B46" s="215"/>
      <c r="C46">
        <v>300</v>
      </c>
      <c r="D46" s="215" t="s">
        <v>2376</v>
      </c>
      <c r="E46" s="143">
        <v>379170</v>
      </c>
    </row>
    <row r="47" spans="1:5" x14ac:dyDescent="0.4">
      <c r="A47" s="215"/>
      <c r="B47" s="215"/>
      <c r="C47">
        <v>350</v>
      </c>
      <c r="D47" s="215"/>
      <c r="E47" s="143">
        <v>442360</v>
      </c>
    </row>
    <row r="48" spans="1:5" x14ac:dyDescent="0.4">
      <c r="A48" s="215"/>
      <c r="B48" t="s">
        <v>2360</v>
      </c>
      <c r="C48">
        <v>300</v>
      </c>
      <c r="D48" s="215"/>
      <c r="E48" s="143">
        <v>263390</v>
      </c>
    </row>
    <row r="49" spans="1:5" x14ac:dyDescent="0.4">
      <c r="A49" s="215"/>
      <c r="B49" t="s">
        <v>2360</v>
      </c>
      <c r="C49">
        <v>350</v>
      </c>
      <c r="D49" s="215"/>
      <c r="E49" s="143">
        <v>307290</v>
      </c>
    </row>
    <row r="50" spans="1:5" ht="27" customHeight="1" x14ac:dyDescent="0.4">
      <c r="A50" s="216" t="s">
        <v>2425</v>
      </c>
      <c r="B50" s="215" t="s">
        <v>2394</v>
      </c>
      <c r="C50">
        <v>90</v>
      </c>
      <c r="E50" s="143">
        <v>118770</v>
      </c>
    </row>
    <row r="51" spans="1:5" x14ac:dyDescent="0.4">
      <c r="A51" s="216"/>
      <c r="B51" s="215"/>
      <c r="C51">
        <v>130</v>
      </c>
      <c r="E51" s="143">
        <v>171550</v>
      </c>
    </row>
    <row r="52" spans="1:5" x14ac:dyDescent="0.4">
      <c r="A52" s="216"/>
      <c r="B52" s="215"/>
      <c r="C52">
        <v>160</v>
      </c>
      <c r="E52" s="143">
        <v>211140</v>
      </c>
    </row>
    <row r="53" spans="1:5" x14ac:dyDescent="0.4">
      <c r="A53" s="216"/>
      <c r="B53" s="215"/>
      <c r="C53">
        <v>220</v>
      </c>
      <c r="E53" s="143">
        <v>290320</v>
      </c>
    </row>
    <row r="54" spans="1:5" x14ac:dyDescent="0.4">
      <c r="A54" s="216"/>
      <c r="B54" s="215"/>
      <c r="C54">
        <v>300</v>
      </c>
      <c r="E54" s="143">
        <v>395900</v>
      </c>
    </row>
    <row r="55" spans="1:5" x14ac:dyDescent="0.4">
      <c r="A55" s="216"/>
      <c r="B55" s="215"/>
      <c r="C55">
        <v>350</v>
      </c>
      <c r="E55" s="143">
        <v>461880</v>
      </c>
    </row>
    <row r="56" spans="1:5" x14ac:dyDescent="0.4">
      <c r="A56" s="216"/>
      <c r="B56" s="215" t="s">
        <v>2360</v>
      </c>
      <c r="C56">
        <v>90</v>
      </c>
      <c r="E56" s="143">
        <v>82500</v>
      </c>
    </row>
    <row r="57" spans="1:5" x14ac:dyDescent="0.4">
      <c r="A57" s="216"/>
      <c r="B57" s="215"/>
      <c r="C57">
        <v>130</v>
      </c>
      <c r="E57" s="143">
        <v>119170</v>
      </c>
    </row>
    <row r="58" spans="1:5" x14ac:dyDescent="0.4">
      <c r="A58" s="216"/>
      <c r="B58" s="215"/>
      <c r="C58">
        <v>160</v>
      </c>
      <c r="E58" s="143">
        <v>146670</v>
      </c>
    </row>
    <row r="59" spans="1:5" x14ac:dyDescent="0.4">
      <c r="A59" s="216"/>
      <c r="B59" s="215"/>
      <c r="C59">
        <v>220</v>
      </c>
      <c r="E59" s="143">
        <v>201680</v>
      </c>
    </row>
    <row r="60" spans="1:5" x14ac:dyDescent="0.4">
      <c r="A60" s="216"/>
      <c r="B60" s="215"/>
      <c r="C60">
        <v>300</v>
      </c>
      <c r="E60" s="143">
        <v>275010</v>
      </c>
    </row>
    <row r="61" spans="1:5" x14ac:dyDescent="0.4">
      <c r="A61" s="216"/>
      <c r="B61" s="215"/>
      <c r="C61">
        <v>350</v>
      </c>
      <c r="E61" s="143">
        <v>320850</v>
      </c>
    </row>
    <row r="62" spans="1:5" ht="34.799999999999997" x14ac:dyDescent="0.4">
      <c r="A62" s="118" t="s">
        <v>2426</v>
      </c>
      <c r="B62" s="215" t="s">
        <v>2393</v>
      </c>
      <c r="C62">
        <v>200</v>
      </c>
      <c r="D62" s="140" t="s">
        <v>2427</v>
      </c>
      <c r="E62" s="143">
        <v>546140</v>
      </c>
    </row>
    <row r="63" spans="1:5" x14ac:dyDescent="0.4">
      <c r="A63" s="118" t="s">
        <v>2428</v>
      </c>
      <c r="B63" s="215"/>
      <c r="C63">
        <v>200</v>
      </c>
      <c r="D63" t="s">
        <v>2430</v>
      </c>
      <c r="E63" s="143">
        <v>641460</v>
      </c>
    </row>
    <row r="64" spans="1:5" x14ac:dyDescent="0.4">
      <c r="A64" s="118" t="s">
        <v>2429</v>
      </c>
      <c r="B64" s="215"/>
      <c r="C64">
        <v>200</v>
      </c>
      <c r="D64" t="s">
        <v>2431</v>
      </c>
      <c r="E64" s="143">
        <v>688220</v>
      </c>
    </row>
    <row r="65" spans="1:5" ht="121.8" x14ac:dyDescent="0.4">
      <c r="A65" s="215" t="s">
        <v>2432</v>
      </c>
      <c r="B65" t="s">
        <v>2394</v>
      </c>
      <c r="C65">
        <v>120</v>
      </c>
      <c r="D65" s="140" t="s">
        <v>2433</v>
      </c>
      <c r="E65" s="143">
        <v>219940</v>
      </c>
    </row>
    <row r="66" spans="1:5" ht="52.2" x14ac:dyDescent="0.4">
      <c r="A66" s="215"/>
      <c r="B66" t="s">
        <v>2394</v>
      </c>
      <c r="C66">
        <v>350</v>
      </c>
      <c r="D66" s="140" t="s">
        <v>2441</v>
      </c>
      <c r="E66" s="143">
        <v>641500</v>
      </c>
    </row>
    <row r="67" spans="1:5" ht="34.799999999999997" x14ac:dyDescent="0.4">
      <c r="A67" s="215" t="s">
        <v>2435</v>
      </c>
      <c r="B67" s="215" t="s">
        <v>2394</v>
      </c>
      <c r="C67">
        <v>120</v>
      </c>
      <c r="D67" s="140" t="s">
        <v>2436</v>
      </c>
      <c r="E67" s="143">
        <v>236480</v>
      </c>
    </row>
    <row r="68" spans="1:5" x14ac:dyDescent="0.4">
      <c r="A68" s="215"/>
      <c r="B68" s="215"/>
      <c r="C68">
        <v>350</v>
      </c>
      <c r="D68" s="140" t="s">
        <v>2442</v>
      </c>
      <c r="E68" s="143">
        <v>689740</v>
      </c>
    </row>
    <row r="69" spans="1:5" ht="52.2" x14ac:dyDescent="0.4">
      <c r="A69" s="215" t="s">
        <v>2437</v>
      </c>
      <c r="B69" s="215" t="s">
        <v>2394</v>
      </c>
      <c r="C69">
        <v>120</v>
      </c>
      <c r="D69" s="140" t="s">
        <v>2438</v>
      </c>
      <c r="E69" s="143">
        <v>254810</v>
      </c>
    </row>
    <row r="70" spans="1:5" ht="34.799999999999997" x14ac:dyDescent="0.4">
      <c r="A70" s="215"/>
      <c r="B70" s="215"/>
      <c r="C70">
        <v>350</v>
      </c>
      <c r="D70" s="140" t="s">
        <v>2443</v>
      </c>
      <c r="E70" s="143">
        <v>743200</v>
      </c>
    </row>
    <row r="71" spans="1:5" ht="52.2" x14ac:dyDescent="0.4">
      <c r="A71" s="215" t="s">
        <v>2439</v>
      </c>
      <c r="B71" s="215" t="s">
        <v>2394</v>
      </c>
      <c r="C71">
        <v>120</v>
      </c>
      <c r="D71" s="140" t="s">
        <v>2440</v>
      </c>
      <c r="E71" s="143">
        <v>291470</v>
      </c>
    </row>
    <row r="72" spans="1:5" ht="34.799999999999997" x14ac:dyDescent="0.4">
      <c r="A72" s="215"/>
      <c r="B72" s="215"/>
      <c r="C72">
        <v>350</v>
      </c>
      <c r="D72" s="140" t="s">
        <v>2444</v>
      </c>
      <c r="E72" s="143">
        <v>850110</v>
      </c>
    </row>
    <row r="73" spans="1:5" x14ac:dyDescent="0.4">
      <c r="A73" s="215" t="s">
        <v>2445</v>
      </c>
      <c r="C73">
        <v>110</v>
      </c>
      <c r="D73" s="140" t="s">
        <v>2446</v>
      </c>
      <c r="E73" s="143">
        <v>237730</v>
      </c>
    </row>
    <row r="74" spans="1:5" x14ac:dyDescent="0.4">
      <c r="A74" s="215"/>
      <c r="C74">
        <v>120</v>
      </c>
      <c r="E74" s="143">
        <v>259340</v>
      </c>
    </row>
    <row r="75" spans="1:5" x14ac:dyDescent="0.4">
      <c r="A75" s="215"/>
      <c r="C75">
        <v>150</v>
      </c>
      <c r="E75" s="143">
        <v>324170</v>
      </c>
    </row>
    <row r="76" spans="1:5" x14ac:dyDescent="0.4">
      <c r="A76" s="215"/>
      <c r="C76">
        <v>180</v>
      </c>
      <c r="E76" s="143">
        <v>389010</v>
      </c>
    </row>
    <row r="77" spans="1:5" x14ac:dyDescent="0.4">
      <c r="A77" s="215"/>
      <c r="C77">
        <v>200</v>
      </c>
      <c r="E77" s="143">
        <v>432230</v>
      </c>
    </row>
    <row r="78" spans="1:5" x14ac:dyDescent="0.4">
      <c r="A78" s="215"/>
      <c r="C78">
        <v>250</v>
      </c>
      <c r="E78" s="143">
        <v>540290</v>
      </c>
    </row>
    <row r="79" spans="1:5" x14ac:dyDescent="0.4">
      <c r="A79" s="215"/>
      <c r="C79">
        <v>300</v>
      </c>
      <c r="E79" s="143">
        <v>648350</v>
      </c>
    </row>
    <row r="80" spans="1:5" x14ac:dyDescent="0.4">
      <c r="A80" s="118" t="s">
        <v>2448</v>
      </c>
      <c r="C80">
        <v>300</v>
      </c>
      <c r="D80" t="s">
        <v>2447</v>
      </c>
      <c r="E80" s="143">
        <v>562600</v>
      </c>
    </row>
    <row r="81" spans="1:5" x14ac:dyDescent="0.4">
      <c r="C81">
        <v>350</v>
      </c>
      <c r="E81" s="143">
        <v>656360</v>
      </c>
    </row>
    <row r="82" spans="1:5" x14ac:dyDescent="0.4">
      <c r="C82">
        <v>400</v>
      </c>
      <c r="E82" s="143">
        <v>750130</v>
      </c>
    </row>
    <row r="83" spans="1:5" x14ac:dyDescent="0.4">
      <c r="A83" s="118" t="s">
        <v>2449</v>
      </c>
      <c r="C83">
        <v>120</v>
      </c>
      <c r="D83" t="s">
        <v>2450</v>
      </c>
      <c r="E83" s="143">
        <v>294080</v>
      </c>
    </row>
    <row r="84" spans="1:5" x14ac:dyDescent="0.4">
      <c r="C84">
        <v>200</v>
      </c>
      <c r="D84" t="s">
        <v>2451</v>
      </c>
      <c r="E84" s="143">
        <v>490130</v>
      </c>
    </row>
    <row r="85" spans="1:5" x14ac:dyDescent="0.4">
      <c r="C85">
        <v>250</v>
      </c>
      <c r="D85" t="s">
        <v>2417</v>
      </c>
      <c r="E85" s="143">
        <v>612670</v>
      </c>
    </row>
    <row r="86" spans="1:5" x14ac:dyDescent="0.4">
      <c r="C86">
        <v>120</v>
      </c>
      <c r="D86" t="s">
        <v>2452</v>
      </c>
      <c r="E86" s="143">
        <v>354150</v>
      </c>
    </row>
    <row r="87" spans="1:5" x14ac:dyDescent="0.4">
      <c r="C87">
        <v>120</v>
      </c>
      <c r="D87" t="s">
        <v>2453</v>
      </c>
      <c r="E87" s="143">
        <v>381250</v>
      </c>
    </row>
    <row r="88" spans="1:5" x14ac:dyDescent="0.4">
      <c r="C88">
        <v>120</v>
      </c>
      <c r="D88" t="s">
        <v>2454</v>
      </c>
      <c r="E88" s="143">
        <v>412930</v>
      </c>
    </row>
    <row r="89" spans="1:5" x14ac:dyDescent="0.4">
      <c r="A89" s="118" t="s">
        <v>2455</v>
      </c>
      <c r="C89">
        <v>70</v>
      </c>
      <c r="D89" t="s">
        <v>2456</v>
      </c>
      <c r="E89" s="143">
        <v>122350</v>
      </c>
    </row>
    <row r="90" spans="1:5" x14ac:dyDescent="0.4">
      <c r="C90">
        <v>90</v>
      </c>
      <c r="E90" s="143">
        <v>146050</v>
      </c>
    </row>
    <row r="91" spans="1:5" x14ac:dyDescent="0.4">
      <c r="A91" s="118" t="s">
        <v>2424</v>
      </c>
      <c r="C91">
        <v>300</v>
      </c>
      <c r="D91" t="s">
        <v>2376</v>
      </c>
      <c r="E91" s="126">
        <v>379170</v>
      </c>
    </row>
    <row r="92" spans="1:5" x14ac:dyDescent="0.4">
      <c r="B92" t="s">
        <v>2360</v>
      </c>
      <c r="C92">
        <v>300</v>
      </c>
      <c r="E92" s="143">
        <v>263390</v>
      </c>
    </row>
    <row r="93" spans="1:5" x14ac:dyDescent="0.4">
      <c r="B93" t="s">
        <v>2394</v>
      </c>
      <c r="C93">
        <v>350</v>
      </c>
      <c r="E93" s="143">
        <v>442360</v>
      </c>
    </row>
    <row r="94" spans="1:5" x14ac:dyDescent="0.4">
      <c r="B94" t="s">
        <v>2360</v>
      </c>
      <c r="C94">
        <v>350</v>
      </c>
      <c r="E94" s="143">
        <v>307290</v>
      </c>
    </row>
    <row r="95" spans="1:5" ht="52.2" x14ac:dyDescent="0.4">
      <c r="A95" s="118" t="s">
        <v>2457</v>
      </c>
      <c r="B95" t="s">
        <v>2459</v>
      </c>
      <c r="C95">
        <v>140</v>
      </c>
      <c r="D95" s="140" t="s">
        <v>2461</v>
      </c>
      <c r="E95" s="143">
        <v>208050</v>
      </c>
    </row>
    <row r="96" spans="1:5" x14ac:dyDescent="0.4">
      <c r="B96" t="s">
        <v>2460</v>
      </c>
      <c r="E96" s="143">
        <v>144520</v>
      </c>
    </row>
    <row r="97" spans="1:5" x14ac:dyDescent="0.4">
      <c r="B97" t="s">
        <v>2463</v>
      </c>
      <c r="E97" s="143" t="s">
        <v>2458</v>
      </c>
    </row>
    <row r="98" spans="1:5" x14ac:dyDescent="0.4">
      <c r="B98" t="s">
        <v>2459</v>
      </c>
      <c r="C98">
        <v>160</v>
      </c>
      <c r="E98" s="143">
        <v>237770</v>
      </c>
    </row>
    <row r="99" spans="1:5" x14ac:dyDescent="0.4">
      <c r="B99" t="s">
        <v>2460</v>
      </c>
      <c r="E99" s="143" t="s">
        <v>2462</v>
      </c>
    </row>
    <row r="100" spans="1:5" x14ac:dyDescent="0.4">
      <c r="B100" t="s">
        <v>2463</v>
      </c>
      <c r="E100" s="143">
        <v>298700</v>
      </c>
    </row>
    <row r="101" spans="1:5" x14ac:dyDescent="0.4">
      <c r="B101" t="s">
        <v>2459</v>
      </c>
      <c r="C101">
        <v>180</v>
      </c>
      <c r="E101" s="143">
        <v>267490</v>
      </c>
    </row>
    <row r="102" spans="1:5" x14ac:dyDescent="0.4">
      <c r="B102" t="s">
        <v>2460</v>
      </c>
      <c r="E102" s="143">
        <v>185820</v>
      </c>
    </row>
    <row r="103" spans="1:5" x14ac:dyDescent="0.4">
      <c r="B103" t="s">
        <v>2463</v>
      </c>
      <c r="E103" s="143">
        <v>336030</v>
      </c>
    </row>
    <row r="104" spans="1:5" x14ac:dyDescent="0.4">
      <c r="B104" t="s">
        <v>2459</v>
      </c>
      <c r="C104">
        <v>200</v>
      </c>
      <c r="E104" s="143">
        <v>297210</v>
      </c>
    </row>
    <row r="105" spans="1:5" x14ac:dyDescent="0.4">
      <c r="B105" t="s">
        <v>2460</v>
      </c>
      <c r="E105" s="143">
        <v>206460</v>
      </c>
    </row>
    <row r="106" spans="1:5" x14ac:dyDescent="0.4">
      <c r="B106" t="s">
        <v>2463</v>
      </c>
      <c r="E106" s="143">
        <v>373370</v>
      </c>
    </row>
    <row r="107" spans="1:5" x14ac:dyDescent="0.4">
      <c r="A107" s="215" t="s">
        <v>2468</v>
      </c>
      <c r="B107" s="144" t="s">
        <v>2464</v>
      </c>
      <c r="C107">
        <v>120</v>
      </c>
      <c r="D107" t="s">
        <v>2465</v>
      </c>
      <c r="E107" s="143">
        <v>491520</v>
      </c>
    </row>
    <row r="108" spans="1:5" x14ac:dyDescent="0.4">
      <c r="A108" s="215"/>
      <c r="C108">
        <v>200</v>
      </c>
      <c r="E108" s="143">
        <v>738370</v>
      </c>
    </row>
    <row r="109" spans="1:5" x14ac:dyDescent="0.4">
      <c r="A109" s="215"/>
      <c r="C109">
        <v>250</v>
      </c>
      <c r="E109" s="143">
        <v>891560</v>
      </c>
    </row>
    <row r="110" spans="1:5" x14ac:dyDescent="0.4">
      <c r="A110" s="215"/>
      <c r="C110">
        <v>120</v>
      </c>
      <c r="D110" t="s">
        <v>2466</v>
      </c>
      <c r="E110" s="143">
        <v>543940</v>
      </c>
    </row>
    <row r="111" spans="1:5" x14ac:dyDescent="0.4">
      <c r="A111" s="215"/>
      <c r="C111">
        <v>200</v>
      </c>
      <c r="E111" s="143">
        <v>800630</v>
      </c>
    </row>
    <row r="112" spans="1:5" x14ac:dyDescent="0.4">
      <c r="A112" s="215"/>
      <c r="C112">
        <v>250</v>
      </c>
      <c r="E112" s="143">
        <v>959820</v>
      </c>
    </row>
    <row r="113" spans="1:5" x14ac:dyDescent="0.4">
      <c r="A113" s="215"/>
      <c r="C113">
        <v>120</v>
      </c>
      <c r="D113" t="s">
        <v>2467</v>
      </c>
      <c r="E113" s="143">
        <v>596370</v>
      </c>
    </row>
    <row r="114" spans="1:5" x14ac:dyDescent="0.4">
      <c r="A114" s="215"/>
      <c r="C114">
        <v>200</v>
      </c>
      <c r="E114" s="143">
        <v>890190</v>
      </c>
    </row>
    <row r="115" spans="1:5" x14ac:dyDescent="0.4">
      <c r="A115" s="215"/>
      <c r="C115">
        <v>250</v>
      </c>
      <c r="E115" s="143">
        <v>1071780</v>
      </c>
    </row>
    <row r="116" spans="1:5" x14ac:dyDescent="0.4">
      <c r="A116" s="118" t="s">
        <v>2469</v>
      </c>
      <c r="C116">
        <v>120</v>
      </c>
      <c r="D116" t="s">
        <v>2470</v>
      </c>
      <c r="E116" s="143">
        <v>511180</v>
      </c>
    </row>
    <row r="117" spans="1:5" x14ac:dyDescent="0.4">
      <c r="C117">
        <v>200</v>
      </c>
      <c r="E117" s="143">
        <v>771130</v>
      </c>
    </row>
    <row r="118" spans="1:5" x14ac:dyDescent="0.4">
      <c r="C118">
        <v>250</v>
      </c>
      <c r="E118" s="143">
        <v>932520</v>
      </c>
    </row>
    <row r="119" spans="1:5" x14ac:dyDescent="0.4">
      <c r="C119">
        <v>120</v>
      </c>
      <c r="D119" t="s">
        <v>2471</v>
      </c>
      <c r="E119" s="143">
        <v>616030</v>
      </c>
    </row>
    <row r="120" spans="1:5" x14ac:dyDescent="0.4">
      <c r="C120">
        <v>200</v>
      </c>
      <c r="E120" s="143">
        <v>922960</v>
      </c>
    </row>
    <row r="121" spans="1:5" x14ac:dyDescent="0.4">
      <c r="C121">
        <v>250</v>
      </c>
      <c r="E121" s="143">
        <v>1112740</v>
      </c>
    </row>
    <row r="122" spans="1:5" ht="34.799999999999997" x14ac:dyDescent="0.4">
      <c r="A122" s="215" t="s">
        <v>2472</v>
      </c>
      <c r="C122">
        <v>125</v>
      </c>
      <c r="D122" s="140" t="s">
        <v>2473</v>
      </c>
      <c r="E122" s="143">
        <v>171460</v>
      </c>
    </row>
    <row r="123" spans="1:5" x14ac:dyDescent="0.4">
      <c r="A123" s="215"/>
      <c r="C123">
        <v>155</v>
      </c>
      <c r="E123" s="143">
        <v>212610</v>
      </c>
    </row>
    <row r="124" spans="1:5" x14ac:dyDescent="0.4">
      <c r="A124" s="215"/>
      <c r="C124">
        <v>185</v>
      </c>
      <c r="E124" s="143">
        <v>253770</v>
      </c>
    </row>
    <row r="125" spans="1:5" x14ac:dyDescent="0.4">
      <c r="A125" s="215"/>
      <c r="C125">
        <v>205</v>
      </c>
      <c r="E125" s="143">
        <v>281200</v>
      </c>
    </row>
    <row r="126" spans="1:5" x14ac:dyDescent="0.4">
      <c r="A126" s="215"/>
      <c r="C126">
        <v>230</v>
      </c>
      <c r="E126" s="143">
        <v>315490</v>
      </c>
    </row>
    <row r="127" spans="1:5" x14ac:dyDescent="0.4">
      <c r="A127" s="215"/>
      <c r="C127">
        <v>300</v>
      </c>
      <c r="E127" s="143">
        <v>411510</v>
      </c>
    </row>
    <row r="128" spans="1:5" x14ac:dyDescent="0.4">
      <c r="A128" s="215"/>
      <c r="C128">
        <v>350</v>
      </c>
      <c r="E128" s="143">
        <v>480100</v>
      </c>
    </row>
    <row r="129" spans="1:5" x14ac:dyDescent="0.4">
      <c r="A129" s="215"/>
      <c r="C129">
        <v>400</v>
      </c>
      <c r="E129" s="143">
        <v>548680</v>
      </c>
    </row>
    <row r="130" spans="1:5" x14ac:dyDescent="0.4">
      <c r="A130" s="215"/>
      <c r="B130" t="s">
        <v>2360</v>
      </c>
      <c r="C130">
        <v>125</v>
      </c>
      <c r="E130" s="143">
        <v>119110</v>
      </c>
    </row>
    <row r="131" spans="1:5" x14ac:dyDescent="0.4">
      <c r="A131" s="215"/>
      <c r="C131">
        <v>155</v>
      </c>
      <c r="E131" s="143">
        <v>147690</v>
      </c>
    </row>
    <row r="132" spans="1:5" x14ac:dyDescent="0.4">
      <c r="A132" s="215"/>
      <c r="C132">
        <v>185</v>
      </c>
      <c r="E132" s="143">
        <v>176280</v>
      </c>
    </row>
    <row r="133" spans="1:5" x14ac:dyDescent="0.4">
      <c r="A133" s="215"/>
      <c r="C133">
        <v>205</v>
      </c>
      <c r="E133" s="143">
        <v>195340</v>
      </c>
    </row>
    <row r="134" spans="1:5" x14ac:dyDescent="0.4">
      <c r="A134" s="215"/>
      <c r="C134">
        <v>230</v>
      </c>
      <c r="E134" s="143">
        <v>219160</v>
      </c>
    </row>
    <row r="135" spans="1:5" x14ac:dyDescent="0.4">
      <c r="A135" s="215"/>
      <c r="C135">
        <v>300</v>
      </c>
      <c r="E135" s="143">
        <v>285860</v>
      </c>
    </row>
    <row r="136" spans="1:5" x14ac:dyDescent="0.4">
      <c r="A136" s="215"/>
      <c r="C136">
        <v>350</v>
      </c>
      <c r="E136" s="143">
        <v>333500</v>
      </c>
    </row>
    <row r="137" spans="1:5" x14ac:dyDescent="0.4">
      <c r="A137" s="215"/>
      <c r="C137">
        <v>400</v>
      </c>
      <c r="E137" s="143">
        <v>381150</v>
      </c>
    </row>
    <row r="138" spans="1:5" ht="34.799999999999997" x14ac:dyDescent="0.4">
      <c r="B138" t="s">
        <v>2459</v>
      </c>
      <c r="C138">
        <v>300</v>
      </c>
      <c r="D138" s="140" t="s">
        <v>2474</v>
      </c>
      <c r="E138" s="143">
        <v>499770</v>
      </c>
    </row>
    <row r="139" spans="1:5" x14ac:dyDescent="0.4">
      <c r="C139">
        <v>350</v>
      </c>
      <c r="E139" s="143">
        <v>583060</v>
      </c>
    </row>
    <row r="140" spans="1:5" x14ac:dyDescent="0.4">
      <c r="C140">
        <v>400</v>
      </c>
      <c r="E140" s="143">
        <v>666360</v>
      </c>
    </row>
    <row r="141" spans="1:5" x14ac:dyDescent="0.4">
      <c r="B141" t="s">
        <v>2360</v>
      </c>
      <c r="C141">
        <v>300</v>
      </c>
      <c r="E141" s="143">
        <v>347170</v>
      </c>
    </row>
    <row r="142" spans="1:5" x14ac:dyDescent="0.4">
      <c r="C142">
        <v>350</v>
      </c>
      <c r="E142" s="143">
        <v>405030</v>
      </c>
    </row>
    <row r="143" spans="1:5" x14ac:dyDescent="0.4">
      <c r="C143">
        <v>400</v>
      </c>
      <c r="E143" s="143">
        <v>462980</v>
      </c>
    </row>
    <row r="144" spans="1:5" x14ac:dyDescent="0.4">
      <c r="A144" s="215" t="s">
        <v>2475</v>
      </c>
      <c r="B144" t="s">
        <v>2459</v>
      </c>
      <c r="C144">
        <v>90</v>
      </c>
      <c r="D144" t="s">
        <v>2476</v>
      </c>
      <c r="E144" s="143">
        <v>118770</v>
      </c>
    </row>
    <row r="145" spans="1:5" x14ac:dyDescent="0.4">
      <c r="A145" s="215"/>
      <c r="C145">
        <v>130</v>
      </c>
      <c r="E145" s="143">
        <v>171550</v>
      </c>
    </row>
    <row r="146" spans="1:5" x14ac:dyDescent="0.4">
      <c r="A146" s="215"/>
      <c r="C146">
        <v>160</v>
      </c>
      <c r="E146" s="143">
        <v>211140</v>
      </c>
    </row>
    <row r="147" spans="1:5" x14ac:dyDescent="0.4">
      <c r="A147" s="215"/>
      <c r="C147">
        <v>220</v>
      </c>
      <c r="E147" s="143">
        <v>290320</v>
      </c>
    </row>
    <row r="148" spans="1:5" x14ac:dyDescent="0.4">
      <c r="A148" s="215"/>
      <c r="C148">
        <v>300</v>
      </c>
      <c r="E148" s="143">
        <v>395900</v>
      </c>
    </row>
    <row r="149" spans="1:5" x14ac:dyDescent="0.4">
      <c r="A149" s="215"/>
      <c r="C149">
        <v>350</v>
      </c>
      <c r="E149" s="143">
        <v>461880</v>
      </c>
    </row>
    <row r="150" spans="1:5" x14ac:dyDescent="0.4">
      <c r="A150" s="215"/>
      <c r="B150" t="s">
        <v>2360</v>
      </c>
      <c r="C150">
        <v>90</v>
      </c>
      <c r="E150" s="143">
        <v>82500</v>
      </c>
    </row>
    <row r="151" spans="1:5" x14ac:dyDescent="0.4">
      <c r="A151" s="215"/>
      <c r="C151">
        <v>130</v>
      </c>
      <c r="E151" s="143">
        <v>119170</v>
      </c>
    </row>
    <row r="152" spans="1:5" x14ac:dyDescent="0.4">
      <c r="A152" s="215"/>
      <c r="C152">
        <v>160</v>
      </c>
      <c r="E152" s="143">
        <v>211140</v>
      </c>
    </row>
    <row r="153" spans="1:5" x14ac:dyDescent="0.4">
      <c r="A153" s="215"/>
      <c r="C153">
        <v>220</v>
      </c>
      <c r="E153" s="143">
        <v>201680</v>
      </c>
    </row>
    <row r="154" spans="1:5" x14ac:dyDescent="0.4">
      <c r="A154" s="215"/>
      <c r="C154">
        <v>300</v>
      </c>
      <c r="E154" s="143">
        <v>275010</v>
      </c>
    </row>
    <row r="155" spans="1:5" x14ac:dyDescent="0.4">
      <c r="A155" s="215"/>
      <c r="C155">
        <v>350</v>
      </c>
      <c r="E155" s="143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291"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50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2789</v>
      </c>
    </row>
    <row r="2" spans="1:15" x14ac:dyDescent="0.4">
      <c r="A2" t="s">
        <v>2477</v>
      </c>
      <c r="B2" t="s">
        <v>2478</v>
      </c>
      <c r="C2">
        <v>125</v>
      </c>
      <c r="D2" t="s">
        <v>2479</v>
      </c>
      <c r="E2" s="146">
        <v>1940000</v>
      </c>
    </row>
    <row r="3" spans="1:15" x14ac:dyDescent="0.4">
      <c r="C3">
        <v>355</v>
      </c>
      <c r="E3" s="146">
        <v>3300000</v>
      </c>
      <c r="M3" s="145"/>
      <c r="N3" s="146"/>
      <c r="O3" s="146"/>
    </row>
    <row r="4" spans="1:15" ht="34.799999999999997" x14ac:dyDescent="0.4">
      <c r="B4" t="s">
        <v>2480</v>
      </c>
      <c r="C4">
        <v>125</v>
      </c>
      <c r="D4" s="140" t="s">
        <v>2481</v>
      </c>
      <c r="E4" s="147">
        <v>1940000</v>
      </c>
      <c r="M4" s="145"/>
      <c r="N4" s="146"/>
      <c r="O4" s="146"/>
    </row>
    <row r="5" spans="1:15" x14ac:dyDescent="0.4">
      <c r="C5">
        <v>355</v>
      </c>
      <c r="E5" s="146">
        <v>3300000</v>
      </c>
    </row>
    <row r="6" spans="1:15" x14ac:dyDescent="0.4">
      <c r="C6">
        <v>125</v>
      </c>
      <c r="D6" t="s">
        <v>2482</v>
      </c>
      <c r="E6" s="146">
        <v>2060000</v>
      </c>
    </row>
    <row r="7" spans="1:15" x14ac:dyDescent="0.4">
      <c r="C7">
        <v>355</v>
      </c>
      <c r="E7" s="146">
        <v>3610000</v>
      </c>
    </row>
    <row r="8" spans="1:15" ht="34.799999999999997" x14ac:dyDescent="0.4">
      <c r="C8">
        <v>125</v>
      </c>
      <c r="D8" s="140" t="s">
        <v>2483</v>
      </c>
      <c r="E8" s="146">
        <v>2240000</v>
      </c>
    </row>
    <row r="9" spans="1:15" x14ac:dyDescent="0.4">
      <c r="C9">
        <v>355</v>
      </c>
      <c r="E9" s="146">
        <v>4100000</v>
      </c>
    </row>
    <row r="10" spans="1:15" x14ac:dyDescent="0.4">
      <c r="A10" t="s">
        <v>2484</v>
      </c>
      <c r="B10" t="s">
        <v>2485</v>
      </c>
      <c r="C10">
        <v>120</v>
      </c>
      <c r="D10" t="s">
        <v>2845</v>
      </c>
      <c r="E10" s="146">
        <v>397000</v>
      </c>
    </row>
    <row r="11" spans="1:15" x14ac:dyDescent="0.4">
      <c r="C11">
        <v>160</v>
      </c>
      <c r="E11" s="146">
        <v>587000</v>
      </c>
    </row>
    <row r="12" spans="1:15" x14ac:dyDescent="0.4">
      <c r="C12">
        <v>250</v>
      </c>
      <c r="E12" s="146">
        <v>897000</v>
      </c>
    </row>
    <row r="13" spans="1:15" x14ac:dyDescent="0.4">
      <c r="C13">
        <v>300</v>
      </c>
      <c r="E13" s="146">
        <v>1100000</v>
      </c>
    </row>
    <row r="14" spans="1:15" x14ac:dyDescent="0.4">
      <c r="C14">
        <v>350</v>
      </c>
      <c r="E14" s="146">
        <v>1520000</v>
      </c>
    </row>
    <row r="15" spans="1:15" x14ac:dyDescent="0.4">
      <c r="C15">
        <v>120</v>
      </c>
      <c r="D15" t="s">
        <v>2486</v>
      </c>
      <c r="E15" s="146">
        <v>690000</v>
      </c>
    </row>
    <row r="16" spans="1:15" x14ac:dyDescent="0.4">
      <c r="C16">
        <v>250</v>
      </c>
      <c r="E16" s="146">
        <v>1350000</v>
      </c>
    </row>
    <row r="17" spans="1:5" x14ac:dyDescent="0.4">
      <c r="C17">
        <v>300</v>
      </c>
      <c r="E17" s="146">
        <v>1590000</v>
      </c>
    </row>
    <row r="18" spans="1:5" x14ac:dyDescent="0.4">
      <c r="C18">
        <v>350</v>
      </c>
      <c r="E18" s="146">
        <v>1900000</v>
      </c>
    </row>
    <row r="19" spans="1:5" x14ac:dyDescent="0.4">
      <c r="A19" t="s">
        <v>2487</v>
      </c>
      <c r="B19" t="s">
        <v>2480</v>
      </c>
      <c r="C19">
        <v>135</v>
      </c>
      <c r="D19" t="s">
        <v>2488</v>
      </c>
      <c r="E19" s="146">
        <v>760000</v>
      </c>
    </row>
    <row r="20" spans="1:5" x14ac:dyDescent="0.4">
      <c r="C20">
        <v>300</v>
      </c>
      <c r="E20" s="146">
        <v>1590000</v>
      </c>
    </row>
    <row r="21" spans="1:5" x14ac:dyDescent="0.4">
      <c r="C21">
        <v>135</v>
      </c>
      <c r="D21" t="s">
        <v>2489</v>
      </c>
      <c r="E21" s="146">
        <v>930000</v>
      </c>
    </row>
    <row r="22" spans="1:5" x14ac:dyDescent="0.4">
      <c r="C22">
        <v>300</v>
      </c>
      <c r="E22" s="146">
        <v>1920000</v>
      </c>
    </row>
    <row r="23" spans="1:5" x14ac:dyDescent="0.4">
      <c r="C23">
        <v>300</v>
      </c>
      <c r="D23" t="s">
        <v>2490</v>
      </c>
      <c r="E23" s="146">
        <v>1920000</v>
      </c>
    </row>
    <row r="24" spans="1:5" x14ac:dyDescent="0.4">
      <c r="A24" t="s">
        <v>2491</v>
      </c>
      <c r="B24" t="s">
        <v>2480</v>
      </c>
      <c r="C24">
        <v>120</v>
      </c>
      <c r="D24" t="s">
        <v>2492</v>
      </c>
      <c r="E24" s="146">
        <v>710000</v>
      </c>
    </row>
    <row r="25" spans="1:5" x14ac:dyDescent="0.4">
      <c r="C25">
        <v>300</v>
      </c>
      <c r="E25" s="146">
        <v>1590000</v>
      </c>
    </row>
    <row r="26" spans="1:5" x14ac:dyDescent="0.4">
      <c r="B26" t="s">
        <v>2460</v>
      </c>
      <c r="C26">
        <v>90</v>
      </c>
      <c r="D26" t="s">
        <v>2493</v>
      </c>
      <c r="E26" s="146">
        <v>440000</v>
      </c>
    </row>
    <row r="27" spans="1:5" x14ac:dyDescent="0.4">
      <c r="B27" t="s">
        <v>2480</v>
      </c>
      <c r="C27">
        <v>120</v>
      </c>
      <c r="E27" s="146">
        <v>710000</v>
      </c>
    </row>
    <row r="28" spans="1:5" x14ac:dyDescent="0.4">
      <c r="C28">
        <v>300</v>
      </c>
      <c r="E28" s="146">
        <v>1590000</v>
      </c>
    </row>
    <row r="29" spans="1:5" x14ac:dyDescent="0.4">
      <c r="C29">
        <v>120</v>
      </c>
      <c r="D29" t="s">
        <v>2494</v>
      </c>
      <c r="E29" s="146">
        <v>710000</v>
      </c>
    </row>
    <row r="30" spans="1:5" x14ac:dyDescent="0.4">
      <c r="C30">
        <v>300</v>
      </c>
      <c r="E30" s="146">
        <v>1590000</v>
      </c>
    </row>
    <row r="31" spans="1:5" x14ac:dyDescent="0.4">
      <c r="C31">
        <v>120</v>
      </c>
      <c r="D31" t="s">
        <v>2495</v>
      </c>
      <c r="E31" s="146">
        <v>760000</v>
      </c>
    </row>
    <row r="32" spans="1:5" x14ac:dyDescent="0.4">
      <c r="C32">
        <v>320</v>
      </c>
      <c r="E32" s="147">
        <v>1820000</v>
      </c>
    </row>
    <row r="33" spans="1:5" x14ac:dyDescent="0.4">
      <c r="C33">
        <v>120</v>
      </c>
      <c r="D33" t="s">
        <v>2496</v>
      </c>
      <c r="E33" s="146">
        <v>1060000</v>
      </c>
    </row>
    <row r="34" spans="1:5" x14ac:dyDescent="0.4">
      <c r="C34">
        <v>320</v>
      </c>
      <c r="E34" s="146">
        <v>2710000</v>
      </c>
    </row>
    <row r="35" spans="1:5" x14ac:dyDescent="0.4">
      <c r="C35">
        <v>120</v>
      </c>
      <c r="D35" t="s">
        <v>2497</v>
      </c>
      <c r="E35" s="146">
        <v>1230000</v>
      </c>
    </row>
    <row r="36" spans="1:5" x14ac:dyDescent="0.4">
      <c r="C36">
        <v>320</v>
      </c>
      <c r="E36" s="146">
        <v>3070000</v>
      </c>
    </row>
    <row r="37" spans="1:5" x14ac:dyDescent="0.4">
      <c r="A37" t="s">
        <v>2498</v>
      </c>
      <c r="B37" t="s">
        <v>2499</v>
      </c>
      <c r="C37">
        <v>120</v>
      </c>
      <c r="D37" s="146" t="s">
        <v>2500</v>
      </c>
      <c r="E37" s="146">
        <v>700000</v>
      </c>
    </row>
    <row r="38" spans="1:5" x14ac:dyDescent="0.4">
      <c r="C38">
        <v>120</v>
      </c>
      <c r="D38" t="s">
        <v>2490</v>
      </c>
      <c r="E38" s="146">
        <v>930000</v>
      </c>
    </row>
    <row r="39" spans="1:5" x14ac:dyDescent="0.4">
      <c r="B39" t="s">
        <v>2480</v>
      </c>
      <c r="C39">
        <v>300</v>
      </c>
      <c r="D39">
        <v>50</v>
      </c>
      <c r="E39" s="146">
        <v>1520000</v>
      </c>
    </row>
    <row r="40" spans="1:5" x14ac:dyDescent="0.4">
      <c r="C40">
        <v>300</v>
      </c>
      <c r="D40" t="s">
        <v>2490</v>
      </c>
      <c r="E40" s="146">
        <v>1890000</v>
      </c>
    </row>
    <row r="41" spans="1:5" x14ac:dyDescent="0.4">
      <c r="A41" t="s">
        <v>2501</v>
      </c>
      <c r="B41" t="s">
        <v>2502</v>
      </c>
      <c r="C41">
        <v>100</v>
      </c>
      <c r="D41">
        <v>50</v>
      </c>
      <c r="E41" s="146">
        <v>760000</v>
      </c>
    </row>
    <row r="42" spans="1:5" x14ac:dyDescent="0.4">
      <c r="B42" t="s">
        <v>2480</v>
      </c>
      <c r="C42">
        <v>200</v>
      </c>
      <c r="D42">
        <v>50</v>
      </c>
      <c r="E42" s="146">
        <v>1820000</v>
      </c>
    </row>
    <row r="43" spans="1:5" x14ac:dyDescent="0.4">
      <c r="B43" t="s">
        <v>2502</v>
      </c>
      <c r="C43">
        <v>100</v>
      </c>
      <c r="D43">
        <v>10</v>
      </c>
      <c r="E43" s="146">
        <v>2580000</v>
      </c>
    </row>
    <row r="44" spans="1:5" x14ac:dyDescent="0.4">
      <c r="B44" t="s">
        <v>2480</v>
      </c>
      <c r="C44">
        <v>200</v>
      </c>
      <c r="E44" s="146">
        <v>1160000</v>
      </c>
    </row>
    <row r="45" spans="1:5" x14ac:dyDescent="0.4">
      <c r="B45" t="s">
        <v>2480</v>
      </c>
      <c r="C45">
        <v>100</v>
      </c>
      <c r="D45" t="s">
        <v>2490</v>
      </c>
      <c r="E45" s="146">
        <v>1050000</v>
      </c>
    </row>
    <row r="46" spans="1:5" x14ac:dyDescent="0.4">
      <c r="A46" t="s">
        <v>2503</v>
      </c>
      <c r="B46" t="s">
        <v>2478</v>
      </c>
      <c r="C46">
        <v>170</v>
      </c>
      <c r="D46" t="s">
        <v>2504</v>
      </c>
      <c r="E46" s="146">
        <v>990000</v>
      </c>
    </row>
    <row r="47" spans="1:5" x14ac:dyDescent="0.4">
      <c r="C47">
        <v>240</v>
      </c>
      <c r="E47" s="146">
        <v>1390000</v>
      </c>
    </row>
    <row r="48" spans="1:5" x14ac:dyDescent="0.4">
      <c r="C48">
        <v>320</v>
      </c>
      <c r="E48" s="146">
        <v>1890000</v>
      </c>
    </row>
    <row r="49" spans="1:5" ht="52.2" x14ac:dyDescent="0.4">
      <c r="C49">
        <v>240</v>
      </c>
      <c r="D49" s="140" t="s">
        <v>2505</v>
      </c>
      <c r="E49" s="146">
        <v>1460000</v>
      </c>
    </row>
    <row r="50" spans="1:5" x14ac:dyDescent="0.4">
      <c r="C50">
        <v>320</v>
      </c>
      <c r="E50" s="146">
        <v>1980000</v>
      </c>
    </row>
    <row r="51" spans="1:5" ht="34.799999999999997" x14ac:dyDescent="0.4">
      <c r="C51">
        <v>240</v>
      </c>
      <c r="D51" s="140" t="s">
        <v>2506</v>
      </c>
      <c r="E51" s="146">
        <v>1720000</v>
      </c>
    </row>
    <row r="52" spans="1:5" x14ac:dyDescent="0.4">
      <c r="C52">
        <v>320</v>
      </c>
      <c r="E52" s="146">
        <v>2280000</v>
      </c>
    </row>
    <row r="53" spans="1:5" x14ac:dyDescent="0.4">
      <c r="C53">
        <v>320</v>
      </c>
      <c r="D53" t="s">
        <v>2507</v>
      </c>
      <c r="E53" s="146">
        <v>2280000</v>
      </c>
    </row>
    <row r="54" spans="1:5" ht="34.799999999999997" x14ac:dyDescent="0.4">
      <c r="A54" t="s">
        <v>2508</v>
      </c>
      <c r="C54">
        <v>120</v>
      </c>
      <c r="D54" s="140" t="s">
        <v>2509</v>
      </c>
      <c r="E54" s="146">
        <v>660000</v>
      </c>
    </row>
    <row r="55" spans="1:5" x14ac:dyDescent="0.4">
      <c r="C55">
        <v>300</v>
      </c>
      <c r="E55" s="146">
        <v>1460000</v>
      </c>
    </row>
    <row r="56" spans="1:5" ht="34.799999999999997" x14ac:dyDescent="0.4">
      <c r="C56">
        <v>120</v>
      </c>
      <c r="D56" s="140" t="s">
        <v>2510</v>
      </c>
      <c r="E56" s="146">
        <v>660000</v>
      </c>
    </row>
    <row r="57" spans="1:5" x14ac:dyDescent="0.4">
      <c r="C57">
        <v>300</v>
      </c>
      <c r="E57" s="146">
        <v>1460000</v>
      </c>
    </row>
    <row r="58" spans="1:5" x14ac:dyDescent="0.4">
      <c r="B58" t="s">
        <v>2511</v>
      </c>
      <c r="C58">
        <v>600</v>
      </c>
      <c r="E58" s="146">
        <v>2970000</v>
      </c>
    </row>
    <row r="59" spans="1:5" ht="34.799999999999997" x14ac:dyDescent="0.4">
      <c r="A59" t="s">
        <v>2512</v>
      </c>
      <c r="B59" t="s">
        <v>2480</v>
      </c>
      <c r="C59">
        <v>135</v>
      </c>
      <c r="D59" s="140" t="s">
        <v>2513</v>
      </c>
      <c r="E59" s="146">
        <v>800000</v>
      </c>
    </row>
    <row r="60" spans="1:5" x14ac:dyDescent="0.4">
      <c r="C60">
        <v>240</v>
      </c>
      <c r="E60" s="146">
        <v>1320000</v>
      </c>
    </row>
    <row r="61" spans="1:5" x14ac:dyDescent="0.4">
      <c r="C61">
        <v>350</v>
      </c>
      <c r="E61" s="146">
        <v>1890000</v>
      </c>
    </row>
    <row r="62" spans="1:5" x14ac:dyDescent="0.4">
      <c r="C62">
        <v>135</v>
      </c>
      <c r="D62" t="s">
        <v>2514</v>
      </c>
      <c r="E62" s="146">
        <v>990000</v>
      </c>
    </row>
    <row r="63" spans="1:5" x14ac:dyDescent="0.4">
      <c r="C63">
        <v>240</v>
      </c>
      <c r="E63" s="146">
        <v>1690000</v>
      </c>
    </row>
    <row r="64" spans="1:5" x14ac:dyDescent="0.4">
      <c r="C64">
        <v>350</v>
      </c>
      <c r="E64" s="146">
        <v>2410000</v>
      </c>
    </row>
    <row r="65" spans="1:5" x14ac:dyDescent="0.4">
      <c r="C65">
        <v>135</v>
      </c>
      <c r="D65" t="s">
        <v>2515</v>
      </c>
      <c r="E65" s="146">
        <v>1060000</v>
      </c>
    </row>
    <row r="66" spans="1:5" x14ac:dyDescent="0.4">
      <c r="C66">
        <v>240</v>
      </c>
      <c r="E66" s="146">
        <v>1820000</v>
      </c>
    </row>
    <row r="67" spans="1:5" x14ac:dyDescent="0.4">
      <c r="C67">
        <v>350</v>
      </c>
      <c r="E67" s="146">
        <v>2610000</v>
      </c>
    </row>
    <row r="68" spans="1:5" x14ac:dyDescent="0.4">
      <c r="A68" t="s">
        <v>2516</v>
      </c>
      <c r="B68" t="s">
        <v>2478</v>
      </c>
      <c r="C68">
        <v>120</v>
      </c>
      <c r="D68" t="s">
        <v>2517</v>
      </c>
      <c r="E68" s="146">
        <v>660000</v>
      </c>
    </row>
    <row r="69" spans="1:5" x14ac:dyDescent="0.4">
      <c r="C69">
        <v>240</v>
      </c>
      <c r="E69" s="146">
        <v>1320000</v>
      </c>
    </row>
    <row r="70" spans="1:5" x14ac:dyDescent="0.4">
      <c r="C70">
        <v>300</v>
      </c>
      <c r="E70" s="126">
        <v>1500000</v>
      </c>
    </row>
    <row r="71" spans="1:5" x14ac:dyDescent="0.4">
      <c r="B71" t="s">
        <v>2460</v>
      </c>
      <c r="C71">
        <v>300</v>
      </c>
      <c r="E71" s="146">
        <v>1420000</v>
      </c>
    </row>
    <row r="72" spans="1:5" x14ac:dyDescent="0.4">
      <c r="C72">
        <v>90</v>
      </c>
      <c r="D72" t="s">
        <v>2518</v>
      </c>
      <c r="E72" s="146">
        <v>470000</v>
      </c>
    </row>
    <row r="73" spans="1:5" x14ac:dyDescent="0.4">
      <c r="B73" t="s">
        <v>2478</v>
      </c>
      <c r="C73">
        <v>120</v>
      </c>
      <c r="E73" s="146">
        <v>660000</v>
      </c>
    </row>
    <row r="74" spans="1:5" x14ac:dyDescent="0.4">
      <c r="C74">
        <v>240</v>
      </c>
      <c r="E74" s="146">
        <v>1320000</v>
      </c>
    </row>
    <row r="75" spans="1:5" x14ac:dyDescent="0.4">
      <c r="A75" t="s">
        <v>2519</v>
      </c>
      <c r="B75" t="s">
        <v>2480</v>
      </c>
      <c r="C75">
        <v>100</v>
      </c>
      <c r="D75" t="s">
        <v>2520</v>
      </c>
      <c r="E75" s="146">
        <v>700000</v>
      </c>
    </row>
    <row r="76" spans="1:5" x14ac:dyDescent="0.4">
      <c r="C76">
        <v>200</v>
      </c>
      <c r="E76" s="146">
        <v>1090000</v>
      </c>
    </row>
    <row r="77" spans="1:5" x14ac:dyDescent="0.4">
      <c r="C77">
        <v>300</v>
      </c>
      <c r="E77" s="146">
        <v>1560000</v>
      </c>
    </row>
    <row r="78" spans="1:5" x14ac:dyDescent="0.4">
      <c r="C78">
        <v>100</v>
      </c>
      <c r="D78" t="s">
        <v>2521</v>
      </c>
      <c r="E78" s="146">
        <v>760000</v>
      </c>
    </row>
    <row r="79" spans="1:5" x14ac:dyDescent="0.4">
      <c r="C79">
        <v>200</v>
      </c>
      <c r="E79" s="146">
        <v>1260000</v>
      </c>
    </row>
    <row r="80" spans="1:5" x14ac:dyDescent="0.4">
      <c r="C80">
        <v>300</v>
      </c>
      <c r="E80" s="146">
        <v>1820000</v>
      </c>
    </row>
    <row r="81" spans="1:5" x14ac:dyDescent="0.4">
      <c r="C81">
        <v>100</v>
      </c>
      <c r="D81" t="s">
        <v>2490</v>
      </c>
      <c r="E81" s="146">
        <v>830000</v>
      </c>
    </row>
    <row r="82" spans="1:5" x14ac:dyDescent="0.4">
      <c r="C82">
        <v>200</v>
      </c>
      <c r="E82" s="146">
        <v>1320000</v>
      </c>
    </row>
    <row r="83" spans="1:5" x14ac:dyDescent="0.4">
      <c r="C83">
        <v>300</v>
      </c>
      <c r="E83" s="146">
        <v>1920000</v>
      </c>
    </row>
    <row r="84" spans="1:5" x14ac:dyDescent="0.4">
      <c r="A84" t="s">
        <v>2522</v>
      </c>
      <c r="B84" t="s">
        <v>2480</v>
      </c>
      <c r="C84">
        <v>110</v>
      </c>
      <c r="D84" t="s">
        <v>2846</v>
      </c>
      <c r="E84" s="146">
        <v>1650000</v>
      </c>
    </row>
    <row r="85" spans="1:5" x14ac:dyDescent="0.4">
      <c r="B85" t="s">
        <v>2459</v>
      </c>
      <c r="C85">
        <v>240</v>
      </c>
      <c r="E85" s="146">
        <v>2380000</v>
      </c>
    </row>
    <row r="86" spans="1:5" x14ac:dyDescent="0.4">
      <c r="B86" t="s">
        <v>2480</v>
      </c>
      <c r="C86">
        <v>310</v>
      </c>
      <c r="E86" s="146">
        <v>2780000</v>
      </c>
    </row>
    <row r="87" spans="1:5" x14ac:dyDescent="0.4">
      <c r="C87">
        <v>110</v>
      </c>
      <c r="D87" t="s">
        <v>2847</v>
      </c>
      <c r="E87" s="146">
        <v>1820000</v>
      </c>
    </row>
    <row r="88" spans="1:5" x14ac:dyDescent="0.4">
      <c r="C88">
        <v>310</v>
      </c>
      <c r="E88" s="146">
        <v>3100000</v>
      </c>
    </row>
    <row r="89" spans="1:5" ht="34.799999999999997" x14ac:dyDescent="0.4">
      <c r="C89">
        <v>130</v>
      </c>
      <c r="D89" s="140" t="s">
        <v>2848</v>
      </c>
      <c r="E89" s="146">
        <v>1820000</v>
      </c>
    </row>
    <row r="90" spans="1:5" x14ac:dyDescent="0.4">
      <c r="C90">
        <v>310</v>
      </c>
      <c r="E90" s="146">
        <v>3100000</v>
      </c>
    </row>
    <row r="91" spans="1:5" x14ac:dyDescent="0.4">
      <c r="C91">
        <v>110</v>
      </c>
      <c r="D91" t="s">
        <v>2849</v>
      </c>
      <c r="E91" s="146">
        <v>1920000</v>
      </c>
    </row>
    <row r="92" spans="1:5" x14ac:dyDescent="0.4">
      <c r="C92">
        <v>310</v>
      </c>
      <c r="E92" s="146">
        <v>3370000</v>
      </c>
    </row>
    <row r="93" spans="1:5" ht="52.2" x14ac:dyDescent="0.4">
      <c r="C93">
        <v>110</v>
      </c>
      <c r="D93" s="140" t="s">
        <v>2850</v>
      </c>
      <c r="E93" s="146">
        <v>2120000</v>
      </c>
    </row>
    <row r="94" spans="1:5" x14ac:dyDescent="0.4">
      <c r="C94">
        <v>310</v>
      </c>
      <c r="E94" s="146">
        <v>3870000</v>
      </c>
    </row>
    <row r="95" spans="1:5" x14ac:dyDescent="0.4">
      <c r="A95" t="s">
        <v>2523</v>
      </c>
      <c r="B95" t="s">
        <v>2459</v>
      </c>
      <c r="C95">
        <v>135</v>
      </c>
      <c r="D95" t="s">
        <v>2520</v>
      </c>
      <c r="E95" s="146">
        <v>930000</v>
      </c>
    </row>
    <row r="96" spans="1:5" x14ac:dyDescent="0.4">
      <c r="C96">
        <v>250</v>
      </c>
      <c r="E96" s="146">
        <v>1590000</v>
      </c>
    </row>
    <row r="97" spans="1:5" x14ac:dyDescent="0.4">
      <c r="C97">
        <v>350</v>
      </c>
      <c r="E97" s="146">
        <v>2280000</v>
      </c>
    </row>
    <row r="98" spans="1:5" x14ac:dyDescent="0.4">
      <c r="A98" t="s">
        <v>2851</v>
      </c>
      <c r="C98">
        <v>135</v>
      </c>
      <c r="E98" s="146">
        <v>863000</v>
      </c>
    </row>
    <row r="99" spans="1:5" x14ac:dyDescent="0.4">
      <c r="C99">
        <v>250</v>
      </c>
      <c r="E99" s="146">
        <v>1520000</v>
      </c>
    </row>
    <row r="100" spans="1:5" x14ac:dyDescent="0.4">
      <c r="B100" t="s">
        <v>2852</v>
      </c>
      <c r="C100">
        <v>350</v>
      </c>
      <c r="E100" s="146">
        <v>1060000</v>
      </c>
    </row>
    <row r="101" spans="1:5" x14ac:dyDescent="0.4">
      <c r="B101" t="s">
        <v>2478</v>
      </c>
      <c r="C101">
        <v>350</v>
      </c>
      <c r="E101" s="146">
        <v>1800000</v>
      </c>
    </row>
    <row r="102" spans="1:5" x14ac:dyDescent="0.4">
      <c r="A102" t="s">
        <v>2524</v>
      </c>
      <c r="B102" t="s">
        <v>2459</v>
      </c>
      <c r="C102">
        <v>135</v>
      </c>
      <c r="E102" s="146">
        <v>630000</v>
      </c>
    </row>
    <row r="103" spans="1:5" x14ac:dyDescent="0.4">
      <c r="C103">
        <v>200</v>
      </c>
      <c r="E103" s="146">
        <v>900000</v>
      </c>
    </row>
    <row r="104" spans="1:5" x14ac:dyDescent="0.4">
      <c r="B104" t="s">
        <v>2360</v>
      </c>
      <c r="C104">
        <v>135</v>
      </c>
      <c r="D104" t="s">
        <v>2805</v>
      </c>
      <c r="E104" s="146">
        <v>300000</v>
      </c>
    </row>
    <row r="105" spans="1:5" x14ac:dyDescent="0.4">
      <c r="C105">
        <v>200</v>
      </c>
      <c r="D105" t="s">
        <v>2805</v>
      </c>
      <c r="E105" s="146">
        <v>420000</v>
      </c>
    </row>
    <row r="106" spans="1:5" x14ac:dyDescent="0.4">
      <c r="B106" t="s">
        <v>2806</v>
      </c>
      <c r="C106">
        <v>250</v>
      </c>
      <c r="E106" s="146">
        <v>820000</v>
      </c>
    </row>
    <row r="107" spans="1:5" x14ac:dyDescent="0.4">
      <c r="B107" t="s">
        <v>2852</v>
      </c>
      <c r="C107">
        <v>350</v>
      </c>
      <c r="E107" s="146">
        <v>828000</v>
      </c>
    </row>
    <row r="108" spans="1:5" x14ac:dyDescent="0.4">
      <c r="B108" t="s">
        <v>2853</v>
      </c>
      <c r="C108">
        <v>350</v>
      </c>
      <c r="E108" s="146">
        <v>1140000</v>
      </c>
    </row>
    <row r="109" spans="1:5" x14ac:dyDescent="0.4">
      <c r="A109" t="s">
        <v>2525</v>
      </c>
      <c r="B109" t="s">
        <v>2459</v>
      </c>
      <c r="C109">
        <v>250</v>
      </c>
      <c r="E109" s="146">
        <v>1590000</v>
      </c>
    </row>
    <row r="110" spans="1:5" x14ac:dyDescent="0.4">
      <c r="C110">
        <v>350</v>
      </c>
      <c r="E110" s="146">
        <v>2280000</v>
      </c>
    </row>
    <row r="111" spans="1:5" x14ac:dyDescent="0.4">
      <c r="A111" t="s">
        <v>2526</v>
      </c>
      <c r="B111" t="s">
        <v>2528</v>
      </c>
      <c r="C111">
        <v>300</v>
      </c>
      <c r="D111" t="s">
        <v>2527</v>
      </c>
      <c r="E111" s="146">
        <v>2050000</v>
      </c>
    </row>
    <row r="112" spans="1:5" x14ac:dyDescent="0.4">
      <c r="B112" t="s">
        <v>2480</v>
      </c>
      <c r="C112">
        <v>480</v>
      </c>
      <c r="E112" s="146">
        <v>3770000</v>
      </c>
    </row>
    <row r="113" spans="1:5" x14ac:dyDescent="0.4">
      <c r="C113">
        <v>600</v>
      </c>
      <c r="E113" s="146">
        <v>4760000</v>
      </c>
    </row>
    <row r="114" spans="1:5" x14ac:dyDescent="0.4">
      <c r="C114">
        <v>900</v>
      </c>
      <c r="E114" s="146">
        <v>7920000</v>
      </c>
    </row>
    <row r="115" spans="1:5" x14ac:dyDescent="0.4">
      <c r="B115" t="s">
        <v>2528</v>
      </c>
      <c r="C115">
        <v>300</v>
      </c>
      <c r="D115" t="s">
        <v>2529</v>
      </c>
      <c r="E115" s="146">
        <v>2050000</v>
      </c>
    </row>
    <row r="116" spans="1:5" x14ac:dyDescent="0.4">
      <c r="C116">
        <v>600</v>
      </c>
      <c r="E116" s="146">
        <v>4760000</v>
      </c>
    </row>
    <row r="117" spans="1:5" x14ac:dyDescent="0.4">
      <c r="A117" t="s">
        <v>2530</v>
      </c>
      <c r="B117" t="s">
        <v>2459</v>
      </c>
      <c r="C117">
        <v>135</v>
      </c>
      <c r="D117" t="s">
        <v>2520</v>
      </c>
      <c r="E117" s="146">
        <v>620000</v>
      </c>
    </row>
    <row r="118" spans="1:5" x14ac:dyDescent="0.4">
      <c r="C118">
        <v>160</v>
      </c>
      <c r="E118" s="146">
        <v>7250000</v>
      </c>
    </row>
    <row r="119" spans="1:5" x14ac:dyDescent="0.4">
      <c r="C119">
        <v>200</v>
      </c>
      <c r="E119" s="146">
        <v>900000</v>
      </c>
    </row>
    <row r="120" spans="1:5" x14ac:dyDescent="0.4">
      <c r="C120">
        <v>250</v>
      </c>
      <c r="E120" s="146">
        <v>990000</v>
      </c>
    </row>
    <row r="121" spans="1:5" x14ac:dyDescent="0.4">
      <c r="B121" t="s">
        <v>2852</v>
      </c>
      <c r="C121">
        <v>350</v>
      </c>
      <c r="E121" s="146">
        <v>830000</v>
      </c>
    </row>
    <row r="122" spans="1:5" x14ac:dyDescent="0.4">
      <c r="B122" t="s">
        <v>2360</v>
      </c>
      <c r="C122">
        <v>135</v>
      </c>
      <c r="D122" t="s">
        <v>2805</v>
      </c>
      <c r="E122" s="146">
        <v>330000</v>
      </c>
    </row>
    <row r="123" spans="1:5" x14ac:dyDescent="0.4">
      <c r="C123">
        <v>160</v>
      </c>
      <c r="D123" t="s">
        <v>2805</v>
      </c>
      <c r="E123" s="146">
        <v>390000</v>
      </c>
    </row>
    <row r="124" spans="1:5" x14ac:dyDescent="0.4">
      <c r="C124">
        <v>200</v>
      </c>
      <c r="D124" t="s">
        <v>2805</v>
      </c>
      <c r="E124" s="146">
        <v>450000</v>
      </c>
    </row>
    <row r="125" spans="1:5" x14ac:dyDescent="0.4">
      <c r="C125">
        <v>250</v>
      </c>
      <c r="E125" s="146">
        <v>690000</v>
      </c>
    </row>
    <row r="126" spans="1:5" x14ac:dyDescent="0.4">
      <c r="C126">
        <v>350</v>
      </c>
      <c r="E126" s="146">
        <v>1140000</v>
      </c>
    </row>
    <row r="127" spans="1:5" x14ac:dyDescent="0.4">
      <c r="A127" t="s">
        <v>2531</v>
      </c>
      <c r="B127" t="s">
        <v>2459</v>
      </c>
      <c r="C127">
        <v>135</v>
      </c>
      <c r="D127" t="s">
        <v>2520</v>
      </c>
      <c r="E127" s="146">
        <v>870000</v>
      </c>
    </row>
    <row r="128" spans="1:5" x14ac:dyDescent="0.4">
      <c r="C128">
        <v>250</v>
      </c>
      <c r="E128" s="146">
        <v>1520000</v>
      </c>
    </row>
    <row r="129" spans="1:5" x14ac:dyDescent="0.4">
      <c r="C129">
        <v>350</v>
      </c>
      <c r="E129" s="146">
        <v>2110000</v>
      </c>
    </row>
    <row r="130" spans="1:5" x14ac:dyDescent="0.4">
      <c r="B130" t="s">
        <v>2360</v>
      </c>
      <c r="C130">
        <v>250</v>
      </c>
      <c r="D130" t="s">
        <v>2805</v>
      </c>
      <c r="E130" s="146">
        <v>870000</v>
      </c>
    </row>
    <row r="131" spans="1:5" x14ac:dyDescent="0.4">
      <c r="A131" t="s">
        <v>2532</v>
      </c>
      <c r="B131" t="s">
        <v>2533</v>
      </c>
      <c r="C131">
        <v>120</v>
      </c>
      <c r="D131" t="s">
        <v>2534</v>
      </c>
      <c r="E131" s="146">
        <v>630000</v>
      </c>
    </row>
    <row r="132" spans="1:5" x14ac:dyDescent="0.4">
      <c r="B132" t="s">
        <v>2459</v>
      </c>
      <c r="C132">
        <v>240</v>
      </c>
      <c r="E132" s="146">
        <v>1230000</v>
      </c>
    </row>
    <row r="133" spans="1:5" x14ac:dyDescent="0.4">
      <c r="C133">
        <v>300</v>
      </c>
      <c r="E133" s="146">
        <v>1460000</v>
      </c>
    </row>
    <row r="134" spans="1:5" ht="69.599999999999994" x14ac:dyDescent="0.4">
      <c r="B134" t="s">
        <v>2533</v>
      </c>
      <c r="C134">
        <v>120</v>
      </c>
      <c r="D134" s="140" t="s">
        <v>2854</v>
      </c>
      <c r="E134" s="146">
        <v>680000</v>
      </c>
    </row>
    <row r="135" spans="1:5" x14ac:dyDescent="0.4">
      <c r="B135" t="s">
        <v>2459</v>
      </c>
      <c r="C135">
        <v>240</v>
      </c>
      <c r="E135" s="146">
        <v>1320000</v>
      </c>
    </row>
    <row r="136" spans="1:5" x14ac:dyDescent="0.4">
      <c r="C136">
        <v>300</v>
      </c>
      <c r="E136" s="146">
        <v>1590000</v>
      </c>
    </row>
    <row r="137" spans="1:5" ht="34.799999999999997" x14ac:dyDescent="0.4">
      <c r="B137" t="s">
        <v>2533</v>
      </c>
      <c r="C137">
        <v>120</v>
      </c>
      <c r="D137" s="140" t="s">
        <v>2855</v>
      </c>
      <c r="E137" s="146">
        <v>680000</v>
      </c>
    </row>
    <row r="138" spans="1:5" x14ac:dyDescent="0.4">
      <c r="B138" t="s">
        <v>2459</v>
      </c>
      <c r="C138">
        <v>300</v>
      </c>
      <c r="E138" s="146">
        <v>1590000</v>
      </c>
    </row>
    <row r="139" spans="1:5" ht="69.599999999999994" x14ac:dyDescent="0.4">
      <c r="B139" t="s">
        <v>2533</v>
      </c>
      <c r="C139">
        <v>120</v>
      </c>
      <c r="D139" s="140" t="s">
        <v>2856</v>
      </c>
      <c r="E139" s="146">
        <v>960000</v>
      </c>
    </row>
    <row r="140" spans="1:5" x14ac:dyDescent="0.4">
      <c r="B140" t="s">
        <v>2459</v>
      </c>
      <c r="C140">
        <v>240</v>
      </c>
      <c r="E140" s="146">
        <v>1890000</v>
      </c>
    </row>
    <row r="141" spans="1:5" x14ac:dyDescent="0.4">
      <c r="C141">
        <v>300</v>
      </c>
      <c r="E141" s="146">
        <v>2010000</v>
      </c>
    </row>
    <row r="142" spans="1:5" ht="34.799999999999997" x14ac:dyDescent="0.4">
      <c r="B142" t="s">
        <v>2533</v>
      </c>
      <c r="C142">
        <v>120</v>
      </c>
      <c r="D142" s="140" t="s">
        <v>2857</v>
      </c>
      <c r="E142" s="146">
        <v>960000</v>
      </c>
    </row>
    <row r="143" spans="1:5" x14ac:dyDescent="0.4">
      <c r="B143" t="s">
        <v>2459</v>
      </c>
      <c r="C143">
        <v>300</v>
      </c>
      <c r="E143" s="146">
        <v>2210000</v>
      </c>
    </row>
    <row r="144" spans="1:5" x14ac:dyDescent="0.4">
      <c r="A144" t="s">
        <v>2535</v>
      </c>
      <c r="B144" t="s">
        <v>2480</v>
      </c>
      <c r="C144">
        <v>130</v>
      </c>
      <c r="D144" t="s">
        <v>2536</v>
      </c>
      <c r="E144" s="146">
        <v>1950000</v>
      </c>
    </row>
    <row r="145" spans="1:5" x14ac:dyDescent="0.4">
      <c r="B145" t="s">
        <v>2394</v>
      </c>
      <c r="C145">
        <v>240</v>
      </c>
      <c r="E145" s="146">
        <v>2580000</v>
      </c>
    </row>
    <row r="146" spans="1:5" x14ac:dyDescent="0.4">
      <c r="B146" t="s">
        <v>2480</v>
      </c>
      <c r="C146">
        <v>310</v>
      </c>
      <c r="E146" s="146">
        <v>2810000</v>
      </c>
    </row>
    <row r="147" spans="1:5" ht="34.799999999999997" x14ac:dyDescent="0.4">
      <c r="B147" t="s">
        <v>2480</v>
      </c>
      <c r="C147">
        <v>130</v>
      </c>
      <c r="D147" s="140" t="s">
        <v>2537</v>
      </c>
      <c r="E147" s="146">
        <v>1690000</v>
      </c>
    </row>
    <row r="148" spans="1:5" x14ac:dyDescent="0.4">
      <c r="B148" t="s">
        <v>2394</v>
      </c>
      <c r="C148">
        <v>240</v>
      </c>
      <c r="E148" s="146">
        <v>2710000</v>
      </c>
    </row>
    <row r="149" spans="1:5" x14ac:dyDescent="0.4">
      <c r="B149" t="s">
        <v>2480</v>
      </c>
      <c r="C149">
        <v>310</v>
      </c>
      <c r="E149" s="146">
        <v>2970000</v>
      </c>
    </row>
    <row r="150" spans="1:5" x14ac:dyDescent="0.4">
      <c r="C150">
        <v>130</v>
      </c>
      <c r="D150" t="s">
        <v>2538</v>
      </c>
      <c r="E150" s="146">
        <v>1690000</v>
      </c>
    </row>
    <row r="151" spans="1:5" x14ac:dyDescent="0.4">
      <c r="C151">
        <v>310</v>
      </c>
      <c r="E151" s="146">
        <v>2970000</v>
      </c>
    </row>
    <row r="152" spans="1:5" x14ac:dyDescent="0.4">
      <c r="C152">
        <v>110</v>
      </c>
      <c r="D152" t="s">
        <v>2539</v>
      </c>
      <c r="E152" s="146">
        <v>1920000</v>
      </c>
    </row>
    <row r="153" spans="1:5" x14ac:dyDescent="0.4">
      <c r="B153" t="s">
        <v>2459</v>
      </c>
      <c r="C153">
        <v>240</v>
      </c>
      <c r="E153" s="146">
        <v>3520000</v>
      </c>
    </row>
    <row r="154" spans="1:5" x14ac:dyDescent="0.4">
      <c r="B154" t="s">
        <v>2480</v>
      </c>
      <c r="C154">
        <v>310</v>
      </c>
      <c r="E154" s="146">
        <v>3900000</v>
      </c>
    </row>
    <row r="155" spans="1:5" ht="34.799999999999997" x14ac:dyDescent="0.4">
      <c r="C155">
        <v>130</v>
      </c>
      <c r="D155" s="140" t="s">
        <v>2540</v>
      </c>
      <c r="E155" s="146">
        <v>1920000</v>
      </c>
    </row>
    <row r="156" spans="1:5" x14ac:dyDescent="0.4">
      <c r="C156">
        <v>310</v>
      </c>
      <c r="E156" s="146">
        <v>3900000</v>
      </c>
    </row>
    <row r="157" spans="1:5" x14ac:dyDescent="0.4">
      <c r="A157" t="s">
        <v>2541</v>
      </c>
      <c r="B157" t="s">
        <v>2499</v>
      </c>
      <c r="C157">
        <v>120</v>
      </c>
      <c r="D157" t="s">
        <v>2542</v>
      </c>
      <c r="E157" s="146">
        <v>700000</v>
      </c>
    </row>
    <row r="158" spans="1:5" x14ac:dyDescent="0.4">
      <c r="B158" t="s">
        <v>2499</v>
      </c>
      <c r="C158">
        <v>120</v>
      </c>
      <c r="D158" t="s">
        <v>2490</v>
      </c>
      <c r="E158" s="146">
        <v>960000</v>
      </c>
    </row>
    <row r="159" spans="1:5" ht="34.799999999999997" x14ac:dyDescent="0.4">
      <c r="A159" t="s">
        <v>2543</v>
      </c>
      <c r="B159" t="s">
        <v>2480</v>
      </c>
      <c r="C159">
        <v>110</v>
      </c>
      <c r="D159" s="140" t="s">
        <v>2544</v>
      </c>
      <c r="E159" s="146">
        <v>1650000</v>
      </c>
    </row>
    <row r="160" spans="1:5" x14ac:dyDescent="0.4">
      <c r="B160" t="s">
        <v>2459</v>
      </c>
      <c r="C160">
        <v>240</v>
      </c>
      <c r="E160" s="146">
        <v>2320000</v>
      </c>
    </row>
    <row r="161" spans="1:5" x14ac:dyDescent="0.4">
      <c r="B161" t="s">
        <v>2480</v>
      </c>
      <c r="C161">
        <v>310</v>
      </c>
      <c r="E161" s="146">
        <v>2810000</v>
      </c>
    </row>
    <row r="162" spans="1:5" x14ac:dyDescent="0.4">
      <c r="B162" t="s">
        <v>2459</v>
      </c>
      <c r="C162">
        <v>240</v>
      </c>
      <c r="D162" t="s">
        <v>2807</v>
      </c>
      <c r="E162" s="146">
        <v>3000000</v>
      </c>
    </row>
    <row r="163" spans="1:5" ht="34.799999999999997" x14ac:dyDescent="0.4">
      <c r="A163" t="s">
        <v>2545</v>
      </c>
      <c r="B163" t="s">
        <v>2480</v>
      </c>
      <c r="C163">
        <v>120</v>
      </c>
      <c r="D163" s="140" t="s">
        <v>2546</v>
      </c>
      <c r="E163" s="146">
        <v>1590000</v>
      </c>
    </row>
    <row r="164" spans="1:5" x14ac:dyDescent="0.4">
      <c r="C164">
        <v>300</v>
      </c>
      <c r="E164" s="146">
        <v>2310000</v>
      </c>
    </row>
    <row r="165" spans="1:5" x14ac:dyDescent="0.4">
      <c r="C165">
        <v>310</v>
      </c>
      <c r="D165" t="s">
        <v>2547</v>
      </c>
      <c r="E165" s="146">
        <v>3040000</v>
      </c>
    </row>
    <row r="166" spans="1:5" x14ac:dyDescent="0.4">
      <c r="C166">
        <v>100</v>
      </c>
      <c r="D166" t="s">
        <v>2548</v>
      </c>
      <c r="E166" s="146">
        <v>1820000</v>
      </c>
    </row>
    <row r="167" spans="1:5" x14ac:dyDescent="0.4">
      <c r="C167">
        <v>300</v>
      </c>
      <c r="E167" s="146">
        <v>3040000</v>
      </c>
    </row>
    <row r="168" spans="1:5" x14ac:dyDescent="0.4">
      <c r="C168">
        <v>120</v>
      </c>
      <c r="D168" t="s">
        <v>2549</v>
      </c>
      <c r="E168" s="146">
        <v>1820000</v>
      </c>
    </row>
    <row r="169" spans="1:5" x14ac:dyDescent="0.4">
      <c r="C169">
        <v>300</v>
      </c>
      <c r="E169" s="146">
        <v>3040000</v>
      </c>
    </row>
    <row r="170" spans="1:5" x14ac:dyDescent="0.4">
      <c r="A170" t="s">
        <v>2550</v>
      </c>
      <c r="C170">
        <v>330</v>
      </c>
      <c r="D170" t="s">
        <v>2551</v>
      </c>
      <c r="E170" s="146">
        <v>1980000</v>
      </c>
    </row>
    <row r="171" spans="1:5" x14ac:dyDescent="0.4">
      <c r="C171">
        <v>530</v>
      </c>
      <c r="E171" s="146">
        <v>3100000</v>
      </c>
    </row>
    <row r="172" spans="1:5" x14ac:dyDescent="0.4">
      <c r="C172">
        <v>330</v>
      </c>
      <c r="D172" t="s">
        <v>2486</v>
      </c>
      <c r="E172" s="146">
        <v>2350000</v>
      </c>
    </row>
    <row r="173" spans="1:5" x14ac:dyDescent="0.4">
      <c r="C173">
        <v>530</v>
      </c>
      <c r="E173" s="146">
        <v>3570000</v>
      </c>
    </row>
    <row r="174" spans="1:5" x14ac:dyDescent="0.4">
      <c r="A174" t="s">
        <v>2552</v>
      </c>
      <c r="C174">
        <v>120</v>
      </c>
      <c r="D174" t="s">
        <v>2553</v>
      </c>
      <c r="E174" s="146">
        <v>600000</v>
      </c>
    </row>
    <row r="175" spans="1:5" x14ac:dyDescent="0.4">
      <c r="C175">
        <v>240</v>
      </c>
      <c r="E175" s="146">
        <v>1290000</v>
      </c>
    </row>
    <row r="176" spans="1:5" x14ac:dyDescent="0.4">
      <c r="C176">
        <v>300</v>
      </c>
      <c r="E176" s="146">
        <v>1560000</v>
      </c>
    </row>
    <row r="177" spans="1:5" ht="52.2" x14ac:dyDescent="0.4">
      <c r="C177">
        <v>120</v>
      </c>
      <c r="D177" s="140" t="s">
        <v>2554</v>
      </c>
      <c r="E177" s="146">
        <v>700000</v>
      </c>
    </row>
    <row r="178" spans="1:5" x14ac:dyDescent="0.4">
      <c r="C178">
        <v>240</v>
      </c>
      <c r="E178" s="146">
        <v>1320000</v>
      </c>
    </row>
    <row r="179" spans="1:5" x14ac:dyDescent="0.4">
      <c r="C179">
        <v>300</v>
      </c>
      <c r="E179" s="146">
        <v>1620000</v>
      </c>
    </row>
    <row r="180" spans="1:5" x14ac:dyDescent="0.4">
      <c r="C180">
        <v>120</v>
      </c>
      <c r="D180" t="s">
        <v>2555</v>
      </c>
      <c r="E180" s="146">
        <v>840000</v>
      </c>
    </row>
    <row r="181" spans="1:5" x14ac:dyDescent="0.4">
      <c r="C181">
        <v>240</v>
      </c>
      <c r="E181" s="146">
        <v>1530000</v>
      </c>
    </row>
    <row r="182" spans="1:5" x14ac:dyDescent="0.4">
      <c r="C182">
        <v>300</v>
      </c>
      <c r="E182" s="146">
        <v>1950000</v>
      </c>
    </row>
    <row r="183" spans="1:5" x14ac:dyDescent="0.4">
      <c r="A183" t="s">
        <v>2556</v>
      </c>
      <c r="B183" t="s">
        <v>2792</v>
      </c>
      <c r="C183">
        <v>150</v>
      </c>
      <c r="D183" t="s">
        <v>2557</v>
      </c>
      <c r="E183" t="s">
        <v>2858</v>
      </c>
    </row>
    <row r="184" spans="1:5" x14ac:dyDescent="0.4">
      <c r="A184" t="s">
        <v>2556</v>
      </c>
      <c r="B184" t="s">
        <v>2511</v>
      </c>
      <c r="C184">
        <v>150</v>
      </c>
      <c r="E184" s="146">
        <v>4250000</v>
      </c>
    </row>
    <row r="185" spans="1:5" x14ac:dyDescent="0.4">
      <c r="A185" t="s">
        <v>2558</v>
      </c>
      <c r="B185" t="s">
        <v>2792</v>
      </c>
      <c r="C185">
        <v>160</v>
      </c>
      <c r="E185" s="146" t="s">
        <v>2859</v>
      </c>
    </row>
    <row r="186" spans="1:5" x14ac:dyDescent="0.4">
      <c r="A186" t="s">
        <v>2558</v>
      </c>
      <c r="B186" t="s">
        <v>2511</v>
      </c>
      <c r="C186">
        <v>160</v>
      </c>
      <c r="E186" s="146">
        <v>4750000</v>
      </c>
    </row>
    <row r="187" spans="1:5" x14ac:dyDescent="0.4">
      <c r="A187" t="s">
        <v>2559</v>
      </c>
      <c r="B187" t="s">
        <v>2792</v>
      </c>
      <c r="C187">
        <v>160</v>
      </c>
      <c r="E187" s="146" t="s">
        <v>2793</v>
      </c>
    </row>
    <row r="188" spans="1:5" x14ac:dyDescent="0.4">
      <c r="A188" t="s">
        <v>2559</v>
      </c>
      <c r="B188" t="s">
        <v>2511</v>
      </c>
      <c r="C188">
        <v>160</v>
      </c>
      <c r="E188" s="146">
        <v>5250000</v>
      </c>
    </row>
    <row r="189" spans="1:5" x14ac:dyDescent="0.4">
      <c r="A189" t="s">
        <v>2560</v>
      </c>
      <c r="B189" t="s">
        <v>2792</v>
      </c>
      <c r="C189">
        <v>185</v>
      </c>
      <c r="E189" s="146" t="s">
        <v>2858</v>
      </c>
    </row>
    <row r="190" spans="1:5" x14ac:dyDescent="0.4">
      <c r="A190" t="s">
        <v>2560</v>
      </c>
      <c r="B190" t="s">
        <v>2511</v>
      </c>
      <c r="C190">
        <v>185</v>
      </c>
      <c r="E190" s="146">
        <v>4250000</v>
      </c>
    </row>
    <row r="191" spans="1:5" x14ac:dyDescent="0.4">
      <c r="A191" t="s">
        <v>2561</v>
      </c>
      <c r="B191" t="s">
        <v>2792</v>
      </c>
      <c r="C191">
        <v>150</v>
      </c>
      <c r="E191" s="146" t="s">
        <v>2858</v>
      </c>
    </row>
    <row r="192" spans="1:5" x14ac:dyDescent="0.4">
      <c r="A192" t="s">
        <v>2561</v>
      </c>
      <c r="B192" t="s">
        <v>2511</v>
      </c>
      <c r="C192">
        <v>150</v>
      </c>
      <c r="E192" s="146">
        <v>4250000</v>
      </c>
    </row>
    <row r="193" spans="1:5" x14ac:dyDescent="0.4">
      <c r="A193" t="s">
        <v>2562</v>
      </c>
      <c r="B193" t="s">
        <v>2792</v>
      </c>
      <c r="C193">
        <v>140</v>
      </c>
      <c r="D193" t="s">
        <v>2563</v>
      </c>
      <c r="E193" s="146" t="s">
        <v>2860</v>
      </c>
    </row>
    <row r="194" spans="1:5" x14ac:dyDescent="0.4">
      <c r="B194" t="s">
        <v>2511</v>
      </c>
      <c r="C194">
        <v>140</v>
      </c>
      <c r="D194" t="s">
        <v>2563</v>
      </c>
      <c r="E194" s="146">
        <v>2250000</v>
      </c>
    </row>
    <row r="195" spans="1:5" x14ac:dyDescent="0.4">
      <c r="B195" t="s">
        <v>2792</v>
      </c>
      <c r="C195">
        <v>140</v>
      </c>
      <c r="D195" t="s">
        <v>2490</v>
      </c>
      <c r="E195" s="146" t="s">
        <v>2861</v>
      </c>
    </row>
    <row r="196" spans="1:5" x14ac:dyDescent="0.4">
      <c r="B196" t="s">
        <v>2511</v>
      </c>
      <c r="C196">
        <v>140</v>
      </c>
      <c r="D196" t="s">
        <v>2490</v>
      </c>
      <c r="E196" s="146">
        <v>2750000</v>
      </c>
    </row>
    <row r="197" spans="1:5" x14ac:dyDescent="0.4">
      <c r="A197" t="s">
        <v>2564</v>
      </c>
      <c r="B197" t="s">
        <v>2565</v>
      </c>
      <c r="C197">
        <v>300</v>
      </c>
      <c r="D197" t="s">
        <v>2566</v>
      </c>
      <c r="E197" s="146">
        <v>3435000</v>
      </c>
    </row>
    <row r="198" spans="1:5" x14ac:dyDescent="0.4">
      <c r="C198">
        <v>300</v>
      </c>
      <c r="D198" t="s">
        <v>2567</v>
      </c>
      <c r="E198" s="146">
        <v>3865000</v>
      </c>
    </row>
    <row r="199" spans="1:5" x14ac:dyDescent="0.4">
      <c r="A199" t="s">
        <v>2568</v>
      </c>
      <c r="B199" t="s">
        <v>2792</v>
      </c>
      <c r="C199">
        <v>185</v>
      </c>
      <c r="D199" t="s">
        <v>2557</v>
      </c>
      <c r="E199" s="146" t="s">
        <v>2862</v>
      </c>
    </row>
    <row r="200" spans="1:5" x14ac:dyDescent="0.4">
      <c r="A200" t="s">
        <v>2568</v>
      </c>
      <c r="B200" t="s">
        <v>2511</v>
      </c>
      <c r="C200">
        <v>185</v>
      </c>
      <c r="D200" t="s">
        <v>2557</v>
      </c>
      <c r="E200" s="146">
        <v>6000000</v>
      </c>
    </row>
    <row r="201" spans="1:5" x14ac:dyDescent="0.4">
      <c r="A201" t="s">
        <v>2569</v>
      </c>
      <c r="B201" t="s">
        <v>2792</v>
      </c>
      <c r="C201">
        <v>140</v>
      </c>
      <c r="E201" s="146" t="s">
        <v>2861</v>
      </c>
    </row>
    <row r="202" spans="1:5" x14ac:dyDescent="0.4">
      <c r="A202" t="s">
        <v>2569</v>
      </c>
      <c r="B202" t="s">
        <v>2511</v>
      </c>
      <c r="C202">
        <v>140</v>
      </c>
      <c r="E202" s="146">
        <v>2750000</v>
      </c>
    </row>
    <row r="203" spans="1:5" x14ac:dyDescent="0.4">
      <c r="A203" t="s">
        <v>2570</v>
      </c>
      <c r="B203" t="s">
        <v>2794</v>
      </c>
      <c r="C203" t="s">
        <v>2571</v>
      </c>
      <c r="E203" s="146" t="s">
        <v>2863</v>
      </c>
    </row>
    <row r="204" spans="1:5" x14ac:dyDescent="0.4">
      <c r="A204" t="s">
        <v>2570</v>
      </c>
      <c r="B204" t="s">
        <v>2511</v>
      </c>
      <c r="C204" t="s">
        <v>2571</v>
      </c>
      <c r="E204" s="146">
        <f>11000*500</f>
        <v>5500000</v>
      </c>
    </row>
    <row r="205" spans="1:5" x14ac:dyDescent="0.4">
      <c r="A205" t="s">
        <v>2572</v>
      </c>
      <c r="C205" t="s">
        <v>2573</v>
      </c>
      <c r="E205" s="146" t="s">
        <v>2864</v>
      </c>
    </row>
    <row r="206" spans="1:5" x14ac:dyDescent="0.4">
      <c r="A206" t="s">
        <v>2572</v>
      </c>
      <c r="C206" t="s">
        <v>2573</v>
      </c>
      <c r="E206" s="146">
        <f>12500*500</f>
        <v>6250000</v>
      </c>
    </row>
    <row r="207" spans="1:5" x14ac:dyDescent="0.4">
      <c r="A207" t="s">
        <v>2574</v>
      </c>
      <c r="B207" t="s">
        <v>2794</v>
      </c>
      <c r="C207" t="s">
        <v>2575</v>
      </c>
      <c r="D207" t="s">
        <v>2576</v>
      </c>
      <c r="E207" s="146" t="s">
        <v>2795</v>
      </c>
    </row>
    <row r="208" spans="1:5" x14ac:dyDescent="0.4">
      <c r="A208" t="s">
        <v>2574</v>
      </c>
      <c r="B208" t="s">
        <v>2511</v>
      </c>
      <c r="C208" t="s">
        <v>2575</v>
      </c>
      <c r="E208" s="146">
        <v>4500000</v>
      </c>
    </row>
    <row r="209" spans="1:5" x14ac:dyDescent="0.4">
      <c r="A209" t="s">
        <v>2574</v>
      </c>
      <c r="B209" t="s">
        <v>2794</v>
      </c>
      <c r="C209" t="s">
        <v>2575</v>
      </c>
      <c r="D209" t="s">
        <v>2490</v>
      </c>
      <c r="E209" s="146" t="s">
        <v>2865</v>
      </c>
    </row>
    <row r="210" spans="1:5" x14ac:dyDescent="0.4">
      <c r="A210" t="s">
        <v>2574</v>
      </c>
      <c r="B210" t="s">
        <v>2511</v>
      </c>
      <c r="C210" t="s">
        <v>2575</v>
      </c>
      <c r="D210" t="s">
        <v>2490</v>
      </c>
      <c r="E210" s="146">
        <v>5000000</v>
      </c>
    </row>
    <row r="211" spans="1:5" x14ac:dyDescent="0.4">
      <c r="A211" t="s">
        <v>2577</v>
      </c>
      <c r="B211" t="s">
        <v>2796</v>
      </c>
      <c r="C211" t="s">
        <v>2578</v>
      </c>
      <c r="D211" t="s">
        <v>2557</v>
      </c>
      <c r="E211" s="146" t="s">
        <v>2866</v>
      </c>
    </row>
    <row r="212" spans="1:5" x14ac:dyDescent="0.4">
      <c r="A212" t="s">
        <v>2577</v>
      </c>
      <c r="B212" t="s">
        <v>2511</v>
      </c>
      <c r="C212" t="s">
        <v>2578</v>
      </c>
      <c r="D212" t="s">
        <v>2557</v>
      </c>
      <c r="E212" s="146">
        <f>12500*500</f>
        <v>6250000</v>
      </c>
    </row>
    <row r="213" spans="1:5" x14ac:dyDescent="0.4">
      <c r="A213" t="s">
        <v>2579</v>
      </c>
      <c r="B213" t="s">
        <v>2794</v>
      </c>
      <c r="C213" t="s">
        <v>2580</v>
      </c>
      <c r="D213" t="s">
        <v>2581</v>
      </c>
      <c r="E213" s="146" t="s">
        <v>2795</v>
      </c>
    </row>
    <row r="214" spans="1:5" x14ac:dyDescent="0.4">
      <c r="A214" t="s">
        <v>2579</v>
      </c>
      <c r="B214" t="s">
        <v>2511</v>
      </c>
      <c r="C214" t="s">
        <v>2580</v>
      </c>
      <c r="E214" s="146">
        <v>4500000</v>
      </c>
    </row>
    <row r="215" spans="1:5" x14ac:dyDescent="0.4">
      <c r="A215" t="s">
        <v>2579</v>
      </c>
      <c r="B215" t="s">
        <v>2794</v>
      </c>
      <c r="C215" t="s">
        <v>2580</v>
      </c>
      <c r="D215" t="s">
        <v>2490</v>
      </c>
      <c r="E215" s="146" t="s">
        <v>2865</v>
      </c>
    </row>
    <row r="216" spans="1:5" x14ac:dyDescent="0.4">
      <c r="A216" t="s">
        <v>2579</v>
      </c>
      <c r="B216" t="s">
        <v>2511</v>
      </c>
      <c r="C216" t="s">
        <v>2580</v>
      </c>
      <c r="D216" t="s">
        <v>2490</v>
      </c>
      <c r="E216" s="146">
        <v>5000000</v>
      </c>
    </row>
    <row r="217" spans="1:5" x14ac:dyDescent="0.4">
      <c r="A217" t="s">
        <v>2582</v>
      </c>
      <c r="B217" t="s">
        <v>2794</v>
      </c>
      <c r="C217" t="s">
        <v>2575</v>
      </c>
      <c r="D217" t="s">
        <v>2583</v>
      </c>
      <c r="E217" s="146" t="s">
        <v>2795</v>
      </c>
    </row>
    <row r="218" spans="1:5" x14ac:dyDescent="0.4">
      <c r="A218" t="s">
        <v>2582</v>
      </c>
      <c r="B218" t="s">
        <v>2511</v>
      </c>
      <c r="C218" t="s">
        <v>2575</v>
      </c>
      <c r="D218" t="s">
        <v>2583</v>
      </c>
      <c r="E218" s="146">
        <v>4500000</v>
      </c>
    </row>
    <row r="219" spans="1:5" x14ac:dyDescent="0.4">
      <c r="A219" t="s">
        <v>2582</v>
      </c>
      <c r="B219" t="s">
        <v>2794</v>
      </c>
      <c r="C219" t="s">
        <v>2575</v>
      </c>
      <c r="D219" t="s">
        <v>2490</v>
      </c>
      <c r="E219" s="146" t="s">
        <v>2795</v>
      </c>
    </row>
    <row r="220" spans="1:5" x14ac:dyDescent="0.4">
      <c r="A220" t="s">
        <v>2582</v>
      </c>
      <c r="B220" t="s">
        <v>2511</v>
      </c>
      <c r="C220" t="s">
        <v>2575</v>
      </c>
      <c r="D220" t="s">
        <v>2490</v>
      </c>
      <c r="E220" s="146">
        <v>4500000</v>
      </c>
    </row>
    <row r="221" spans="1:5" x14ac:dyDescent="0.4">
      <c r="A221" t="s">
        <v>2584</v>
      </c>
      <c r="B221" t="s">
        <v>2794</v>
      </c>
      <c r="C221" t="s">
        <v>2571</v>
      </c>
      <c r="D221" t="s">
        <v>2557</v>
      </c>
      <c r="E221" s="146" t="s">
        <v>2864</v>
      </c>
    </row>
    <row r="222" spans="1:5" x14ac:dyDescent="0.4">
      <c r="A222" t="s">
        <v>2584</v>
      </c>
      <c r="B222" t="s">
        <v>2511</v>
      </c>
      <c r="C222" t="s">
        <v>2571</v>
      </c>
      <c r="D222" t="s">
        <v>2557</v>
      </c>
      <c r="E222" s="146">
        <v>6250000</v>
      </c>
    </row>
    <row r="223" spans="1:5" x14ac:dyDescent="0.4">
      <c r="A223" t="s">
        <v>2585</v>
      </c>
      <c r="B223" t="s">
        <v>2794</v>
      </c>
      <c r="C223" t="s">
        <v>2575</v>
      </c>
      <c r="E223" s="146" t="s">
        <v>2864</v>
      </c>
    </row>
    <row r="224" spans="1:5" x14ac:dyDescent="0.4">
      <c r="A224" t="s">
        <v>2585</v>
      </c>
      <c r="B224" t="s">
        <v>2511</v>
      </c>
      <c r="C224" t="s">
        <v>2575</v>
      </c>
      <c r="E224" s="146">
        <v>6250000</v>
      </c>
    </row>
    <row r="225" spans="1:5" x14ac:dyDescent="0.4">
      <c r="A225" t="s">
        <v>2586</v>
      </c>
      <c r="B225" t="s">
        <v>2794</v>
      </c>
      <c r="C225" t="s">
        <v>2575</v>
      </c>
      <c r="E225" s="146" t="s">
        <v>2864</v>
      </c>
    </row>
    <row r="226" spans="1:5" x14ac:dyDescent="0.4">
      <c r="A226" t="s">
        <v>2586</v>
      </c>
      <c r="B226" t="s">
        <v>2511</v>
      </c>
      <c r="C226" t="s">
        <v>2575</v>
      </c>
      <c r="E226" s="146">
        <f>12500*500</f>
        <v>6250000</v>
      </c>
    </row>
    <row r="227" spans="1:5" x14ac:dyDescent="0.4">
      <c r="A227" t="s">
        <v>2587</v>
      </c>
      <c r="B227" t="s">
        <v>2796</v>
      </c>
      <c r="C227" t="s">
        <v>2578</v>
      </c>
      <c r="E227" s="146" t="s">
        <v>2866</v>
      </c>
    </row>
    <row r="228" spans="1:5" x14ac:dyDescent="0.4">
      <c r="A228" t="s">
        <v>2587</v>
      </c>
      <c r="B228" t="s">
        <v>2511</v>
      </c>
      <c r="C228" t="s">
        <v>2578</v>
      </c>
      <c r="E228" s="146">
        <f>500*12500</f>
        <v>6250000</v>
      </c>
    </row>
    <row r="229" spans="1:5" x14ac:dyDescent="0.4">
      <c r="A229" t="s">
        <v>2588</v>
      </c>
      <c r="B229" t="s">
        <v>2794</v>
      </c>
      <c r="C229" t="s">
        <v>2573</v>
      </c>
      <c r="E229" s="146" t="s">
        <v>2864</v>
      </c>
    </row>
    <row r="230" spans="1:5" x14ac:dyDescent="0.4">
      <c r="A230" t="s">
        <v>2588</v>
      </c>
      <c r="B230" t="s">
        <v>2511</v>
      </c>
      <c r="C230" t="s">
        <v>2573</v>
      </c>
      <c r="E230" s="146">
        <f>500*12500</f>
        <v>6250000</v>
      </c>
    </row>
    <row r="231" spans="1:5" x14ac:dyDescent="0.4">
      <c r="A231" t="s">
        <v>2589</v>
      </c>
      <c r="B231" t="s">
        <v>2794</v>
      </c>
      <c r="C231" t="s">
        <v>2571</v>
      </c>
      <c r="E231" s="146" t="s">
        <v>2864</v>
      </c>
    </row>
    <row r="232" spans="1:5" x14ac:dyDescent="0.4">
      <c r="A232" t="s">
        <v>2589</v>
      </c>
      <c r="B232" t="s">
        <v>2511</v>
      </c>
      <c r="C232" t="s">
        <v>2571</v>
      </c>
      <c r="E232" s="146">
        <f>500*12500</f>
        <v>6250000</v>
      </c>
    </row>
    <row r="233" spans="1:5" x14ac:dyDescent="0.4">
      <c r="A233" t="s">
        <v>2590</v>
      </c>
      <c r="B233" t="s">
        <v>2794</v>
      </c>
      <c r="C233" t="s">
        <v>2573</v>
      </c>
      <c r="E233" s="146" t="s">
        <v>2864</v>
      </c>
    </row>
    <row r="234" spans="1:5" x14ac:dyDescent="0.4">
      <c r="A234" t="s">
        <v>2590</v>
      </c>
      <c r="B234" t="s">
        <v>2511</v>
      </c>
      <c r="C234" t="s">
        <v>2573</v>
      </c>
      <c r="E234" s="146">
        <f>500*12500</f>
        <v>6250000</v>
      </c>
    </row>
    <row r="235" spans="1:5" x14ac:dyDescent="0.4">
      <c r="A235" t="s">
        <v>2591</v>
      </c>
      <c r="B235" t="s">
        <v>2794</v>
      </c>
      <c r="C235" t="s">
        <v>2575</v>
      </c>
      <c r="E235" s="146" t="s">
        <v>2867</v>
      </c>
    </row>
    <row r="236" spans="1:5" x14ac:dyDescent="0.4">
      <c r="A236" t="s">
        <v>2591</v>
      </c>
      <c r="B236" t="s">
        <v>2511</v>
      </c>
      <c r="C236" t="s">
        <v>2575</v>
      </c>
      <c r="E236" s="146">
        <f>11000*500</f>
        <v>5500000</v>
      </c>
    </row>
    <row r="237" spans="1:5" x14ac:dyDescent="0.4">
      <c r="A237" t="s">
        <v>2592</v>
      </c>
      <c r="B237" t="s">
        <v>2794</v>
      </c>
      <c r="C237" t="s">
        <v>2571</v>
      </c>
      <c r="E237" s="146" t="s">
        <v>2867</v>
      </c>
    </row>
    <row r="238" spans="1:5" x14ac:dyDescent="0.4">
      <c r="A238" t="s">
        <v>2592</v>
      </c>
      <c r="B238" t="s">
        <v>2511</v>
      </c>
      <c r="C238" t="s">
        <v>2571</v>
      </c>
      <c r="E238" s="146">
        <f>11000*500</f>
        <v>5500000</v>
      </c>
    </row>
    <row r="239" spans="1:5" x14ac:dyDescent="0.4">
      <c r="A239" t="s">
        <v>2593</v>
      </c>
      <c r="B239" t="s">
        <v>2794</v>
      </c>
      <c r="C239" t="s">
        <v>2571</v>
      </c>
      <c r="E239" s="146" t="s">
        <v>2867</v>
      </c>
    </row>
    <row r="240" spans="1:5" x14ac:dyDescent="0.4">
      <c r="A240" t="s">
        <v>2593</v>
      </c>
      <c r="B240" t="s">
        <v>2511</v>
      </c>
      <c r="C240" t="s">
        <v>2571</v>
      </c>
      <c r="E240" s="146">
        <f>11000*500</f>
        <v>5500000</v>
      </c>
    </row>
    <row r="241" spans="1:16" x14ac:dyDescent="0.4">
      <c r="A241" t="s">
        <v>2594</v>
      </c>
      <c r="B241" t="s">
        <v>2794</v>
      </c>
      <c r="C241" t="s">
        <v>2571</v>
      </c>
      <c r="E241" s="146" t="s">
        <v>2864</v>
      </c>
    </row>
    <row r="242" spans="1:16" x14ac:dyDescent="0.4">
      <c r="A242" t="s">
        <v>2594</v>
      </c>
      <c r="B242" t="s">
        <v>2511</v>
      </c>
      <c r="C242" t="s">
        <v>2571</v>
      </c>
      <c r="E242" s="146">
        <f>12500*500</f>
        <v>6250000</v>
      </c>
    </row>
    <row r="243" spans="1:16" x14ac:dyDescent="0.4">
      <c r="A243" t="s">
        <v>2595</v>
      </c>
      <c r="B243" t="s">
        <v>2796</v>
      </c>
      <c r="C243" t="s">
        <v>2578</v>
      </c>
      <c r="E243" s="146" t="s">
        <v>2866</v>
      </c>
    </row>
    <row r="244" spans="1:16" x14ac:dyDescent="0.4">
      <c r="A244" t="s">
        <v>2595</v>
      </c>
      <c r="B244" t="s">
        <v>2511</v>
      </c>
      <c r="C244" t="s">
        <v>2578</v>
      </c>
      <c r="E244" s="146">
        <f>12500*500</f>
        <v>6250000</v>
      </c>
    </row>
    <row r="245" spans="1:16" ht="34.799999999999997" x14ac:dyDescent="0.4">
      <c r="A245" t="s">
        <v>2596</v>
      </c>
      <c r="C245" t="s">
        <v>2597</v>
      </c>
      <c r="D245" s="140" t="s">
        <v>2600</v>
      </c>
      <c r="E245" s="146" t="s">
        <v>2797</v>
      </c>
      <c r="H245" s="162"/>
    </row>
    <row r="246" spans="1:16" ht="34.799999999999997" x14ac:dyDescent="0.4">
      <c r="A246" t="s">
        <v>2596</v>
      </c>
      <c r="C246" t="s">
        <v>2597</v>
      </c>
      <c r="D246" s="140" t="s">
        <v>2600</v>
      </c>
      <c r="E246" s="146">
        <f>10500*500</f>
        <v>5250000</v>
      </c>
    </row>
    <row r="247" spans="1:16" x14ac:dyDescent="0.4">
      <c r="A247" t="s">
        <v>2598</v>
      </c>
      <c r="C247" t="s">
        <v>2602</v>
      </c>
      <c r="D247" t="s">
        <v>2599</v>
      </c>
      <c r="E247" s="146" t="s">
        <v>2798</v>
      </c>
    </row>
    <row r="248" spans="1:16" x14ac:dyDescent="0.4">
      <c r="A248" t="s">
        <v>2598</v>
      </c>
      <c r="C248" t="s">
        <v>2602</v>
      </c>
      <c r="E248" s="146">
        <f>16500*500</f>
        <v>8250000</v>
      </c>
    </row>
    <row r="249" spans="1:16" ht="34.799999999999997" x14ac:dyDescent="0.4">
      <c r="A249" t="s">
        <v>2601</v>
      </c>
      <c r="C249" t="s">
        <v>2603</v>
      </c>
      <c r="D249" s="140" t="s">
        <v>2868</v>
      </c>
      <c r="E249" s="146" t="s">
        <v>2798</v>
      </c>
    </row>
    <row r="250" spans="1:16" ht="34.799999999999997" x14ac:dyDescent="0.4">
      <c r="A250" t="s">
        <v>2601</v>
      </c>
      <c r="C250" t="s">
        <v>2603</v>
      </c>
      <c r="D250" s="140" t="s">
        <v>2868</v>
      </c>
      <c r="E250" s="146">
        <v>6250000</v>
      </c>
      <c r="P250" s="126"/>
    </row>
    <row r="251" spans="1:16" ht="34.799999999999997" x14ac:dyDescent="0.4">
      <c r="C251" t="s">
        <v>2604</v>
      </c>
      <c r="D251" s="140" t="s">
        <v>2605</v>
      </c>
      <c r="E251" s="146" t="s">
        <v>2798</v>
      </c>
    </row>
    <row r="252" spans="1:16" ht="34.799999999999997" x14ac:dyDescent="0.4">
      <c r="C252" t="s">
        <v>2604</v>
      </c>
      <c r="D252" s="140" t="s">
        <v>2605</v>
      </c>
      <c r="E252" s="146">
        <v>8250000</v>
      </c>
    </row>
    <row r="253" spans="1:16" x14ac:dyDescent="0.4">
      <c r="A253" t="s">
        <v>2606</v>
      </c>
      <c r="B253" t="s">
        <v>2607</v>
      </c>
      <c r="C253" t="s">
        <v>2608</v>
      </c>
      <c r="D253" s="140" t="s">
        <v>2869</v>
      </c>
      <c r="E253" s="146">
        <v>8500</v>
      </c>
    </row>
    <row r="254" spans="1:16" ht="34.799999999999997" x14ac:dyDescent="0.4">
      <c r="B254" t="s">
        <v>2799</v>
      </c>
      <c r="C254" t="s">
        <v>2608</v>
      </c>
      <c r="D254" s="140" t="s">
        <v>2871</v>
      </c>
      <c r="E254" s="146" t="s">
        <v>2803</v>
      </c>
    </row>
    <row r="255" spans="1:16" ht="34.799999999999997" x14ac:dyDescent="0.4">
      <c r="B255" t="s">
        <v>2800</v>
      </c>
      <c r="C255" t="s">
        <v>2608</v>
      </c>
      <c r="D255" s="140" t="s">
        <v>2870</v>
      </c>
      <c r="E255" s="146" t="s">
        <v>2804</v>
      </c>
    </row>
    <row r="256" spans="1:16" ht="34.799999999999997" x14ac:dyDescent="0.4">
      <c r="B256" t="s">
        <v>2607</v>
      </c>
      <c r="C256" t="s">
        <v>2608</v>
      </c>
      <c r="D256" s="140" t="s">
        <v>2870</v>
      </c>
      <c r="E256" s="146">
        <f>9500*500</f>
        <v>4750000</v>
      </c>
    </row>
    <row r="257" spans="1:9" ht="34.799999999999997" x14ac:dyDescent="0.4">
      <c r="B257" t="s">
        <v>2799</v>
      </c>
      <c r="C257" t="s">
        <v>2608</v>
      </c>
      <c r="D257" s="140" t="s">
        <v>2610</v>
      </c>
      <c r="E257" s="146" t="s">
        <v>2801</v>
      </c>
    </row>
    <row r="258" spans="1:9" ht="34.799999999999997" x14ac:dyDescent="0.4">
      <c r="B258" t="s">
        <v>2800</v>
      </c>
      <c r="C258" t="s">
        <v>2608</v>
      </c>
      <c r="D258" s="140" t="s">
        <v>2610</v>
      </c>
      <c r="E258" s="146" t="s">
        <v>2802</v>
      </c>
    </row>
    <row r="259" spans="1:9" ht="34.799999999999997" x14ac:dyDescent="0.4">
      <c r="B259" t="s">
        <v>2607</v>
      </c>
      <c r="C259" t="s">
        <v>2608</v>
      </c>
      <c r="D259" s="140" t="s">
        <v>2610</v>
      </c>
      <c r="E259" s="146">
        <v>4250000</v>
      </c>
    </row>
    <row r="260" spans="1:9" ht="52.2" x14ac:dyDescent="0.4">
      <c r="B260" t="s">
        <v>2799</v>
      </c>
      <c r="C260" t="s">
        <v>2608</v>
      </c>
      <c r="D260" s="140" t="s">
        <v>2872</v>
      </c>
      <c r="E260" s="146" t="s">
        <v>2803</v>
      </c>
    </row>
    <row r="261" spans="1:9" ht="52.2" x14ac:dyDescent="0.4">
      <c r="B261" t="s">
        <v>2800</v>
      </c>
      <c r="C261" t="s">
        <v>2608</v>
      </c>
      <c r="D261" s="140" t="s">
        <v>2872</v>
      </c>
      <c r="E261" s="146" t="s">
        <v>2804</v>
      </c>
    </row>
    <row r="262" spans="1:9" ht="52.2" x14ac:dyDescent="0.4">
      <c r="B262" t="s">
        <v>2607</v>
      </c>
      <c r="C262" t="s">
        <v>2608</v>
      </c>
      <c r="D262" s="140" t="s">
        <v>2872</v>
      </c>
      <c r="E262" s="146">
        <v>4750000</v>
      </c>
    </row>
    <row r="263" spans="1:9" x14ac:dyDescent="0.4">
      <c r="A263" t="s">
        <v>2609</v>
      </c>
      <c r="B263" t="s">
        <v>2796</v>
      </c>
      <c r="C263" t="s">
        <v>2612</v>
      </c>
      <c r="D263" s="140" t="s">
        <v>2611</v>
      </c>
      <c r="E263" s="146" t="s">
        <v>2874</v>
      </c>
    </row>
    <row r="264" spans="1:9" x14ac:dyDescent="0.4">
      <c r="A264" t="s">
        <v>2609</v>
      </c>
      <c r="B264" t="s">
        <v>2607</v>
      </c>
      <c r="C264" t="s">
        <v>2612</v>
      </c>
      <c r="D264" s="140" t="s">
        <v>2611</v>
      </c>
      <c r="E264" s="146">
        <f>500*33000</f>
        <v>16500000</v>
      </c>
      <c r="I264" s="126"/>
    </row>
    <row r="265" spans="1:9" x14ac:dyDescent="0.4">
      <c r="A265" t="s">
        <v>2609</v>
      </c>
      <c r="B265" t="s">
        <v>2796</v>
      </c>
      <c r="C265" t="s">
        <v>2612</v>
      </c>
      <c r="D265" s="140" t="s">
        <v>2490</v>
      </c>
      <c r="E265" s="146" t="s">
        <v>2873</v>
      </c>
      <c r="I265" s="126"/>
    </row>
    <row r="266" spans="1:9" x14ac:dyDescent="0.4">
      <c r="A266" t="s">
        <v>2609</v>
      </c>
      <c r="B266" t="s">
        <v>2607</v>
      </c>
      <c r="C266" t="s">
        <v>2612</v>
      </c>
      <c r="D266" s="140" t="s">
        <v>2490</v>
      </c>
      <c r="E266" s="146">
        <f>500*44000</f>
        <v>22000000</v>
      </c>
    </row>
    <row r="267" spans="1:9" x14ac:dyDescent="0.4">
      <c r="A267" t="s">
        <v>2613</v>
      </c>
      <c r="B267" t="s">
        <v>2614</v>
      </c>
      <c r="C267" t="s">
        <v>2615</v>
      </c>
      <c r="D267" s="140" t="s">
        <v>2622</v>
      </c>
      <c r="E267" s="146">
        <v>1120000</v>
      </c>
    </row>
    <row r="268" spans="1:9" x14ac:dyDescent="0.4">
      <c r="B268" t="s">
        <v>2875</v>
      </c>
      <c r="C268" t="s">
        <v>2616</v>
      </c>
      <c r="E268" s="146">
        <v>1330000</v>
      </c>
    </row>
    <row r="269" spans="1:9" x14ac:dyDescent="0.4">
      <c r="B269" t="s">
        <v>2614</v>
      </c>
      <c r="C269" t="s">
        <v>2617</v>
      </c>
      <c r="E269" s="146">
        <v>1450000</v>
      </c>
    </row>
    <row r="270" spans="1:9" x14ac:dyDescent="0.4">
      <c r="B270" t="s">
        <v>2875</v>
      </c>
      <c r="C270" t="s">
        <v>2618</v>
      </c>
      <c r="E270" s="146">
        <v>1720000</v>
      </c>
    </row>
    <row r="271" spans="1:9" x14ac:dyDescent="0.4">
      <c r="B271" t="s">
        <v>2614</v>
      </c>
      <c r="C271" t="s">
        <v>2619</v>
      </c>
      <c r="E271" s="146">
        <v>1980000</v>
      </c>
    </row>
    <row r="272" spans="1:9" x14ac:dyDescent="0.4">
      <c r="C272" t="s">
        <v>2620</v>
      </c>
      <c r="E272" s="146">
        <v>2410000</v>
      </c>
    </row>
    <row r="273" spans="1:5" x14ac:dyDescent="0.4">
      <c r="C273" t="s">
        <v>2621</v>
      </c>
      <c r="D273" t="s">
        <v>2623</v>
      </c>
      <c r="E273" s="146">
        <v>2020000</v>
      </c>
    </row>
    <row r="274" spans="1:5" x14ac:dyDescent="0.4">
      <c r="A274" t="s">
        <v>2624</v>
      </c>
      <c r="B274" t="s">
        <v>2625</v>
      </c>
      <c r="C274" t="s">
        <v>2626</v>
      </c>
      <c r="D274" t="s">
        <v>2486</v>
      </c>
      <c r="E274" s="146">
        <v>2780000</v>
      </c>
    </row>
    <row r="275" spans="1:5" x14ac:dyDescent="0.4">
      <c r="C275" t="s">
        <v>2627</v>
      </c>
      <c r="E275" s="146">
        <v>4000000</v>
      </c>
    </row>
    <row r="276" spans="1:5" x14ac:dyDescent="0.4">
      <c r="C276" t="s">
        <v>2628</v>
      </c>
      <c r="E276" s="146">
        <v>5350000</v>
      </c>
    </row>
    <row r="277" spans="1:5" x14ac:dyDescent="0.4">
      <c r="B277" t="s">
        <v>2614</v>
      </c>
      <c r="C277" t="s">
        <v>2626</v>
      </c>
      <c r="E277" s="146">
        <v>2780000</v>
      </c>
    </row>
    <row r="278" spans="1:5" x14ac:dyDescent="0.4">
      <c r="C278" t="s">
        <v>2629</v>
      </c>
      <c r="E278" s="146">
        <v>5350000</v>
      </c>
    </row>
    <row r="279" spans="1:5" x14ac:dyDescent="0.4">
      <c r="B279" t="s">
        <v>2625</v>
      </c>
      <c r="C279" t="s">
        <v>2630</v>
      </c>
      <c r="D279" t="s">
        <v>2520</v>
      </c>
      <c r="E279" s="146">
        <v>3370000</v>
      </c>
    </row>
    <row r="280" spans="1:5" x14ac:dyDescent="0.4">
      <c r="C280" t="s">
        <v>2630</v>
      </c>
      <c r="D280" t="s">
        <v>2490</v>
      </c>
      <c r="E280" s="146">
        <v>4720000</v>
      </c>
    </row>
    <row r="281" spans="1:5" x14ac:dyDescent="0.4">
      <c r="A281" t="s">
        <v>2631</v>
      </c>
      <c r="B281" t="s">
        <v>2459</v>
      </c>
      <c r="C281" t="s">
        <v>2632</v>
      </c>
      <c r="D281" t="s">
        <v>2635</v>
      </c>
      <c r="E281" s="146">
        <v>1620000</v>
      </c>
    </row>
    <row r="282" spans="1:5" x14ac:dyDescent="0.4">
      <c r="C282" t="s">
        <v>2633</v>
      </c>
      <c r="E282" s="126">
        <v>1850000</v>
      </c>
    </row>
    <row r="283" spans="1:5" x14ac:dyDescent="0.4">
      <c r="C283" t="s">
        <v>2634</v>
      </c>
      <c r="E283" s="146">
        <v>2050000</v>
      </c>
    </row>
    <row r="284" spans="1:5" ht="34.799999999999997" x14ac:dyDescent="0.4">
      <c r="A284" s="140" t="s">
        <v>2636</v>
      </c>
      <c r="B284" t="s">
        <v>2640</v>
      </c>
      <c r="C284">
        <v>350</v>
      </c>
      <c r="D284" t="s">
        <v>2557</v>
      </c>
      <c r="E284" t="s">
        <v>2876</v>
      </c>
    </row>
    <row r="285" spans="1:5" x14ac:dyDescent="0.4">
      <c r="B285" t="s">
        <v>2637</v>
      </c>
      <c r="C285">
        <v>350</v>
      </c>
      <c r="E285" t="s">
        <v>2877</v>
      </c>
    </row>
    <row r="286" spans="1:5" x14ac:dyDescent="0.4">
      <c r="B286" t="s">
        <v>2638</v>
      </c>
      <c r="C286">
        <v>350</v>
      </c>
      <c r="E286" t="s">
        <v>2641</v>
      </c>
    </row>
    <row r="287" spans="1:5" x14ac:dyDescent="0.4">
      <c r="B287" t="s">
        <v>2639</v>
      </c>
      <c r="C287">
        <v>350</v>
      </c>
      <c r="E287" t="s">
        <v>2878</v>
      </c>
    </row>
    <row r="288" spans="1:5" x14ac:dyDescent="0.4">
      <c r="A288" t="s">
        <v>2642</v>
      </c>
      <c r="B288" t="s">
        <v>2459</v>
      </c>
      <c r="C288">
        <v>250</v>
      </c>
      <c r="D288" t="s">
        <v>2643</v>
      </c>
      <c r="E288" s="146">
        <v>600000</v>
      </c>
    </row>
    <row r="289" spans="2:5" x14ac:dyDescent="0.4">
      <c r="C289">
        <v>300</v>
      </c>
      <c r="E289" s="146">
        <v>700000</v>
      </c>
    </row>
    <row r="290" spans="2:5" x14ac:dyDescent="0.4">
      <c r="C290">
        <v>350</v>
      </c>
      <c r="E290" s="146">
        <v>850000</v>
      </c>
    </row>
    <row r="291" spans="2:5" x14ac:dyDescent="0.4">
      <c r="B291" t="s">
        <v>2644</v>
      </c>
      <c r="C291">
        <v>128</v>
      </c>
      <c r="D291" t="s">
        <v>2486</v>
      </c>
      <c r="E291" s="146">
        <v>380000</v>
      </c>
    </row>
    <row r="292" spans="2:5" x14ac:dyDescent="0.4">
      <c r="C292">
        <v>245</v>
      </c>
      <c r="E292" s="146">
        <v>750000</v>
      </c>
    </row>
    <row r="293" spans="2:5" x14ac:dyDescent="0.4">
      <c r="C293">
        <v>295</v>
      </c>
      <c r="E293" s="146">
        <v>900000</v>
      </c>
    </row>
    <row r="294" spans="2:5" x14ac:dyDescent="0.4">
      <c r="C294">
        <v>395</v>
      </c>
      <c r="E294" s="146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50" bestFit="1" customWidth="1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51" t="s">
        <v>2789</v>
      </c>
    </row>
    <row r="2" spans="1:7" x14ac:dyDescent="0.4">
      <c r="A2" t="s">
        <v>2790</v>
      </c>
      <c r="B2" t="s">
        <v>2360</v>
      </c>
      <c r="C2">
        <v>83</v>
      </c>
      <c r="D2" t="s">
        <v>2648</v>
      </c>
      <c r="E2" s="146">
        <v>98350</v>
      </c>
    </row>
    <row r="3" spans="1:7" x14ac:dyDescent="0.4">
      <c r="C3">
        <v>90</v>
      </c>
      <c r="E3" s="146">
        <v>106650</v>
      </c>
      <c r="G3" s="150">
        <v>119</v>
      </c>
    </row>
    <row r="4" spans="1:7" x14ac:dyDescent="0.4">
      <c r="C4">
        <v>100</v>
      </c>
      <c r="E4" s="146">
        <v>118500</v>
      </c>
      <c r="G4" s="150">
        <v>142</v>
      </c>
    </row>
    <row r="5" spans="1:7" x14ac:dyDescent="0.4">
      <c r="C5">
        <v>130</v>
      </c>
      <c r="E5" s="146">
        <v>154050</v>
      </c>
      <c r="G5" s="150">
        <v>184</v>
      </c>
    </row>
    <row r="6" spans="1:7" x14ac:dyDescent="0.4">
      <c r="C6">
        <v>160</v>
      </c>
      <c r="E6" s="126">
        <v>189600</v>
      </c>
      <c r="G6" s="150">
        <v>229</v>
      </c>
    </row>
    <row r="7" spans="1:7" x14ac:dyDescent="0.4">
      <c r="C7">
        <v>190</v>
      </c>
      <c r="E7" s="146">
        <v>225150</v>
      </c>
      <c r="G7" s="150">
        <v>267</v>
      </c>
    </row>
    <row r="8" spans="1:7" x14ac:dyDescent="0.4">
      <c r="C8">
        <v>210</v>
      </c>
      <c r="E8" s="146">
        <v>248850</v>
      </c>
      <c r="G8" s="150">
        <v>289</v>
      </c>
    </row>
    <row r="9" spans="1:7" x14ac:dyDescent="0.4">
      <c r="C9">
        <v>240</v>
      </c>
      <c r="E9" s="146">
        <v>284400</v>
      </c>
      <c r="G9" s="150">
        <v>323</v>
      </c>
    </row>
    <row r="10" spans="1:7" x14ac:dyDescent="0.4">
      <c r="B10" t="s">
        <v>2459</v>
      </c>
      <c r="C10">
        <v>83</v>
      </c>
      <c r="E10" s="146">
        <v>141590</v>
      </c>
    </row>
    <row r="11" spans="1:7" x14ac:dyDescent="0.4">
      <c r="C11">
        <v>90</v>
      </c>
      <c r="E11" s="146">
        <v>153530</v>
      </c>
      <c r="G11" s="150">
        <v>119</v>
      </c>
    </row>
    <row r="12" spans="1:7" x14ac:dyDescent="0.4">
      <c r="C12">
        <v>100</v>
      </c>
      <c r="E12" s="146">
        <v>170590</v>
      </c>
      <c r="G12" s="150">
        <v>142</v>
      </c>
    </row>
    <row r="13" spans="1:7" x14ac:dyDescent="0.4">
      <c r="C13">
        <v>130</v>
      </c>
      <c r="E13" s="146">
        <v>221760</v>
      </c>
      <c r="G13" s="150">
        <v>184</v>
      </c>
    </row>
    <row r="14" spans="1:7" x14ac:dyDescent="0.4">
      <c r="C14">
        <v>160</v>
      </c>
      <c r="E14" s="146">
        <v>272940</v>
      </c>
      <c r="G14" s="150">
        <v>229</v>
      </c>
    </row>
    <row r="15" spans="1:7" x14ac:dyDescent="0.4">
      <c r="C15">
        <v>190</v>
      </c>
      <c r="E15" s="146">
        <v>324120</v>
      </c>
      <c r="G15" s="150">
        <v>267</v>
      </c>
    </row>
    <row r="16" spans="1:7" x14ac:dyDescent="0.4">
      <c r="C16">
        <v>210</v>
      </c>
      <c r="E16" s="126">
        <v>358240</v>
      </c>
      <c r="G16" s="150">
        <v>289</v>
      </c>
    </row>
    <row r="17" spans="1:7" x14ac:dyDescent="0.4">
      <c r="C17">
        <v>240</v>
      </c>
      <c r="E17" s="126">
        <v>409420</v>
      </c>
      <c r="G17" s="150">
        <v>323</v>
      </c>
    </row>
    <row r="18" spans="1:7" x14ac:dyDescent="0.4">
      <c r="A18" t="s">
        <v>2646</v>
      </c>
      <c r="B18" t="s">
        <v>2360</v>
      </c>
      <c r="C18">
        <v>85</v>
      </c>
      <c r="D18" t="s">
        <v>2645</v>
      </c>
      <c r="E18" s="146">
        <v>87560</v>
      </c>
    </row>
    <row r="19" spans="1:7" x14ac:dyDescent="0.4">
      <c r="C19">
        <v>105</v>
      </c>
      <c r="E19" s="146">
        <v>108160</v>
      </c>
      <c r="G19" s="150">
        <v>118</v>
      </c>
    </row>
    <row r="20" spans="1:7" x14ac:dyDescent="0.4">
      <c r="C20">
        <v>128</v>
      </c>
      <c r="E20" s="126">
        <v>131860</v>
      </c>
      <c r="G20" s="150">
        <v>141</v>
      </c>
    </row>
    <row r="21" spans="1:7" x14ac:dyDescent="0.4">
      <c r="C21">
        <v>157</v>
      </c>
      <c r="E21" s="146">
        <v>161730</v>
      </c>
      <c r="G21" s="150">
        <v>170</v>
      </c>
    </row>
    <row r="22" spans="1:7" x14ac:dyDescent="0.4">
      <c r="C22">
        <v>209</v>
      </c>
      <c r="E22" s="146">
        <v>215300</v>
      </c>
      <c r="G22" s="150">
        <v>224</v>
      </c>
    </row>
    <row r="23" spans="1:7" x14ac:dyDescent="0.4">
      <c r="C23">
        <v>233</v>
      </c>
      <c r="E23" s="146">
        <v>240030</v>
      </c>
      <c r="G23" s="150">
        <v>249</v>
      </c>
    </row>
    <row r="24" spans="1:7" x14ac:dyDescent="0.4">
      <c r="C24">
        <v>262</v>
      </c>
      <c r="E24" s="146">
        <v>269900</v>
      </c>
      <c r="G24" s="150">
        <v>280</v>
      </c>
    </row>
    <row r="25" spans="1:7" x14ac:dyDescent="0.4">
      <c r="C25">
        <v>300</v>
      </c>
      <c r="E25" s="146">
        <v>309050</v>
      </c>
      <c r="G25" s="150">
        <v>330</v>
      </c>
    </row>
    <row r="26" spans="1:7" x14ac:dyDescent="0.4">
      <c r="C26">
        <v>350</v>
      </c>
      <c r="E26" s="146">
        <v>360560</v>
      </c>
      <c r="G26" s="150">
        <v>385</v>
      </c>
    </row>
    <row r="27" spans="1:7" x14ac:dyDescent="0.4">
      <c r="C27">
        <v>400</v>
      </c>
      <c r="E27" s="146">
        <v>412070</v>
      </c>
      <c r="G27" s="150">
        <v>440</v>
      </c>
    </row>
    <row r="28" spans="1:7" x14ac:dyDescent="0.4">
      <c r="B28" t="s">
        <v>2459</v>
      </c>
      <c r="C28">
        <v>85</v>
      </c>
      <c r="E28" s="146">
        <v>126050</v>
      </c>
    </row>
    <row r="29" spans="1:7" x14ac:dyDescent="0.4">
      <c r="C29">
        <v>105</v>
      </c>
      <c r="E29" s="146">
        <v>155710</v>
      </c>
      <c r="G29" s="150">
        <v>118</v>
      </c>
    </row>
    <row r="30" spans="1:7" x14ac:dyDescent="0.4">
      <c r="C30">
        <v>128</v>
      </c>
      <c r="E30" s="146">
        <v>189820</v>
      </c>
      <c r="G30" s="150">
        <v>141</v>
      </c>
    </row>
    <row r="31" spans="1:7" x14ac:dyDescent="0.4">
      <c r="C31">
        <v>157</v>
      </c>
      <c r="E31" s="146">
        <v>232830</v>
      </c>
      <c r="G31" s="150">
        <v>170</v>
      </c>
    </row>
    <row r="32" spans="1:7" x14ac:dyDescent="0.4">
      <c r="C32">
        <v>209</v>
      </c>
      <c r="E32" s="146">
        <v>309940</v>
      </c>
      <c r="G32" s="150">
        <v>224</v>
      </c>
    </row>
    <row r="33" spans="1:7" x14ac:dyDescent="0.4">
      <c r="C33">
        <v>233</v>
      </c>
      <c r="E33" s="146">
        <v>345530</v>
      </c>
      <c r="G33" s="150">
        <v>249</v>
      </c>
    </row>
    <row r="34" spans="1:7" x14ac:dyDescent="0.4">
      <c r="C34">
        <v>262</v>
      </c>
      <c r="E34" s="146">
        <v>388540</v>
      </c>
      <c r="G34" s="150">
        <v>280</v>
      </c>
    </row>
    <row r="35" spans="1:7" x14ac:dyDescent="0.4">
      <c r="C35">
        <v>300</v>
      </c>
      <c r="E35" s="146">
        <v>444890</v>
      </c>
      <c r="G35" s="150">
        <v>330</v>
      </c>
    </row>
    <row r="36" spans="1:7" x14ac:dyDescent="0.4">
      <c r="C36">
        <v>350</v>
      </c>
      <c r="E36" s="146">
        <v>519040</v>
      </c>
      <c r="G36" s="150">
        <v>385</v>
      </c>
    </row>
    <row r="37" spans="1:7" x14ac:dyDescent="0.4">
      <c r="C37">
        <v>400</v>
      </c>
      <c r="E37" s="146">
        <v>593190</v>
      </c>
      <c r="G37" s="150">
        <v>440</v>
      </c>
    </row>
    <row r="38" spans="1:7" x14ac:dyDescent="0.4">
      <c r="A38" t="s">
        <v>2647</v>
      </c>
      <c r="B38" t="s">
        <v>2360</v>
      </c>
      <c r="C38">
        <v>128</v>
      </c>
      <c r="E38" s="146">
        <v>131860</v>
      </c>
      <c r="G38" s="150">
        <v>155</v>
      </c>
    </row>
    <row r="39" spans="1:7" x14ac:dyDescent="0.4">
      <c r="C39">
        <v>157</v>
      </c>
      <c r="E39" s="146">
        <v>161730</v>
      </c>
    </row>
    <row r="40" spans="1:7" x14ac:dyDescent="0.4">
      <c r="C40">
        <v>186</v>
      </c>
      <c r="E40" s="146">
        <v>191610</v>
      </c>
    </row>
    <row r="41" spans="1:7" x14ac:dyDescent="0.4">
      <c r="C41">
        <v>233</v>
      </c>
      <c r="E41" s="146">
        <v>240030</v>
      </c>
    </row>
    <row r="42" spans="1:7" x14ac:dyDescent="0.4">
      <c r="B42" t="s">
        <v>2459</v>
      </c>
      <c r="C42">
        <v>128</v>
      </c>
      <c r="E42" s="146">
        <v>189820</v>
      </c>
    </row>
    <row r="43" spans="1:7" x14ac:dyDescent="0.4">
      <c r="C43">
        <v>157</v>
      </c>
      <c r="E43" s="146">
        <v>232830</v>
      </c>
    </row>
    <row r="44" spans="1:7" x14ac:dyDescent="0.4">
      <c r="C44">
        <v>186</v>
      </c>
      <c r="E44" s="146">
        <v>275830</v>
      </c>
    </row>
    <row r="45" spans="1:7" x14ac:dyDescent="0.4">
      <c r="C45">
        <v>233</v>
      </c>
      <c r="E45" s="146">
        <v>345530</v>
      </c>
    </row>
    <row r="46" spans="1:7" x14ac:dyDescent="0.4">
      <c r="A46" t="s">
        <v>2649</v>
      </c>
      <c r="B46" t="s">
        <v>2360</v>
      </c>
      <c r="C46">
        <v>112</v>
      </c>
      <c r="D46" t="s">
        <v>2648</v>
      </c>
      <c r="E46" s="146">
        <v>132720</v>
      </c>
    </row>
    <row r="47" spans="1:7" x14ac:dyDescent="0.4">
      <c r="C47">
        <v>122</v>
      </c>
      <c r="E47" s="146">
        <v>144570</v>
      </c>
    </row>
    <row r="48" spans="1:7" x14ac:dyDescent="0.4">
      <c r="C48">
        <v>145</v>
      </c>
      <c r="E48" s="146">
        <v>171820</v>
      </c>
    </row>
    <row r="49" spans="1:5" x14ac:dyDescent="0.4">
      <c r="C49">
        <v>174</v>
      </c>
      <c r="E49" s="146">
        <v>206190</v>
      </c>
    </row>
    <row r="50" spans="1:5" x14ac:dyDescent="0.4">
      <c r="C50">
        <v>203</v>
      </c>
      <c r="E50" s="146">
        <v>240560</v>
      </c>
    </row>
    <row r="51" spans="1:5" x14ac:dyDescent="0.4">
      <c r="C51">
        <v>222</v>
      </c>
      <c r="E51" s="146">
        <v>263070</v>
      </c>
    </row>
    <row r="52" spans="1:5" x14ac:dyDescent="0.4">
      <c r="C52">
        <v>251</v>
      </c>
      <c r="E52" s="146">
        <v>297440</v>
      </c>
    </row>
    <row r="53" spans="1:5" x14ac:dyDescent="0.4">
      <c r="B53" t="s">
        <v>2459</v>
      </c>
      <c r="C53">
        <v>112</v>
      </c>
      <c r="E53" s="146">
        <v>191060</v>
      </c>
    </row>
    <row r="54" spans="1:5" x14ac:dyDescent="0.4">
      <c r="C54">
        <v>122</v>
      </c>
      <c r="E54" s="146">
        <v>208120</v>
      </c>
    </row>
    <row r="55" spans="1:5" x14ac:dyDescent="0.4">
      <c r="C55">
        <v>145</v>
      </c>
      <c r="E55" s="146">
        <v>247350</v>
      </c>
    </row>
    <row r="56" spans="1:5" x14ac:dyDescent="0.4">
      <c r="C56">
        <v>174</v>
      </c>
      <c r="E56" s="146">
        <v>296820</v>
      </c>
    </row>
    <row r="57" spans="1:5" x14ac:dyDescent="0.4">
      <c r="C57">
        <v>203</v>
      </c>
      <c r="E57" s="146">
        <v>346300</v>
      </c>
    </row>
    <row r="58" spans="1:5" x14ac:dyDescent="0.4">
      <c r="C58">
        <v>222</v>
      </c>
      <c r="E58" s="146">
        <v>378710</v>
      </c>
    </row>
    <row r="59" spans="1:5" x14ac:dyDescent="0.4">
      <c r="C59">
        <v>251</v>
      </c>
      <c r="E59" s="146">
        <v>428180</v>
      </c>
    </row>
    <row r="60" spans="1:5" x14ac:dyDescent="0.4">
      <c r="A60" t="s">
        <v>2650</v>
      </c>
      <c r="B60" t="s">
        <v>2360</v>
      </c>
      <c r="C60">
        <v>90</v>
      </c>
      <c r="E60" s="146">
        <v>106650</v>
      </c>
    </row>
    <row r="61" spans="1:5" x14ac:dyDescent="0.4">
      <c r="C61">
        <v>100</v>
      </c>
      <c r="E61" s="146">
        <v>118500</v>
      </c>
    </row>
    <row r="62" spans="1:5" x14ac:dyDescent="0.4">
      <c r="C62">
        <v>130</v>
      </c>
      <c r="E62" s="146">
        <v>154050</v>
      </c>
    </row>
    <row r="63" spans="1:5" x14ac:dyDescent="0.4">
      <c r="C63">
        <v>160</v>
      </c>
      <c r="E63" s="146">
        <v>189600</v>
      </c>
    </row>
    <row r="64" spans="1:5" x14ac:dyDescent="0.4">
      <c r="C64">
        <v>190</v>
      </c>
      <c r="E64" s="146">
        <v>225150</v>
      </c>
    </row>
    <row r="65" spans="1:5" x14ac:dyDescent="0.4">
      <c r="C65">
        <v>210</v>
      </c>
      <c r="E65" s="146">
        <v>248850</v>
      </c>
    </row>
    <row r="66" spans="1:5" x14ac:dyDescent="0.4">
      <c r="C66">
        <v>230</v>
      </c>
      <c r="E66" s="146">
        <v>272550</v>
      </c>
    </row>
    <row r="67" spans="1:5" x14ac:dyDescent="0.4">
      <c r="C67">
        <v>260</v>
      </c>
      <c r="E67" s="146">
        <v>308100</v>
      </c>
    </row>
    <row r="68" spans="1:5" x14ac:dyDescent="0.4">
      <c r="B68" t="s">
        <v>2459</v>
      </c>
      <c r="C68">
        <v>90</v>
      </c>
      <c r="E68" s="146">
        <v>153530</v>
      </c>
    </row>
    <row r="69" spans="1:5" x14ac:dyDescent="0.4">
      <c r="C69">
        <v>100</v>
      </c>
      <c r="E69" s="146">
        <v>170590</v>
      </c>
    </row>
    <row r="70" spans="1:5" x14ac:dyDescent="0.4">
      <c r="C70">
        <v>130</v>
      </c>
      <c r="E70" s="146">
        <v>221760</v>
      </c>
    </row>
    <row r="71" spans="1:5" x14ac:dyDescent="0.4">
      <c r="C71">
        <v>160</v>
      </c>
      <c r="E71" s="146">
        <v>272940</v>
      </c>
    </row>
    <row r="72" spans="1:5" x14ac:dyDescent="0.4">
      <c r="C72">
        <v>190</v>
      </c>
      <c r="E72" s="146">
        <v>324120</v>
      </c>
    </row>
    <row r="73" spans="1:5" x14ac:dyDescent="0.4">
      <c r="C73">
        <v>210</v>
      </c>
      <c r="E73" s="146">
        <v>358240</v>
      </c>
    </row>
    <row r="74" spans="1:5" x14ac:dyDescent="0.4">
      <c r="C74">
        <v>230</v>
      </c>
      <c r="E74" s="146">
        <v>392360</v>
      </c>
    </row>
    <row r="75" spans="1:5" x14ac:dyDescent="0.4">
      <c r="C75">
        <v>260</v>
      </c>
      <c r="E75" s="146">
        <v>443530</v>
      </c>
    </row>
    <row r="76" spans="1:5" x14ac:dyDescent="0.4">
      <c r="A76" t="s">
        <v>2651</v>
      </c>
      <c r="B76" t="s">
        <v>2360</v>
      </c>
      <c r="C76">
        <v>300</v>
      </c>
      <c r="D76" t="s">
        <v>2645</v>
      </c>
      <c r="E76" s="146">
        <v>283290</v>
      </c>
    </row>
    <row r="77" spans="1:5" x14ac:dyDescent="0.4">
      <c r="C77">
        <v>350</v>
      </c>
      <c r="E77" s="146">
        <v>330510</v>
      </c>
    </row>
    <row r="78" spans="1:5" x14ac:dyDescent="0.4">
      <c r="C78">
        <v>400</v>
      </c>
      <c r="E78" s="146">
        <v>377730</v>
      </c>
    </row>
    <row r="79" spans="1:5" x14ac:dyDescent="0.4">
      <c r="B79" t="s">
        <v>2459</v>
      </c>
      <c r="C79">
        <v>300</v>
      </c>
      <c r="E79" s="146">
        <v>407820</v>
      </c>
    </row>
    <row r="80" spans="1:5" x14ac:dyDescent="0.4">
      <c r="C80">
        <v>350</v>
      </c>
      <c r="E80" s="146">
        <v>475790</v>
      </c>
    </row>
    <row r="81" spans="1:7" x14ac:dyDescent="0.4">
      <c r="C81">
        <v>400</v>
      </c>
      <c r="E81" s="146">
        <v>543760</v>
      </c>
    </row>
    <row r="82" spans="1:7" x14ac:dyDescent="0.4">
      <c r="A82" t="s">
        <v>2652</v>
      </c>
      <c r="B82" t="s">
        <v>2360</v>
      </c>
      <c r="C82">
        <v>300</v>
      </c>
      <c r="E82" s="146">
        <v>321050</v>
      </c>
    </row>
    <row r="83" spans="1:7" x14ac:dyDescent="0.4">
      <c r="C83">
        <v>350</v>
      </c>
      <c r="E83" s="146">
        <v>374560</v>
      </c>
    </row>
    <row r="84" spans="1:7" x14ac:dyDescent="0.4">
      <c r="C84">
        <v>400</v>
      </c>
      <c r="E84" s="146">
        <v>428070</v>
      </c>
    </row>
    <row r="85" spans="1:7" x14ac:dyDescent="0.4">
      <c r="B85" t="s">
        <v>2459</v>
      </c>
      <c r="C85">
        <v>300</v>
      </c>
      <c r="E85" s="146">
        <v>462170</v>
      </c>
    </row>
    <row r="86" spans="1:7" x14ac:dyDescent="0.4">
      <c r="C86">
        <v>350</v>
      </c>
      <c r="E86" s="146">
        <v>539200</v>
      </c>
    </row>
    <row r="87" spans="1:7" x14ac:dyDescent="0.4">
      <c r="C87">
        <v>400</v>
      </c>
      <c r="E87" s="126">
        <v>616230</v>
      </c>
    </row>
    <row r="88" spans="1:7" x14ac:dyDescent="0.4">
      <c r="A88" t="s">
        <v>2656</v>
      </c>
      <c r="C88">
        <v>45</v>
      </c>
      <c r="D88" t="s">
        <v>2376</v>
      </c>
      <c r="E88" s="146">
        <v>81780</v>
      </c>
    </row>
    <row r="89" spans="1:7" x14ac:dyDescent="0.4">
      <c r="C89">
        <v>75</v>
      </c>
      <c r="D89" t="s">
        <v>2653</v>
      </c>
      <c r="E89" s="146">
        <v>130910</v>
      </c>
    </row>
    <row r="90" spans="1:7" x14ac:dyDescent="0.4">
      <c r="C90">
        <v>90</v>
      </c>
      <c r="D90" t="s">
        <v>2654</v>
      </c>
      <c r="E90" s="146">
        <v>145860</v>
      </c>
    </row>
    <row r="91" spans="1:7" ht="87" x14ac:dyDescent="0.4">
      <c r="C91">
        <v>120</v>
      </c>
      <c r="D91" s="140" t="s">
        <v>2655</v>
      </c>
      <c r="E91" s="146">
        <v>219700</v>
      </c>
      <c r="G91" s="150">
        <v>120</v>
      </c>
    </row>
    <row r="92" spans="1:7" x14ac:dyDescent="0.4">
      <c r="C92">
        <v>150</v>
      </c>
      <c r="E92" s="146">
        <v>274630</v>
      </c>
    </row>
    <row r="93" spans="1:7" x14ac:dyDescent="0.4">
      <c r="C93">
        <v>200</v>
      </c>
      <c r="E93" s="146">
        <v>366170</v>
      </c>
    </row>
    <row r="94" spans="1:7" ht="34.799999999999997" x14ac:dyDescent="0.4">
      <c r="A94" t="s">
        <v>2657</v>
      </c>
      <c r="C94">
        <v>120</v>
      </c>
      <c r="D94" s="140" t="s">
        <v>2658</v>
      </c>
      <c r="E94" s="146">
        <v>236210</v>
      </c>
      <c r="G94" s="150">
        <v>120</v>
      </c>
    </row>
    <row r="95" spans="1:7" x14ac:dyDescent="0.4">
      <c r="C95">
        <v>150</v>
      </c>
      <c r="E95" s="146">
        <v>295260</v>
      </c>
    </row>
    <row r="96" spans="1:7" x14ac:dyDescent="0.4">
      <c r="C96">
        <v>200</v>
      </c>
      <c r="E96" s="146">
        <v>393680</v>
      </c>
    </row>
    <row r="97" spans="1:7" ht="87" x14ac:dyDescent="0.4">
      <c r="A97" t="s">
        <v>2659</v>
      </c>
      <c r="C97">
        <v>120</v>
      </c>
      <c r="D97" s="140" t="s">
        <v>2660</v>
      </c>
      <c r="E97" s="146">
        <v>254520</v>
      </c>
      <c r="G97" s="150">
        <v>120</v>
      </c>
    </row>
    <row r="98" spans="1:7" x14ac:dyDescent="0.4">
      <c r="C98">
        <v>150</v>
      </c>
      <c r="E98" s="146">
        <v>318160</v>
      </c>
    </row>
    <row r="99" spans="1:7" x14ac:dyDescent="0.4">
      <c r="C99">
        <v>200</v>
      </c>
      <c r="E99" s="146">
        <v>424210</v>
      </c>
    </row>
    <row r="100" spans="1:7" ht="87" x14ac:dyDescent="0.4">
      <c r="A100" t="s">
        <v>2661</v>
      </c>
      <c r="C100">
        <v>120</v>
      </c>
      <c r="D100" s="140" t="s">
        <v>2662</v>
      </c>
      <c r="E100" s="146">
        <v>289090</v>
      </c>
      <c r="G100" s="150">
        <v>120</v>
      </c>
    </row>
    <row r="101" spans="1:7" x14ac:dyDescent="0.4">
      <c r="C101">
        <v>150</v>
      </c>
      <c r="E101" s="146">
        <v>361370</v>
      </c>
    </row>
    <row r="102" spans="1:7" x14ac:dyDescent="0.4">
      <c r="C102">
        <v>200</v>
      </c>
      <c r="E102" s="146">
        <v>481830</v>
      </c>
    </row>
    <row r="103" spans="1:7" x14ac:dyDescent="0.4">
      <c r="A103" t="s">
        <v>2663</v>
      </c>
      <c r="C103">
        <v>80</v>
      </c>
      <c r="D103" t="s">
        <v>2664</v>
      </c>
      <c r="E103" s="146">
        <v>172710</v>
      </c>
    </row>
    <row r="104" spans="1:7" x14ac:dyDescent="0.4">
      <c r="C104">
        <v>100</v>
      </c>
      <c r="E104" s="146">
        <v>215880</v>
      </c>
    </row>
    <row r="105" spans="1:7" x14ac:dyDescent="0.4">
      <c r="C105">
        <v>120</v>
      </c>
      <c r="E105" s="146">
        <v>259060</v>
      </c>
      <c r="G105" s="150">
        <v>120</v>
      </c>
    </row>
    <row r="106" spans="1:7" x14ac:dyDescent="0.4">
      <c r="C106">
        <v>150</v>
      </c>
      <c r="E106" s="146">
        <v>323830</v>
      </c>
    </row>
    <row r="107" spans="1:7" x14ac:dyDescent="0.4">
      <c r="C107">
        <v>200</v>
      </c>
      <c r="E107" s="146">
        <v>431770</v>
      </c>
    </row>
    <row r="108" spans="1:7" x14ac:dyDescent="0.4">
      <c r="C108">
        <v>250</v>
      </c>
      <c r="E108" s="146">
        <v>540060</v>
      </c>
    </row>
    <row r="109" spans="1:7" x14ac:dyDescent="0.4">
      <c r="C109">
        <v>300</v>
      </c>
      <c r="E109" s="146">
        <v>648080</v>
      </c>
    </row>
    <row r="110" spans="1:7" x14ac:dyDescent="0.4">
      <c r="C110">
        <v>350</v>
      </c>
      <c r="E110" s="146">
        <v>756090</v>
      </c>
    </row>
    <row r="111" spans="1:7" x14ac:dyDescent="0.4">
      <c r="A111" t="s">
        <v>2665</v>
      </c>
      <c r="C111">
        <v>120</v>
      </c>
      <c r="D111" t="s">
        <v>2666</v>
      </c>
      <c r="E111" s="147">
        <v>205690</v>
      </c>
    </row>
    <row r="112" spans="1:7" x14ac:dyDescent="0.4">
      <c r="C112">
        <v>140</v>
      </c>
      <c r="E112" s="147">
        <v>232800</v>
      </c>
    </row>
    <row r="113" spans="1:5" x14ac:dyDescent="0.4">
      <c r="C113">
        <v>150</v>
      </c>
      <c r="E113" s="147">
        <v>249430</v>
      </c>
    </row>
    <row r="114" spans="1:5" x14ac:dyDescent="0.4">
      <c r="C114">
        <v>180</v>
      </c>
      <c r="E114" s="147">
        <v>299320</v>
      </c>
    </row>
    <row r="115" spans="1:5" x14ac:dyDescent="0.4">
      <c r="C115">
        <v>210</v>
      </c>
      <c r="E115" s="147">
        <v>349200</v>
      </c>
    </row>
    <row r="116" spans="1:5" x14ac:dyDescent="0.4">
      <c r="C116">
        <v>240</v>
      </c>
      <c r="E116" s="147">
        <v>399090</v>
      </c>
    </row>
    <row r="117" spans="1:5" x14ac:dyDescent="0.4">
      <c r="C117">
        <v>300</v>
      </c>
      <c r="E117" s="147">
        <v>498860</v>
      </c>
    </row>
    <row r="118" spans="1:5" ht="104.4" x14ac:dyDescent="0.4">
      <c r="A118" t="s">
        <v>2667</v>
      </c>
      <c r="C118">
        <v>75</v>
      </c>
      <c r="D118" s="140" t="s">
        <v>2668</v>
      </c>
      <c r="E118" s="147">
        <v>159270</v>
      </c>
    </row>
    <row r="119" spans="1:5" x14ac:dyDescent="0.4">
      <c r="C119">
        <v>110</v>
      </c>
      <c r="E119" s="147">
        <v>207420</v>
      </c>
    </row>
    <row r="120" spans="1:5" x14ac:dyDescent="0.4">
      <c r="C120">
        <v>120</v>
      </c>
      <c r="E120" s="147">
        <v>226240</v>
      </c>
    </row>
    <row r="121" spans="1:5" x14ac:dyDescent="0.4">
      <c r="C121">
        <v>150</v>
      </c>
      <c r="E121" s="147">
        <v>274380</v>
      </c>
    </row>
    <row r="122" spans="1:5" x14ac:dyDescent="0.4">
      <c r="C122">
        <v>180</v>
      </c>
      <c r="E122" s="147">
        <v>329250</v>
      </c>
    </row>
    <row r="123" spans="1:5" x14ac:dyDescent="0.4">
      <c r="C123">
        <v>200</v>
      </c>
      <c r="E123" s="147">
        <v>366040</v>
      </c>
    </row>
    <row r="124" spans="1:5" x14ac:dyDescent="0.4">
      <c r="C124">
        <v>250</v>
      </c>
      <c r="E124" s="147">
        <v>457550</v>
      </c>
    </row>
    <row r="125" spans="1:5" x14ac:dyDescent="0.4">
      <c r="C125">
        <v>300</v>
      </c>
      <c r="E125" s="147">
        <v>549060</v>
      </c>
    </row>
    <row r="126" spans="1:5" x14ac:dyDescent="0.4">
      <c r="C126">
        <v>350</v>
      </c>
      <c r="E126" s="147">
        <v>640580</v>
      </c>
    </row>
    <row r="127" spans="1:5" x14ac:dyDescent="0.4">
      <c r="C127">
        <v>420</v>
      </c>
      <c r="E127" s="147">
        <v>768690</v>
      </c>
    </row>
    <row r="128" spans="1:5" x14ac:dyDescent="0.4">
      <c r="A128" t="s">
        <v>2669</v>
      </c>
      <c r="C128">
        <v>75</v>
      </c>
      <c r="D128" t="s">
        <v>2670</v>
      </c>
      <c r="E128" s="147">
        <v>171060</v>
      </c>
    </row>
    <row r="129" spans="1:5" x14ac:dyDescent="0.4">
      <c r="C129">
        <v>110</v>
      </c>
      <c r="E129" s="147">
        <v>222930</v>
      </c>
    </row>
    <row r="130" spans="1:5" x14ac:dyDescent="0.4">
      <c r="C130">
        <v>120</v>
      </c>
      <c r="E130" s="147">
        <v>243720</v>
      </c>
    </row>
    <row r="131" spans="1:5" x14ac:dyDescent="0.4">
      <c r="C131">
        <v>150</v>
      </c>
      <c r="E131" s="147">
        <v>289870</v>
      </c>
    </row>
    <row r="132" spans="1:5" x14ac:dyDescent="0.4">
      <c r="C132">
        <v>180</v>
      </c>
      <c r="E132" s="147">
        <v>347840</v>
      </c>
    </row>
    <row r="133" spans="1:5" x14ac:dyDescent="0.4">
      <c r="C133">
        <v>200</v>
      </c>
      <c r="E133" s="147">
        <v>389210</v>
      </c>
    </row>
    <row r="134" spans="1:5" x14ac:dyDescent="0.4">
      <c r="C134">
        <v>250</v>
      </c>
      <c r="E134" s="147">
        <v>486510</v>
      </c>
    </row>
    <row r="135" spans="1:5" x14ac:dyDescent="0.4">
      <c r="C135">
        <v>300</v>
      </c>
      <c r="E135" s="147">
        <v>583820</v>
      </c>
    </row>
    <row r="136" spans="1:5" x14ac:dyDescent="0.4">
      <c r="C136">
        <v>350</v>
      </c>
      <c r="E136" s="147">
        <v>681120</v>
      </c>
    </row>
    <row r="137" spans="1:5" x14ac:dyDescent="0.4">
      <c r="C137">
        <v>420</v>
      </c>
      <c r="E137" s="147">
        <v>817350</v>
      </c>
    </row>
    <row r="138" spans="1:5" ht="52.2" x14ac:dyDescent="0.4">
      <c r="A138" t="s">
        <v>2671</v>
      </c>
      <c r="C138">
        <v>75</v>
      </c>
      <c r="D138" s="140" t="s">
        <v>2672</v>
      </c>
      <c r="E138" s="146">
        <v>181520</v>
      </c>
    </row>
    <row r="139" spans="1:5" x14ac:dyDescent="0.4">
      <c r="C139">
        <v>110</v>
      </c>
      <c r="E139" s="146">
        <v>236220</v>
      </c>
    </row>
    <row r="140" spans="1:5" x14ac:dyDescent="0.4">
      <c r="C140">
        <v>120</v>
      </c>
      <c r="E140" s="146">
        <v>257340</v>
      </c>
    </row>
    <row r="141" spans="1:5" x14ac:dyDescent="0.4">
      <c r="C141">
        <v>150</v>
      </c>
      <c r="E141" s="146">
        <v>309300</v>
      </c>
    </row>
    <row r="142" spans="1:5" x14ac:dyDescent="0.4">
      <c r="C142">
        <v>180</v>
      </c>
      <c r="E142" s="146">
        <v>371160</v>
      </c>
    </row>
    <row r="143" spans="1:5" x14ac:dyDescent="0.4">
      <c r="C143">
        <v>200</v>
      </c>
      <c r="E143" s="146">
        <v>416340</v>
      </c>
    </row>
    <row r="144" spans="1:5" x14ac:dyDescent="0.4">
      <c r="C144">
        <v>250</v>
      </c>
      <c r="E144" s="146">
        <v>520430</v>
      </c>
    </row>
    <row r="145" spans="1:5" x14ac:dyDescent="0.4">
      <c r="C145">
        <v>300</v>
      </c>
      <c r="E145" s="146">
        <v>624520</v>
      </c>
    </row>
    <row r="146" spans="1:5" x14ac:dyDescent="0.4">
      <c r="C146">
        <v>350</v>
      </c>
      <c r="E146" s="146">
        <v>728600</v>
      </c>
    </row>
    <row r="147" spans="1:5" x14ac:dyDescent="0.4">
      <c r="C147">
        <v>420</v>
      </c>
      <c r="E147" s="146">
        <v>874330</v>
      </c>
    </row>
    <row r="148" spans="1:5" ht="52.2" x14ac:dyDescent="0.4">
      <c r="A148" t="s">
        <v>2673</v>
      </c>
      <c r="C148">
        <v>75</v>
      </c>
      <c r="D148" s="140" t="s">
        <v>2674</v>
      </c>
      <c r="E148" s="146">
        <v>221720</v>
      </c>
    </row>
    <row r="149" spans="1:5" x14ac:dyDescent="0.4">
      <c r="C149">
        <v>110</v>
      </c>
      <c r="E149" s="146">
        <v>274080</v>
      </c>
    </row>
    <row r="150" spans="1:5" x14ac:dyDescent="0.4">
      <c r="C150">
        <v>120</v>
      </c>
      <c r="E150" s="146">
        <v>298780</v>
      </c>
    </row>
    <row r="151" spans="1:5" x14ac:dyDescent="0.4">
      <c r="C151">
        <v>150</v>
      </c>
      <c r="E151" s="146">
        <v>357220</v>
      </c>
    </row>
    <row r="152" spans="1:5" x14ac:dyDescent="0.4">
      <c r="C152">
        <v>180</v>
      </c>
      <c r="E152" s="146">
        <v>428670</v>
      </c>
    </row>
    <row r="153" spans="1:5" x14ac:dyDescent="0.4">
      <c r="C153">
        <v>200</v>
      </c>
      <c r="E153" s="146">
        <v>484820</v>
      </c>
    </row>
    <row r="154" spans="1:5" x14ac:dyDescent="0.4">
      <c r="C154">
        <v>250</v>
      </c>
      <c r="E154" s="146">
        <v>606020</v>
      </c>
    </row>
    <row r="155" spans="1:5" x14ac:dyDescent="0.4">
      <c r="C155">
        <v>300</v>
      </c>
      <c r="E155" s="146">
        <v>727230</v>
      </c>
    </row>
    <row r="156" spans="1:5" x14ac:dyDescent="0.4">
      <c r="C156">
        <v>350</v>
      </c>
      <c r="E156" s="146">
        <v>848440</v>
      </c>
    </row>
    <row r="157" spans="1:5" x14ac:dyDescent="0.4">
      <c r="C157">
        <v>420</v>
      </c>
      <c r="E157" s="146">
        <v>1018120</v>
      </c>
    </row>
    <row r="158" spans="1:5" ht="52.2" x14ac:dyDescent="0.4">
      <c r="A158" t="s">
        <v>2675</v>
      </c>
      <c r="C158">
        <v>120</v>
      </c>
      <c r="D158" s="140" t="s">
        <v>2676</v>
      </c>
      <c r="E158" s="146">
        <v>293860</v>
      </c>
    </row>
    <row r="159" spans="1:5" x14ac:dyDescent="0.4">
      <c r="C159">
        <v>200</v>
      </c>
      <c r="D159" t="s">
        <v>2677</v>
      </c>
      <c r="E159" s="146">
        <v>489760</v>
      </c>
    </row>
    <row r="160" spans="1:5" x14ac:dyDescent="0.4">
      <c r="C160">
        <v>250</v>
      </c>
      <c r="D160" t="s">
        <v>2678</v>
      </c>
      <c r="E160" s="146">
        <v>612200</v>
      </c>
    </row>
    <row r="161" spans="1:5" x14ac:dyDescent="0.4">
      <c r="C161">
        <v>300</v>
      </c>
      <c r="E161" s="146">
        <v>587700</v>
      </c>
    </row>
    <row r="162" spans="1:5" x14ac:dyDescent="0.4">
      <c r="C162">
        <v>350</v>
      </c>
      <c r="E162" s="146">
        <v>685650</v>
      </c>
    </row>
    <row r="163" spans="1:5" ht="34.799999999999997" x14ac:dyDescent="0.4">
      <c r="A163" t="s">
        <v>2679</v>
      </c>
      <c r="C163">
        <v>120</v>
      </c>
      <c r="D163" s="140" t="s">
        <v>2680</v>
      </c>
      <c r="E163" s="146">
        <v>353910</v>
      </c>
    </row>
    <row r="164" spans="1:5" x14ac:dyDescent="0.4">
      <c r="C164">
        <v>300</v>
      </c>
      <c r="E164" s="146">
        <v>707810</v>
      </c>
    </row>
    <row r="165" spans="1:5" x14ac:dyDescent="0.4">
      <c r="C165">
        <v>350</v>
      </c>
      <c r="E165" s="146">
        <v>825780</v>
      </c>
    </row>
    <row r="166" spans="1:5" x14ac:dyDescent="0.4">
      <c r="A166" t="s">
        <v>2681</v>
      </c>
      <c r="C166">
        <v>120</v>
      </c>
      <c r="D166" t="s">
        <v>2682</v>
      </c>
      <c r="E166" s="146">
        <v>381110</v>
      </c>
    </row>
    <row r="167" spans="1:5" x14ac:dyDescent="0.4">
      <c r="C167">
        <v>300</v>
      </c>
      <c r="E167" s="146">
        <v>762200</v>
      </c>
    </row>
    <row r="168" spans="1:5" x14ac:dyDescent="0.4">
      <c r="C168">
        <v>350</v>
      </c>
      <c r="E168" s="146">
        <v>889240</v>
      </c>
    </row>
    <row r="169" spans="1:5" x14ac:dyDescent="0.4">
      <c r="A169" t="s">
        <v>2683</v>
      </c>
      <c r="C169">
        <v>120</v>
      </c>
      <c r="D169" t="s">
        <v>2684</v>
      </c>
      <c r="E169" s="146">
        <v>412760</v>
      </c>
    </row>
    <row r="170" spans="1:5" x14ac:dyDescent="0.4">
      <c r="C170">
        <v>300</v>
      </c>
      <c r="E170" s="146">
        <v>825520</v>
      </c>
    </row>
    <row r="171" spans="1:5" x14ac:dyDescent="0.4">
      <c r="C171">
        <v>350</v>
      </c>
      <c r="E171" s="146">
        <v>963110</v>
      </c>
    </row>
    <row r="172" spans="1:5" ht="69.599999999999994" x14ac:dyDescent="0.4">
      <c r="A172" t="s">
        <v>2686</v>
      </c>
      <c r="C172">
        <v>180</v>
      </c>
      <c r="D172" s="140" t="s">
        <v>2685</v>
      </c>
      <c r="E172" s="147">
        <v>408350</v>
      </c>
    </row>
    <row r="173" spans="1:5" x14ac:dyDescent="0.4">
      <c r="C173">
        <v>200</v>
      </c>
      <c r="E173" s="147">
        <v>453720</v>
      </c>
    </row>
    <row r="174" spans="1:5" x14ac:dyDescent="0.4">
      <c r="C174">
        <v>220</v>
      </c>
      <c r="E174" s="147">
        <v>499100</v>
      </c>
    </row>
    <row r="175" spans="1:5" x14ac:dyDescent="0.4">
      <c r="C175">
        <v>250</v>
      </c>
      <c r="E175" s="147">
        <v>567160</v>
      </c>
    </row>
    <row r="176" spans="1:5" x14ac:dyDescent="0.4">
      <c r="C176">
        <v>280</v>
      </c>
      <c r="E176" s="147">
        <v>635210</v>
      </c>
    </row>
    <row r="177" spans="1:5" x14ac:dyDescent="0.4">
      <c r="C177">
        <v>300</v>
      </c>
      <c r="E177" s="147">
        <v>544460</v>
      </c>
    </row>
    <row r="178" spans="1:5" x14ac:dyDescent="0.4">
      <c r="C178">
        <v>350</v>
      </c>
      <c r="E178" s="147">
        <v>635210</v>
      </c>
    </row>
    <row r="179" spans="1:5" ht="34.799999999999997" x14ac:dyDescent="0.4">
      <c r="A179" t="s">
        <v>2687</v>
      </c>
      <c r="C179">
        <v>180</v>
      </c>
      <c r="D179" s="140" t="s">
        <v>2688</v>
      </c>
      <c r="E179" s="146">
        <v>491800</v>
      </c>
    </row>
    <row r="180" spans="1:5" x14ac:dyDescent="0.4">
      <c r="C180">
        <v>200</v>
      </c>
      <c r="E180" s="146">
        <v>546440</v>
      </c>
    </row>
    <row r="181" spans="1:5" x14ac:dyDescent="0.4">
      <c r="C181">
        <v>220</v>
      </c>
      <c r="E181" s="146">
        <v>601090</v>
      </c>
    </row>
    <row r="182" spans="1:5" x14ac:dyDescent="0.4">
      <c r="C182">
        <v>250</v>
      </c>
      <c r="E182" s="146">
        <v>683050</v>
      </c>
    </row>
    <row r="183" spans="1:5" x14ac:dyDescent="0.4">
      <c r="C183">
        <v>280</v>
      </c>
      <c r="E183" s="146">
        <v>765020</v>
      </c>
    </row>
    <row r="184" spans="1:5" x14ac:dyDescent="0.4">
      <c r="C184">
        <v>300</v>
      </c>
      <c r="E184" s="146">
        <v>655720</v>
      </c>
    </row>
    <row r="185" spans="1:5" x14ac:dyDescent="0.4">
      <c r="C185">
        <v>350</v>
      </c>
      <c r="E185" s="146">
        <v>765010</v>
      </c>
    </row>
    <row r="186" spans="1:5" ht="34.799999999999997" x14ac:dyDescent="0.4">
      <c r="A186" t="s">
        <v>2689</v>
      </c>
      <c r="C186">
        <v>180</v>
      </c>
      <c r="D186" s="140" t="s">
        <v>2690</v>
      </c>
      <c r="E186" s="147">
        <v>529590</v>
      </c>
    </row>
    <row r="187" spans="1:5" x14ac:dyDescent="0.4">
      <c r="C187">
        <v>200</v>
      </c>
      <c r="E187" s="147">
        <v>588440</v>
      </c>
    </row>
    <row r="188" spans="1:5" x14ac:dyDescent="0.4">
      <c r="C188">
        <v>220</v>
      </c>
      <c r="E188" s="147">
        <v>647280</v>
      </c>
    </row>
    <row r="189" spans="1:5" x14ac:dyDescent="0.4">
      <c r="C189">
        <v>250</v>
      </c>
      <c r="E189" s="147">
        <v>735550</v>
      </c>
    </row>
    <row r="190" spans="1:5" x14ac:dyDescent="0.4">
      <c r="C190">
        <v>280</v>
      </c>
      <c r="E190" s="147">
        <v>823820</v>
      </c>
    </row>
    <row r="191" spans="1:5" x14ac:dyDescent="0.4">
      <c r="C191">
        <v>300</v>
      </c>
      <c r="E191" s="147">
        <v>706120</v>
      </c>
    </row>
    <row r="192" spans="1:5" x14ac:dyDescent="0.4">
      <c r="C192">
        <v>350</v>
      </c>
      <c r="E192" s="147">
        <v>823810</v>
      </c>
    </row>
    <row r="193" spans="1:5" ht="34.799999999999997" x14ac:dyDescent="0.4">
      <c r="A193" t="s">
        <v>2691</v>
      </c>
      <c r="C193">
        <v>180</v>
      </c>
      <c r="D193" s="140" t="s">
        <v>2692</v>
      </c>
      <c r="E193" s="147">
        <v>589660</v>
      </c>
    </row>
    <row r="194" spans="1:5" x14ac:dyDescent="0.4">
      <c r="C194">
        <v>200</v>
      </c>
      <c r="E194" s="147">
        <v>655180</v>
      </c>
    </row>
    <row r="195" spans="1:5" x14ac:dyDescent="0.4">
      <c r="C195">
        <v>220</v>
      </c>
      <c r="E195" s="147">
        <v>720700</v>
      </c>
    </row>
    <row r="196" spans="1:5" x14ac:dyDescent="0.4">
      <c r="C196">
        <v>250</v>
      </c>
      <c r="E196" s="147">
        <v>818970</v>
      </c>
    </row>
    <row r="197" spans="1:5" x14ac:dyDescent="0.4">
      <c r="C197">
        <v>280</v>
      </c>
      <c r="E197" s="147">
        <v>917250</v>
      </c>
    </row>
    <row r="198" spans="1:5" x14ac:dyDescent="0.4">
      <c r="C198">
        <v>300</v>
      </c>
      <c r="E198" s="147">
        <v>786220</v>
      </c>
    </row>
    <row r="199" spans="1:5" x14ac:dyDescent="0.4">
      <c r="C199">
        <v>350</v>
      </c>
      <c r="E199" s="147">
        <v>917250</v>
      </c>
    </row>
    <row r="200" spans="1:5" ht="34.799999999999997" x14ac:dyDescent="0.4">
      <c r="A200" t="s">
        <v>2693</v>
      </c>
      <c r="C200">
        <v>180</v>
      </c>
      <c r="D200" s="140" t="s">
        <v>2694</v>
      </c>
      <c r="E200" s="146">
        <v>457960</v>
      </c>
    </row>
    <row r="201" spans="1:5" x14ac:dyDescent="0.4">
      <c r="C201">
        <v>200</v>
      </c>
      <c r="E201" s="146">
        <v>508850</v>
      </c>
    </row>
    <row r="202" spans="1:5" x14ac:dyDescent="0.4">
      <c r="C202">
        <v>250</v>
      </c>
      <c r="E202" s="146">
        <v>636060</v>
      </c>
    </row>
    <row r="203" spans="1:5" x14ac:dyDescent="0.4">
      <c r="A203" t="s">
        <v>2695</v>
      </c>
      <c r="C203">
        <v>180</v>
      </c>
      <c r="D203" t="s">
        <v>2696</v>
      </c>
      <c r="E203" s="126">
        <v>551550</v>
      </c>
    </row>
    <row r="204" spans="1:5" x14ac:dyDescent="0.4">
      <c r="C204">
        <v>200</v>
      </c>
      <c r="E204" s="126">
        <v>612840</v>
      </c>
    </row>
    <row r="205" spans="1:5" x14ac:dyDescent="0.4">
      <c r="C205">
        <v>250</v>
      </c>
      <c r="E205" s="126">
        <v>766050</v>
      </c>
    </row>
    <row r="206" spans="1:5" x14ac:dyDescent="0.4">
      <c r="A206" t="s">
        <v>2697</v>
      </c>
      <c r="C206">
        <v>180</v>
      </c>
      <c r="D206" t="s">
        <v>2698</v>
      </c>
      <c r="E206" s="126">
        <v>593940</v>
      </c>
    </row>
    <row r="207" spans="1:5" x14ac:dyDescent="0.4">
      <c r="C207">
        <v>200</v>
      </c>
      <c r="E207" s="126">
        <v>659930</v>
      </c>
    </row>
    <row r="208" spans="1:5" x14ac:dyDescent="0.4">
      <c r="C208">
        <v>250</v>
      </c>
      <c r="E208" s="126">
        <v>824920</v>
      </c>
    </row>
    <row r="209" spans="1:5" x14ac:dyDescent="0.4">
      <c r="A209" t="s">
        <v>2699</v>
      </c>
      <c r="C209">
        <v>180</v>
      </c>
      <c r="D209" t="s">
        <v>2700</v>
      </c>
      <c r="E209" s="126">
        <v>707590</v>
      </c>
    </row>
    <row r="210" spans="1:5" x14ac:dyDescent="0.4">
      <c r="C210">
        <v>200</v>
      </c>
      <c r="E210" s="126">
        <v>786220</v>
      </c>
    </row>
    <row r="211" spans="1:5" x14ac:dyDescent="0.4">
      <c r="C211">
        <v>250</v>
      </c>
      <c r="E211" s="126">
        <v>982770</v>
      </c>
    </row>
    <row r="212" spans="1:5" x14ac:dyDescent="0.4">
      <c r="A212" t="s">
        <v>2701</v>
      </c>
      <c r="C212">
        <v>90</v>
      </c>
      <c r="D212" t="s">
        <v>2703</v>
      </c>
      <c r="E212" s="126">
        <v>181890</v>
      </c>
    </row>
    <row r="213" spans="1:5" x14ac:dyDescent="0.4">
      <c r="C213">
        <v>110</v>
      </c>
      <c r="E213" s="126">
        <v>206170</v>
      </c>
    </row>
    <row r="214" spans="1:5" x14ac:dyDescent="0.4">
      <c r="C214">
        <v>200</v>
      </c>
      <c r="E214" s="126">
        <v>370950</v>
      </c>
    </row>
    <row r="215" spans="1:5" x14ac:dyDescent="0.4">
      <c r="C215">
        <v>120</v>
      </c>
      <c r="D215" t="s">
        <v>2702</v>
      </c>
      <c r="E215" s="126">
        <v>224300</v>
      </c>
    </row>
    <row r="216" spans="1:5" ht="34.799999999999997" x14ac:dyDescent="0.4">
      <c r="A216" t="s">
        <v>2704</v>
      </c>
      <c r="C216">
        <v>120</v>
      </c>
      <c r="D216" s="140" t="s">
        <v>2705</v>
      </c>
      <c r="E216" s="126">
        <v>491880</v>
      </c>
    </row>
    <row r="217" spans="1:5" x14ac:dyDescent="0.4">
      <c r="C217">
        <v>220</v>
      </c>
      <c r="E217" s="126">
        <v>800680</v>
      </c>
    </row>
    <row r="218" spans="1:5" x14ac:dyDescent="0.4">
      <c r="C218">
        <v>250</v>
      </c>
      <c r="D218" t="s">
        <v>2706</v>
      </c>
      <c r="E218" s="126">
        <v>909870</v>
      </c>
    </row>
    <row r="219" spans="1:5" x14ac:dyDescent="0.4">
      <c r="C219">
        <v>350</v>
      </c>
      <c r="E219" s="126">
        <v>1062510</v>
      </c>
    </row>
    <row r="220" spans="1:5" ht="34.799999999999997" x14ac:dyDescent="0.4">
      <c r="A220" t="s">
        <v>2707</v>
      </c>
      <c r="C220">
        <v>120</v>
      </c>
      <c r="D220" s="140" t="s">
        <v>2708</v>
      </c>
      <c r="E220" s="126">
        <v>543290</v>
      </c>
    </row>
    <row r="221" spans="1:5" x14ac:dyDescent="0.4">
      <c r="C221">
        <v>220</v>
      </c>
      <c r="E221" s="126">
        <v>854430</v>
      </c>
    </row>
    <row r="222" spans="1:5" x14ac:dyDescent="0.4">
      <c r="C222">
        <v>250</v>
      </c>
      <c r="D222" t="s">
        <v>2709</v>
      </c>
      <c r="E222" s="126">
        <v>970950</v>
      </c>
    </row>
    <row r="223" spans="1:5" x14ac:dyDescent="0.4">
      <c r="C223">
        <v>350</v>
      </c>
      <c r="E223" s="126">
        <v>1136340</v>
      </c>
    </row>
    <row r="224" spans="1:5" x14ac:dyDescent="0.4">
      <c r="A224" t="s">
        <v>2710</v>
      </c>
      <c r="C224">
        <v>120</v>
      </c>
      <c r="D224" t="s">
        <v>2711</v>
      </c>
      <c r="E224" s="146">
        <v>594590</v>
      </c>
    </row>
    <row r="225" spans="1:5" x14ac:dyDescent="0.4">
      <c r="C225">
        <v>220</v>
      </c>
      <c r="E225" s="146">
        <v>955530</v>
      </c>
    </row>
    <row r="226" spans="1:5" x14ac:dyDescent="0.4">
      <c r="C226">
        <v>250</v>
      </c>
      <c r="D226" t="s">
        <v>2712</v>
      </c>
      <c r="E226" s="146">
        <v>1085830</v>
      </c>
    </row>
    <row r="227" spans="1:5" x14ac:dyDescent="0.4">
      <c r="C227">
        <v>350</v>
      </c>
      <c r="E227" s="146">
        <v>1168430</v>
      </c>
    </row>
    <row r="228" spans="1:5" x14ac:dyDescent="0.4">
      <c r="A228" t="s">
        <v>2713</v>
      </c>
      <c r="C228">
        <v>120</v>
      </c>
      <c r="D228" t="s">
        <v>2714</v>
      </c>
      <c r="E228" s="146">
        <v>654020</v>
      </c>
    </row>
    <row r="229" spans="1:5" x14ac:dyDescent="0.4">
      <c r="C229">
        <v>220</v>
      </c>
      <c r="E229" s="146">
        <v>1051050</v>
      </c>
    </row>
    <row r="230" spans="1:5" x14ac:dyDescent="0.4">
      <c r="C230">
        <v>250</v>
      </c>
      <c r="E230" s="146">
        <v>1194380</v>
      </c>
    </row>
    <row r="231" spans="1:5" x14ac:dyDescent="0.4">
      <c r="C231">
        <v>350</v>
      </c>
      <c r="E231" s="146">
        <v>1307530</v>
      </c>
    </row>
    <row r="232" spans="1:5" x14ac:dyDescent="0.4">
      <c r="A232" t="s">
        <v>2715</v>
      </c>
      <c r="C232">
        <v>120</v>
      </c>
      <c r="D232" t="s">
        <v>2716</v>
      </c>
      <c r="E232" s="146">
        <v>524330</v>
      </c>
    </row>
    <row r="233" spans="1:5" x14ac:dyDescent="0.4">
      <c r="C233">
        <v>370</v>
      </c>
      <c r="E233" s="146">
        <v>1191250</v>
      </c>
    </row>
    <row r="234" spans="1:5" x14ac:dyDescent="0.4">
      <c r="A234" t="s">
        <v>2718</v>
      </c>
      <c r="C234">
        <v>120</v>
      </c>
      <c r="D234" t="s">
        <v>2717</v>
      </c>
      <c r="E234" s="146">
        <v>579520</v>
      </c>
    </row>
    <row r="235" spans="1:5" x14ac:dyDescent="0.4">
      <c r="C235">
        <v>250</v>
      </c>
      <c r="E235" s="146">
        <v>1057870</v>
      </c>
    </row>
    <row r="236" spans="1:5" x14ac:dyDescent="0.4">
      <c r="C236">
        <v>370</v>
      </c>
      <c r="E236" s="146">
        <v>1361430</v>
      </c>
    </row>
    <row r="237" spans="1:5" x14ac:dyDescent="0.4">
      <c r="A237" t="s">
        <v>2719</v>
      </c>
      <c r="C237">
        <v>250</v>
      </c>
      <c r="D237" t="s">
        <v>2716</v>
      </c>
      <c r="E237" s="146">
        <v>1057870</v>
      </c>
    </row>
    <row r="238" spans="1:5" x14ac:dyDescent="0.4">
      <c r="A238" t="s">
        <v>2720</v>
      </c>
      <c r="C238">
        <v>250</v>
      </c>
      <c r="D238" t="s">
        <v>2721</v>
      </c>
      <c r="E238" s="146">
        <v>1172850</v>
      </c>
    </row>
    <row r="239" spans="1:5" ht="52.2" x14ac:dyDescent="0.4">
      <c r="A239" t="s">
        <v>2722</v>
      </c>
      <c r="C239">
        <v>250</v>
      </c>
      <c r="D239" s="140" t="s">
        <v>2723</v>
      </c>
      <c r="E239" s="146">
        <v>480600</v>
      </c>
    </row>
    <row r="240" spans="1:5" x14ac:dyDescent="0.4">
      <c r="C240">
        <v>350</v>
      </c>
      <c r="E240" s="146">
        <v>672850</v>
      </c>
    </row>
    <row r="241" spans="1:5" x14ac:dyDescent="0.4">
      <c r="A241" t="s">
        <v>2724</v>
      </c>
      <c r="C241">
        <v>250</v>
      </c>
      <c r="D241" t="s">
        <v>2725</v>
      </c>
      <c r="E241" s="146">
        <v>516700</v>
      </c>
    </row>
    <row r="242" spans="1:5" x14ac:dyDescent="0.4">
      <c r="C242">
        <v>350</v>
      </c>
      <c r="E242" s="146">
        <v>723380</v>
      </c>
    </row>
    <row r="243" spans="1:5" ht="34.799999999999997" x14ac:dyDescent="0.4">
      <c r="A243" t="s">
        <v>2726</v>
      </c>
      <c r="C243">
        <v>250</v>
      </c>
      <c r="D243" s="140" t="s">
        <v>2727</v>
      </c>
      <c r="E243" s="146">
        <v>556760</v>
      </c>
    </row>
    <row r="244" spans="1:5" x14ac:dyDescent="0.4">
      <c r="C244">
        <v>350</v>
      </c>
      <c r="E244" s="146">
        <v>779470</v>
      </c>
    </row>
    <row r="245" spans="1:5" x14ac:dyDescent="0.4">
      <c r="A245" t="s">
        <v>2728</v>
      </c>
      <c r="C245">
        <v>250</v>
      </c>
      <c r="D245" t="s">
        <v>2729</v>
      </c>
      <c r="E245" s="146">
        <v>632400</v>
      </c>
    </row>
    <row r="246" spans="1:5" x14ac:dyDescent="0.4">
      <c r="C246">
        <v>350</v>
      </c>
      <c r="E246" s="146">
        <v>885360</v>
      </c>
    </row>
    <row r="247" spans="1:5" x14ac:dyDescent="0.4">
      <c r="A247" t="s">
        <v>2730</v>
      </c>
      <c r="C247">
        <v>350</v>
      </c>
      <c r="D247" t="s">
        <v>2731</v>
      </c>
      <c r="E247" s="146">
        <v>804110</v>
      </c>
    </row>
    <row r="248" spans="1:5" x14ac:dyDescent="0.4">
      <c r="A248" t="s">
        <v>2732</v>
      </c>
      <c r="C248">
        <v>250</v>
      </c>
      <c r="D248" t="s">
        <v>2520</v>
      </c>
      <c r="E248" s="146">
        <v>504630</v>
      </c>
    </row>
    <row r="249" spans="1:5" x14ac:dyDescent="0.4">
      <c r="C249">
        <v>350</v>
      </c>
      <c r="E249" s="146">
        <v>706490</v>
      </c>
    </row>
    <row r="250" spans="1:5" x14ac:dyDescent="0.4">
      <c r="A250" t="s">
        <v>2735</v>
      </c>
      <c r="C250">
        <v>350</v>
      </c>
      <c r="D250" t="s">
        <v>2736</v>
      </c>
      <c r="E250" s="146">
        <v>706490</v>
      </c>
    </row>
    <row r="251" spans="1:5" x14ac:dyDescent="0.4">
      <c r="A251" t="s">
        <v>2733</v>
      </c>
      <c r="C251">
        <v>350</v>
      </c>
      <c r="D251" t="s">
        <v>2737</v>
      </c>
      <c r="E251" s="146">
        <v>759550</v>
      </c>
    </row>
    <row r="252" spans="1:5" x14ac:dyDescent="0.4">
      <c r="A252" t="s">
        <v>2734</v>
      </c>
      <c r="C252">
        <v>350</v>
      </c>
      <c r="D252" t="s">
        <v>2738</v>
      </c>
      <c r="E252" s="146">
        <v>929620</v>
      </c>
    </row>
    <row r="253" spans="1:5" x14ac:dyDescent="0.4">
      <c r="A253" t="s">
        <v>2739</v>
      </c>
      <c r="C253">
        <v>120</v>
      </c>
      <c r="D253" t="s">
        <v>2740</v>
      </c>
      <c r="E253" s="146">
        <v>152520</v>
      </c>
    </row>
    <row r="254" spans="1:5" x14ac:dyDescent="0.4">
      <c r="C254">
        <v>170</v>
      </c>
      <c r="E254" s="146">
        <v>216080</v>
      </c>
    </row>
    <row r="255" spans="1:5" x14ac:dyDescent="0.4">
      <c r="C255">
        <v>195</v>
      </c>
      <c r="E255" s="146">
        <v>247860</v>
      </c>
    </row>
    <row r="256" spans="1:5" x14ac:dyDescent="0.4">
      <c r="C256">
        <v>230</v>
      </c>
      <c r="E256" s="146">
        <v>292340</v>
      </c>
    </row>
    <row r="257" spans="1:5" x14ac:dyDescent="0.4">
      <c r="A257" t="s">
        <v>2741</v>
      </c>
      <c r="C257">
        <v>200</v>
      </c>
      <c r="D257" t="s">
        <v>2678</v>
      </c>
      <c r="E257" s="146">
        <v>261000</v>
      </c>
    </row>
    <row r="258" spans="1:5" x14ac:dyDescent="0.4">
      <c r="C258">
        <v>230</v>
      </c>
      <c r="E258" s="146">
        <v>300150</v>
      </c>
    </row>
    <row r="259" spans="1:5" x14ac:dyDescent="0.4">
      <c r="A259" t="s">
        <v>2743</v>
      </c>
      <c r="C259">
        <v>200</v>
      </c>
      <c r="D259" t="s">
        <v>2742</v>
      </c>
      <c r="E259" s="146">
        <v>302610</v>
      </c>
    </row>
    <row r="260" spans="1:5" x14ac:dyDescent="0.4">
      <c r="A260" t="s">
        <v>2744</v>
      </c>
      <c r="C260">
        <v>110</v>
      </c>
      <c r="D260" s="140" t="s">
        <v>2745</v>
      </c>
      <c r="E260" s="126">
        <v>207420</v>
      </c>
    </row>
    <row r="261" spans="1:5" x14ac:dyDescent="0.4">
      <c r="C261">
        <v>120</v>
      </c>
      <c r="E261" s="126">
        <v>226240</v>
      </c>
    </row>
    <row r="262" spans="1:5" x14ac:dyDescent="0.4">
      <c r="C262">
        <v>220</v>
      </c>
      <c r="E262" s="126">
        <v>402560</v>
      </c>
    </row>
    <row r="263" spans="1:5" x14ac:dyDescent="0.4">
      <c r="C263">
        <v>280</v>
      </c>
      <c r="E263" s="126">
        <v>512460</v>
      </c>
    </row>
    <row r="264" spans="1:5" x14ac:dyDescent="0.4">
      <c r="C264">
        <v>300</v>
      </c>
      <c r="E264" s="126">
        <v>549060</v>
      </c>
    </row>
    <row r="265" spans="1:5" x14ac:dyDescent="0.4">
      <c r="C265">
        <v>350</v>
      </c>
      <c r="E265" s="126">
        <v>640580</v>
      </c>
    </row>
    <row r="266" spans="1:5" x14ac:dyDescent="0.4">
      <c r="C266">
        <v>400</v>
      </c>
      <c r="E266" s="126">
        <v>732090</v>
      </c>
    </row>
    <row r="267" spans="1:5" x14ac:dyDescent="0.4">
      <c r="C267">
        <v>420</v>
      </c>
      <c r="E267" s="126">
        <v>768690</v>
      </c>
    </row>
    <row r="268" spans="1:5" x14ac:dyDescent="0.4">
      <c r="A268" t="s">
        <v>2746</v>
      </c>
      <c r="C268">
        <v>350</v>
      </c>
      <c r="D268" t="s">
        <v>2747</v>
      </c>
      <c r="E268" s="126">
        <v>726000</v>
      </c>
    </row>
    <row r="269" spans="1:5" ht="34.799999999999997" x14ac:dyDescent="0.4">
      <c r="A269" t="s">
        <v>2748</v>
      </c>
      <c r="C269">
        <v>110</v>
      </c>
      <c r="D269" s="140" t="s">
        <v>2749</v>
      </c>
      <c r="E269" s="126">
        <v>274080</v>
      </c>
    </row>
    <row r="270" spans="1:5" x14ac:dyDescent="0.4">
      <c r="C270">
        <v>120</v>
      </c>
      <c r="E270" s="126">
        <v>298780</v>
      </c>
    </row>
    <row r="271" spans="1:5" x14ac:dyDescent="0.4">
      <c r="C271">
        <v>220</v>
      </c>
      <c r="E271" s="126">
        <v>533300</v>
      </c>
    </row>
    <row r="272" spans="1:5" x14ac:dyDescent="0.4">
      <c r="C272">
        <v>280</v>
      </c>
      <c r="E272" s="126">
        <v>678750</v>
      </c>
    </row>
    <row r="273" spans="1:5" x14ac:dyDescent="0.4">
      <c r="C273">
        <v>300</v>
      </c>
      <c r="E273" s="126">
        <v>727230</v>
      </c>
    </row>
    <row r="274" spans="1:5" x14ac:dyDescent="0.4">
      <c r="C274">
        <v>350</v>
      </c>
      <c r="E274" s="126">
        <v>848440</v>
      </c>
    </row>
    <row r="275" spans="1:5" x14ac:dyDescent="0.4">
      <c r="C275">
        <v>400</v>
      </c>
      <c r="E275" s="126">
        <v>969640</v>
      </c>
    </row>
    <row r="276" spans="1:5" x14ac:dyDescent="0.4">
      <c r="C276">
        <v>420</v>
      </c>
      <c r="E276" s="126">
        <v>1018120</v>
      </c>
    </row>
    <row r="277" spans="1:5" x14ac:dyDescent="0.4">
      <c r="A277" t="s">
        <v>2750</v>
      </c>
      <c r="C277">
        <v>120</v>
      </c>
      <c r="D277" t="s">
        <v>2751</v>
      </c>
      <c r="E277" s="126">
        <v>226240</v>
      </c>
    </row>
    <row r="278" spans="1:5" x14ac:dyDescent="0.4">
      <c r="C278">
        <v>220</v>
      </c>
      <c r="E278" s="126">
        <v>402650</v>
      </c>
    </row>
    <row r="279" spans="1:5" x14ac:dyDescent="0.4">
      <c r="A279" t="s">
        <v>2752</v>
      </c>
      <c r="C279">
        <v>220</v>
      </c>
      <c r="D279" t="s">
        <v>2753</v>
      </c>
      <c r="E279" s="126">
        <v>457980</v>
      </c>
    </row>
    <row r="280" spans="1:5" x14ac:dyDescent="0.4">
      <c r="A280" t="s">
        <v>2754</v>
      </c>
      <c r="C280">
        <v>120</v>
      </c>
      <c r="D280" t="s">
        <v>2755</v>
      </c>
      <c r="E280" s="126">
        <v>298780</v>
      </c>
    </row>
    <row r="281" spans="1:5" x14ac:dyDescent="0.4">
      <c r="C281">
        <v>220</v>
      </c>
      <c r="E281" s="126">
        <v>533300</v>
      </c>
    </row>
    <row r="282" spans="1:5" x14ac:dyDescent="0.4">
      <c r="A282" t="s">
        <v>2756</v>
      </c>
      <c r="C282">
        <v>100</v>
      </c>
      <c r="D282" t="s">
        <v>2376</v>
      </c>
      <c r="E282" s="126">
        <v>176240</v>
      </c>
    </row>
    <row r="283" spans="1:5" x14ac:dyDescent="0.4">
      <c r="C283">
        <v>200</v>
      </c>
      <c r="E283" s="126">
        <v>352470</v>
      </c>
    </row>
    <row r="284" spans="1:5" ht="52.2" x14ac:dyDescent="0.4">
      <c r="A284" t="s">
        <v>2757</v>
      </c>
      <c r="C284">
        <v>120</v>
      </c>
      <c r="D284" s="140" t="s">
        <v>2758</v>
      </c>
      <c r="E284" s="146">
        <v>226240</v>
      </c>
    </row>
    <row r="285" spans="1:5" x14ac:dyDescent="0.4">
      <c r="C285">
        <v>220</v>
      </c>
      <c r="E285" s="146">
        <v>402650</v>
      </c>
    </row>
    <row r="286" spans="1:5" x14ac:dyDescent="0.4">
      <c r="C286">
        <v>400</v>
      </c>
      <c r="E286" s="146">
        <v>732090</v>
      </c>
    </row>
    <row r="287" spans="1:5" x14ac:dyDescent="0.4">
      <c r="A287" t="s">
        <v>2759</v>
      </c>
      <c r="C287">
        <v>120</v>
      </c>
      <c r="D287" t="s">
        <v>2760</v>
      </c>
      <c r="E287" s="146">
        <v>289780</v>
      </c>
    </row>
    <row r="288" spans="1:5" x14ac:dyDescent="0.4">
      <c r="C288">
        <v>220</v>
      </c>
      <c r="E288" s="146">
        <v>533300</v>
      </c>
    </row>
    <row r="289" spans="1:5" x14ac:dyDescent="0.4">
      <c r="C289">
        <v>400</v>
      </c>
      <c r="E289" s="146">
        <v>969640</v>
      </c>
    </row>
    <row r="290" spans="1:5" x14ac:dyDescent="0.4">
      <c r="A290" t="s">
        <v>2762</v>
      </c>
      <c r="C290">
        <v>120</v>
      </c>
      <c r="D290" t="s">
        <v>2755</v>
      </c>
      <c r="E290" s="146">
        <v>298780</v>
      </c>
    </row>
    <row r="291" spans="1:5" x14ac:dyDescent="0.4">
      <c r="C291">
        <v>220</v>
      </c>
      <c r="E291" s="146">
        <v>533300</v>
      </c>
    </row>
    <row r="292" spans="1:5" x14ac:dyDescent="0.4">
      <c r="C292">
        <v>400</v>
      </c>
      <c r="E292" s="126">
        <v>969640</v>
      </c>
    </row>
    <row r="293" spans="1:5" x14ac:dyDescent="0.4">
      <c r="A293" t="s">
        <v>2763</v>
      </c>
      <c r="C293">
        <v>110</v>
      </c>
      <c r="D293" t="s">
        <v>2764</v>
      </c>
      <c r="E293">
        <v>223410</v>
      </c>
    </row>
    <row r="294" spans="1:5" x14ac:dyDescent="0.4">
      <c r="C294">
        <v>150</v>
      </c>
      <c r="E294" s="146">
        <v>304650</v>
      </c>
    </row>
    <row r="295" spans="1:5" x14ac:dyDescent="0.4">
      <c r="C295">
        <v>160</v>
      </c>
      <c r="E295" s="146">
        <v>324960</v>
      </c>
    </row>
    <row r="296" spans="1:5" x14ac:dyDescent="0.4">
      <c r="C296">
        <v>200</v>
      </c>
      <c r="E296" s="146">
        <v>406210</v>
      </c>
    </row>
    <row r="297" spans="1:5" x14ac:dyDescent="0.4">
      <c r="C297">
        <v>250</v>
      </c>
      <c r="E297" s="146">
        <v>507760</v>
      </c>
    </row>
    <row r="298" spans="1:5" x14ac:dyDescent="0.4">
      <c r="A298" t="s">
        <v>2766</v>
      </c>
      <c r="C298">
        <v>110</v>
      </c>
      <c r="D298" t="s">
        <v>2765</v>
      </c>
      <c r="E298" s="146">
        <v>292920</v>
      </c>
    </row>
    <row r="299" spans="1:5" x14ac:dyDescent="0.4">
      <c r="C299">
        <v>150</v>
      </c>
      <c r="E299" s="126">
        <v>399440</v>
      </c>
    </row>
    <row r="300" spans="1:5" x14ac:dyDescent="0.4">
      <c r="C300">
        <v>160</v>
      </c>
      <c r="E300" s="146">
        <v>532580</v>
      </c>
    </row>
    <row r="301" spans="1:5" x14ac:dyDescent="0.4">
      <c r="C301">
        <v>200</v>
      </c>
      <c r="E301" s="146">
        <v>665730</v>
      </c>
    </row>
    <row r="302" spans="1:5" x14ac:dyDescent="0.4">
      <c r="C302">
        <v>250</v>
      </c>
      <c r="E302" s="146">
        <v>798880</v>
      </c>
    </row>
    <row r="303" spans="1:5" x14ac:dyDescent="0.4">
      <c r="A303" t="s">
        <v>2767</v>
      </c>
      <c r="C303">
        <v>120</v>
      </c>
      <c r="D303" t="s">
        <v>2768</v>
      </c>
      <c r="E303" s="146">
        <v>276310</v>
      </c>
    </row>
    <row r="304" spans="1:5" x14ac:dyDescent="0.4">
      <c r="C304">
        <v>220</v>
      </c>
      <c r="E304" s="146">
        <v>490070</v>
      </c>
    </row>
    <row r="305" spans="1:5" x14ac:dyDescent="0.4">
      <c r="C305">
        <v>300</v>
      </c>
      <c r="E305" s="146">
        <v>668280</v>
      </c>
    </row>
    <row r="306" spans="1:5" x14ac:dyDescent="0.4">
      <c r="C306">
        <v>350</v>
      </c>
      <c r="E306" s="146">
        <v>670520</v>
      </c>
    </row>
    <row r="307" spans="1:5" x14ac:dyDescent="0.4">
      <c r="A307" t="s">
        <v>2769</v>
      </c>
      <c r="C307">
        <v>120</v>
      </c>
      <c r="D307" t="s">
        <v>2770</v>
      </c>
      <c r="E307" s="146">
        <v>257730</v>
      </c>
    </row>
    <row r="308" spans="1:5" x14ac:dyDescent="0.4">
      <c r="C308">
        <v>200</v>
      </c>
      <c r="E308" s="146">
        <v>429550</v>
      </c>
    </row>
    <row r="309" spans="1:5" x14ac:dyDescent="0.4">
      <c r="A309" t="s">
        <v>2771</v>
      </c>
      <c r="C309">
        <v>140</v>
      </c>
      <c r="D309" t="s">
        <v>2376</v>
      </c>
      <c r="E309" s="146">
        <v>270310</v>
      </c>
    </row>
    <row r="310" spans="1:5" x14ac:dyDescent="0.4">
      <c r="C310">
        <v>300</v>
      </c>
      <c r="E310" s="146">
        <v>499330</v>
      </c>
    </row>
    <row r="311" spans="1:5" x14ac:dyDescent="0.4">
      <c r="C311">
        <v>350</v>
      </c>
      <c r="E311" s="146">
        <v>582550</v>
      </c>
    </row>
    <row r="312" spans="1:5" x14ac:dyDescent="0.4">
      <c r="A312" t="s">
        <v>2772</v>
      </c>
      <c r="C312">
        <v>160</v>
      </c>
      <c r="D312" t="s">
        <v>2376</v>
      </c>
      <c r="E312" s="146">
        <v>308930</v>
      </c>
    </row>
    <row r="313" spans="1:5" x14ac:dyDescent="0.4">
      <c r="C313">
        <v>350</v>
      </c>
      <c r="E313" s="146">
        <v>582550</v>
      </c>
    </row>
    <row r="314" spans="1:5" x14ac:dyDescent="0.4">
      <c r="A314" t="s">
        <v>2773</v>
      </c>
      <c r="C314">
        <v>140</v>
      </c>
      <c r="D314" t="s">
        <v>2376</v>
      </c>
      <c r="E314" s="146">
        <v>232810</v>
      </c>
    </row>
    <row r="315" spans="1:5" x14ac:dyDescent="0.4">
      <c r="C315">
        <v>300</v>
      </c>
      <c r="E315" s="146">
        <v>430060</v>
      </c>
    </row>
    <row r="316" spans="1:5" x14ac:dyDescent="0.4">
      <c r="C316">
        <v>350</v>
      </c>
      <c r="E316" s="146">
        <v>501740</v>
      </c>
    </row>
    <row r="317" spans="1:5" x14ac:dyDescent="0.4">
      <c r="A317" t="s">
        <v>2774</v>
      </c>
      <c r="C317">
        <v>350</v>
      </c>
      <c r="D317" t="s">
        <v>2775</v>
      </c>
      <c r="E317" s="146">
        <v>536410</v>
      </c>
    </row>
    <row r="318" spans="1:5" ht="52.2" x14ac:dyDescent="0.4">
      <c r="A318" t="s">
        <v>2776</v>
      </c>
      <c r="C318">
        <v>120</v>
      </c>
      <c r="D318" s="140" t="s">
        <v>2777</v>
      </c>
      <c r="E318" s="146">
        <v>491880</v>
      </c>
    </row>
    <row r="319" spans="1:5" x14ac:dyDescent="0.4">
      <c r="C319">
        <v>220</v>
      </c>
      <c r="E319" s="146">
        <v>800680</v>
      </c>
    </row>
    <row r="320" spans="1:5" x14ac:dyDescent="0.4">
      <c r="C320">
        <v>370</v>
      </c>
      <c r="E320" s="146">
        <v>1123230</v>
      </c>
    </row>
    <row r="321" spans="1:5" x14ac:dyDescent="0.4">
      <c r="C321">
        <v>400</v>
      </c>
      <c r="E321" s="146">
        <v>1214300</v>
      </c>
    </row>
    <row r="322" spans="1:5" x14ac:dyDescent="0.4">
      <c r="A322" t="s">
        <v>2778</v>
      </c>
      <c r="C322">
        <v>120</v>
      </c>
      <c r="D322" t="s">
        <v>2747</v>
      </c>
      <c r="E322" s="146">
        <v>594590</v>
      </c>
    </row>
    <row r="323" spans="1:5" x14ac:dyDescent="0.4">
      <c r="C323">
        <v>220</v>
      </c>
      <c r="E323" s="146">
        <v>955530</v>
      </c>
    </row>
    <row r="324" spans="1:5" x14ac:dyDescent="0.4">
      <c r="C324">
        <v>370</v>
      </c>
      <c r="E324" s="146">
        <v>1235190</v>
      </c>
    </row>
    <row r="325" spans="1:5" x14ac:dyDescent="0.4">
      <c r="C325">
        <v>400</v>
      </c>
      <c r="E325" s="146">
        <v>1335350</v>
      </c>
    </row>
    <row r="326" spans="1:5" ht="34.799999999999997" x14ac:dyDescent="0.4">
      <c r="A326" t="s">
        <v>2779</v>
      </c>
      <c r="C326">
        <v>120</v>
      </c>
      <c r="D326" s="140" t="s">
        <v>2780</v>
      </c>
      <c r="E326" s="146">
        <v>654020</v>
      </c>
    </row>
    <row r="327" spans="1:5" x14ac:dyDescent="0.4">
      <c r="C327">
        <v>220</v>
      </c>
      <c r="E327" s="146">
        <v>1051050</v>
      </c>
    </row>
    <row r="328" spans="1:5" x14ac:dyDescent="0.4">
      <c r="C328">
        <v>370</v>
      </c>
      <c r="E328" s="146">
        <v>1382100</v>
      </c>
    </row>
    <row r="329" spans="1:5" x14ac:dyDescent="0.4">
      <c r="C329">
        <v>400</v>
      </c>
      <c r="E329" s="146">
        <v>1494170</v>
      </c>
    </row>
    <row r="330" spans="1:5" x14ac:dyDescent="0.4">
      <c r="A330" t="s">
        <v>2781</v>
      </c>
      <c r="C330">
        <v>120</v>
      </c>
      <c r="D330" t="s">
        <v>2782</v>
      </c>
      <c r="E330" s="146">
        <v>605170</v>
      </c>
    </row>
    <row r="331" spans="1:5" x14ac:dyDescent="0.4">
      <c r="C331">
        <v>220</v>
      </c>
      <c r="E331" s="146">
        <v>972530</v>
      </c>
    </row>
    <row r="332" spans="1:5" x14ac:dyDescent="0.4">
      <c r="C332">
        <v>370</v>
      </c>
      <c r="E332" s="146">
        <v>1257170</v>
      </c>
    </row>
    <row r="333" spans="1:5" x14ac:dyDescent="0.4">
      <c r="C333">
        <v>400</v>
      </c>
      <c r="E333" s="146">
        <v>1359110</v>
      </c>
    </row>
    <row r="334" spans="1:5" x14ac:dyDescent="0.4">
      <c r="A334" t="s">
        <v>2783</v>
      </c>
      <c r="C334">
        <v>120</v>
      </c>
      <c r="D334" t="s">
        <v>2784</v>
      </c>
      <c r="E334" s="146">
        <v>248860</v>
      </c>
    </row>
    <row r="335" spans="1:5" x14ac:dyDescent="0.4">
      <c r="C335">
        <v>220</v>
      </c>
      <c r="E335" s="146">
        <v>442910</v>
      </c>
    </row>
    <row r="336" spans="1:5" x14ac:dyDescent="0.4">
      <c r="C336">
        <v>350</v>
      </c>
      <c r="E336" s="146">
        <v>704630</v>
      </c>
    </row>
    <row r="337" spans="1:7" x14ac:dyDescent="0.4">
      <c r="A337" t="s">
        <v>2785</v>
      </c>
      <c r="C337">
        <v>200</v>
      </c>
      <c r="D337">
        <v>0</v>
      </c>
      <c r="E337" s="146">
        <v>256110</v>
      </c>
      <c r="G337" s="160"/>
    </row>
    <row r="338" spans="1:7" x14ac:dyDescent="0.4">
      <c r="C338">
        <v>220</v>
      </c>
      <c r="D338">
        <v>0</v>
      </c>
      <c r="E338" s="146">
        <v>273700</v>
      </c>
      <c r="G338" s="160"/>
    </row>
    <row r="339" spans="1:7" x14ac:dyDescent="0.4">
      <c r="C339">
        <v>230</v>
      </c>
      <c r="D339">
        <v>0</v>
      </c>
      <c r="E339" s="146">
        <v>280570</v>
      </c>
      <c r="G339" s="160"/>
    </row>
    <row r="340" spans="1:7" x14ac:dyDescent="0.4">
      <c r="C340">
        <v>240</v>
      </c>
      <c r="D340">
        <v>0</v>
      </c>
      <c r="E340" s="146">
        <v>286960</v>
      </c>
      <c r="G340" s="160"/>
    </row>
    <row r="341" spans="1:7" x14ac:dyDescent="0.4">
      <c r="C341">
        <v>260</v>
      </c>
      <c r="D341">
        <v>0</v>
      </c>
      <c r="E341" s="146">
        <v>312030</v>
      </c>
      <c r="G341" s="160"/>
    </row>
    <row r="342" spans="1:7" x14ac:dyDescent="0.4">
      <c r="C342">
        <v>280</v>
      </c>
      <c r="D342">
        <v>0</v>
      </c>
      <c r="E342" s="146">
        <v>334320</v>
      </c>
      <c r="G342" s="160"/>
    </row>
    <row r="343" spans="1:7" x14ac:dyDescent="0.4">
      <c r="C343">
        <v>300</v>
      </c>
      <c r="D343">
        <v>0</v>
      </c>
      <c r="E343" s="146">
        <v>359390</v>
      </c>
      <c r="G343" s="160"/>
    </row>
    <row r="344" spans="1:7" x14ac:dyDescent="0.4">
      <c r="C344">
        <v>350</v>
      </c>
      <c r="D344">
        <v>0</v>
      </c>
      <c r="E344" s="146">
        <v>420690</v>
      </c>
      <c r="G344" s="160"/>
    </row>
    <row r="345" spans="1:7" x14ac:dyDescent="0.4">
      <c r="C345">
        <v>400</v>
      </c>
      <c r="D345">
        <v>0</v>
      </c>
      <c r="E345" s="146">
        <v>479190</v>
      </c>
      <c r="G345" s="160"/>
    </row>
    <row r="346" spans="1:7" x14ac:dyDescent="0.4">
      <c r="C346">
        <v>450</v>
      </c>
      <c r="D346">
        <v>0</v>
      </c>
      <c r="E346" s="146">
        <v>540480</v>
      </c>
      <c r="G346" s="160"/>
    </row>
    <row r="347" spans="1:7" x14ac:dyDescent="0.4">
      <c r="C347">
        <v>500</v>
      </c>
      <c r="D347">
        <v>0</v>
      </c>
      <c r="E347" s="146">
        <v>598990</v>
      </c>
      <c r="G347" s="160"/>
    </row>
    <row r="348" spans="1:7" x14ac:dyDescent="0.4">
      <c r="B348" t="s">
        <v>2360</v>
      </c>
      <c r="C348">
        <v>200</v>
      </c>
      <c r="D348" t="s">
        <v>2786</v>
      </c>
      <c r="E348" s="146">
        <v>177746</v>
      </c>
      <c r="F348" s="126"/>
    </row>
    <row r="349" spans="1:7" x14ac:dyDescent="0.4">
      <c r="C349">
        <v>220</v>
      </c>
      <c r="D349" t="s">
        <v>2786</v>
      </c>
      <c r="E349" s="146">
        <v>189954</v>
      </c>
      <c r="F349" s="126"/>
    </row>
    <row r="350" spans="1:7" x14ac:dyDescent="0.4">
      <c r="C350">
        <v>230</v>
      </c>
      <c r="D350" t="s">
        <v>2786</v>
      </c>
      <c r="E350" s="126">
        <v>194722.02808612707</v>
      </c>
    </row>
    <row r="351" spans="1:7" x14ac:dyDescent="0.4">
      <c r="C351">
        <v>240</v>
      </c>
      <c r="D351" t="s">
        <v>2786</v>
      </c>
      <c r="E351" s="126">
        <v>199156.83494170799</v>
      </c>
    </row>
    <row r="352" spans="1:7" x14ac:dyDescent="0.4">
      <c r="C352">
        <v>260</v>
      </c>
      <c r="D352" t="s">
        <v>2786</v>
      </c>
      <c r="E352" s="126">
        <v>216555.99110280577</v>
      </c>
    </row>
    <row r="353" spans="1:7" x14ac:dyDescent="0.4">
      <c r="C353">
        <v>280</v>
      </c>
      <c r="D353" t="s">
        <v>2786</v>
      </c>
      <c r="E353" s="126">
        <v>232025.76337368213</v>
      </c>
    </row>
    <row r="354" spans="1:7" x14ac:dyDescent="0.4">
      <c r="C354">
        <v>300</v>
      </c>
      <c r="D354" t="s">
        <v>2786</v>
      </c>
      <c r="E354" s="126">
        <v>249424.91953477994</v>
      </c>
    </row>
    <row r="355" spans="1:7" x14ac:dyDescent="0.4">
      <c r="C355">
        <v>350</v>
      </c>
      <c r="D355" t="s">
        <v>2786</v>
      </c>
      <c r="E355" s="126">
        <v>291968.52833714499</v>
      </c>
    </row>
    <row r="356" spans="1:7" x14ac:dyDescent="0.4">
      <c r="C356">
        <v>400</v>
      </c>
      <c r="D356" t="s">
        <v>2786</v>
      </c>
      <c r="E356" s="126">
        <v>332568.87278964685</v>
      </c>
    </row>
    <row r="357" spans="1:7" x14ac:dyDescent="0.4">
      <c r="C357">
        <v>450</v>
      </c>
      <c r="D357" t="s">
        <v>2786</v>
      </c>
      <c r="E357" s="126">
        <v>375105.54136219108</v>
      </c>
    </row>
    <row r="358" spans="1:7" x14ac:dyDescent="0.4">
      <c r="C358">
        <v>500</v>
      </c>
      <c r="D358" t="s">
        <v>2786</v>
      </c>
      <c r="E358" s="126">
        <v>415712.82604451373</v>
      </c>
      <c r="G358" s="161"/>
    </row>
    <row r="359" spans="1:7" x14ac:dyDescent="0.4">
      <c r="A359" t="s">
        <v>2787</v>
      </c>
      <c r="B359" t="s">
        <v>2459</v>
      </c>
      <c r="C359">
        <v>260</v>
      </c>
      <c r="E359" s="143">
        <v>208520</v>
      </c>
      <c r="F359" s="148"/>
      <c r="G359" s="161"/>
    </row>
    <row r="360" spans="1:7" x14ac:dyDescent="0.4">
      <c r="C360">
        <v>280</v>
      </c>
      <c r="E360" s="143">
        <v>220070</v>
      </c>
      <c r="F360" s="148"/>
      <c r="G360" s="161"/>
    </row>
    <row r="361" spans="1:7" x14ac:dyDescent="0.4">
      <c r="C361">
        <v>300</v>
      </c>
      <c r="E361" s="143">
        <v>235060</v>
      </c>
      <c r="F361" s="148"/>
      <c r="G361" s="161"/>
    </row>
    <row r="362" spans="1:7" x14ac:dyDescent="0.4">
      <c r="C362">
        <v>350</v>
      </c>
      <c r="E362" s="143">
        <v>272400</v>
      </c>
      <c r="F362" s="148"/>
      <c r="G362" s="161"/>
    </row>
    <row r="363" spans="1:7" x14ac:dyDescent="0.4">
      <c r="C363">
        <v>400</v>
      </c>
      <c r="E363" s="143">
        <v>307340</v>
      </c>
      <c r="F363" s="148"/>
      <c r="G363" s="161"/>
    </row>
    <row r="364" spans="1:7" x14ac:dyDescent="0.4">
      <c r="C364">
        <v>450</v>
      </c>
      <c r="E364" s="143">
        <v>343750</v>
      </c>
      <c r="F364" s="148"/>
      <c r="G364" s="161"/>
    </row>
    <row r="365" spans="1:7" x14ac:dyDescent="0.4">
      <c r="C365">
        <v>500</v>
      </c>
      <c r="E365" s="143">
        <v>375900</v>
      </c>
      <c r="F365" s="148"/>
      <c r="G365" s="161"/>
    </row>
    <row r="366" spans="1:7" x14ac:dyDescent="0.4">
      <c r="B366" t="s">
        <v>2360</v>
      </c>
      <c r="C366">
        <v>260</v>
      </c>
      <c r="D366" t="s">
        <v>2786</v>
      </c>
      <c r="E366" s="148">
        <v>144850.3190385573</v>
      </c>
    </row>
    <row r="367" spans="1:7" x14ac:dyDescent="0.4">
      <c r="C367">
        <v>280</v>
      </c>
      <c r="D367" t="s">
        <v>2786</v>
      </c>
      <c r="E367" s="148">
        <v>152873.63183778679</v>
      </c>
    </row>
    <row r="368" spans="1:7" x14ac:dyDescent="0.4">
      <c r="C368">
        <v>300</v>
      </c>
      <c r="D368" t="s">
        <v>2786</v>
      </c>
      <c r="E368" s="148">
        <v>163286.5719988647</v>
      </c>
    </row>
    <row r="369" spans="1:7" x14ac:dyDescent="0.4">
      <c r="C369">
        <v>350</v>
      </c>
      <c r="D369" t="s">
        <v>2786</v>
      </c>
      <c r="E369" s="148">
        <v>189225.14342078936</v>
      </c>
    </row>
    <row r="370" spans="1:7" x14ac:dyDescent="0.4">
      <c r="C370">
        <v>400</v>
      </c>
      <c r="D370" t="s">
        <v>2786</v>
      </c>
      <c r="E370" s="148">
        <v>213496.53296235466</v>
      </c>
    </row>
    <row r="371" spans="1:7" x14ac:dyDescent="0.4">
      <c r="C371">
        <v>450</v>
      </c>
      <c r="D371" t="s">
        <v>2786</v>
      </c>
      <c r="E371" s="148">
        <v>238789.07140564002</v>
      </c>
    </row>
    <row r="372" spans="1:7" x14ac:dyDescent="0.4">
      <c r="C372">
        <v>500</v>
      </c>
      <c r="D372" t="s">
        <v>2786</v>
      </c>
      <c r="E372" s="126">
        <v>261122.36201128751</v>
      </c>
    </row>
    <row r="373" spans="1:7" x14ac:dyDescent="0.4">
      <c r="A373" t="s">
        <v>2788</v>
      </c>
      <c r="B373" t="s">
        <v>2459</v>
      </c>
      <c r="C373">
        <v>180</v>
      </c>
      <c r="E373" s="126">
        <v>130340</v>
      </c>
      <c r="G373" s="161"/>
    </row>
    <row r="374" spans="1:7" x14ac:dyDescent="0.4">
      <c r="C374">
        <v>240</v>
      </c>
      <c r="E374" s="148">
        <v>153740</v>
      </c>
      <c r="G374" s="161"/>
    </row>
    <row r="375" spans="1:7" x14ac:dyDescent="0.4">
      <c r="C375">
        <v>260</v>
      </c>
      <c r="E375" s="148">
        <v>163580</v>
      </c>
      <c r="G375" s="161"/>
    </row>
    <row r="376" spans="1:7" x14ac:dyDescent="0.4">
      <c r="C376">
        <v>280</v>
      </c>
      <c r="E376" s="148">
        <v>171150</v>
      </c>
      <c r="G376" s="161"/>
    </row>
    <row r="377" spans="1:7" x14ac:dyDescent="0.4">
      <c r="C377">
        <v>300</v>
      </c>
      <c r="E377" s="148">
        <v>181640</v>
      </c>
      <c r="G377" s="161"/>
    </row>
    <row r="378" spans="1:7" x14ac:dyDescent="0.4">
      <c r="C378">
        <v>350</v>
      </c>
      <c r="E378" s="148">
        <v>211490</v>
      </c>
      <c r="G378" s="161"/>
    </row>
    <row r="379" spans="1:7" x14ac:dyDescent="0.4">
      <c r="C379">
        <v>400</v>
      </c>
      <c r="E379" s="148">
        <v>237220</v>
      </c>
      <c r="G379" s="161"/>
    </row>
    <row r="380" spans="1:7" x14ac:dyDescent="0.4">
      <c r="C380">
        <v>450</v>
      </c>
      <c r="E380" s="148">
        <v>264040</v>
      </c>
      <c r="G380" s="161"/>
    </row>
    <row r="381" spans="1:7" x14ac:dyDescent="0.4">
      <c r="C381">
        <v>500</v>
      </c>
      <c r="E381" s="148">
        <v>289170</v>
      </c>
      <c r="G381" s="161"/>
    </row>
    <row r="382" spans="1:7" x14ac:dyDescent="0.4">
      <c r="B382" t="s">
        <v>2360</v>
      </c>
      <c r="C382">
        <v>180</v>
      </c>
      <c r="D382" t="s">
        <v>2786</v>
      </c>
      <c r="E382" s="126">
        <v>90541.869285850524</v>
      </c>
    </row>
    <row r="383" spans="1:7" x14ac:dyDescent="0.4">
      <c r="C383">
        <v>240</v>
      </c>
      <c r="D383" t="s">
        <v>2786</v>
      </c>
      <c r="E383" s="126">
        <v>106796.89261935446</v>
      </c>
    </row>
    <row r="384" spans="1:7" x14ac:dyDescent="0.4">
      <c r="C384">
        <v>260</v>
      </c>
      <c r="D384" t="s">
        <v>2786</v>
      </c>
      <c r="E384" s="126">
        <v>113632.33832882791</v>
      </c>
    </row>
    <row r="385" spans="1:5" x14ac:dyDescent="0.4">
      <c r="C385">
        <v>280</v>
      </c>
      <c r="D385" t="s">
        <v>2786</v>
      </c>
      <c r="E385" s="126">
        <v>118890.90784312811</v>
      </c>
    </row>
    <row r="386" spans="1:5" x14ac:dyDescent="0.4">
      <c r="C386">
        <v>300</v>
      </c>
      <c r="D386" t="s">
        <v>2786</v>
      </c>
      <c r="E386" s="126">
        <v>126177.88197853223</v>
      </c>
    </row>
    <row r="387" spans="1:5" x14ac:dyDescent="0.4">
      <c r="C387">
        <v>350</v>
      </c>
      <c r="D387" t="s">
        <v>2786</v>
      </c>
      <c r="E387" s="126">
        <v>146913.45661550201</v>
      </c>
    </row>
    <row r="388" spans="1:5" x14ac:dyDescent="0.4">
      <c r="C388">
        <v>400</v>
      </c>
      <c r="D388" t="s">
        <v>2786</v>
      </c>
      <c r="E388" s="126">
        <v>164787.03569118815</v>
      </c>
    </row>
    <row r="389" spans="1:5" x14ac:dyDescent="0.4">
      <c r="C389">
        <v>450</v>
      </c>
      <c r="D389" t="s">
        <v>2786</v>
      </c>
      <c r="E389" s="126">
        <v>183417.79320420418</v>
      </c>
    </row>
    <row r="390" spans="1:5" x14ac:dyDescent="0.4">
      <c r="C390">
        <v>500</v>
      </c>
      <c r="D390" t="s">
        <v>2786</v>
      </c>
      <c r="E390" s="126">
        <v>200874.57680980055</v>
      </c>
    </row>
    <row r="391" spans="1:5" x14ac:dyDescent="0.4">
      <c r="A391" t="s">
        <v>2831</v>
      </c>
      <c r="B391" t="s">
        <v>2360</v>
      </c>
      <c r="C391">
        <v>60</v>
      </c>
      <c r="E391" s="146">
        <v>48070</v>
      </c>
    </row>
    <row r="392" spans="1:5" x14ac:dyDescent="0.4">
      <c r="C392">
        <v>65</v>
      </c>
      <c r="E392" s="146">
        <v>44700</v>
      </c>
    </row>
    <row r="393" spans="1:5" x14ac:dyDescent="0.4">
      <c r="C393">
        <v>70</v>
      </c>
      <c r="E393" s="146">
        <v>47210</v>
      </c>
    </row>
    <row r="394" spans="1:5" x14ac:dyDescent="0.4">
      <c r="C394">
        <v>80</v>
      </c>
      <c r="E394" s="146">
        <v>51860</v>
      </c>
    </row>
    <row r="395" spans="1:5" x14ac:dyDescent="0.4">
      <c r="C395">
        <v>85</v>
      </c>
      <c r="E395" s="146">
        <v>54980</v>
      </c>
    </row>
    <row r="396" spans="1:5" x14ac:dyDescent="0.4">
      <c r="B396" t="s">
        <v>2459</v>
      </c>
      <c r="C396">
        <v>60</v>
      </c>
      <c r="E396" s="146">
        <v>69190</v>
      </c>
    </row>
    <row r="397" spans="1:5" x14ac:dyDescent="0.4">
      <c r="C397">
        <v>65</v>
      </c>
      <c r="E397" s="146">
        <v>64350</v>
      </c>
    </row>
    <row r="398" spans="1:5" x14ac:dyDescent="0.4">
      <c r="C398">
        <v>70</v>
      </c>
      <c r="E398" s="146">
        <v>67970</v>
      </c>
    </row>
    <row r="399" spans="1:5" x14ac:dyDescent="0.4">
      <c r="C399">
        <v>80</v>
      </c>
      <c r="E399" s="146">
        <v>74650</v>
      </c>
    </row>
    <row r="400" spans="1:5" x14ac:dyDescent="0.4">
      <c r="C400">
        <v>85</v>
      </c>
      <c r="E400" s="146">
        <v>79160</v>
      </c>
    </row>
    <row r="401" spans="1:5" x14ac:dyDescent="0.4">
      <c r="A401" t="s">
        <v>2830</v>
      </c>
      <c r="B401" t="s">
        <v>2360</v>
      </c>
      <c r="C401">
        <v>80</v>
      </c>
      <c r="E401" s="146">
        <v>56820</v>
      </c>
    </row>
    <row r="402" spans="1:5" x14ac:dyDescent="0.4">
      <c r="C402">
        <v>100</v>
      </c>
      <c r="E402" s="146">
        <v>66370</v>
      </c>
    </row>
    <row r="403" spans="1:5" x14ac:dyDescent="0.4">
      <c r="C403">
        <v>120</v>
      </c>
      <c r="E403" s="146">
        <v>79640</v>
      </c>
    </row>
    <row r="404" spans="1:5" x14ac:dyDescent="0.4">
      <c r="C404">
        <v>135</v>
      </c>
      <c r="E404" s="146">
        <v>89600</v>
      </c>
    </row>
    <row r="405" spans="1:5" x14ac:dyDescent="0.4">
      <c r="C405">
        <v>150</v>
      </c>
      <c r="E405" s="146">
        <v>99570</v>
      </c>
    </row>
    <row r="406" spans="1:5" x14ac:dyDescent="0.4">
      <c r="B406" t="s">
        <v>2459</v>
      </c>
      <c r="C406">
        <v>80</v>
      </c>
      <c r="E406" s="146">
        <v>81800</v>
      </c>
    </row>
    <row r="407" spans="1:5" x14ac:dyDescent="0.4">
      <c r="C407">
        <v>100</v>
      </c>
      <c r="E407" s="146">
        <v>95560</v>
      </c>
    </row>
    <row r="408" spans="1:5" x14ac:dyDescent="0.4">
      <c r="C408">
        <v>120</v>
      </c>
      <c r="E408" s="146">
        <v>114660</v>
      </c>
    </row>
    <row r="409" spans="1:5" x14ac:dyDescent="0.4">
      <c r="C409">
        <v>135</v>
      </c>
      <c r="E409" s="146">
        <v>129000</v>
      </c>
    </row>
    <row r="410" spans="1:5" x14ac:dyDescent="0.4">
      <c r="C410">
        <v>150</v>
      </c>
      <c r="E410" s="146">
        <v>143330</v>
      </c>
    </row>
    <row r="411" spans="1:5" x14ac:dyDescent="0.4">
      <c r="A411" t="s">
        <v>2832</v>
      </c>
      <c r="B411" t="s">
        <v>2360</v>
      </c>
      <c r="C411">
        <v>60</v>
      </c>
      <c r="E411" s="146">
        <v>48070</v>
      </c>
    </row>
    <row r="412" spans="1:5" x14ac:dyDescent="0.4">
      <c r="C412">
        <v>65</v>
      </c>
      <c r="E412" s="146">
        <v>44700</v>
      </c>
    </row>
    <row r="413" spans="1:5" x14ac:dyDescent="0.4">
      <c r="C413">
        <v>70</v>
      </c>
      <c r="E413" s="146">
        <v>47210</v>
      </c>
    </row>
    <row r="414" spans="1:5" x14ac:dyDescent="0.4">
      <c r="C414">
        <v>80</v>
      </c>
      <c r="E414" s="146">
        <v>51860</v>
      </c>
    </row>
    <row r="415" spans="1:5" x14ac:dyDescent="0.4">
      <c r="C415">
        <v>85</v>
      </c>
      <c r="E415" s="146">
        <v>54980</v>
      </c>
    </row>
    <row r="416" spans="1:5" x14ac:dyDescent="0.4">
      <c r="C416">
        <v>100</v>
      </c>
      <c r="E416" s="146">
        <v>64250</v>
      </c>
    </row>
    <row r="417" spans="1:5" x14ac:dyDescent="0.4">
      <c r="B417" t="s">
        <v>2459</v>
      </c>
      <c r="C417">
        <v>60</v>
      </c>
      <c r="E417" s="146">
        <v>69190</v>
      </c>
    </row>
    <row r="418" spans="1:5" x14ac:dyDescent="0.4">
      <c r="C418">
        <v>65</v>
      </c>
      <c r="E418" s="146">
        <v>64350</v>
      </c>
    </row>
    <row r="419" spans="1:5" x14ac:dyDescent="0.4">
      <c r="C419">
        <v>70</v>
      </c>
      <c r="E419" s="146">
        <v>67970</v>
      </c>
    </row>
    <row r="420" spans="1:5" x14ac:dyDescent="0.4">
      <c r="C420">
        <v>80</v>
      </c>
      <c r="E420" s="146">
        <v>74650</v>
      </c>
    </row>
    <row r="421" spans="1:5" x14ac:dyDescent="0.4">
      <c r="C421">
        <v>85</v>
      </c>
      <c r="E421" s="146">
        <v>79160</v>
      </c>
    </row>
    <row r="422" spans="1:5" x14ac:dyDescent="0.4">
      <c r="C422">
        <v>100</v>
      </c>
      <c r="E422" s="146">
        <v>92510</v>
      </c>
    </row>
    <row r="423" spans="1:5" x14ac:dyDescent="0.4">
      <c r="A423" t="s">
        <v>2833</v>
      </c>
      <c r="B423" t="s">
        <v>2360</v>
      </c>
      <c r="C423">
        <v>50</v>
      </c>
      <c r="E423" s="146">
        <v>37690</v>
      </c>
    </row>
    <row r="424" spans="1:5" x14ac:dyDescent="0.4">
      <c r="C424">
        <v>55</v>
      </c>
      <c r="E424" s="146">
        <v>38800</v>
      </c>
    </row>
    <row r="425" spans="1:5" x14ac:dyDescent="0.4">
      <c r="C425">
        <v>60</v>
      </c>
      <c r="E425" s="146">
        <v>39610</v>
      </c>
    </row>
    <row r="426" spans="1:5" x14ac:dyDescent="0.4">
      <c r="C426">
        <v>65</v>
      </c>
      <c r="E426" s="146">
        <v>40880</v>
      </c>
    </row>
    <row r="427" spans="1:5" x14ac:dyDescent="0.4">
      <c r="C427">
        <v>70</v>
      </c>
      <c r="E427" s="146">
        <v>42040</v>
      </c>
    </row>
    <row r="428" spans="1:5" x14ac:dyDescent="0.4">
      <c r="C428">
        <v>80</v>
      </c>
      <c r="E428" s="146">
        <v>46210</v>
      </c>
    </row>
    <row r="429" spans="1:5" x14ac:dyDescent="0.4">
      <c r="B429" t="s">
        <v>2459</v>
      </c>
      <c r="C429">
        <v>50</v>
      </c>
      <c r="E429" s="146">
        <v>54250</v>
      </c>
    </row>
    <row r="430" spans="1:5" x14ac:dyDescent="0.4">
      <c r="C430">
        <v>55</v>
      </c>
      <c r="E430" s="146">
        <v>55860</v>
      </c>
    </row>
    <row r="431" spans="1:5" x14ac:dyDescent="0.4">
      <c r="C431">
        <v>60</v>
      </c>
      <c r="E431" s="146">
        <v>57000</v>
      </c>
    </row>
    <row r="432" spans="1:5" x14ac:dyDescent="0.4">
      <c r="C432">
        <v>65</v>
      </c>
      <c r="E432" s="146">
        <v>58850</v>
      </c>
    </row>
    <row r="433" spans="1:5" x14ac:dyDescent="0.4">
      <c r="C433">
        <v>70</v>
      </c>
      <c r="E433" s="146">
        <v>60520</v>
      </c>
    </row>
    <row r="434" spans="1:5" x14ac:dyDescent="0.4">
      <c r="C434">
        <v>80</v>
      </c>
      <c r="E434" s="146">
        <v>66530</v>
      </c>
    </row>
    <row r="435" spans="1:5" x14ac:dyDescent="0.4">
      <c r="A435" t="s">
        <v>2834</v>
      </c>
      <c r="B435" t="s">
        <v>2360</v>
      </c>
      <c r="C435">
        <v>140</v>
      </c>
      <c r="E435" s="146">
        <v>99010</v>
      </c>
    </row>
    <row r="436" spans="1:5" x14ac:dyDescent="0.4">
      <c r="C436">
        <v>160</v>
      </c>
      <c r="E436" s="146">
        <v>113170</v>
      </c>
    </row>
    <row r="437" spans="1:5" x14ac:dyDescent="0.4">
      <c r="B437" t="s">
        <v>2459</v>
      </c>
      <c r="C437">
        <v>140</v>
      </c>
      <c r="E437" s="146">
        <v>142540</v>
      </c>
    </row>
    <row r="438" spans="1:5" x14ac:dyDescent="0.4">
      <c r="C438">
        <v>160</v>
      </c>
      <c r="E438" s="146">
        <v>162910</v>
      </c>
    </row>
    <row r="439" spans="1:5" x14ac:dyDescent="0.4">
      <c r="A439" t="s">
        <v>2835</v>
      </c>
      <c r="B439" t="s">
        <v>2360</v>
      </c>
      <c r="C439">
        <v>60</v>
      </c>
      <c r="E439" s="146">
        <v>42530</v>
      </c>
    </row>
    <row r="440" spans="1:5" x14ac:dyDescent="0.4">
      <c r="C440">
        <v>65</v>
      </c>
      <c r="E440" s="146">
        <v>44060</v>
      </c>
    </row>
    <row r="441" spans="1:5" x14ac:dyDescent="0.4">
      <c r="C441">
        <v>70</v>
      </c>
      <c r="E441" s="146">
        <v>46510</v>
      </c>
    </row>
    <row r="442" spans="1:5" x14ac:dyDescent="0.4">
      <c r="C442">
        <v>75</v>
      </c>
      <c r="E442" s="146">
        <v>48880</v>
      </c>
    </row>
    <row r="443" spans="1:5" x14ac:dyDescent="0.4">
      <c r="C443">
        <v>80</v>
      </c>
      <c r="E443" s="146">
        <v>51090</v>
      </c>
    </row>
    <row r="444" spans="1:5" x14ac:dyDescent="0.4">
      <c r="C444">
        <v>90</v>
      </c>
      <c r="E444" s="146">
        <v>57210</v>
      </c>
    </row>
    <row r="445" spans="1:5" x14ac:dyDescent="0.4">
      <c r="C445">
        <v>100</v>
      </c>
      <c r="E445" s="146">
        <v>63300</v>
      </c>
    </row>
    <row r="446" spans="1:5" x14ac:dyDescent="0.4">
      <c r="C446">
        <v>110</v>
      </c>
      <c r="E446" s="146">
        <v>69640</v>
      </c>
    </row>
    <row r="447" spans="1:5" x14ac:dyDescent="0.4">
      <c r="C447">
        <v>120</v>
      </c>
      <c r="E447" s="146">
        <v>75950</v>
      </c>
    </row>
    <row r="448" spans="1:5" x14ac:dyDescent="0.4">
      <c r="B448" t="s">
        <v>2459</v>
      </c>
      <c r="C448">
        <v>60</v>
      </c>
      <c r="E448" s="146">
        <v>61210</v>
      </c>
    </row>
    <row r="449" spans="1:5" x14ac:dyDescent="0.4">
      <c r="C449">
        <v>65</v>
      </c>
      <c r="E449" s="146">
        <v>63420</v>
      </c>
    </row>
    <row r="450" spans="1:5" x14ac:dyDescent="0.4">
      <c r="C450">
        <v>70</v>
      </c>
      <c r="E450" s="146">
        <v>66970</v>
      </c>
    </row>
    <row r="451" spans="1:5" x14ac:dyDescent="0.4">
      <c r="C451">
        <v>75</v>
      </c>
      <c r="E451" s="146">
        <v>70350</v>
      </c>
    </row>
    <row r="452" spans="1:5" x14ac:dyDescent="0.4">
      <c r="C452">
        <v>80</v>
      </c>
      <c r="E452" s="146">
        <v>73550</v>
      </c>
    </row>
    <row r="453" spans="1:5" x14ac:dyDescent="0.4">
      <c r="C453">
        <v>90</v>
      </c>
      <c r="E453" s="146">
        <v>82380</v>
      </c>
    </row>
    <row r="454" spans="1:5" x14ac:dyDescent="0.4">
      <c r="C454">
        <v>100</v>
      </c>
      <c r="E454" s="146">
        <v>91140</v>
      </c>
    </row>
    <row r="455" spans="1:5" x14ac:dyDescent="0.4">
      <c r="C455">
        <v>110</v>
      </c>
      <c r="E455" s="146">
        <v>100230</v>
      </c>
    </row>
    <row r="456" spans="1:5" x14ac:dyDescent="0.4">
      <c r="C456">
        <v>120</v>
      </c>
      <c r="E456" s="146">
        <v>109350</v>
      </c>
    </row>
    <row r="457" spans="1:5" x14ac:dyDescent="0.4">
      <c r="A457" t="s">
        <v>2836</v>
      </c>
      <c r="B457" t="s">
        <v>2360</v>
      </c>
      <c r="C457">
        <v>65</v>
      </c>
      <c r="E457" s="146">
        <v>45380</v>
      </c>
    </row>
    <row r="458" spans="1:5" x14ac:dyDescent="0.4">
      <c r="C458">
        <v>70</v>
      </c>
      <c r="E458" s="146">
        <v>47910</v>
      </c>
    </row>
    <row r="459" spans="1:5" x14ac:dyDescent="0.4">
      <c r="C459">
        <v>75</v>
      </c>
      <c r="E459" s="146">
        <v>50340</v>
      </c>
    </row>
    <row r="460" spans="1:5" x14ac:dyDescent="0.4">
      <c r="C460">
        <v>80</v>
      </c>
      <c r="E460" s="146">
        <v>52620</v>
      </c>
    </row>
    <row r="461" spans="1:5" x14ac:dyDescent="0.4">
      <c r="C461">
        <v>90</v>
      </c>
      <c r="E461" s="146">
        <v>58930</v>
      </c>
    </row>
    <row r="462" spans="1:5" x14ac:dyDescent="0.4">
      <c r="C462">
        <v>100</v>
      </c>
      <c r="E462" s="146">
        <v>65200</v>
      </c>
    </row>
    <row r="463" spans="1:5" x14ac:dyDescent="0.4">
      <c r="C463">
        <v>110</v>
      </c>
      <c r="E463" s="146">
        <v>71730</v>
      </c>
    </row>
    <row r="464" spans="1:5" x14ac:dyDescent="0.4">
      <c r="C464">
        <v>120</v>
      </c>
      <c r="E464" s="146">
        <v>78230</v>
      </c>
    </row>
    <row r="465" spans="1:5" x14ac:dyDescent="0.4">
      <c r="B465" t="s">
        <v>2459</v>
      </c>
      <c r="C465">
        <v>65</v>
      </c>
      <c r="E465" s="146">
        <v>65320</v>
      </c>
    </row>
    <row r="466" spans="1:5" x14ac:dyDescent="0.4">
      <c r="C466">
        <v>70</v>
      </c>
      <c r="E466" s="146">
        <v>68980</v>
      </c>
    </row>
    <row r="467" spans="1:5" x14ac:dyDescent="0.4">
      <c r="C467">
        <v>75</v>
      </c>
      <c r="E467" s="146">
        <v>72460</v>
      </c>
    </row>
    <row r="468" spans="1:5" x14ac:dyDescent="0.4">
      <c r="C468">
        <v>80</v>
      </c>
      <c r="E468" s="146">
        <v>75760</v>
      </c>
    </row>
    <row r="469" spans="1:5" x14ac:dyDescent="0.4">
      <c r="C469">
        <v>90</v>
      </c>
      <c r="E469" s="146">
        <v>84850</v>
      </c>
    </row>
    <row r="470" spans="1:5" x14ac:dyDescent="0.4">
      <c r="C470">
        <v>100</v>
      </c>
      <c r="E470" s="146">
        <v>93870</v>
      </c>
    </row>
    <row r="471" spans="1:5" x14ac:dyDescent="0.4">
      <c r="C471">
        <v>110</v>
      </c>
      <c r="E471" s="146">
        <v>103240</v>
      </c>
    </row>
    <row r="472" spans="1:5" x14ac:dyDescent="0.4">
      <c r="C472">
        <v>120</v>
      </c>
      <c r="E472" s="146">
        <v>112630</v>
      </c>
    </row>
    <row r="473" spans="1:5" x14ac:dyDescent="0.4">
      <c r="A473" t="s">
        <v>2837</v>
      </c>
      <c r="B473" t="s">
        <v>2360</v>
      </c>
      <c r="C473">
        <v>75</v>
      </c>
      <c r="E473" s="146">
        <v>49380</v>
      </c>
    </row>
    <row r="474" spans="1:5" x14ac:dyDescent="0.4">
      <c r="B474" t="s">
        <v>2459</v>
      </c>
      <c r="C474">
        <v>75</v>
      </c>
      <c r="E474" s="146">
        <v>71080</v>
      </c>
    </row>
    <row r="475" spans="1:5" x14ac:dyDescent="0.4">
      <c r="A475" t="s">
        <v>2838</v>
      </c>
      <c r="B475" t="s">
        <v>2360</v>
      </c>
      <c r="C475">
        <v>90</v>
      </c>
      <c r="D475" t="s">
        <v>2839</v>
      </c>
      <c r="E475" s="146">
        <v>98740</v>
      </c>
    </row>
    <row r="476" spans="1:5" x14ac:dyDescent="0.4">
      <c r="C476">
        <v>100</v>
      </c>
      <c r="E476" s="146">
        <v>109730</v>
      </c>
    </row>
    <row r="477" spans="1:5" x14ac:dyDescent="0.4">
      <c r="C477">
        <v>120</v>
      </c>
      <c r="E477" s="146">
        <v>131670</v>
      </c>
    </row>
    <row r="478" spans="1:5" x14ac:dyDescent="0.4">
      <c r="C478">
        <v>130</v>
      </c>
      <c r="E478" s="146">
        <v>142660</v>
      </c>
    </row>
    <row r="479" spans="1:5" x14ac:dyDescent="0.4">
      <c r="C479">
        <v>160</v>
      </c>
      <c r="E479" s="146">
        <v>175590</v>
      </c>
    </row>
    <row r="480" spans="1:5" x14ac:dyDescent="0.4">
      <c r="C480">
        <v>190</v>
      </c>
      <c r="E480" s="146">
        <v>208480</v>
      </c>
    </row>
    <row r="481" spans="1:5" x14ac:dyDescent="0.4">
      <c r="C481">
        <v>210</v>
      </c>
      <c r="E481" s="146">
        <v>230460</v>
      </c>
    </row>
    <row r="482" spans="1:5" x14ac:dyDescent="0.4">
      <c r="C482">
        <v>230</v>
      </c>
      <c r="E482" s="146">
        <v>252400</v>
      </c>
    </row>
    <row r="483" spans="1:5" x14ac:dyDescent="0.4">
      <c r="B483" t="s">
        <v>2459</v>
      </c>
      <c r="C483">
        <v>90</v>
      </c>
      <c r="E483" s="146">
        <v>142180</v>
      </c>
    </row>
    <row r="484" spans="1:5" x14ac:dyDescent="0.4">
      <c r="C484">
        <v>100</v>
      </c>
      <c r="E484" s="146">
        <v>157980</v>
      </c>
    </row>
    <row r="485" spans="1:5" x14ac:dyDescent="0.4">
      <c r="C485">
        <v>120</v>
      </c>
      <c r="E485" s="146">
        <v>189560</v>
      </c>
    </row>
    <row r="486" spans="1:5" x14ac:dyDescent="0.4">
      <c r="C486">
        <v>130</v>
      </c>
      <c r="E486" s="146">
        <v>205360</v>
      </c>
    </row>
    <row r="487" spans="1:5" x14ac:dyDescent="0.4">
      <c r="C487">
        <v>160</v>
      </c>
      <c r="E487" s="146">
        <v>252760</v>
      </c>
    </row>
    <row r="488" spans="1:5" x14ac:dyDescent="0.4">
      <c r="C488">
        <v>190</v>
      </c>
      <c r="E488" s="146">
        <v>300140</v>
      </c>
    </row>
    <row r="489" spans="1:5" x14ac:dyDescent="0.4">
      <c r="C489">
        <v>210</v>
      </c>
      <c r="E489" s="146">
        <v>331730</v>
      </c>
    </row>
    <row r="490" spans="1:5" x14ac:dyDescent="0.4">
      <c r="C490">
        <v>230</v>
      </c>
      <c r="E490" s="146">
        <v>363350</v>
      </c>
    </row>
    <row r="491" spans="1:5" x14ac:dyDescent="0.4">
      <c r="A491" t="s">
        <v>2840</v>
      </c>
      <c r="B491" t="s">
        <v>2360</v>
      </c>
      <c r="C491">
        <v>70</v>
      </c>
      <c r="D491" t="s">
        <v>2840</v>
      </c>
      <c r="E491" s="146">
        <v>48610</v>
      </c>
    </row>
    <row r="492" spans="1:5" x14ac:dyDescent="0.4">
      <c r="C492">
        <v>80</v>
      </c>
      <c r="E492" s="146">
        <v>53160</v>
      </c>
    </row>
    <row r="493" spans="1:5" x14ac:dyDescent="0.4">
      <c r="B493" t="s">
        <v>2459</v>
      </c>
      <c r="C493">
        <v>70</v>
      </c>
      <c r="E493" s="146">
        <v>69990</v>
      </c>
    </row>
    <row r="494" spans="1:5" x14ac:dyDescent="0.4">
      <c r="C494">
        <v>80</v>
      </c>
      <c r="E494" s="146">
        <v>76530</v>
      </c>
    </row>
    <row r="495" spans="1:5" x14ac:dyDescent="0.4">
      <c r="A495" t="s">
        <v>2841</v>
      </c>
      <c r="B495" t="s">
        <v>2360</v>
      </c>
      <c r="C495">
        <v>95</v>
      </c>
      <c r="E495" s="146">
        <v>61340</v>
      </c>
    </row>
    <row r="496" spans="1:5" x14ac:dyDescent="0.4">
      <c r="B496" t="s">
        <v>2459</v>
      </c>
      <c r="C496">
        <v>95</v>
      </c>
      <c r="E496" s="146">
        <v>88300</v>
      </c>
    </row>
    <row r="497" spans="1:5" x14ac:dyDescent="0.4">
      <c r="A497" t="s">
        <v>2842</v>
      </c>
      <c r="B497" t="s">
        <v>2360</v>
      </c>
      <c r="C497">
        <v>70</v>
      </c>
      <c r="D497" t="s">
        <v>2843</v>
      </c>
      <c r="E497" s="146">
        <v>47630</v>
      </c>
    </row>
    <row r="498" spans="1:5" x14ac:dyDescent="0.4">
      <c r="C498">
        <v>80</v>
      </c>
      <c r="D498" t="s">
        <v>2844</v>
      </c>
      <c r="E498" s="146">
        <v>56500</v>
      </c>
    </row>
    <row r="499" spans="1:5" x14ac:dyDescent="0.4">
      <c r="B499" t="s">
        <v>2459</v>
      </c>
      <c r="C499">
        <v>70</v>
      </c>
      <c r="D499" t="s">
        <v>2843</v>
      </c>
      <c r="E499" s="146">
        <v>68580</v>
      </c>
    </row>
    <row r="500" spans="1:5" x14ac:dyDescent="0.4">
      <c r="C500">
        <v>80</v>
      </c>
      <c r="D500" t="s">
        <v>2844</v>
      </c>
      <c r="E500" s="146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6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213" t="s">
        <v>1783</v>
      </c>
      <c r="F1" s="214"/>
      <c r="G1" s="149" t="s">
        <v>2789</v>
      </c>
    </row>
    <row r="2" spans="1:7" x14ac:dyDescent="0.4">
      <c r="A2" t="s">
        <v>2808</v>
      </c>
      <c r="B2" t="s">
        <v>2394</v>
      </c>
      <c r="C2">
        <v>75</v>
      </c>
      <c r="E2" s="126">
        <v>71030</v>
      </c>
    </row>
    <row r="3" spans="1:7" x14ac:dyDescent="0.4">
      <c r="B3" t="s">
        <v>2360</v>
      </c>
      <c r="C3">
        <v>75</v>
      </c>
      <c r="E3" s="126">
        <v>49340</v>
      </c>
    </row>
    <row r="4" spans="1:7" x14ac:dyDescent="0.4">
      <c r="A4" t="s">
        <v>2809</v>
      </c>
      <c r="B4" t="s">
        <v>2394</v>
      </c>
      <c r="C4">
        <v>75</v>
      </c>
      <c r="E4" s="126">
        <v>72400</v>
      </c>
    </row>
    <row r="5" spans="1:7" x14ac:dyDescent="0.4">
      <c r="B5" t="s">
        <v>2360</v>
      </c>
      <c r="C5">
        <v>75</v>
      </c>
      <c r="E5" s="126">
        <v>50290</v>
      </c>
    </row>
    <row r="6" spans="1:7" x14ac:dyDescent="0.4">
      <c r="A6" t="s">
        <v>2810</v>
      </c>
      <c r="B6" t="s">
        <v>2394</v>
      </c>
      <c r="C6">
        <v>65</v>
      </c>
      <c r="E6" s="126">
        <v>63410</v>
      </c>
    </row>
    <row r="7" spans="1:7" x14ac:dyDescent="0.4">
      <c r="C7">
        <v>70</v>
      </c>
      <c r="E7" s="126">
        <v>66930</v>
      </c>
    </row>
    <row r="8" spans="1:7" x14ac:dyDescent="0.4">
      <c r="C8">
        <v>75</v>
      </c>
      <c r="E8" s="126">
        <v>70310</v>
      </c>
    </row>
    <row r="9" spans="1:7" x14ac:dyDescent="0.4">
      <c r="C9">
        <v>80</v>
      </c>
      <c r="E9" s="126">
        <v>73490</v>
      </c>
    </row>
    <row r="10" spans="1:7" x14ac:dyDescent="0.4">
      <c r="C10">
        <v>100</v>
      </c>
      <c r="E10" s="126">
        <v>91060</v>
      </c>
    </row>
    <row r="11" spans="1:7" x14ac:dyDescent="0.4">
      <c r="B11" t="s">
        <v>2360</v>
      </c>
      <c r="C11">
        <v>65</v>
      </c>
      <c r="E11" s="126">
        <v>44050</v>
      </c>
    </row>
    <row r="12" spans="1:7" x14ac:dyDescent="0.4">
      <c r="C12">
        <v>70</v>
      </c>
      <c r="E12" s="126">
        <v>46490</v>
      </c>
    </row>
    <row r="13" spans="1:7" x14ac:dyDescent="0.4">
      <c r="C13">
        <v>75</v>
      </c>
      <c r="E13" s="126">
        <v>48840</v>
      </c>
    </row>
    <row r="14" spans="1:7" x14ac:dyDescent="0.4">
      <c r="C14">
        <v>80</v>
      </c>
      <c r="E14" s="126">
        <v>51050</v>
      </c>
    </row>
    <row r="15" spans="1:7" x14ac:dyDescent="0.4">
      <c r="C15">
        <v>100</v>
      </c>
      <c r="E15" s="126">
        <v>63260</v>
      </c>
    </row>
    <row r="16" spans="1:7" x14ac:dyDescent="0.4">
      <c r="A16" t="s">
        <v>2811</v>
      </c>
      <c r="B16" t="s">
        <v>2394</v>
      </c>
      <c r="C16">
        <v>70</v>
      </c>
      <c r="E16" s="126">
        <v>67300</v>
      </c>
    </row>
    <row r="17" spans="1:5" x14ac:dyDescent="0.4">
      <c r="B17" t="s">
        <v>2360</v>
      </c>
      <c r="C17">
        <v>70</v>
      </c>
      <c r="E17" s="126">
        <v>46750</v>
      </c>
    </row>
    <row r="18" spans="1:5" x14ac:dyDescent="0.4">
      <c r="A18" t="s">
        <v>2812</v>
      </c>
      <c r="B18" t="s">
        <v>2394</v>
      </c>
      <c r="C18">
        <v>65</v>
      </c>
      <c r="E18" s="126">
        <v>64000</v>
      </c>
    </row>
    <row r="19" spans="1:5" x14ac:dyDescent="0.4">
      <c r="B19" t="s">
        <v>2360</v>
      </c>
      <c r="C19">
        <v>65</v>
      </c>
      <c r="E19" s="126">
        <v>44460</v>
      </c>
    </row>
    <row r="20" spans="1:5" x14ac:dyDescent="0.4">
      <c r="A20" t="s">
        <v>2813</v>
      </c>
      <c r="B20" t="s">
        <v>2394</v>
      </c>
      <c r="C20">
        <v>70</v>
      </c>
      <c r="E20" s="126">
        <v>52230</v>
      </c>
    </row>
    <row r="21" spans="1:5" x14ac:dyDescent="0.4">
      <c r="B21" t="s">
        <v>2394</v>
      </c>
      <c r="C21">
        <v>80</v>
      </c>
      <c r="E21" s="126">
        <v>56390</v>
      </c>
    </row>
    <row r="22" spans="1:5" x14ac:dyDescent="0.4">
      <c r="B22" t="s">
        <v>2360</v>
      </c>
      <c r="C22">
        <v>70</v>
      </c>
      <c r="E22" s="126">
        <v>36280</v>
      </c>
    </row>
    <row r="23" spans="1:5" x14ac:dyDescent="0.4">
      <c r="B23" t="s">
        <v>2360</v>
      </c>
      <c r="C23">
        <v>80</v>
      </c>
      <c r="E23" s="126">
        <v>39170</v>
      </c>
    </row>
    <row r="24" spans="1:5" x14ac:dyDescent="0.4">
      <c r="A24" t="s">
        <v>2814</v>
      </c>
      <c r="B24" t="s">
        <v>2394</v>
      </c>
      <c r="C24">
        <v>65</v>
      </c>
      <c r="E24" s="126">
        <v>63190</v>
      </c>
    </row>
    <row r="25" spans="1:5" x14ac:dyDescent="0.4">
      <c r="B25" t="s">
        <v>2394</v>
      </c>
      <c r="C25">
        <v>70</v>
      </c>
      <c r="E25" s="126">
        <v>63820</v>
      </c>
    </row>
    <row r="26" spans="1:5" x14ac:dyDescent="0.4">
      <c r="B26" t="s">
        <v>2394</v>
      </c>
      <c r="C26">
        <v>80</v>
      </c>
      <c r="E26" s="126">
        <v>70670</v>
      </c>
    </row>
    <row r="27" spans="1:5" x14ac:dyDescent="0.4">
      <c r="B27" t="s">
        <v>2360</v>
      </c>
      <c r="C27">
        <v>65</v>
      </c>
      <c r="E27" s="126">
        <v>43900</v>
      </c>
    </row>
    <row r="28" spans="1:5" x14ac:dyDescent="0.4">
      <c r="B28" t="s">
        <v>2360</v>
      </c>
      <c r="C28">
        <v>70</v>
      </c>
      <c r="E28" s="126">
        <v>44330</v>
      </c>
    </row>
    <row r="29" spans="1:5" x14ac:dyDescent="0.4">
      <c r="B29" t="s">
        <v>2360</v>
      </c>
      <c r="C29">
        <v>80</v>
      </c>
      <c r="E29" s="126">
        <v>49090</v>
      </c>
    </row>
    <row r="30" spans="1:5" x14ac:dyDescent="0.4">
      <c r="A30" t="s">
        <v>2815</v>
      </c>
      <c r="B30" t="s">
        <v>2394</v>
      </c>
      <c r="C30">
        <v>65</v>
      </c>
      <c r="E30" s="126">
        <v>65400</v>
      </c>
    </row>
    <row r="31" spans="1:5" x14ac:dyDescent="0.4">
      <c r="B31" t="s">
        <v>2394</v>
      </c>
      <c r="C31">
        <v>70</v>
      </c>
      <c r="E31" s="126">
        <v>65800</v>
      </c>
    </row>
    <row r="32" spans="1:5" x14ac:dyDescent="0.4">
      <c r="B32" t="s">
        <v>2394</v>
      </c>
      <c r="C32">
        <v>80</v>
      </c>
      <c r="E32" s="126">
        <v>72480</v>
      </c>
    </row>
    <row r="33" spans="1:5" x14ac:dyDescent="0.4">
      <c r="B33" t="s">
        <v>2394</v>
      </c>
      <c r="C33">
        <v>95</v>
      </c>
      <c r="E33" s="126">
        <v>85530</v>
      </c>
    </row>
    <row r="34" spans="1:5" x14ac:dyDescent="0.4">
      <c r="B34" t="s">
        <v>2360</v>
      </c>
      <c r="C34">
        <v>65</v>
      </c>
      <c r="E34" s="126">
        <v>45430</v>
      </c>
    </row>
    <row r="35" spans="1:5" x14ac:dyDescent="0.4">
      <c r="B35" t="s">
        <v>2360</v>
      </c>
      <c r="C35">
        <v>70</v>
      </c>
      <c r="E35" s="126">
        <v>45710</v>
      </c>
    </row>
    <row r="36" spans="1:5" x14ac:dyDescent="0.4">
      <c r="B36" t="s">
        <v>2360</v>
      </c>
      <c r="C36">
        <v>80</v>
      </c>
      <c r="E36" s="126">
        <v>50350</v>
      </c>
    </row>
    <row r="37" spans="1:5" x14ac:dyDescent="0.4">
      <c r="B37" t="s">
        <v>2360</v>
      </c>
      <c r="C37">
        <v>95</v>
      </c>
      <c r="E37" s="126">
        <v>59410</v>
      </c>
    </row>
    <row r="38" spans="1:5" x14ac:dyDescent="0.4">
      <c r="A38" t="s">
        <v>2816</v>
      </c>
      <c r="B38" t="s">
        <v>2394</v>
      </c>
      <c r="C38">
        <v>75</v>
      </c>
      <c r="E38" s="126">
        <v>58930</v>
      </c>
    </row>
    <row r="39" spans="1:5" x14ac:dyDescent="0.4">
      <c r="B39" t="s">
        <v>2394</v>
      </c>
      <c r="C39">
        <v>80</v>
      </c>
      <c r="E39" s="126">
        <v>61440</v>
      </c>
    </row>
    <row r="40" spans="1:5" x14ac:dyDescent="0.4">
      <c r="B40" t="s">
        <v>2360</v>
      </c>
      <c r="C40">
        <v>75</v>
      </c>
      <c r="E40" s="126">
        <v>40940</v>
      </c>
    </row>
    <row r="41" spans="1:5" x14ac:dyDescent="0.4">
      <c r="B41" t="s">
        <v>2360</v>
      </c>
      <c r="C41">
        <v>80</v>
      </c>
      <c r="E41" s="126">
        <v>42680</v>
      </c>
    </row>
    <row r="42" spans="1:5" ht="52.2" x14ac:dyDescent="0.4">
      <c r="A42" s="140" t="s">
        <v>2817</v>
      </c>
      <c r="B42" t="s">
        <v>2394</v>
      </c>
      <c r="C42">
        <v>70</v>
      </c>
      <c r="E42" s="126">
        <v>63830</v>
      </c>
    </row>
    <row r="43" spans="1:5" x14ac:dyDescent="0.4">
      <c r="B43" t="s">
        <v>2394</v>
      </c>
      <c r="C43">
        <v>80</v>
      </c>
      <c r="E43" s="126">
        <v>72830</v>
      </c>
    </row>
    <row r="44" spans="1:5" x14ac:dyDescent="0.4">
      <c r="B44" t="s">
        <v>2360</v>
      </c>
      <c r="C44">
        <v>70</v>
      </c>
      <c r="E44" s="126">
        <v>44340</v>
      </c>
    </row>
    <row r="45" spans="1:5" x14ac:dyDescent="0.4">
      <c r="B45" t="s">
        <v>2360</v>
      </c>
      <c r="C45">
        <v>80</v>
      </c>
      <c r="E45" s="126">
        <v>50590</v>
      </c>
    </row>
    <row r="46" spans="1:5" ht="34.799999999999997" x14ac:dyDescent="0.4">
      <c r="A46" s="140" t="s">
        <v>2818</v>
      </c>
      <c r="B46" t="s">
        <v>2394</v>
      </c>
      <c r="C46">
        <v>90</v>
      </c>
      <c r="E46" s="126">
        <v>79320</v>
      </c>
    </row>
    <row r="47" spans="1:5" x14ac:dyDescent="0.4">
      <c r="B47" t="s">
        <v>2394</v>
      </c>
      <c r="C47">
        <v>100</v>
      </c>
      <c r="E47" s="126">
        <v>87920</v>
      </c>
    </row>
    <row r="48" spans="1:5" x14ac:dyDescent="0.4">
      <c r="B48" t="s">
        <v>2360</v>
      </c>
      <c r="C48">
        <v>90</v>
      </c>
      <c r="E48" s="126">
        <v>55100</v>
      </c>
    </row>
    <row r="49" spans="1:5" x14ac:dyDescent="0.4">
      <c r="B49" t="s">
        <v>2360</v>
      </c>
      <c r="C49">
        <v>100</v>
      </c>
      <c r="E49" s="126">
        <v>61070</v>
      </c>
    </row>
    <row r="50" spans="1:5" x14ac:dyDescent="0.4">
      <c r="A50" t="s">
        <v>2819</v>
      </c>
      <c r="B50" t="s">
        <v>2394</v>
      </c>
      <c r="C50">
        <v>70</v>
      </c>
      <c r="E50" s="126">
        <v>65160</v>
      </c>
    </row>
    <row r="51" spans="1:5" x14ac:dyDescent="0.4">
      <c r="B51" t="s">
        <v>2394</v>
      </c>
      <c r="C51">
        <v>80</v>
      </c>
      <c r="E51" s="126">
        <v>74890</v>
      </c>
    </row>
    <row r="52" spans="1:5" x14ac:dyDescent="0.4">
      <c r="B52" t="s">
        <v>2394</v>
      </c>
      <c r="C52">
        <v>90</v>
      </c>
      <c r="E52" s="126">
        <v>80920</v>
      </c>
    </row>
    <row r="53" spans="1:5" x14ac:dyDescent="0.4">
      <c r="B53" t="s">
        <v>2360</v>
      </c>
      <c r="C53">
        <v>70</v>
      </c>
      <c r="E53" s="126">
        <v>45260</v>
      </c>
    </row>
    <row r="54" spans="1:5" x14ac:dyDescent="0.4">
      <c r="B54" t="s">
        <v>2360</v>
      </c>
      <c r="C54">
        <v>80</v>
      </c>
      <c r="E54" s="126">
        <v>52020</v>
      </c>
    </row>
    <row r="55" spans="1:5" x14ac:dyDescent="0.4">
      <c r="B55" t="s">
        <v>2360</v>
      </c>
      <c r="C55">
        <v>90</v>
      </c>
      <c r="E55" s="126">
        <v>56210</v>
      </c>
    </row>
    <row r="56" spans="1:5" x14ac:dyDescent="0.4">
      <c r="A56" t="s">
        <v>2820</v>
      </c>
      <c r="B56" t="s">
        <v>2394</v>
      </c>
      <c r="C56">
        <v>50</v>
      </c>
      <c r="E56" s="126">
        <v>53390</v>
      </c>
    </row>
    <row r="57" spans="1:5" x14ac:dyDescent="0.4">
      <c r="B57" t="s">
        <v>2394</v>
      </c>
      <c r="C57">
        <v>60</v>
      </c>
      <c r="E57" s="126">
        <v>56100</v>
      </c>
    </row>
    <row r="58" spans="1:5" x14ac:dyDescent="0.4">
      <c r="B58" t="s">
        <v>2360</v>
      </c>
      <c r="C58">
        <v>50</v>
      </c>
      <c r="E58" s="126">
        <v>37090</v>
      </c>
    </row>
    <row r="59" spans="1:5" x14ac:dyDescent="0.4">
      <c r="B59" t="s">
        <v>2360</v>
      </c>
      <c r="C59">
        <v>60</v>
      </c>
      <c r="E59" s="126">
        <v>38970</v>
      </c>
    </row>
    <row r="60" spans="1:5" x14ac:dyDescent="0.4">
      <c r="A60" t="s">
        <v>2821</v>
      </c>
      <c r="B60" t="s">
        <v>2394</v>
      </c>
      <c r="C60">
        <v>60</v>
      </c>
      <c r="E60" s="126">
        <v>43430</v>
      </c>
    </row>
    <row r="61" spans="1:5" x14ac:dyDescent="0.4">
      <c r="B61" t="s">
        <v>2394</v>
      </c>
      <c r="C61">
        <v>70</v>
      </c>
      <c r="E61" s="126">
        <v>49860</v>
      </c>
    </row>
    <row r="62" spans="1:5" x14ac:dyDescent="0.4">
      <c r="B62" t="s">
        <v>2360</v>
      </c>
      <c r="C62">
        <v>60</v>
      </c>
      <c r="E62" s="126">
        <v>30170</v>
      </c>
    </row>
    <row r="63" spans="1:5" x14ac:dyDescent="0.4">
      <c r="B63" t="s">
        <v>2360</v>
      </c>
      <c r="C63">
        <v>70</v>
      </c>
      <c r="E63" s="126">
        <v>34640</v>
      </c>
    </row>
    <row r="64" spans="1:5" x14ac:dyDescent="0.4">
      <c r="A64" t="s">
        <v>2822</v>
      </c>
      <c r="B64" t="s">
        <v>2394</v>
      </c>
      <c r="C64">
        <v>60</v>
      </c>
      <c r="E64" s="126">
        <v>37910</v>
      </c>
    </row>
    <row r="65" spans="1:5" x14ac:dyDescent="0.4">
      <c r="B65" t="s">
        <v>2394</v>
      </c>
      <c r="C65">
        <v>70</v>
      </c>
      <c r="E65" s="126">
        <v>43490</v>
      </c>
    </row>
    <row r="66" spans="1:5" x14ac:dyDescent="0.4">
      <c r="B66" t="s">
        <v>2360</v>
      </c>
      <c r="C66">
        <v>60</v>
      </c>
      <c r="E66" s="126">
        <v>26330</v>
      </c>
    </row>
    <row r="67" spans="1:5" x14ac:dyDescent="0.4">
      <c r="B67" t="s">
        <v>2360</v>
      </c>
      <c r="C67">
        <v>70</v>
      </c>
      <c r="E67" s="126">
        <v>30210</v>
      </c>
    </row>
    <row r="68" spans="1:5" x14ac:dyDescent="0.4">
      <c r="A68" t="s">
        <v>2823</v>
      </c>
      <c r="B68" t="s">
        <v>2394</v>
      </c>
      <c r="C68">
        <v>65</v>
      </c>
      <c r="E68" s="126">
        <v>47060</v>
      </c>
    </row>
    <row r="69" spans="1:5" x14ac:dyDescent="0.4">
      <c r="B69" t="s">
        <v>2360</v>
      </c>
      <c r="C69">
        <v>65</v>
      </c>
      <c r="E69" s="126">
        <v>32690</v>
      </c>
    </row>
    <row r="70" spans="1:5" x14ac:dyDescent="0.4">
      <c r="A70" t="s">
        <v>2824</v>
      </c>
      <c r="B70" t="s">
        <v>2394</v>
      </c>
      <c r="C70">
        <v>70</v>
      </c>
      <c r="E70" s="126">
        <v>37090</v>
      </c>
    </row>
    <row r="71" spans="1:5" x14ac:dyDescent="0.4">
      <c r="B71" t="s">
        <v>2360</v>
      </c>
      <c r="C71">
        <v>70</v>
      </c>
      <c r="E71" s="126">
        <v>25760</v>
      </c>
    </row>
    <row r="72" spans="1:5" x14ac:dyDescent="0.4">
      <c r="A72" t="s">
        <v>2825</v>
      </c>
      <c r="B72" t="s">
        <v>2394</v>
      </c>
      <c r="C72">
        <v>70</v>
      </c>
      <c r="E72" s="126">
        <v>43490</v>
      </c>
    </row>
    <row r="73" spans="1:5" x14ac:dyDescent="0.4">
      <c r="B73" t="s">
        <v>2394</v>
      </c>
      <c r="C73">
        <v>80</v>
      </c>
      <c r="E73" s="126">
        <v>48840</v>
      </c>
    </row>
    <row r="74" spans="1:5" x14ac:dyDescent="0.4">
      <c r="B74" t="s">
        <v>2360</v>
      </c>
      <c r="C74">
        <v>70</v>
      </c>
      <c r="E74" s="126">
        <v>30210</v>
      </c>
    </row>
    <row r="75" spans="1:5" x14ac:dyDescent="0.4">
      <c r="B75" t="s">
        <v>2360</v>
      </c>
      <c r="C75">
        <v>80</v>
      </c>
      <c r="E75" s="126">
        <v>33930</v>
      </c>
    </row>
    <row r="76" spans="1:5" x14ac:dyDescent="0.4">
      <c r="A76" t="s">
        <v>2826</v>
      </c>
      <c r="B76" t="s">
        <v>2394</v>
      </c>
      <c r="C76">
        <v>54</v>
      </c>
      <c r="E76" s="126">
        <v>25960</v>
      </c>
    </row>
    <row r="77" spans="1:5" x14ac:dyDescent="0.4">
      <c r="B77" t="s">
        <v>2360</v>
      </c>
      <c r="C77">
        <v>54</v>
      </c>
      <c r="E77" s="126">
        <v>18030</v>
      </c>
    </row>
    <row r="78" spans="1:5" x14ac:dyDescent="0.4">
      <c r="A78" t="s">
        <v>2827</v>
      </c>
      <c r="B78" t="s">
        <v>2394</v>
      </c>
      <c r="C78">
        <v>54</v>
      </c>
      <c r="E78" s="126">
        <v>26440</v>
      </c>
    </row>
    <row r="79" spans="1:5" x14ac:dyDescent="0.4">
      <c r="B79" t="s">
        <v>2360</v>
      </c>
      <c r="C79">
        <v>54</v>
      </c>
      <c r="E79" s="126">
        <v>18370</v>
      </c>
    </row>
    <row r="80" spans="1:5" x14ac:dyDescent="0.4">
      <c r="A80" t="s">
        <v>2828</v>
      </c>
      <c r="B80" t="s">
        <v>2394</v>
      </c>
      <c r="C80">
        <v>60</v>
      </c>
      <c r="E80" s="126">
        <v>35240</v>
      </c>
    </row>
    <row r="81" spans="1:5" x14ac:dyDescent="0.4">
      <c r="B81" t="s">
        <v>2360</v>
      </c>
      <c r="C81">
        <v>60</v>
      </c>
      <c r="E81" s="126">
        <v>22480</v>
      </c>
    </row>
    <row r="82" spans="1:5" x14ac:dyDescent="0.4">
      <c r="A82" t="s">
        <v>2829</v>
      </c>
      <c r="B82" t="s">
        <v>2394</v>
      </c>
      <c r="C82">
        <v>80</v>
      </c>
      <c r="E82" s="126">
        <v>50890</v>
      </c>
    </row>
    <row r="83" spans="1:5" x14ac:dyDescent="0.4">
      <c r="B83" t="s">
        <v>2394</v>
      </c>
      <c r="C83">
        <v>100</v>
      </c>
      <c r="E83" s="126">
        <v>63610</v>
      </c>
    </row>
    <row r="84" spans="1:5" x14ac:dyDescent="0.4">
      <c r="B84" t="s">
        <v>2394</v>
      </c>
      <c r="C84">
        <v>120</v>
      </c>
      <c r="E84" s="126">
        <v>98000</v>
      </c>
    </row>
    <row r="85" spans="1:5" x14ac:dyDescent="0.4">
      <c r="B85" t="s">
        <v>2360</v>
      </c>
      <c r="C85">
        <v>80</v>
      </c>
      <c r="E85" s="126">
        <v>35352</v>
      </c>
    </row>
    <row r="86" spans="1:5" x14ac:dyDescent="0.4">
      <c r="B86" t="s">
        <v>2360</v>
      </c>
      <c r="C86">
        <v>100</v>
      </c>
      <c r="E86" s="126">
        <v>44190</v>
      </c>
    </row>
    <row r="87" spans="1:5" x14ac:dyDescent="0.4">
      <c r="B87" t="s">
        <v>2360</v>
      </c>
      <c r="C87">
        <v>120</v>
      </c>
      <c r="E87" s="126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2026-01-16T07:12:56Z</dcterms:modified>
</cp:coreProperties>
</file>