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oodnotes\"/>
    </mc:Choice>
  </mc:AlternateContent>
  <xr:revisionPtr revIDLastSave="0" documentId="13_ncr:1_{973BE6F6-4DBA-4A86-B68B-FC1043669295}" xr6:coauthVersionLast="47" xr6:coauthVersionMax="47" xr10:uidLastSave="{00000000-0000-0000-0000-000000000000}"/>
  <bookViews>
    <workbookView xWindow="-120" yWindow="-120" windowWidth="29040" windowHeight="15720" activeTab="7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<sst xmlns="http://schemas.openxmlformats.org/spreadsheetml/2006/main" count="9791" uniqueCount="4798">
  <si>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</si>
  <si>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</si>
  <si>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</si>
  <si>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</si>
  <si>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</si>
  <si>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</si>
  <si>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</si>
  <si>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</si>
  <si>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</si>
  <si>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</si>
  <si>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</si>
  <si>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</si>
  <si>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</si>
  <si>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</si>
  <si>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</si>
  <si>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</si>
  <si>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</si>
  <si>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</si>
  <si>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</si>
  <si>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</si>
  <si>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</si>
  <si>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</si>
  <si>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</si>
  <si>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</si>
  <si>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</si>
  <si>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</si>
  <si>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</si>
  <si>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</si>
  <si>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</si>
  <si>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</si>
  <si>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</si>
  <si>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</si>
  <si>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</si>
  <si>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</si>
  <si>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</si>
  <si>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</si>
  <si>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</si>
  <si>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</si>
  <si>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</si>
  <si>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</si>
  <si>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</si>
  <si>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</si>
  <si>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</si>
  <si>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</si>
  <si>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</si>
  <si>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</si>
  <si>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</si>
  <si>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</si>
  <si>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</si>
  <si>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</si>
  <si>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</si>
  <si>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</si>
  <si>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</si>
  <si>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</si>
  <si>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</si>
  <si>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</si>
  <si>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</si>
  <si>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</si>
  <si>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</si>
  <si>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</si>
  <si>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</si>
  <si>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</si>
  <si>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</si>
  <si>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</si>
  <si>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</si>
  <si>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</si>
  <si>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</si>
  <si>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</si>
  <si>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</si>
  <si>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</si>
  <si>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</si>
  <si>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</si>
  <si>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</si>
  <si>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</si>
  <si>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</si>
  <si>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</si>
  <si>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</si>
  <si>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</si>
  <si>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</si>
  <si>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</si>
  <si>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</si>
  <si>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</si>
  <si>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</si>
  <si>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</si>
  <si>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</si>
  <si>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</si>
  <si>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</si>
  <si>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</si>
  <si>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</si>
  <si>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</si>
  <si>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</si>
  <si>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</si>
  <si>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</si>
  <si>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</si>
  <si>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</si>
  <si>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</si>
  <si>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</si>
  <si>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</si>
  <si>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</si>
  <si>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</si>
  <si>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</si>
  <si>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</si>
  <si>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</si>
  <si>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</si>
  <si>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</si>
  <si>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</si>
  <si>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</si>
  <si>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</si>
  <si>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</si>
  <si>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</si>
  <si>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</si>
  <si>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</si>
  <si>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</si>
  <si>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</si>
  <si>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</si>
  <si>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</si>
  <si>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</si>
  <si>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</si>
  <si>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</si>
  <si>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</si>
  <si>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</si>
  <si>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</si>
  <si>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</si>
  <si>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</si>
  <si>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</si>
  <si>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</si>
  <si>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</si>
  <si>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</si>
  <si>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</si>
  <si>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</si>
  <si>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</si>
  <si>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</si>
  <si>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</si>
  <si>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</si>
  <si>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</si>
  <si>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</si>
  <si>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</si>
  <si>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</si>
  <si>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</si>
  <si>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</si>
  <si>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</si>
  <si>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</si>
  <si>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</si>
  <si>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</si>
  <si>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</si>
  <si>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</si>
  <si>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</si>
  <si>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</si>
  <si>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</si>
  <si>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</si>
  <si>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</si>
  <si>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</si>
  <si>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</si>
  <si>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</si>
  <si>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</si>
  <si>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</si>
  <si>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</si>
  <si>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</si>
  <si>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</si>
  <si>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</si>
  <si>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</si>
  <si>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</si>
  <si>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</si>
  <si>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</si>
  <si>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</si>
  <si>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</si>
  <si>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</si>
  <si>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</si>
  <si>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</si>
  <si>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</si>
  <si>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</si>
  <si>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</si>
  <si>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</si>
  <si>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</si>
  <si>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</si>
  <si>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</si>
  <si>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</si>
  <si>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</si>
  <si>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</si>
  <si>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</si>
  <si>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</si>
  <si>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</si>
  <si>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</si>
  <si>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</si>
  <si>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</si>
  <si>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</si>
  <si>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</si>
  <si>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</si>
  <si>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</si>
  <si>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</si>
  <si>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</si>
  <si>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</si>
  <si>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</si>
  <si>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</si>
  <si>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</si>
  <si>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</si>
  <si>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</si>
  <si>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</si>
  <si>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</si>
  <si>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</si>
  <si>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</si>
  <si>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</si>
  <si>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</si>
  <si>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</si>
  <si>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</si>
  <si>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</si>
  <si>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</si>
  <si>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</si>
  <si>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</si>
  <si>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</si>
  <si>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</si>
  <si>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</si>
  <si>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</si>
  <si>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</si>
  <si>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</si>
  <si>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</si>
  <si>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</si>
  <si>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</si>
  <si>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</si>
  <si>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</si>
  <si>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</si>
  <si>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</si>
  <si>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</si>
  <si>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</si>
  <si>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</si>
  <si>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</si>
  <si>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</si>
  <si>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</si>
  <si>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</si>
  <si>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</si>
  <si>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</si>
  <si>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</si>
  <si>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</si>
  <si>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</si>
  <si>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</si>
  <si>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</si>
  <si>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</si>
  <si>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</si>
  <si>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</si>
  <si>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</si>
  <si>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</si>
  <si>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</si>
  <si>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</si>
  <si>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</si>
  <si>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</si>
  <si>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</si>
  <si>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</si>
  <si>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</si>
  <si>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</si>
  <si>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</si>
  <si>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</si>
  <si>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</si>
  <si>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</si>
  <si>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</si>
  <si>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</si>
  <si>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</si>
  <si>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</si>
  <si>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</si>
  <si>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</si>
  <si>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</si>
  <si>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</si>
  <si>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</si>
  <si>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</si>
  <si>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</si>
  <si>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</si>
  <si>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</si>
  <si>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</si>
  <si>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</si>
  <si>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</si>
  <si>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</si>
  <si>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</si>
  <si>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</si>
  <si>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</si>
  <si>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</si>
  <si>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</si>
  <si>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</si>
  <si>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</si>
  <si>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</si>
  <si>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</si>
  <si>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</si>
  <si>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</si>
  <si>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</si>
  <si>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</si>
  <si>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</si>
  <si>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</si>
  <si>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</si>
  <si>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</si>
  <si>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</si>
  <si>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</si>
  <si>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</si>
  <si>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</si>
  <si>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</si>
  <si>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</si>
  <si>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</si>
  <si>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</si>
  <si>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</si>
  <si>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</si>
  <si>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</si>
  <si>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</si>
  <si>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</si>
  <si>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</si>
  <si>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</si>
  <si>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</si>
  <si>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</si>
  <si>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</si>
  <si>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</si>
  <si>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</si>
  <si>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</si>
  <si>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</si>
  <si>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</si>
  <si>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</si>
  <si>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</si>
  <si>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</si>
  <si>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</si>
  <si>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</si>
  <si>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</si>
  <si>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</si>
  <si>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</si>
  <si>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</si>
  <si>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</si>
  <si>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</si>
  <si>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</si>
  <si>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</si>
  <si>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</si>
  <si>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</si>
  <si>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</si>
  <si>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</si>
  <si>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</si>
  <si>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</si>
  <si>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</si>
  <si>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</si>
  <si>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</si>
  <si>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</si>
  <si>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</si>
  <si>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</si>
  <si>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</si>
  <si>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</si>
  <si>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</si>
  <si>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</si>
  <si>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</si>
  <si>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</si>
  <si>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</si>
  <si>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</si>
  <si>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</si>
  <si>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</si>
  <si>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</si>
  <si>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</si>
  <si>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</si>
  <si>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</si>
  <si>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</si>
  <si>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</si>
  <si>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</si>
  <si>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</si>
  <si>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</si>
  <si>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</si>
  <si>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</si>
  <si>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</si>
  <si>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</si>
  <si>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</si>
  <si>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</si>
  <si>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</si>
  <si>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</si>
  <si>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</si>
  <si>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</si>
  <si>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</si>
  <si>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</si>
  <si>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</si>
  <si>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</si>
  <si>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</si>
  <si>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</si>
  <si>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</si>
  <si>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</si>
  <si>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</si>
  <si>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</si>
  <si>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</si>
  <si>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</si>
  <si>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</si>
  <si>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</si>
  <si>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</si>
  <si>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</si>
  <si>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</si>
  <si>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</si>
  <si>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</si>
  <si>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</si>
  <si>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</si>
  <si>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</si>
  <si>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</si>
  <si>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</si>
  <si>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</si>
  <si>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</si>
  <si>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</si>
  <si>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</si>
  <si>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</si>
  <si>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</si>
  <si>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</si>
  <si>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</si>
  <si>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</si>
  <si>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</si>
  <si>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</si>
  <si>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</si>
  <si>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</si>
  <si>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</si>
  <si>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</si>
  <si>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</si>
  <si>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</si>
  <si>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</si>
  <si>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</si>
  <si>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</si>
  <si>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</si>
  <si>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</si>
  <si>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</si>
  <si>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</si>
  <si>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</si>
  <si>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</si>
  <si>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</si>
  <si>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</si>
  <si>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</si>
  <si>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</si>
  <si>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</si>
  <si>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</si>
  <si>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</si>
  <si>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</si>
  <si>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</si>
  <si>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</si>
  <si>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</si>
  <si>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</si>
  <si>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</si>
  <si>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</si>
  <si>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</si>
  <si>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</si>
  <si>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</si>
  <si>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</si>
  <si>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</si>
  <si>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</si>
  <si>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</si>
  <si>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</si>
  <si>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</si>
  <si>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</si>
  <si>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</si>
  <si>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</si>
  <si>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</si>
  <si>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</si>
  <si>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</si>
  <si>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</si>
  <si>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</si>
  <si>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</si>
  <si>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</si>
  <si>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</si>
  <si>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</si>
  <si>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</si>
  <si>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</si>
  <si>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</si>
  <si>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</si>
  <si>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</si>
  <si>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</si>
  <si>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</si>
  <si>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</si>
  <si>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</si>
  <si>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</si>
  <si>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</si>
  <si>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</si>
  <si>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</si>
  <si>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</si>
  <si>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</si>
  <si>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</si>
  <si>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</si>
  <si>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</si>
  <si>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</si>
  <si>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</si>
  <si>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</si>
  <si>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</si>
  <si>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</si>
  <si>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</si>
  <si>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</si>
  <si>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</si>
  <si>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</si>
  <si>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</si>
  <si>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</si>
  <si>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</si>
  <si>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</si>
  <si>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</si>
  <si>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</si>
  <si>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</si>
  <si>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</si>
  <si>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</si>
  <si>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</si>
  <si>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</si>
  <si>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</si>
  <si>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</si>
  <si>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</si>
  <si>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</si>
  <si>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</si>
  <si>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</si>
  <si>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</si>
  <si>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</si>
  <si>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</si>
  <si>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</si>
  <si>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</si>
  <si>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</si>
  <si>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</si>
  <si>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</si>
  <si>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</si>
  <si>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</si>
  <si>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</si>
  <si>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</si>
  <si>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</si>
  <si>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</si>
  <si>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</si>
  <si>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</si>
  <si>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</si>
  <si>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</si>
  <si>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</si>
  <si>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</si>
  <si>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</si>
  <si>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</si>
  <si>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</si>
  <si>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</si>
  <si>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</si>
  <si>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</si>
  <si>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</si>
  <si>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</si>
  <si>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</si>
  <si>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</si>
  <si>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</si>
  <si>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</si>
  <si>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</si>
  <si>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</si>
  <si>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</si>
  <si>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</si>
  <si>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</si>
  <si>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</si>
  <si>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</si>
  <si>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</si>
  <si>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</si>
  <si>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</si>
  <si>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</si>
  <si>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</si>
  <si>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</si>
  <si>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</si>
  <si>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</si>
  <si>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</si>
  <si>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</si>
  <si>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</si>
  <si>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</si>
  <si>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</si>
  <si>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</si>
  <si>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</si>
  <si>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</si>
  <si>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</si>
  <si>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</si>
  <si>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</si>
  <si>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</si>
  <si>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</si>
  <si>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</si>
  <si>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</si>
  <si>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</si>
  <si>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</si>
  <si>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</si>
  <si>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</si>
  <si>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</si>
  <si>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</si>
  <si>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</si>
  <si>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</si>
  <si>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</si>
  <si>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</si>
  <si>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</si>
  <si>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</si>
  <si>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</si>
  <si>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</si>
  <si>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</si>
  <si>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</si>
  <si>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</si>
  <si>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</si>
  <si>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</si>
  <si>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</si>
  <si>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</si>
  <si>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</si>
  <si>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</si>
  <si>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</si>
  <si>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</si>
  <si>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</si>
  <si>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</si>
  <si>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</si>
  <si>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</si>
  <si>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</si>
  <si>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</si>
  <si>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</si>
  <si>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</si>
  <si>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</si>
  <si>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</si>
  <si>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</si>
  <si>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</si>
  <si>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</si>
  <si>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</si>
  <si>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</si>
  <si>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</si>
  <si>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</si>
  <si>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</si>
  <si>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</si>
  <si>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</si>
  <si>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</si>
  <si>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</si>
  <si>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</si>
  <si>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</si>
  <si>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</si>
  <si>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</si>
  <si>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</si>
  <si>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</si>
  <si>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</si>
  <si>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</si>
  <si>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</si>
  <si>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</si>
  <si>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</si>
  <si>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</si>
  <si>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</si>
  <si>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</si>
  <si>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</si>
  <si>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</si>
  <si>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</si>
  <si>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</si>
  <si>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</si>
  <si>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</si>
  <si>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</si>
  <si>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</si>
  <si>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</si>
  <si>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</si>
  <si>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</si>
  <si>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</si>
  <si>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</si>
  <si>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</si>
  <si>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</si>
  <si>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</si>
  <si>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</si>
  <si>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</si>
  <si>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</si>
  <si>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</si>
  <si>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</si>
  <si>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</si>
  <si>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</si>
  <si>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</si>
  <si>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</si>
  <si>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</si>
  <si>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</si>
  <si>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</si>
  <si>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</si>
  <si>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</si>
  <si>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</si>
  <si>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</si>
  <si>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</si>
  <si>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</si>
  <si>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</si>
  <si>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</si>
  <si>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</si>
  <si>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</si>
  <si>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</si>
  <si>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</si>
  <si>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</si>
  <si>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</si>
  <si>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</si>
  <si>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</si>
  <si>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</si>
  <si>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</si>
  <si>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</si>
  <si>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</si>
  <si>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</si>
  <si>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</si>
  <si>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</si>
  <si>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</si>
  <si>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</si>
  <si>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</si>
  <si>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</si>
  <si>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</si>
  <si>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</si>
  <si>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</si>
  <si>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</si>
  <si>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</si>
  <si>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</si>
  <si>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</si>
  <si>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</si>
  <si>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</si>
  <si>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</si>
  <si>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</si>
  <si>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</si>
  <si>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</si>
  <si>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</si>
  <si>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</si>
  <si>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</si>
  <si>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</si>
  <si>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</si>
  <si>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</si>
  <si>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</si>
  <si>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</si>
  <si>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</si>
  <si>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</si>
  <si>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</si>
  <si>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</si>
  <si>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</si>
  <si>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</si>
  <si>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</si>
  <si>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</si>
  <si>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</si>
  <si>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</si>
  <si>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</si>
  <si>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</si>
  <si>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</si>
  <si>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</si>
  <si>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</si>
  <si>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</si>
  <si>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</si>
  <si>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</si>
  <si>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</si>
  <si>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</si>
  <si>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</si>
  <si>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</si>
  <si>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</si>
  <si>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</si>
  <si>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</si>
  <si>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</si>
  <si>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</si>
  <si>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</si>
  <si>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</si>
  <si>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</si>
  <si>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</si>
  <si>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</si>
  <si>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</si>
  <si>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</si>
  <si>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</si>
  <si>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</si>
  <si>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</si>
  <si>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</si>
  <si>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</si>
  <si>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</si>
  <si>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</si>
  <si>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</si>
  <si>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</si>
  <si>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</si>
  <si>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</si>
  <si>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</si>
  <si>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</si>
  <si>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</si>
  <si>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</si>
  <si>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</si>
  <si>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</si>
  <si>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</si>
  <si>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</si>
  <si>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</si>
  <si>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</si>
  <si>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</si>
  <si>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</si>
  <si>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</si>
  <si>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</si>
  <si>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</si>
  <si>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</si>
  <si>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</si>
  <si>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</si>
  <si>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</si>
  <si>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</si>
  <si>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</si>
  <si>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</si>
  <si>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</si>
  <si>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</si>
  <si>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</si>
  <si>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</si>
  <si>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</si>
  <si>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</si>
  <si>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</si>
  <si>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</si>
  <si>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</si>
  <si>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</si>
  <si>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</si>
  <si>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</si>
  <si>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</si>
  <si>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</si>
  <si>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</si>
  <si>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</si>
  <si>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</si>
  <si>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</si>
  <si>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</si>
  <si>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</si>
  <si>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</si>
  <si>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</si>
  <si>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</si>
  <si>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</si>
  <si>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</si>
  <si>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</si>
  <si>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</si>
  <si>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</si>
  <si>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</si>
  <si>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</si>
  <si>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</si>
  <si>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</si>
  <si>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</si>
  <si>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</si>
  <si>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</si>
  <si>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</si>
  <si>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</si>
  <si>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</si>
  <si>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</si>
  <si>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</si>
  <si>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</si>
  <si>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</si>
  <si>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</si>
  <si>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</si>
  <si>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</si>
  <si>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</si>
  <si>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</si>
  <si>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</si>
  <si>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</si>
  <si>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</si>
  <si>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</si>
  <si>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</si>
  <si>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</si>
  <si>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</si>
  <si>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</si>
  <si>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</si>
  <si>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</si>
  <si>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</si>
  <si>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</si>
  <si>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</si>
  <si>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</si>
  <si>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</si>
  <si>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</si>
  <si>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</si>
  <si>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</si>
  <si>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</si>
  <si>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</si>
  <si>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</si>
  <si>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</si>
  <si>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</si>
  <si>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</si>
  <si>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</si>
  <si>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</si>
  <si>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</si>
  <si>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</si>
  <si>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</si>
  <si>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</si>
  <si>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</si>
  <si>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</si>
  <si>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</si>
  <si>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</si>
  <si>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</si>
  <si>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</si>
  <si>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</si>
  <si>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</si>
  <si>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</si>
  <si>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</si>
  <si>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</si>
  <si>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</si>
  <si>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</si>
  <si>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</si>
  <si>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</si>
  <si>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</si>
  <si>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</si>
  <si>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</si>
  <si>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</si>
  <si>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</si>
  <si>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</si>
  <si>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</si>
  <si>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</si>
  <si>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</si>
  <si>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</si>
  <si>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</si>
  <si>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</si>
  <si>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</si>
  <si>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</si>
  <si>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</si>
  <si>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</si>
  <si>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</si>
  <si>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</si>
  <si>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</si>
  <si>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</si>
  <si>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</si>
  <si>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</si>
  <si>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</si>
  <si>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</si>
  <si>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</si>
  <si>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</si>
  <si>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</si>
  <si>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</si>
  <si>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</si>
  <si>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</si>
  <si>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</si>
  <si>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</si>
  <si>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</si>
  <si>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</si>
  <si>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</si>
  <si>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</si>
  <si>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</si>
  <si>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</si>
  <si>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</si>
  <si>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</si>
  <si>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</si>
  <si>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</si>
  <si>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</si>
  <si>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</si>
  <si>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</si>
  <si>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</si>
  <si>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</si>
  <si>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</si>
  <si>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</si>
  <si>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</si>
  <si>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</si>
  <si>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</si>
  <si>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</si>
  <si>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</si>
  <si>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</si>
  <si>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</si>
  <si>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</si>
  <si>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</si>
  <si>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</si>
  <si>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</si>
  <si>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</si>
  <si>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</si>
  <si>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</si>
  <si>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</si>
  <si>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</si>
  <si>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</si>
  <si>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</si>
  <si>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</si>
  <si>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</si>
  <si>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</si>
  <si>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</si>
  <si>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</si>
  <si>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</si>
  <si>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</si>
  <si>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</si>
  <si>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</si>
  <si>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</si>
  <si>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</si>
  <si>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</si>
  <si>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</si>
  <si>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</si>
  <si>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</si>
  <si>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</si>
  <si>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</si>
  <si>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</si>
  <si>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</si>
  <si>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</si>
  <si>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</si>
  <si>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</si>
  <si>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</si>
  <si>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</si>
  <si>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</si>
  <si>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</si>
  <si>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</si>
  <si>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</si>
  <si>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</si>
  <si>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</si>
  <si>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</si>
  <si>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</si>
  <si>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</si>
  <si>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</si>
  <si>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</si>
  <si>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</si>
  <si>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</si>
  <si>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</si>
  <si>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</si>
  <si>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</si>
  <si>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</si>
  <si>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</si>
  <si>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</si>
  <si>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</si>
  <si>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</si>
  <si>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</si>
  <si>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</si>
  <si>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</si>
  <si>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</si>
  <si>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</si>
  <si>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</si>
  <si>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</si>
  <si>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</si>
  <si>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</si>
  <si>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</si>
  <si>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</si>
  <si>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</si>
  <si>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</si>
  <si>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</si>
  <si>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</si>
  <si>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</si>
  <si>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</si>
  <si>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</si>
  <si>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</si>
  <si>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</si>
  <si>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</si>
  <si>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</si>
  <si>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</si>
  <si>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</si>
  <si>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</si>
  <si>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</si>
  <si>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</si>
  <si>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</si>
  <si>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</si>
  <si>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</si>
  <si>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</si>
  <si>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</si>
  <si>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</si>
  <si>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</si>
  <si>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</si>
  <si>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</si>
  <si>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</si>
  <si>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</si>
  <si>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</si>
  <si>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</si>
  <si>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</si>
  <si>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</si>
  <si>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</si>
  <si>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</si>
  <si>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</si>
  <si>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</si>
  <si>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</si>
  <si>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</si>
  <si>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</si>
  <si>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</si>
  <si>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</si>
  <si>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</si>
  <si>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</si>
  <si>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</si>
  <si>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</si>
  <si>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</si>
  <si>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</si>
  <si>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</si>
  <si>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</si>
  <si>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</si>
  <si>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</si>
  <si>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</si>
  <si>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</si>
  <si>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</si>
  <si>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</si>
  <si>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</si>
  <si>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</si>
  <si>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</si>
  <si>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</si>
  <si>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</si>
  <si>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</si>
  <si>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</si>
  <si>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</si>
  <si>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</si>
  <si>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</si>
  <si>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</si>
  <si>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</si>
  <si>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</si>
  <si>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</si>
  <si>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</si>
  <si>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</si>
  <si>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</si>
  <si>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</si>
  <si>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</si>
  <si>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</si>
  <si>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</si>
  <si>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</si>
  <si>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</si>
  <si>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</si>
  <si>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</si>
  <si>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</si>
  <si>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</si>
  <si>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</si>
  <si>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</si>
  <si>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</si>
  <si>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</si>
  <si>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</si>
  <si>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</si>
  <si>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</si>
  <si>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</si>
  <si>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</si>
  <si>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</si>
  <si>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</si>
  <si>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</si>
  <si>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</si>
  <si>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</si>
  <si>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</si>
  <si>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</si>
  <si>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</si>
  <si>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</si>
  <si>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</si>
  <si>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</si>
  <si>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</si>
  <si>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</si>
  <si>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</si>
  <si>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</si>
  <si>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</si>
  <si>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</si>
  <si>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</si>
  <si>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</si>
  <si>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</si>
  <si>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</si>
  <si>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</si>
  <si>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</si>
  <si>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</si>
  <si>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</si>
  <si>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</si>
  <si>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</si>
  <si>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</si>
  <si>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</si>
  <si>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</si>
  <si>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</si>
  <si>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</si>
  <si>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</si>
  <si>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</si>
  <si>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</si>
  <si>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</si>
  <si>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</si>
  <si>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</si>
  <si>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</si>
  <si>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</si>
  <si>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</si>
  <si>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</si>
  <si>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</si>
  <si>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</si>
  <si>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</si>
  <si>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</si>
  <si>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</si>
  <si>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</si>
  <si>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</si>
  <si>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</si>
  <si>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</si>
  <si>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</si>
  <si>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</si>
  <si>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</si>
  <si>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</si>
  <si>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</si>
  <si>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</si>
  <si>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</si>
  <si>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</si>
  <si>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</si>
  <si>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</si>
  <si>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</si>
  <si>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</si>
  <si>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</si>
  <si>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</si>
  <si>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</si>
  <si>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</si>
  <si>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</si>
  <si>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</si>
  <si>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</si>
  <si>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</si>
  <si>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</si>
  <si>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</si>
  <si>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</si>
  <si>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</si>
  <si>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</si>
  <si>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</si>
  <si>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</si>
  <si>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</si>
  <si>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</si>
  <si>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</si>
  <si>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</si>
  <si>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</si>
  <si>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</si>
  <si>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</si>
  <si>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</si>
  <si>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</si>
  <si>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</si>
  <si>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</si>
  <si>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</si>
  <si>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</si>
  <si>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</si>
  <si>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</si>
  <si>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</si>
  <si>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</si>
  <si>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</si>
  <si>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</si>
  <si>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</si>
  <si>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</si>
  <si>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</si>
  <si>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</si>
  <si>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</si>
  <si>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</si>
  <si>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</si>
  <si>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</si>
  <si>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</si>
  <si>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</si>
  <si>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</si>
  <si>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</si>
  <si>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</si>
  <si>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</si>
  <si>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</si>
  <si>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</si>
  <si>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</si>
  <si>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</si>
  <si>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</si>
  <si>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</si>
  <si>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</si>
  <si>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</si>
  <si>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</si>
  <si>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</si>
  <si>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</si>
  <si>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</si>
  <si>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</si>
  <si>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</si>
  <si>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</si>
  <si>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</si>
  <si>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</si>
  <si>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</si>
  <si>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</si>
  <si>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</si>
  <si>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</si>
  <si>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</si>
  <si>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</si>
  <si>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</si>
  <si>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</si>
  <si>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</si>
  <si>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</si>
  <si>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</si>
  <si>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</si>
  <si>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</si>
  <si>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</si>
  <si>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</si>
  <si>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</si>
  <si>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</si>
  <si>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</si>
  <si>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</si>
  <si>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</si>
  <si>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</si>
  <si>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</si>
  <si>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</si>
  <si>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</si>
  <si>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</si>
  <si>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</si>
  <si>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</si>
  <si>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</si>
  <si>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</si>
  <si>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</si>
  <si>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</si>
  <si>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</si>
  <si>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</si>
  <si>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</si>
  <si>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</si>
  <si>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</si>
  <si>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</si>
  <si>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</si>
  <si>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</si>
  <si>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</si>
  <si>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</si>
  <si>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</si>
  <si>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</si>
  <si>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</si>
  <si>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</si>
  <si>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</si>
  <si>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</si>
  <si>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</si>
  <si>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</si>
  <si>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</si>
  <si>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</si>
  <si>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</si>
  <si>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</si>
  <si>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</si>
  <si>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</si>
  <si>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</si>
  <si>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</si>
  <si>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</si>
  <si>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</si>
  <si>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</si>
  <si>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</si>
  <si>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</si>
  <si>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</si>
  <si>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</si>
  <si>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</si>
  <si>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</si>
  <si>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</si>
  <si>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</si>
  <si>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</si>
  <si>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</si>
  <si>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</si>
  <si>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</si>
  <si>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</si>
  <si>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</si>
  <si>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</si>
  <si>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</si>
  <si>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</si>
  <si>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</si>
  <si>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</si>
  <si>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</si>
  <si>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</si>
  <si>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</si>
  <si>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</si>
  <si>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</si>
  <si>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</si>
  <si>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</si>
  <si>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</si>
  <si>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</si>
  <si>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</si>
  <si>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</si>
  <si>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</si>
  <si>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</si>
  <si>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</si>
  <si>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</si>
  <si>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</si>
  <si>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</si>
  <si>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</si>
  <si>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</si>
  <si>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</si>
  <si>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</si>
  <si>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</si>
  <si>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</si>
  <si>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</si>
  <si>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</si>
  <si>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</si>
  <si>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</si>
  <si>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</si>
  <si>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</si>
  <si>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</si>
  <si>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</si>
  <si>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</si>
  <si>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</si>
  <si>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</si>
  <si>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</si>
  <si>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</si>
  <si>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</si>
  <si>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</si>
  <si>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</si>
  <si>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</si>
  <si>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</si>
  <si>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</si>
  <si>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</si>
  <si>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</si>
  <si>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</si>
  <si>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</si>
  <si>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</si>
  <si>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</si>
  <si>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</si>
  <si>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</si>
  <si>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</si>
  <si>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</si>
  <si>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</si>
  <si>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</si>
  <si>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</si>
  <si>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</si>
  <si>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</si>
  <si>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</si>
  <si>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</si>
  <si>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</si>
  <si>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</si>
  <si>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</si>
  <si>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</si>
  <si>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</si>
  <si>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</si>
  <si>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</si>
  <si>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</si>
  <si>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</si>
  <si>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</si>
  <si>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</si>
  <si>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</si>
  <si>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</si>
  <si>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</si>
  <si>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</si>
  <si>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</si>
  <si>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</si>
  <si>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</si>
  <si>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</si>
  <si>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</si>
  <si>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</si>
  <si>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</si>
  <si>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</si>
  <si>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</si>
  <si>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</si>
  <si>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</si>
  <si>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</si>
  <si>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</si>
  <si>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</si>
  <si>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</si>
  <si>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</si>
  <si>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</si>
  <si>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</si>
  <si>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</si>
  <si>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</si>
  <si>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</si>
  <si>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</si>
  <si>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</si>
  <si>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</si>
  <si>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</si>
  <si>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</si>
  <si>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</si>
  <si>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</si>
  <si>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</si>
  <si>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</si>
  <si>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</si>
  <si>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</si>
  <si>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</si>
  <si>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</si>
  <si>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</si>
  <si>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</si>
  <si>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</si>
  <si>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</si>
  <si>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</si>
  <si>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</si>
  <si>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</si>
  <si>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</si>
  <si>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</si>
  <si>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</si>
  <si>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</si>
  <si>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</si>
  <si>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</si>
  <si>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</si>
  <si>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</si>
  <si>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</si>
  <si>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</si>
  <si>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</si>
  <si>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</si>
  <si>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</si>
  <si>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</si>
  <si>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</si>
  <si>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</si>
  <si>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</si>
  <si>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</si>
  <si>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</si>
  <si>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</si>
  <si>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</si>
  <si>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</si>
  <si>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</si>
  <si>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</si>
  <si>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</si>
  <si>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</si>
  <si>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</si>
  <si>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</si>
  <si>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</si>
  <si>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</si>
  <si>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</si>
  <si>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</si>
  <si>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</si>
  <si>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</si>
  <si>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</si>
  <si>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</si>
  <si>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</si>
  <si>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</si>
  <si>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</si>
  <si>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</si>
  <si>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</si>
  <si>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</si>
  <si>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</si>
  <si>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</si>
  <si>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</si>
  <si>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</si>
  <si>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</si>
  <si>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</si>
  <si>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</si>
  <si>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</si>
  <si>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</si>
  <si>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</si>
  <si>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</si>
  <si>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</si>
  <si>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</si>
  <si>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</si>
  <si>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</si>
  <si>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</si>
  <si>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</si>
  <si>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</si>
  <si>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</si>
  <si>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</si>
  <si>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</si>
  <si>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</si>
  <si>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</si>
  <si>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</si>
  <si>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</si>
  <si>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</si>
  <si>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</si>
  <si>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</si>
  <si>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</si>
  <si>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</si>
  <si>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</si>
  <si>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</si>
  <si>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</si>
  <si>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</si>
  <si>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</si>
  <si>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</si>
  <si>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</si>
  <si>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</si>
  <si>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</si>
  <si>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</si>
  <si>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</si>
  <si>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</si>
  <si>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</si>
  <si>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</si>
  <si>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</si>
  <si>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</si>
  <si>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</si>
  <si>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</si>
  <si>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</si>
  <si>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</si>
  <si>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</si>
  <si>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</si>
  <si>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</si>
  <si>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</si>
  <si>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</si>
  <si>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</si>
  <si>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</si>
  <si>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</si>
  <si>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</si>
  <si>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</si>
  <si>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</si>
  <si>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</si>
  <si>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</si>
  <si>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</si>
  <si>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</si>
  <si>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</si>
  <si>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</si>
  <si>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</si>
  <si>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</si>
  <si>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</si>
  <si>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</si>
  <si>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</si>
  <si>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</si>
  <si>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</si>
  <si>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</si>
  <si>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</si>
  <si>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</si>
  <si>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</si>
  <si>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</si>
  <si>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</si>
  <si>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</si>
  <si>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</si>
  <si>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</si>
  <si>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</si>
  <si>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</si>
  <si>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</si>
  <si>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</si>
  <si>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</si>
  <si>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</si>
  <si>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</si>
  <si>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</si>
  <si>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</si>
  <si>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</si>
  <si>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</si>
  <si>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</si>
  <si>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</si>
  <si>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</si>
  <si>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</si>
  <si>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</si>
  <si>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</si>
  <si>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</si>
  <si>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</si>
  <si>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</si>
  <si>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</si>
  <si>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</si>
  <si>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</si>
  <si>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</si>
  <si>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</si>
  <si>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</si>
  <si>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</si>
  <si>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</si>
  <si>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</si>
  <si>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</si>
  <si>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</si>
  <si>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</si>
  <si>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</si>
  <si>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</si>
  <si>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</si>
  <si>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</si>
  <si>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</si>
  <si>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</si>
  <si>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</si>
  <si>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</si>
  <si>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</si>
  <si>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</si>
  <si>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</si>
  <si>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</si>
  <si>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</si>
  <si>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</si>
  <si>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</si>
  <si>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</si>
  <si>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</si>
  <si>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</si>
  <si>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</si>
  <si>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</si>
  <si>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</si>
  <si>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</si>
  <si>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</si>
  <si>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</si>
  <si>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</si>
  <si>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</si>
  <si>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</si>
  <si>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</si>
  <si>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</si>
  <si>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</si>
  <si>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</si>
  <si>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</si>
  <si>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</si>
  <si>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</si>
  <si>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</si>
  <si>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</si>
  <si>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</si>
  <si>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</si>
  <si>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</si>
  <si>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</si>
  <si>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</si>
  <si>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</si>
  <si>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</si>
  <si>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</si>
  <si>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</si>
  <si>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</si>
  <si>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</si>
  <si>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</si>
  <si>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</si>
  <si>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</si>
  <si>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</si>
  <si>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</si>
  <si>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</si>
  <si>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</si>
  <si>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</si>
  <si>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</si>
  <si>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</si>
  <si>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</si>
  <si>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</si>
  <si>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</si>
  <si>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</si>
  <si>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</si>
  <si>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</si>
  <si>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</si>
  <si>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</si>
  <si>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</si>
  <si>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</si>
  <si>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</si>
  <si>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</si>
  <si>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</si>
  <si>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</si>
  <si>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</si>
  <si>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</si>
  <si>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</si>
  <si>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</si>
  <si>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</si>
  <si>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</si>
  <si>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</si>
  <si>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</si>
  <si>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</si>
  <si>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</si>
  <si>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</si>
  <si>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</si>
  <si>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</si>
  <si>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</si>
  <si>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</si>
  <si>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</si>
  <si>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</si>
  <si>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</si>
  <si>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</si>
  <si>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</si>
  <si>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</si>
  <si>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</si>
  <si>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</si>
  <si>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</si>
  <si>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</si>
  <si>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</si>
  <si>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</si>
  <si>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</si>
  <si>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</si>
  <si>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</si>
  <si>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</si>
  <si>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</si>
  <si>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</si>
  <si>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</si>
  <si>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</si>
  <si>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</si>
  <si>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</si>
  <si>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</si>
  <si>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</si>
  <si>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</si>
  <si>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</si>
  <si>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</si>
  <si>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</si>
  <si>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</si>
  <si>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</si>
  <si>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</si>
  <si>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</si>
  <si>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</si>
  <si>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</si>
  <si>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</si>
  <si>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</si>
  <si>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</si>
  <si>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</si>
  <si>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</si>
  <si>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</si>
  <si>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</si>
  <si>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</si>
  <si>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</si>
  <si>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</si>
  <si>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</si>
  <si>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</si>
  <si>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</si>
  <si>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</si>
  <si>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</si>
  <si>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</si>
  <si>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</si>
  <si>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</si>
  <si>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</si>
  <si>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</si>
  <si>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</si>
  <si>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</si>
  <si>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</si>
  <si>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</si>
  <si>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</si>
  <si>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</si>
  <si>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</si>
  <si>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</si>
  <si>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</si>
  <si>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</si>
  <si>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</si>
  <si>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</si>
  <si>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</si>
  <si>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</si>
  <si>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</si>
  <si>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</si>
  <si>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</si>
  <si>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</si>
  <si>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</si>
  <si>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</si>
  <si>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</si>
  <si>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</si>
  <si>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</si>
  <si>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</si>
  <si>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</si>
  <si>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</si>
  <si>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</si>
  <si>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</si>
  <si>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</si>
  <si>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</si>
  <si>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</si>
  <si>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</si>
  <si>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</si>
  <si>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</si>
  <si>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</si>
  <si>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</si>
  <si>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</si>
  <si>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</si>
  <si>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</si>
  <si>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</si>
  <si>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</si>
  <si>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</si>
  <si>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</si>
  <si>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</si>
  <si>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</si>
  <si>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</si>
  <si>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</si>
  <si>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</si>
  <si>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</si>
  <si>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</si>
  <si>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</si>
  <si>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</si>
  <si>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</si>
  <si>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</si>
  <si>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</si>
  <si>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</si>
  <si>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</si>
  <si>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</si>
  <si>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</si>
  <si>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</si>
  <si>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</si>
  <si>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</si>
  <si>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</si>
  <si>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</si>
  <si>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</si>
  <si>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</si>
  <si>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</si>
  <si>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</si>
  <si>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</si>
  <si>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</si>
  <si>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</si>
  <si>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</si>
  <si>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</si>
  <si>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</si>
  <si>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</si>
  <si>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</si>
  <si>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</si>
  <si>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</si>
  <si>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</si>
  <si>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</si>
  <si>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</si>
  <si>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</si>
  <si>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</si>
  <si>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</si>
  <si>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</si>
  <si>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</si>
  <si>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</si>
  <si>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</si>
  <si>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</si>
  <si>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</si>
  <si>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</si>
  <si>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</si>
  <si>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</si>
  <si>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</si>
  <si>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</si>
  <si>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</si>
  <si>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</si>
  <si>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</si>
  <si>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</si>
  <si>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</si>
  <si>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</si>
  <si>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</si>
  <si>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</si>
  <si>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</si>
  <si>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</si>
  <si>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</si>
  <si>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</si>
  <si>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</si>
  <si>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</si>
  <si>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</si>
  <si>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</si>
  <si>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</si>
  <si>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</si>
  <si>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</si>
  <si>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</si>
  <si>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</si>
  <si>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</si>
  <si>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</si>
  <si>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</si>
  <si>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</si>
  <si>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</si>
  <si>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</si>
  <si>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</si>
  <si>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</si>
  <si>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</si>
  <si>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</si>
  <si>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</si>
  <si>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</si>
  <si>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</si>
  <si>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</si>
  <si>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</si>
  <si>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</si>
  <si>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</si>
  <si>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</si>
  <si>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</si>
  <si>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</si>
  <si>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</si>
  <si>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</si>
  <si>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</si>
  <si>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</si>
  <si>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</si>
  <si>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</si>
  <si>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</si>
  <si>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</si>
  <si>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</si>
  <si>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</si>
  <si>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</si>
  <si>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</si>
  <si>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</si>
  <si>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</si>
  <si>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</si>
  <si>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</si>
  <si>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</si>
  <si>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</si>
  <si>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</si>
  <si>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</si>
  <si>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</si>
  <si>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</si>
  <si>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</si>
  <si>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</si>
  <si>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</si>
  <si>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</si>
  <si>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</si>
  <si>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</si>
  <si>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</si>
  <si>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</si>
  <si>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</si>
  <si>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</si>
  <si>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</si>
  <si>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</si>
  <si>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</si>
  <si>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</si>
  <si>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</si>
  <si>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</si>
  <si>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</si>
  <si>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</si>
  <si>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</si>
  <si>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</si>
  <si>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</si>
  <si>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</si>
  <si>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</si>
  <si>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</si>
  <si>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</si>
  <si>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</si>
  <si>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</si>
  <si>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</si>
  <si>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</si>
  <si>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</si>
  <si>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</si>
  <si>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</si>
  <si>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</si>
  <si>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</si>
  <si>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</si>
  <si>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</si>
  <si>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</si>
  <si>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</si>
  <si>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</si>
  <si>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</si>
  <si>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</si>
  <si>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</si>
  <si>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</si>
  <si>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</si>
  <si>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</si>
  <si>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</si>
  <si>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</si>
  <si>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</si>
  <si>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</si>
  <si>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</si>
  <si>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</si>
  <si>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</si>
  <si>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</si>
  <si>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</si>
  <si>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</si>
  <si>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</si>
  <si>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</si>
  <si>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</si>
  <si>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</si>
  <si>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</si>
  <si>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</si>
  <si>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</si>
  <si>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</si>
  <si>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</si>
  <si>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</si>
  <si>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</si>
  <si>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</si>
  <si>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</si>
  <si>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</si>
  <si>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</si>
  <si>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</si>
  <si>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</si>
  <si>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</si>
  <si>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</si>
  <si>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</si>
  <si>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</si>
  <si>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</si>
  <si>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</si>
  <si>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</si>
  <si>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</si>
  <si>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</si>
  <si>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</si>
  <si>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</si>
  <si>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</si>
  <si>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</si>
  <si>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</si>
  <si>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</si>
  <si>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</si>
  <si>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</si>
  <si>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</si>
  <si>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</si>
  <si>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</si>
  <si>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</si>
  <si>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</si>
  <si>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</si>
  <si>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</si>
  <si>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</si>
  <si>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</si>
  <si>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</si>
  <si>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</si>
  <si>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</si>
  <si>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</si>
  <si>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</si>
  <si>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</si>
  <si>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</si>
  <si>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</si>
  <si>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</si>
  <si>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</si>
  <si>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</si>
  <si>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</si>
  <si>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</si>
  <si>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</si>
  <si>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</si>
  <si>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</si>
  <si>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</si>
  <si>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</si>
  <si>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</si>
  <si>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</si>
  <si>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</si>
  <si>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</si>
  <si>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</si>
  <si>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</si>
  <si>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</si>
  <si>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</si>
  <si>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</si>
  <si>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</si>
  <si>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</si>
  <si>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</si>
  <si>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</si>
  <si>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</si>
  <si>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</si>
  <si>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</si>
  <si>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</si>
  <si>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</si>
  <si>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</si>
  <si>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</si>
  <si>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</si>
  <si>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</si>
  <si>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</si>
  <si>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</si>
  <si>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</si>
  <si>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</si>
  <si>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</si>
  <si>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</si>
  <si>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</si>
  <si>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</si>
  <si>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</si>
  <si>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</si>
  <si>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</si>
  <si>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</si>
  <si>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</si>
  <si>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</si>
  <si>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</si>
  <si>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</si>
  <si>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</si>
  <si>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</si>
  <si>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</si>
  <si>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</si>
  <si>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</si>
  <si>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</si>
  <si>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</si>
  <si>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</si>
  <si>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</si>
  <si>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</si>
  <si>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</si>
  <si>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</si>
  <si>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</si>
  <si>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</si>
  <si>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</si>
  <si>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</si>
  <si>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</si>
  <si>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</si>
  <si>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</si>
  <si>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</si>
  <si>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</si>
  <si>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</si>
  <si>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</si>
  <si>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</si>
  <si>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</si>
  <si>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</si>
  <si>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</si>
  <si>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</si>
  <si>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</si>
  <si>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</si>
  <si>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</si>
  <si>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</si>
  <si>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</si>
  <si>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</si>
  <si>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</si>
  <si>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</si>
  <si>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</si>
  <si>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</si>
  <si>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</si>
  <si>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</si>
  <si>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</si>
  <si>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</si>
  <si>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</si>
  <si>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</si>
  <si>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</si>
  <si>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</si>
  <si>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</si>
  <si>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</si>
  <si>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</si>
  <si>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</si>
  <si>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</si>
  <si>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</si>
  <si>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</si>
  <si>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</si>
  <si>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</si>
  <si>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</si>
  <si>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</si>
  <si>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</si>
  <si>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</si>
  <si>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</si>
  <si>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</si>
  <si>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</si>
  <si>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</si>
  <si>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</si>
  <si>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</si>
  <si>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</si>
  <si>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</si>
  <si>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</si>
  <si>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</si>
  <si>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</si>
  <si>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</si>
  <si>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</si>
  <si>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</si>
  <si>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</si>
  <si>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</si>
  <si>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</si>
  <si>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</si>
  <si>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</si>
  <si>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</si>
  <si>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</si>
  <si>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</si>
  <si>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</si>
  <si>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</si>
  <si>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</si>
  <si>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</si>
  <si>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</si>
  <si>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</si>
  <si>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</si>
  <si>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</si>
  <si>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</si>
  <si>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</si>
  <si>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</si>
  <si>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</si>
  <si>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</si>
  <si>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</si>
  <si>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</si>
  <si>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</si>
  <si>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</si>
  <si>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</si>
  <si>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</si>
  <si>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</si>
  <si>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</si>
  <si>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</si>
  <si>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</si>
  <si>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</si>
  <si>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</si>
  <si>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</si>
  <si>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</si>
  <si>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</si>
  <si>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</si>
  <si>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</si>
  <si>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</si>
  <si>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</si>
  <si>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</si>
  <si>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</si>
  <si>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</si>
  <si>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</si>
  <si>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</si>
  <si>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</si>
  <si>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</si>
  <si>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</si>
  <si>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</si>
  <si>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</si>
  <si>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</si>
  <si>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</si>
  <si>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</si>
  <si>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</si>
  <si>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</si>
  <si>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</si>
  <si>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</si>
  <si>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</si>
  <si>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</si>
  <si>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</si>
  <si>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</si>
  <si>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</si>
  <si>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</si>
  <si>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</si>
  <si>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</si>
  <si>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</si>
  <si>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</si>
  <si>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</si>
  <si>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</si>
  <si>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</si>
  <si>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</si>
  <si>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</si>
  <si>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</si>
  <si>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</si>
  <si>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</si>
  <si>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</si>
  <si>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</si>
  <si>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</si>
  <si>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</si>
  <si>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</si>
  <si>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</si>
  <si>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</si>
  <si>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</si>
  <si>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</si>
  <si>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</si>
  <si>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</si>
  <si>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</si>
  <si>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</si>
  <si>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</si>
  <si>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</si>
  <si>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</si>
  <si>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</si>
  <si>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</si>
  <si>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</si>
  <si>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</si>
  <si>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</si>
  <si>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</si>
  <si>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</si>
  <si>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</si>
  <si>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</si>
  <si>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</si>
  <si>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</si>
  <si>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</si>
  <si>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</si>
  <si>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</si>
  <si>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</si>
  <si>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</si>
  <si>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</si>
  <si>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</si>
  <si>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</si>
  <si>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</si>
  <si>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</si>
  <si>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</si>
  <si>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</si>
  <si>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</si>
  <si>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</si>
  <si>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</si>
  <si>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</si>
  <si>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</si>
  <si>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</si>
  <si>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</si>
  <si>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</si>
  <si>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</si>
  <si>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</si>
  <si>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</si>
  <si>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</si>
  <si>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</si>
  <si>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</si>
  <si>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</si>
  <si>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</si>
  <si>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</si>
  <si>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</si>
  <si>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</si>
  <si>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</si>
  <si>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</si>
  <si>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</si>
  <si>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</si>
  <si>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</si>
  <si>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</si>
  <si>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</si>
  <si>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</si>
  <si>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</si>
  <si>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</si>
  <si>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</si>
  <si>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</si>
  <si>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</si>
  <si>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</si>
  <si>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</si>
  <si>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</si>
  <si>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</si>
  <si>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</si>
  <si>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</si>
  <si>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</si>
  <si>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</si>
  <si>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</si>
  <si>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</si>
  <si>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</si>
  <si>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</si>
  <si>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</si>
  <si>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</si>
  <si>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</si>
  <si>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</si>
  <si>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</si>
  <si>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</si>
  <si>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</si>
  <si>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</si>
  <si>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</si>
  <si>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</si>
  <si>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</si>
  <si>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</si>
  <si>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</si>
  <si>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</si>
  <si>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</si>
  <si>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</si>
  <si>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</si>
  <si>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</si>
  <si>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</si>
  <si>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</si>
  <si>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</si>
  <si>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</si>
  <si>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</si>
  <si>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</si>
  <si>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</si>
  <si>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</si>
  <si>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</si>
  <si>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</si>
  <si>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</si>
  <si>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</si>
  <si>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</si>
  <si>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</si>
  <si>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</si>
  <si>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</si>
  <si>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</si>
  <si>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</si>
  <si>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</si>
  <si>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</si>
  <si>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</si>
  <si>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</si>
  <si>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</si>
  <si>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</si>
  <si>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</si>
  <si>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</si>
  <si>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</si>
  <si>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</si>
  <si>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</si>
  <si>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</si>
  <si>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</si>
  <si>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</si>
  <si>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</si>
  <si>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</si>
  <si>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</si>
  <si>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</si>
  <si>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</si>
  <si>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</si>
  <si>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</si>
  <si>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</si>
  <si>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</si>
  <si>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</si>
  <si>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</si>
  <si>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</si>
  <si>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</si>
  <si>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</si>
  <si>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</si>
  <si>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</si>
  <si>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</si>
  <si>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</si>
  <si>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</si>
  <si>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</si>
  <si>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</si>
  <si>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</si>
  <si>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</si>
  <si>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</si>
  <si>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</si>
  <si>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</si>
  <si>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</si>
  <si>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</si>
  <si>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</si>
  <si>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</si>
  <si>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</si>
  <si>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</si>
  <si>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</si>
  <si>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</si>
  <si>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</si>
  <si>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</si>
  <si>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</si>
  <si>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</si>
  <si>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</si>
  <si>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</si>
  <si>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</si>
  <si>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</si>
  <si>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</si>
  <si>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</si>
  <si>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</si>
  <si>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</si>
  <si>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</si>
  <si>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</si>
  <si>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</si>
  <si>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</si>
  <si>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</si>
  <si>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</si>
  <si>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</si>
  <si>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</si>
  <si>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</si>
  <si>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</si>
  <si>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</si>
  <si>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</si>
  <si>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</si>
  <si>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</si>
  <si>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</si>
  <si>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</si>
  <si>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</si>
  <si>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</si>
  <si>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</si>
  <si>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</si>
  <si>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</si>
  <si>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</si>
  <si>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</si>
  <si>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</si>
  <si>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</si>
  <si>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</si>
  <si>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</si>
  <si>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</si>
  <si>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</si>
  <si>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</si>
  <si>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</si>
  <si>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</si>
  <si>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</si>
  <si>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</si>
  <si>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</si>
  <si>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</si>
  <si>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</si>
  <si>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</si>
  <si>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</si>
  <si>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</si>
  <si>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</si>
  <si>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</si>
  <si>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</si>
  <si>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</si>
  <si>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</si>
  <si>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</si>
  <si>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</si>
  <si>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</si>
  <si>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</si>
  <si>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</si>
  <si>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</si>
  <si>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</si>
  <si>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</si>
  <si>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</si>
  <si>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</si>
  <si>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</si>
  <si>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</si>
  <si>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</si>
  <si>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</si>
  <si>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</si>
  <si>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</si>
  <si>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</si>
  <si>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</si>
  <si>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</si>
  <si>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</si>
  <si>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</si>
  <si>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</si>
  <si>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</si>
  <si>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</si>
  <si>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</si>
  <si>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</si>
  <si>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</si>
  <si>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</si>
  <si>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</si>
  <si>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</si>
  <si>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</si>
  <si>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</si>
  <si>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</si>
  <si>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</si>
  <si>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</si>
  <si>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</si>
  <si>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</si>
  <si>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</si>
  <si>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</si>
  <si>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</si>
  <si>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</si>
  <si>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</si>
  <si>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</si>
  <si>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</si>
  <si>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</si>
  <si>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</si>
  <si>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</si>
  <si>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</si>
  <si>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</si>
  <si>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</si>
  <si>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</si>
  <si>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</si>
  <si>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</si>
  <si>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</si>
  <si>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</si>
  <si>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</si>
  <si>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</si>
  <si>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</si>
  <si>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</si>
  <si>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</si>
  <si>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</si>
  <si>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</si>
  <si>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</si>
  <si>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</si>
  <si>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</si>
  <si>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</si>
  <si>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</si>
  <si>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</si>
  <si>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</si>
  <si>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</si>
  <si>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</si>
  <si>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</si>
  <si>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</si>
  <si>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</si>
  <si>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</si>
  <si>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</si>
  <si>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</si>
  <si>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</si>
  <si>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</si>
  <si>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</si>
  <si>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</si>
  <si>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</si>
  <si>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</si>
  <si>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</si>
  <si>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</si>
  <si>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</si>
  <si>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</si>
  <si>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</si>
  <si>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</si>
  <si>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</si>
  <si>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</si>
  <si>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</si>
  <si>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</si>
  <si>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</si>
  <si>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</si>
  <si>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</si>
  <si>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</si>
  <si>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</si>
  <si>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</si>
  <si>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</si>
  <si>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</si>
  <si>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</si>
  <si>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</si>
  <si>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</si>
  <si>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</si>
  <si>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</si>
  <si>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</si>
  <si>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</si>
  <si>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</si>
  <si>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</si>
  <si>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</si>
  <si>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</si>
  <si>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</si>
  <si>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</si>
  <si>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</si>
  <si>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</si>
  <si>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</si>
  <si>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</si>
  <si>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</si>
  <si>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</si>
  <si>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</si>
  <si>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</si>
  <si>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</si>
  <si>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</si>
  <si>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</si>
  <si>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</si>
  <si>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</si>
  <si>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</si>
  <si>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</si>
  <si>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</si>
  <si>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</si>
  <si>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</si>
  <si>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</si>
  <si>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</si>
  <si>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</si>
  <si>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</si>
  <si>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</si>
  <si>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</si>
  <si>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</si>
  <si>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</si>
  <si>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</si>
  <si>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</si>
  <si>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</si>
  <si>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</si>
  <si>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</si>
  <si>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</si>
  <si>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</si>
  <si>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</si>
  <si>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</si>
  <si>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</si>
  <si>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</si>
  <si>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</si>
  <si>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</si>
  <si>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</si>
  <si>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</si>
  <si>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</si>
  <si>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</si>
  <si>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</si>
  <si>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</si>
  <si>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</si>
  <si>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</si>
  <si>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</si>
  <si>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</si>
  <si>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</si>
  <si>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</si>
  <si>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</si>
  <si>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</si>
  <si>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</si>
  <si>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</si>
  <si>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</si>
  <si>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</si>
  <si>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</si>
  <si>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</si>
  <si>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</si>
  <si>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</si>
  <si>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</si>
  <si>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</si>
  <si>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</si>
  <si>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</si>
  <si>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</si>
  <si>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</si>
  <si>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</si>
  <si>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</si>
  <si>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</si>
  <si>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</si>
  <si>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</si>
  <si>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</si>
  <si>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</si>
  <si>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</si>
  <si>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</si>
  <si>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</si>
  <si>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</si>
  <si>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</si>
  <si>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</si>
  <si>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</si>
  <si>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</si>
  <si>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</si>
  <si>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</si>
  <si>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</si>
  <si>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</si>
  <si>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</si>
  <si>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</si>
  <si>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</si>
  <si>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</si>
  <si>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</si>
  <si>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</si>
  <si>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</si>
  <si>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</si>
  <si>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</si>
  <si>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</si>
  <si>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</si>
  <si>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</si>
  <si>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</si>
  <si>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</si>
  <si>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</si>
  <si>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</si>
  <si>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</si>
  <si>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</si>
  <si>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</si>
  <si>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</si>
  <si>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</si>
  <si>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</si>
  <si>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</si>
  <si>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</si>
  <si>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</si>
  <si>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</si>
  <si>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</si>
  <si>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</si>
  <si>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</si>
  <si>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</si>
  <si>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</si>
  <si>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</si>
  <si>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</si>
  <si>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</si>
  <si>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</si>
  <si>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</si>
  <si>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</si>
  <si>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</si>
  <si>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</si>
  <si>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</si>
  <si>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</si>
  <si>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</si>
  <si>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</si>
  <si>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</si>
  <si>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</si>
  <si>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</si>
  <si>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</si>
  <si>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</si>
  <si>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</si>
  <si>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</si>
  <si>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</si>
  <si>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</si>
  <si>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</si>
  <si>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</si>
  <si>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</si>
  <si>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</si>
  <si>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</si>
  <si>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</si>
  <si>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</si>
  <si>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</si>
  <si>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</si>
  <si>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</si>
  <si>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</si>
  <si>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</si>
  <si>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</si>
  <si>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</si>
  <si>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</si>
  <si>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</si>
  <si>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</si>
  <si>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</si>
  <si>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</si>
  <si>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</si>
  <si>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</si>
  <si>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</si>
  <si>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</si>
  <si>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</si>
  <si>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</si>
  <si>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</si>
  <si>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</si>
  <si>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</si>
  <si>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</si>
  <si>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</si>
  <si>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</si>
  <si>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</si>
  <si>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</si>
  <si>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</si>
  <si>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</si>
  <si>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</si>
  <si>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</si>
  <si>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</si>
  <si>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</si>
  <si>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</si>
  <si>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</si>
  <si>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</si>
  <si>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</si>
  <si>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</si>
  <si>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</si>
  <si>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</si>
  <si>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</si>
  <si>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</si>
  <si>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</si>
  <si>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</si>
  <si>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</si>
  <si>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</si>
  <si>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</si>
  <si>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</si>
  <si>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</si>
  <si>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</si>
  <si>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</si>
  <si>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</si>
  <si>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</si>
  <si>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</si>
  <si>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</si>
  <si>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</si>
  <si>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</si>
  <si>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</si>
  <si>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</si>
  <si>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</si>
  <si>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</si>
  <si>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</si>
  <si>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</si>
  <si>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</si>
  <si>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</si>
  <si>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</si>
  <si>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</si>
  <si>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</si>
  <si>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</si>
  <si>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</si>
  <si>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</si>
  <si>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</si>
  <si>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</si>
  <si>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</si>
  <si>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</si>
  <si>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</si>
  <si>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</si>
  <si>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</si>
  <si>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</si>
  <si>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</si>
  <si>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</si>
  <si>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</si>
  <si>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</si>
  <si>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</si>
  <si>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</si>
  <si>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</si>
  <si>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</si>
  <si>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</si>
  <si>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</si>
  <si>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</si>
  <si>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</si>
  <si>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</si>
  <si>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</si>
  <si>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</si>
  <si>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</si>
  <si>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</si>
  <si>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</si>
  <si>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</si>
  <si>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</si>
  <si>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</si>
  <si>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</si>
  <si>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</si>
  <si>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</si>
  <si>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</si>
  <si>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</si>
  <si>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</si>
  <si>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</si>
  <si>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</si>
  <si>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</si>
  <si>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</si>
  <si>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</si>
  <si>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</si>
  <si>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</si>
  <si>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</si>
  <si>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</si>
  <si>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</si>
  <si>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</si>
  <si>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</si>
  <si>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</si>
  <si>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</si>
  <si>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</si>
  <si>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</si>
  <si>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</si>
  <si>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</si>
  <si>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</si>
  <si>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</si>
  <si>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</si>
  <si>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</si>
  <si>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</si>
  <si>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</si>
  <si>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</si>
  <si>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</si>
  <si>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</si>
  <si>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</si>
  <si>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</si>
  <si>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</si>
  <si>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</si>
  <si>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</si>
  <si>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</si>
  <si>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</si>
  <si>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</si>
  <si>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</si>
  <si>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</si>
  <si>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</si>
  <si>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</si>
  <si>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</si>
  <si>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</si>
  <si>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</si>
  <si>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</si>
  <si>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</si>
  <si>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</si>
  <si>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</si>
  <si>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</si>
  <si>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</si>
  <si>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</si>
  <si>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</si>
  <si>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</si>
  <si>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</si>
  <si>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</si>
  <si>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</si>
  <si>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</si>
  <si>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</si>
  <si>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</si>
  <si>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</si>
  <si>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</si>
  <si>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</si>
  <si>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</si>
  <si>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</si>
  <si>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</si>
  <si>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</si>
  <si>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</si>
  <si>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</si>
  <si>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</si>
  <si>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</si>
  <si>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</si>
  <si>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</si>
  <si>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</si>
  <si>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</si>
  <si>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</si>
  <si>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</si>
  <si>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</si>
  <si>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</si>
  <si>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</si>
  <si>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</si>
  <si>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</si>
  <si>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</si>
  <si>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</si>
  <si>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</si>
  <si>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</si>
  <si>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</si>
  <si>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</si>
  <si>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</si>
  <si>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</si>
  <si>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</si>
  <si>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</si>
  <si>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</si>
  <si>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</si>
  <si>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</si>
  <si>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</si>
  <si>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</si>
  <si>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</si>
  <si>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</si>
  <si>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</si>
  <si>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</si>
  <si>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</si>
  <si>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</si>
  <si>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</si>
  <si>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</si>
  <si>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</si>
  <si>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</si>
  <si>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</si>
  <si>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</si>
  <si>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</si>
  <si>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</si>
  <si>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</si>
  <si>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</si>
  <si>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</si>
  <si>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</si>
  <si>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</si>
  <si>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</si>
  <si>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</si>
  <si>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</si>
  <si>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</si>
  <si>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</si>
  <si>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</si>
  <si>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</si>
  <si>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</si>
  <si>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</si>
  <si>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</si>
  <si>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</si>
  <si>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</si>
  <si>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</si>
  <si>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</si>
  <si>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</si>
  <si>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</si>
  <si>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</si>
  <si>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</si>
  <si>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</si>
  <si>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</si>
  <si>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</si>
  <si>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</si>
  <si>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</si>
  <si>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</si>
  <si>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</si>
  <si>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</si>
  <si>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</si>
  <si>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</si>
  <si>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</si>
  <si>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</si>
  <si>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</si>
  <si>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</si>
  <si>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</si>
  <si>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</si>
  <si>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</si>
  <si>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</si>
  <si>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</si>
  <si>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</si>
  <si>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</si>
  <si>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</si>
  <si>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</si>
  <si>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</si>
  <si>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</si>
  <si>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</si>
  <si>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</si>
  <si>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</si>
  <si>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</si>
  <si>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</si>
  <si>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</si>
  <si>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</si>
  <si>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</si>
  <si>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</si>
  <si>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</si>
  <si>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</si>
  <si>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</si>
  <si>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</si>
  <si>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</si>
  <si>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</si>
  <si>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</si>
  <si>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</si>
  <si>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</si>
  <si>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</si>
  <si>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</si>
  <si>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</si>
  <si>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</si>
  <si>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</si>
  <si>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</si>
  <si>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</si>
  <si>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</si>
  <si>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</si>
  <si>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</si>
  <si>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</si>
  <si>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</si>
  <si>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</si>
  <si>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</si>
  <si>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</si>
  <si>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</si>
  <si>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</si>
  <si>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</si>
  <si>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</si>
  <si>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</si>
  <si>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</si>
  <si>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</si>
  <si>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</si>
  <si>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</si>
  <si>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</si>
  <si>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</si>
  <si>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</si>
  <si>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</si>
  <si>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</si>
  <si>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</si>
  <si>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</si>
  <si>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</si>
  <si>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</si>
  <si>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</si>
  <si>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</si>
  <si>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</si>
  <si>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</si>
  <si>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</si>
  <si>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</si>
  <si>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</si>
  <si>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</si>
  <si>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</si>
  <si>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</si>
  <si>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</si>
  <si>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</si>
  <si>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</si>
  <si>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</si>
  <si>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</si>
  <si>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</si>
  <si>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</si>
  <si>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</si>
  <si>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</si>
  <si>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</si>
  <si>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</si>
  <si>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</si>
  <si>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</si>
  <si>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</si>
  <si>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</si>
  <si>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</si>
  <si>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</si>
  <si>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</si>
  <si>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</si>
  <si>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</si>
  <si>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</si>
  <si>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</si>
  <si>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</si>
  <si>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</si>
  <si>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</si>
  <si>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</si>
  <si>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</si>
  <si>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</si>
  <si>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</si>
  <si>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</si>
  <si>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</si>
  <si>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</si>
  <si>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</si>
  <si>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</si>
  <si>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</si>
  <si>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</si>
  <si>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</si>
  <si>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</si>
  <si>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</si>
  <si>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</si>
  <si>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</si>
  <si>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</si>
  <si>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</si>
  <si>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</si>
  <si>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</si>
  <si>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</si>
  <si>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</si>
  <si>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</si>
  <si>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</si>
  <si>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</si>
  <si>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</si>
  <si>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</si>
  <si>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</si>
  <si>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</si>
  <si>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</si>
  <si>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</si>
  <si>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</si>
  <si>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</si>
  <si>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</si>
  <si>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</si>
  <si>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</si>
  <si>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</si>
  <si>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</si>
  <si>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</si>
  <si>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</si>
  <si>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</si>
  <si>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</si>
  <si>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</si>
  <si>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</si>
  <si>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</si>
  <si>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</si>
  <si>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</si>
  <si>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</si>
  <si>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</si>
  <si>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</si>
  <si>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</si>
  <si>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</si>
  <si>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</si>
  <si>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</si>
  <si>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</si>
  <si>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</si>
  <si>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</si>
  <si>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</si>
  <si>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</si>
  <si>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</si>
  <si>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</si>
  <si>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</si>
  <si>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</si>
  <si>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</si>
  <si>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</si>
  <si>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</si>
  <si>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</si>
  <si>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</si>
  <si>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</si>
  <si>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</si>
  <si>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</si>
  <si>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</si>
  <si>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</si>
  <si>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</si>
  <si>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</si>
  <si>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</si>
  <si>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</si>
  <si>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</si>
  <si>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</si>
  <si>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</si>
  <si>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</si>
  <si>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</si>
  <si>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</si>
  <si>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</si>
  <si>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</si>
  <si>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</si>
  <si>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</si>
  <si>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</si>
  <si>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</si>
  <si>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</si>
  <si>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</si>
  <si>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</si>
  <si>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</si>
  <si>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</si>
  <si>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</si>
  <si>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</si>
  <si>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</si>
  <si>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</si>
  <si>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</si>
  <si>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</si>
  <si>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</si>
  <si>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</si>
  <si>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</si>
  <si>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</si>
  <si>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</si>
  <si>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</si>
  <si>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</si>
  <si>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</si>
  <si>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</si>
  <si>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</si>
  <si>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</si>
  <si>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</si>
  <si>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</si>
  <si>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</si>
  <si>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</si>
  <si>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</si>
  <si>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</si>
  <si>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</si>
  <si>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</si>
  <si>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</si>
  <si>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</si>
  <si>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</si>
  <si>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</si>
  <si>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</si>
  <si>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</si>
  <si>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</si>
  <si>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</si>
  <si>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</si>
  <si>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</si>
  <si>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</si>
  <si>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</si>
  <si>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</si>
  <si>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</si>
  <si>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</si>
  <si>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</si>
  <si>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</si>
  <si>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</si>
  <si>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</si>
  <si>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</si>
  <si>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</si>
  <si>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</si>
  <si>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</si>
  <si>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</si>
  <si>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</si>
  <si>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</si>
  <si>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</si>
  <si>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</si>
  <si>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</si>
  <si>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</si>
  <si>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</si>
  <si>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</si>
  <si>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</si>
  <si>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</si>
  <si>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</si>
  <si>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</si>
  <si>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</si>
  <si>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</si>
  <si>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</si>
  <si>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</si>
  <si>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</si>
  <si>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</si>
  <si>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</si>
  <si>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</si>
  <si>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</si>
  <si>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</si>
  <si>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</si>
  <si>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</si>
  <si>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</si>
  <si>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</si>
  <si>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</si>
  <si>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</si>
  <si>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</si>
  <si>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</si>
  <si>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</si>
  <si>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</si>
  <si>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</si>
  <si>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</si>
  <si>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</si>
  <si>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</si>
  <si>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</si>
  <si>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</si>
  <si>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</si>
  <si>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</si>
  <si>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</si>
  <si>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</si>
  <si>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</si>
  <si>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</si>
  <si>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</si>
  <si>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</si>
  <si>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</si>
  <si>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</si>
  <si>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</si>
  <si>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</si>
  <si>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</si>
  <si>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</si>
  <si>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</si>
  <si>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</si>
  <si>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</si>
  <si>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</si>
  <si>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</si>
  <si>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</si>
  <si>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</si>
  <si>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</si>
  <si>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</si>
  <si>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</si>
  <si>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</si>
  <si>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</si>
  <si>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</si>
  <si>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</si>
  <si>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</si>
  <si>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</si>
  <si>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</si>
  <si>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</si>
  <si>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</si>
  <si>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</si>
  <si>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</si>
  <si>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</si>
  <si>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</si>
  <si>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</si>
  <si>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</si>
  <si>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</si>
  <si>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</si>
  <si>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</si>
  <si>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</si>
  <si>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</si>
  <si>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</si>
  <si>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</si>
  <si>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</si>
  <si>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</si>
  <si>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</si>
  <si>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</si>
  <si>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</si>
  <si>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</si>
  <si>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</si>
  <si>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</si>
  <si>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</si>
  <si>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</si>
  <si>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</si>
  <si>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</si>
  <si>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</si>
  <si>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</si>
  <si>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</si>
  <si>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</si>
  <si>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</si>
  <si>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</si>
  <si>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</si>
  <si>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</si>
  <si>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</si>
  <si>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</si>
  <si>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</si>
  <si>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</si>
  <si>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</si>
  <si>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</si>
  <si>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</si>
  <si>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</si>
  <si>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</si>
  <si>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</si>
  <si>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</si>
  <si>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</si>
  <si>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</si>
  <si>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</si>
  <si>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</si>
  <si>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</si>
  <si>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</si>
  <si>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</si>
  <si>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</si>
  <si>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</si>
  <si>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</si>
  <si>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</si>
  <si>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</si>
  <si>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</si>
  <si>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</si>
  <si>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</si>
  <si>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</si>
  <si>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</si>
  <si>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</si>
  <si>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</si>
  <si>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</si>
  <si>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</si>
  <si>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</si>
  <si>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</si>
  <si>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</si>
  <si>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</si>
  <si>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</si>
  <si>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</si>
  <si>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</si>
  <si>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</si>
  <si>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</si>
  <si>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</si>
  <si>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</si>
  <si>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</si>
  <si>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</si>
  <si>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</si>
  <si>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</si>
  <si>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</si>
  <si>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</si>
  <si>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</si>
  <si>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</si>
  <si>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</si>
  <si>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</si>
  <si>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</si>
  <si>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</si>
  <si>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</si>
  <si>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</si>
  <si>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</si>
  <si>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</si>
  <si>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</si>
  <si>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</si>
  <si>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</si>
  <si>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</si>
  <si>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</si>
  <si>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</si>
  <si>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</si>
  <si>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</si>
  <si>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</si>
  <si>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</si>
  <si>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</si>
  <si>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</si>
  <si>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</si>
  <si>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</si>
  <si>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</si>
  <si>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</si>
  <si>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</si>
  <si>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</si>
  <si>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</si>
  <si>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</si>
  <si>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</si>
  <si>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</si>
  <si>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</si>
  <si>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</si>
  <si>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</si>
  <si>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</si>
  <si>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</si>
  <si>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</si>
  <si>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</si>
  <si>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</si>
  <si>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</si>
  <si>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</si>
  <si>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</si>
  <si>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</si>
  <si>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</si>
  <si>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</si>
  <si>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</si>
  <si>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</si>
  <si>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</si>
  <si>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</si>
  <si>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</si>
  <si>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</si>
  <si>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</si>
  <si>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</si>
  <si>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</si>
  <si>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</si>
  <si>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</si>
  <si>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</si>
  <si>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</si>
  <si>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</si>
  <si>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</si>
  <si>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</si>
  <si>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</si>
  <si>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</si>
  <si>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</si>
  <si>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</si>
  <si>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</si>
  <si>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</si>
  <si>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</si>
  <si>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</si>
  <si>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</si>
  <si>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</si>
  <si>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</si>
  <si>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</si>
  <si>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</si>
  <si>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</si>
  <si>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</si>
  <si>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</si>
  <si>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</si>
  <si>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</si>
  <si>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</si>
  <si>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</si>
  <si>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</si>
  <si>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</si>
  <si>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</si>
  <si>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</si>
  <si>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</si>
  <si>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</si>
  <si>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</si>
  <si>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</si>
  <si>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</si>
  <si>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</si>
  <si>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</si>
  <si>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</si>
  <si>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</si>
  <si>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</si>
  <si>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</si>
  <si>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</si>
  <si>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</si>
  <si>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</si>
  <si>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</si>
  <si>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</si>
  <si>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</si>
  <si>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</si>
  <si>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</si>
  <si>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</si>
  <si>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</si>
  <si>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</si>
  <si>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</si>
  <si>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</si>
  <si>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</si>
  <si>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</si>
  <si>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</si>
  <si>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</si>
  <si>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</si>
  <si>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</si>
  <si>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</si>
  <si>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</si>
  <si>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</si>
  <si>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</si>
  <si>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</si>
  <si>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</si>
  <si>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</si>
  <si>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</si>
  <si>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</si>
  <si>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</si>
  <si>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</si>
  <si>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</si>
  <si>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</si>
  <si>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</si>
  <si>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</si>
  <si>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</si>
  <si>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</si>
  <si>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</si>
  <si>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</si>
  <si>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</si>
  <si>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</si>
  <si>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</si>
  <si>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</si>
  <si>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</si>
  <si>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</si>
  <si>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</si>
  <si>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</si>
  <si>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</si>
  <si>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</si>
  <si>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</si>
  <si>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</si>
  <si>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</si>
  <si>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</si>
  <si>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</si>
  <si>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</si>
  <si>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</si>
  <si>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</si>
  <si>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</si>
  <si>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</si>
  <si>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</si>
  <si>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</si>
  <si>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</si>
  <si>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</si>
  <si>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</si>
  <si>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</si>
  <si>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</si>
  <si>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</si>
  <si>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</si>
  <si>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</si>
  <si>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</si>
  <si>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</si>
  <si>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</si>
  <si>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</si>
  <si>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</si>
  <si>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</si>
  <si>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</si>
  <si>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</si>
  <si>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</si>
  <si>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</si>
  <si>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</si>
  <si>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</si>
  <si>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</si>
  <si>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</si>
  <si>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</si>
  <si>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</si>
  <si>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</si>
  <si>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</si>
  <si>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</si>
  <si>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</si>
  <si>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</si>
  <si>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</si>
  <si>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</si>
  <si>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</si>
  <si>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</si>
  <si>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</si>
  <si>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</si>
  <si>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</si>
  <si>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</si>
  <si>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</si>
  <si>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</si>
  <si>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</si>
  <si>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</si>
  <si>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</si>
  <si>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</si>
  <si>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</si>
  <si>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</si>
  <si>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</si>
  <si>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</si>
  <si>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</si>
  <si>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</si>
  <si>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</si>
  <si>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</si>
  <si>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</si>
  <si>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</si>
  <si>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</si>
  <si>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</si>
  <si>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</si>
  <si>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</si>
  <si>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</si>
  <si>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</si>
  <si>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</si>
  <si>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</si>
  <si>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</si>
  <si>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</si>
  <si>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</si>
  <si>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</si>
  <si>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</si>
  <si>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</si>
  <si>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</si>
  <si>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</si>
  <si>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</si>
  <si>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</si>
  <si>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</si>
  <si>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</si>
  <si>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</si>
  <si>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</si>
  <si>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</si>
  <si>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</si>
  <si>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</si>
  <si>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</si>
  <si>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</si>
  <si>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</si>
  <si>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</si>
  <si>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</si>
  <si>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</si>
  <si>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</si>
  <si>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</si>
  <si>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</si>
  <si>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</si>
  <si>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</si>
  <si>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</si>
  <si>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</si>
  <si>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</si>
  <si>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</si>
  <si>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</si>
  <si>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</si>
  <si>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</si>
  <si>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</si>
  <si>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</si>
  <si>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</si>
  <si>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</si>
  <si>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</si>
  <si>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</si>
  <si>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</si>
  <si>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</si>
  <si>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</si>
  <si>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</si>
  <si>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</si>
  <si>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</si>
  <si>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</si>
  <si>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</si>
  <si>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</si>
  <si>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</si>
  <si>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</si>
  <si>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</si>
  <si>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</si>
  <si>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</si>
  <si>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</si>
  <si>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</si>
  <si>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</si>
  <si>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</si>
  <si>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</si>
  <si>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</si>
  <si>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</si>
  <si>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</si>
  <si>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</si>
  <si>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</si>
  <si>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</si>
  <si>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</si>
  <si>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</si>
  <si>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</si>
  <si>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</si>
  <si>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</si>
  <si>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</si>
  <si>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</si>
  <si>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</si>
  <si>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</si>
  <si>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</si>
  <si>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</si>
  <si>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</si>
  <si>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</si>
  <si>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</si>
  <si>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</si>
  <si>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</si>
  <si>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</si>
  <si>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</si>
  <si>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</si>
  <si>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</si>
  <si>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</si>
  <si>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</si>
  <si>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</si>
  <si>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</si>
  <si>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</si>
  <si>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</si>
  <si>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</si>
  <si>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</si>
  <si>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</si>
  <si>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</si>
  <si>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</si>
  <si>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</si>
  <si>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</si>
  <si>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</si>
  <si>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</si>
  <si>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</si>
  <si>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</si>
  <si>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</si>
  <si>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</si>
  <si>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</si>
  <si>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</si>
  <si>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</si>
  <si>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</si>
  <si>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</si>
  <si>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</si>
  <si>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</si>
  <si>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</si>
  <si>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</si>
  <si>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</si>
  <si>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</si>
  <si>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</si>
  <si>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</si>
  <si>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</si>
  <si>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</si>
  <si>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</si>
  <si>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</si>
  <si>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</si>
  <si>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</si>
  <si>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</si>
  <si>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</si>
  <si>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</si>
  <si>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</si>
  <si>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</si>
  <si>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</si>
  <si>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</si>
  <si>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</si>
  <si>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</si>
  <si>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</si>
  <si>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</si>
  <si>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</si>
  <si>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</si>
  <si>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</si>
  <si>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</si>
  <si>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</si>
  <si>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</si>
  <si>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</si>
  <si>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</si>
  <si>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</si>
  <si>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</si>
  <si>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</si>
  <si>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</si>
  <si>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</si>
  <si>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</si>
  <si>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</si>
  <si>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</si>
  <si>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</si>
  <si>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</si>
  <si>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</si>
  <si>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</si>
  <si>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</si>
  <si>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</si>
  <si>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</si>
  <si>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</si>
  <si>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</si>
  <si>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</si>
  <si>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</si>
  <si>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</si>
  <si>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</si>
  <si>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</si>
  <si>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</si>
  <si>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</si>
  <si>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</si>
  <si>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</si>
  <si>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</si>
  <si>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</si>
  <si>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</si>
  <si>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</si>
  <si>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</si>
  <si>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</si>
  <si>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</si>
  <si>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</si>
  <si>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</si>
  <si>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</si>
  <si>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</si>
  <si>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</si>
  <si>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</si>
  <si>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</si>
  <si>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</si>
  <si>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</si>
  <si>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</si>
  <si>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</si>
  <si>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</si>
  <si>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</si>
  <si>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</si>
  <si>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</si>
  <si>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</si>
  <si>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</si>
  <si>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</si>
  <si>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</si>
  <si>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</si>
  <si>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</si>
  <si>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</si>
  <si>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</si>
  <si>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</si>
  <si>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</si>
  <si>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</si>
  <si>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</si>
  <si>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</si>
  <si>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</si>
  <si>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</si>
  <si>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</si>
  <si>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</si>
  <si>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</si>
  <si>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</si>
  <si>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</si>
  <si>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</si>
  <si>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</si>
  <si>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</si>
  <si>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</si>
  <si>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</si>
  <si>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</si>
  <si>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</si>
  <si>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</si>
  <si>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</si>
  <si>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</si>
  <si>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</si>
  <si>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</si>
  <si>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</si>
  <si>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</si>
  <si>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</si>
  <si>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</si>
  <si>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</si>
  <si>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</si>
  <si>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</si>
  <si>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</si>
  <si>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</si>
  <si>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</si>
  <si>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</si>
  <si>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</si>
  <si>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</si>
  <si>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</si>
  <si>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</si>
  <si>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</si>
  <si>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</si>
  <si>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</si>
  <si>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</si>
  <si>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</si>
  <si>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</si>
  <si>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</si>
  <si>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</si>
  <si>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</si>
  <si>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</si>
  <si>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</si>
  <si>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</si>
  <si>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</si>
  <si>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</si>
  <si>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</si>
  <si>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</si>
  <si>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</si>
  <si>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</si>
  <si>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</si>
  <si>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</si>
  <si>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</si>
  <si>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</si>
  <si>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</si>
  <si>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</si>
  <si>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</si>
  <si>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</si>
  <si>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</si>
  <si>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</si>
  <si>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</si>
  <si>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</si>
  <si>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</si>
  <si>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</si>
  <si>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</si>
  <si>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</si>
  <si>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</si>
  <si>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</si>
  <si>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</si>
  <si>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</si>
  <si>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</si>
  <si>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</si>
  <si>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</si>
  <si>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</si>
  <si>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</si>
  <si>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</si>
  <si>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</si>
  <si>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</si>
  <si>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</si>
  <si>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</si>
  <si>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</si>
  <si>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</si>
  <si>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</si>
  <si>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</si>
  <si>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</si>
  <si>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</si>
  <si>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</si>
  <si>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</si>
  <si>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</si>
  <si>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</si>
  <si>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</si>
  <si>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</si>
  <si>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</si>
  <si>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</si>
  <si>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</si>
  <si>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</si>
  <si>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</si>
  <si>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</si>
  <si>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</si>
  <si>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</si>
  <si>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</si>
  <si>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</si>
  <si>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</si>
  <si>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</si>
  <si>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</si>
  <si>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</si>
  <si>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</si>
  <si>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</si>
  <si>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</si>
  <si>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</si>
  <si>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</si>
  <si>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</si>
  <si>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</si>
  <si>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</si>
  <si>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</si>
  <si>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</si>
  <si>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</si>
  <si>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</si>
  <si>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</si>
  <si>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</si>
  <si>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</si>
  <si>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</si>
  <si>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</si>
  <si>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</si>
  <si>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</si>
  <si>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</si>
  <si>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</si>
  <si>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</si>
  <si>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</si>
  <si>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</si>
  <si>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</si>
  <si>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</si>
  <si>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</si>
  <si>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</si>
  <si>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</si>
  <si>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</si>
  <si>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</si>
  <si>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</si>
  <si>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</si>
  <si>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</si>
  <si>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</si>
  <si>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</si>
  <si>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</si>
  <si>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</si>
  <si>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</si>
  <si>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</si>
  <si>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</si>
  <si>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</si>
  <si>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</si>
  <si>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</si>
  <si>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</si>
  <si>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</si>
  <si>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</si>
  <si>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</si>
  <si>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</si>
  <si>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</si>
  <si>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</si>
  <si>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</si>
  <si>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</si>
  <si>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</si>
  <si>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</si>
  <si>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</si>
  <si>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</si>
  <si>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</si>
  <si>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</si>
  <si>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</si>
  <si>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</si>
  <si>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</si>
  <si>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</si>
  <si>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</si>
  <si>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</si>
  <si>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</si>
  <si>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</si>
  <si>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</si>
  <si>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</si>
  <si>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</si>
  <si>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</si>
  <si>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</si>
  <si>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</si>
  <si>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</si>
  <si>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</si>
  <si>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</si>
  <si>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</si>
  <si>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</si>
  <si>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</si>
  <si>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</si>
  <si>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</si>
  <si>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</si>
  <si>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</si>
  <si>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</si>
  <si>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</si>
  <si>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</si>
  <si>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</si>
  <si>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</si>
  <si>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</si>
  <si>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</si>
  <si>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</si>
  <si>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</si>
  <si>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</si>
  <si>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</si>
  <si>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</si>
  <si>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</si>
  <si>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</si>
  <si>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</si>
  <si>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</si>
  <si>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</si>
  <si>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</si>
  <si>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</si>
  <si>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</si>
  <si>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</si>
  <si>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</si>
  <si>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</si>
  <si>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</si>
  <si>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</si>
  <si>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</si>
  <si>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</si>
  <si>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</si>
  <si>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</si>
  <si>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</si>
  <si>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</si>
  <si>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</si>
  <si>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</si>
  <si>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</si>
  <si>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</si>
  <si>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</si>
  <si>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</si>
  <si>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</si>
  <si>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</si>
  <si>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</si>
  <si>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</si>
  <si>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</si>
  <si>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</si>
  <si>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</si>
  <si>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</si>
  <si>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</si>
  <si>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</si>
  <si>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</si>
  <si>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</si>
  <si>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</si>
  <si>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</si>
  <si>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</si>
  <si>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</si>
  <si>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</si>
  <si>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</si>
  <si>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</si>
  <si>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</si>
  <si>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</si>
  <si>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</si>
  <si>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</si>
  <si>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</si>
  <si>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</si>
  <si>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</si>
  <si>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</si>
  <si>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</si>
  <si>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</si>
  <si>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</si>
  <si>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</si>
  <si>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</si>
  <si>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</si>
  <si>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</si>
  <si>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</si>
  <si>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</si>
  <si>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</si>
  <si>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</si>
  <si>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</si>
  <si>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</si>
  <si>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</si>
  <si>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</si>
  <si>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</si>
  <si>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</si>
  <si>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</si>
  <si>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</si>
  <si>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</si>
  <si>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</si>
  <si>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</si>
  <si>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</si>
  <si>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</si>
  <si>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</si>
  <si>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</si>
  <si>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</si>
  <si>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</si>
  <si>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</si>
  <si>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</si>
  <si>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</si>
  <si>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</si>
  <si>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</si>
  <si>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</si>
  <si>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</si>
  <si>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</si>
  <si>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</si>
  <si>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</si>
  <si>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</si>
  <si>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</si>
  <si>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</si>
  <si>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</si>
  <si>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</si>
  <si>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</si>
  <si>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</si>
  <si>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</si>
  <si>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</si>
  <si>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</si>
  <si>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</si>
  <si>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</si>
  <si>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</si>
  <si>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</si>
  <si>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</si>
  <si>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</si>
  <si>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</si>
  <si>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</si>
  <si>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</si>
  <si>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</si>
  <si>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</si>
  <si>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</si>
  <si>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</si>
  <si>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</si>
  <si>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</si>
  <si>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</si>
  <si>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</si>
  <si>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</si>
  <si>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</si>
  <si>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</si>
  <si>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</si>
  <si>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</si>
  <si>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</si>
  <si>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</si>
  <si>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</si>
  <si>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</si>
  <si>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</si>
  <si>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</si>
  <si>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</si>
  <si>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</si>
  <si>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</si>
  <si>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</si>
  <si>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</si>
  <si>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</si>
  <si>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</si>
  <si>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</si>
  <si>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</si>
  <si>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</si>
  <si>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</si>
  <si>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</si>
  <si>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</si>
  <si>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</si>
  <si>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</si>
  <si>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</si>
  <si>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</si>
  <si>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</si>
  <si>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</si>
  <si>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</si>
  <si>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</si>
  <si>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</si>
  <si>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</si>
  <si>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</si>
  <si>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</si>
  <si>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</si>
  <si>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</si>
  <si>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</si>
  <si>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</si>
  <si>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</si>
  <si>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</si>
  <si>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</si>
  <si>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</si>
  <si>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</si>
  <si>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</si>
  <si>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</si>
  <si>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</si>
  <si>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</si>
  <si>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</si>
  <si>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</si>
  <si>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</si>
  <si>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</si>
  <si>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</si>
  <si>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</si>
  <si>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</si>
  <si>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</si>
  <si>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</si>
  <si>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</si>
  <si>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</si>
  <si>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</si>
  <si>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</si>
  <si>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</si>
  <si>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</si>
  <si>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</si>
  <si>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</si>
  <si>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</si>
  <si>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</si>
  <si>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</si>
  <si>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</si>
  <si>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</si>
  <si>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</si>
  <si>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</si>
  <si>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</si>
  <si>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</si>
  <si>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</si>
  <si>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</si>
  <si>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</si>
  <si>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</si>
  <si>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</si>
  <si>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</si>
  <si>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</si>
  <si>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</si>
  <si>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</si>
  <si>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</si>
  <si>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</si>
  <si>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</si>
  <si>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</si>
  <si>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</si>
  <si>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</si>
  <si>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</si>
  <si>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</si>
  <si>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</si>
  <si>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</si>
  <si>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</si>
  <si>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</si>
  <si>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</si>
  <si>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</si>
  <si>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</si>
  <si>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</si>
  <si>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</si>
  <si>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</si>
  <si>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</si>
  <si>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</si>
  <si>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</si>
  <si>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</si>
  <si>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</si>
  <si>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</si>
  <si>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</si>
  <si>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</si>
  <si>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</si>
  <si>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</si>
  <si>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</si>
  <si>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</si>
  <si>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</si>
  <si>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</si>
  <si>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</si>
  <si>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</si>
  <si>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</si>
  <si>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</si>
  <si>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</si>
  <si>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</si>
  <si>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</si>
  <si>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</si>
  <si>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</si>
  <si>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</si>
  <si>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</si>
  <si>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</si>
  <si>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</si>
  <si>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</si>
  <si>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</si>
  <si>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</si>
  <si>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</si>
  <si>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</si>
  <si>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</si>
  <si>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</si>
  <si>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</si>
  <si>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</si>
  <si>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</si>
  <si>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</si>
  <si>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</si>
  <si>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</si>
  <si>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</si>
  <si>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</si>
  <si>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</si>
  <si>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</si>
  <si>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</si>
  <si>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</si>
  <si>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</si>
  <si>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</si>
  <si>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</si>
  <si>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</si>
  <si>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</si>
  <si>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</si>
  <si>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</si>
  <si>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</si>
  <si>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</si>
  <si>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</si>
  <si>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</si>
  <si>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</si>
  <si>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</si>
  <si>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</si>
  <si>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</si>
  <si>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</si>
  <si>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</si>
  <si>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</si>
  <si>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</si>
  <si>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</si>
  <si>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</si>
  <si>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</si>
  <si>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</si>
  <si>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</si>
  <si>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</si>
  <si>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</si>
  <si>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</si>
  <si>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</si>
  <si>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</si>
  <si>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</si>
  <si>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</si>
  <si>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</si>
  <si>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</si>
  <si>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</si>
  <si>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</si>
  <si>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</si>
  <si>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</si>
  <si>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</si>
  <si>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</si>
  <si>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</si>
  <si>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</si>
  <si>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</si>
  <si>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</si>
  <si>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</si>
  <si>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</si>
  <si>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</si>
  <si>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</si>
  <si>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</si>
  <si>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</si>
  <si>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</si>
  <si>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</si>
  <si>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</si>
  <si>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</si>
  <si>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</si>
  <si>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</si>
  <si>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</si>
  <si>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</si>
  <si>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</si>
  <si>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</si>
  <si>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</si>
  <si>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</si>
  <si>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</si>
  <si>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</si>
  <si>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</si>
  <si>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</si>
  <si>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</si>
  <si>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</si>
  <si>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</si>
  <si>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</si>
  <si>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</si>
  <si>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</si>
  <si>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</si>
  <si>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</si>
  <si>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</si>
  <si>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</si>
  <si>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</si>
  <si>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</si>
  <si>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</si>
  <si>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</si>
  <si>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</si>
  <si>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</si>
  <si>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</si>
  <si>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</si>
  <si>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</si>
  <si>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</si>
  <si>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</si>
  <si>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</si>
  <si>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</si>
  <si>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</si>
  <si>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</si>
  <si>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</si>
  <si>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</si>
  <si>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</si>
  <si>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</si>
  <si>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</si>
  <si>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</si>
  <si>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</si>
  <si>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</si>
  <si>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</si>
  <si>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</si>
  <si>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</si>
  <si>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</si>
  <si>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</si>
  <si>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</si>
  <si>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</si>
  <si>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</si>
  <si>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</si>
  <si>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</si>
  <si>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</si>
  <si>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</si>
  <si>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</si>
  <si>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</si>
  <si>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</si>
  <si>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</si>
  <si>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</si>
  <si>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</si>
  <si>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</si>
  <si>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</si>
  <si>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</si>
  <si>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</si>
  <si>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</si>
  <si>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</si>
  <si>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</si>
  <si>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</si>
  <si>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</si>
  <si>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</si>
  <si>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</si>
  <si>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</si>
  <si>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</si>
  <si>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</si>
  <si>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</si>
  <si>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</si>
  <si>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</si>
  <si>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</si>
  <si>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</si>
  <si>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</si>
  <si>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</si>
  <si>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</si>
  <si>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</si>
  <si>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</si>
  <si>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</si>
  <si>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</si>
  <si>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</si>
  <si>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</si>
  <si>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</si>
  <si>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</si>
  <si>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</si>
  <si>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</si>
  <si>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</si>
  <si>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</si>
  <si>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</si>
  <si>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</si>
  <si>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</si>
  <si>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</si>
  <si>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</si>
  <si>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</si>
  <si>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</si>
  <si>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</si>
  <si>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</si>
  <si>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</si>
  <si>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</si>
  <si>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</si>
  <si>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</si>
  <si>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</si>
  <si>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</si>
  <si>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</si>
  <si>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</si>
  <si>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</si>
  <si>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</si>
  <si>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</si>
  <si>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</si>
  <si>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</si>
  <si>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</si>
  <si>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</si>
  <si>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</si>
  <si>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</si>
  <si>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</si>
  <si>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</si>
  <si>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</si>
  <si>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</si>
  <si>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</si>
  <si>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</si>
  <si>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</si>
  <si>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</si>
  <si>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</si>
  <si>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</si>
  <si>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</si>
  <si>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</si>
  <si>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</si>
  <si>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</si>
  <si>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</si>
  <si>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</si>
  <si>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</si>
  <si>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</si>
  <si>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</si>
  <si>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</si>
  <si>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</si>
  <si>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</si>
  <si>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</si>
  <si>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</si>
  <si>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</si>
  <si>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</si>
  <si>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</si>
  <si>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</si>
  <si>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</si>
  <si>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</si>
  <si>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</si>
  <si>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</si>
  <si>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</si>
  <si>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</si>
  <si>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</si>
  <si>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</si>
  <si>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</si>
  <si>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</si>
  <si>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</si>
  <si>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</si>
  <si>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</si>
  <si>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</si>
  <si>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</si>
  <si>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</si>
  <si>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</si>
  <si>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</si>
  <si>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</si>
  <si>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</si>
  <si>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</si>
  <si>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</si>
  <si>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</si>
  <si>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</si>
  <si>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</si>
  <si>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</si>
  <si>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</si>
  <si>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</si>
  <si>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</si>
  <si>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</si>
  <si>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</si>
  <si>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</si>
  <si>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</si>
  <si>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</si>
  <si>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</si>
  <si>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</si>
  <si>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</si>
  <si>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</si>
  <si>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</si>
  <si>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</si>
  <si>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</si>
  <si>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</si>
  <si>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</si>
  <si>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</si>
  <si>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</si>
  <si>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</si>
  <si>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</si>
  <si>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</si>
  <si>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</si>
  <si>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</si>
  <si>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</si>
  <si>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</si>
  <si>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</si>
  <si>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</si>
  <si>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</si>
  <si>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</si>
  <si>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</si>
  <si>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</si>
  <si>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</si>
  <si>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</si>
  <si>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</si>
  <si>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</si>
  <si>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</si>
  <si>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</si>
  <si>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</si>
  <si>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</si>
  <si>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</si>
  <si>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</si>
  <si>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</si>
  <si>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</si>
  <si>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</si>
  <si>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</si>
  <si>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</si>
  <si>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</si>
  <si>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</si>
  <si>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</si>
  <si>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</si>
  <si>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</si>
  <si>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</si>
  <si>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</si>
  <si>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</si>
  <si>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</si>
  <si>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</si>
  <si>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</si>
  <si>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</si>
  <si>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</si>
  <si>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</si>
  <si>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</si>
  <si>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</si>
  <si>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</si>
  <si>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</si>
  <si>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</si>
  <si>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</si>
  <si>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</si>
  <si>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</si>
  <si>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</si>
  <si>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</si>
  <si>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</si>
  <si>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</si>
  <si>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</si>
  <si>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</si>
  <si>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</si>
  <si>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</si>
  <si>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</si>
  <si>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</si>
  <si>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</si>
  <si>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</si>
  <si>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</si>
  <si>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</si>
  <si>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</si>
  <si>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</si>
  <si>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</si>
  <si>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</si>
  <si>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</si>
  <si>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</si>
  <si>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</si>
  <si>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</si>
  <si>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</si>
  <si>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</si>
  <si>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</si>
  <si>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</si>
  <si>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</si>
  <si>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</si>
  <si>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</si>
  <si>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</si>
  <si>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</si>
  <si>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</si>
  <si>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</si>
  <si>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</si>
  <si>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</si>
  <si>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</si>
  <si>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</si>
  <si>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</si>
  <si>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</si>
  <si>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</si>
  <si>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</si>
  <si>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</si>
  <si>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</si>
  <si>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</si>
  <si>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</si>
  <si>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</si>
  <si>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</si>
  <si>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</si>
  <si>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</si>
  <si>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</si>
  <si>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</si>
  <si>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</si>
  <si>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</si>
  <si>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</si>
  <si>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</si>
  <si>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</si>
  <si>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</si>
  <si>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</si>
  <si>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</si>
  <si>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</si>
  <si>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</si>
  <si>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</si>
  <si>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</si>
  <si>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</si>
  <si>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</si>
  <si>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</si>
  <si>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</si>
  <si>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</si>
  <si>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</si>
  <si>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</si>
  <si>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</si>
  <si>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</si>
  <si>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</si>
  <si>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</si>
  <si>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</si>
  <si>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</si>
  <si>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</si>
  <si>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</si>
  <si>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</si>
  <si>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</si>
  <si>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</si>
  <si>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</si>
  <si>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</si>
  <si>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</si>
  <si>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</si>
  <si>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</si>
  <si>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</si>
  <si>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</si>
  <si>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</si>
  <si>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</si>
  <si>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</si>
  <si>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</si>
  <si>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</si>
  <si>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</si>
  <si>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</si>
  <si>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</si>
  <si>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</si>
  <si>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</si>
  <si>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</si>
  <si>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</si>
  <si>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</si>
  <si>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</si>
  <si>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</si>
  <si>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</si>
  <si>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</si>
  <si>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</si>
  <si>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</si>
  <si>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</si>
  <si>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</si>
  <si>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</si>
  <si>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</si>
  <si>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</si>
  <si>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</si>
  <si>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</si>
  <si>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</si>
  <si>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</si>
  <si>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</si>
  <si>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</si>
  <si>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</si>
  <si>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</si>
  <si>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</si>
  <si>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</si>
  <si>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</si>
  <si>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</si>
  <si>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</si>
  <si>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</si>
  <si>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</si>
  <si>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</si>
  <si>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</si>
  <si>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</si>
  <si>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</si>
  <si>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</si>
  <si>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</si>
  <si>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</si>
  <si>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</si>
  <si>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</si>
  <si>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</si>
  <si>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</si>
  <si>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</si>
  <si>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</si>
  <si>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</si>
  <si>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</si>
  <si>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</si>
  <si>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</si>
  <si>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</si>
  <si>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</si>
  <si>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</si>
  <si>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</si>
  <si>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</si>
  <si>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</si>
  <si>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</si>
  <si>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</si>
  <si>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</si>
  <si>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</si>
  <si>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</si>
  <si>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</si>
  <si>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</si>
  <si>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</si>
  <si>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</si>
  <si>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</si>
  <si>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</si>
  <si>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</si>
  <si>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</si>
  <si>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</si>
  <si>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</si>
  <si>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</si>
  <si>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</si>
  <si>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</si>
  <si>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</si>
  <si>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</si>
  <si>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</si>
  <si>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</si>
  <si>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</si>
  <si>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</si>
  <si>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</si>
  <si>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</si>
  <si>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</si>
  <si>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</si>
  <si>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</si>
  <si>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</si>
  <si>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</si>
  <si>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</si>
  <si>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</si>
  <si>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</si>
  <si>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</si>
  <si>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</si>
  <si>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</si>
  <si>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</si>
  <si>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</si>
  <si>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</si>
  <si>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</si>
  <si>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</si>
  <si>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</si>
  <si>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</si>
  <si>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</si>
  <si>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</si>
  <si>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</si>
  <si>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</si>
  <si>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</si>
  <si>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</si>
  <si>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</si>
  <si>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</si>
  <si>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</si>
  <si>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</si>
  <si>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</si>
  <si>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</si>
  <si>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</si>
  <si>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</si>
  <si>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</si>
  <si>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</si>
  <si>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</si>
  <si>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</si>
  <si>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</si>
  <si>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</si>
  <si>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</si>
  <si>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</si>
  <si>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</si>
  <si>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</si>
  <si>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</si>
  <si>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</si>
  <si>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</si>
  <si>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</si>
  <si>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</si>
  <si>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</si>
  <si>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</si>
  <si>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</si>
  <si>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</si>
  <si>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</si>
  <si>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</si>
  <si>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</si>
  <si>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</si>
  <si>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</si>
  <si>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</si>
  <si>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</si>
  <si>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</si>
  <si>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</si>
  <si>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</si>
  <si>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</si>
  <si>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</si>
  <si>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</si>
  <si>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</si>
  <si>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</si>
  <si>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</si>
  <si>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</si>
  <si>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</si>
  <si>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</si>
  <si>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</si>
  <si>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</si>
  <si>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</si>
  <si>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</si>
  <si>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</si>
  <si>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</si>
  <si>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</si>
  <si>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</si>
  <si>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</si>
  <si>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</si>
  <si>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</si>
  <si>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</si>
  <si>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</si>
  <si>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</si>
  <si>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</si>
  <si>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</si>
  <si>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</si>
  <si>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</si>
  <si>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</si>
  <si>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</si>
  <si>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</si>
  <si>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</si>
  <si>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</si>
  <si>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</si>
  <si>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</si>
  <si>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</si>
  <si>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</si>
  <si>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</si>
  <si>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</si>
  <si>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</si>
  <si>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</si>
  <si>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</si>
  <si>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</si>
  <si>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</si>
  <si>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</si>
  <si>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</si>
  <si>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</si>
  <si>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</si>
  <si>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</si>
  <si>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</si>
  <si>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</si>
  <si>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</si>
  <si>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</si>
  <si>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</si>
  <si>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</si>
  <si>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</si>
  <si>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1,250,000</t>
    <phoneticPr fontId="3" type="noConversion"/>
  </si>
  <si>
    <t>롤당 1,650,000</t>
    <phoneticPr fontId="3" type="noConversion"/>
  </si>
  <si>
    <t>롤당 1,450,000</t>
    <phoneticPr fontId="3" type="noConversion"/>
  </si>
  <si>
    <t>롤당 800,000</t>
    <phoneticPr fontId="3" type="noConversion"/>
  </si>
  <si>
    <t>롤당 600,000</t>
    <phoneticPr fontId="3" type="noConversion"/>
  </si>
  <si>
    <t>롤당 1,850,000</t>
    <phoneticPr fontId="3" type="noConversion"/>
  </si>
  <si>
    <t>1400*60M</t>
    <phoneticPr fontId="3" type="noConversion"/>
  </si>
  <si>
    <t>롤당 990,000</t>
    <phoneticPr fontId="3" type="noConversion"/>
  </si>
  <si>
    <t>롤당 1,110,000</t>
    <phoneticPr fontId="3" type="noConversion"/>
  </si>
  <si>
    <t>롤당 780,000</t>
    <phoneticPr fontId="3" type="noConversion"/>
  </si>
  <si>
    <t>롤당 870,000</t>
    <phoneticPr fontId="3" type="noConversion"/>
  </si>
  <si>
    <t>롤당 925,000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</si>
  <si>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</si>
  <si>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</si>
  <si>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</si>
  <si>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</si>
  <si>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</si>
  <si>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</si>
  <si>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</si>
  <si>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</si>
  <si>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</si>
  <si>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롤당 2,500,000</t>
    <phoneticPr fontId="3" type="noConversion"/>
  </si>
  <si>
    <t>롤당 3,500,000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</si>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</sst>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92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5" fillId="2" borderId="195" xfId="0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 wrapText="1"/>
    </xf>
    <xf numFmtId="0" fontId="5" fillId="2" borderId="19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74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38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76" xfId="0" applyBorder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zoomScale="106" zoomScaleNormal="100" zoomScaleSheetLayoutView="106" workbookViewId="0">
      <selection sqref="A1:XFD1"/>
    </sheetView>
  </sheetViews>
  <sheetFormatPr defaultRowHeight="12.95" customHeight="1" x14ac:dyDescent="0.3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5.5" style="6" hidden="1" customWidth="1"/>
    <col min="8" max="8" width="8.5" style="1" hidden="1" customWidth="1"/>
    <col min="9" max="9" width="5.375" style="2" hidden="1" customWidth="1"/>
    <col min="10" max="10" width="7" style="63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1" t="s">
        <v>1855</v>
      </c>
      <c r="J1" s="625" t="s">
        <v>4746</v>
      </c>
      <c r="L1" s="611"/>
    </row>
    <row r="2" spans="1:12" ht="15" customHeight="1" x14ac:dyDescent="0.3">
      <c r="A2" s="671" t="s">
        <v>0</v>
      </c>
      <c r="B2" s="643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 x14ac:dyDescent="0.3">
      <c r="A3" s="671"/>
      <c r="B3" s="643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 x14ac:dyDescent="0.3">
      <c r="A4" s="671"/>
      <c r="B4" s="643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 x14ac:dyDescent="0.3">
      <c r="A5" s="671"/>
      <c r="B5" s="643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 x14ac:dyDescent="0.3">
      <c r="A6" s="671"/>
      <c r="B6" s="643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 x14ac:dyDescent="0.3">
      <c r="A7" s="671"/>
      <c r="B7" s="643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 x14ac:dyDescent="0.3">
      <c r="A8" s="671"/>
      <c r="B8" s="643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 x14ac:dyDescent="0.3">
      <c r="A9" s="671"/>
      <c r="B9" s="643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 x14ac:dyDescent="0.3">
      <c r="A10" s="671"/>
      <c r="B10" s="643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 x14ac:dyDescent="0.3">
      <c r="A11" s="671"/>
      <c r="B11" s="643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 x14ac:dyDescent="0.3">
      <c r="A12" s="671"/>
      <c r="B12" s="643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 x14ac:dyDescent="0.3">
      <c r="A13" s="671"/>
      <c r="B13" s="643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 x14ac:dyDescent="0.3">
      <c r="A14" s="671"/>
      <c r="B14" s="643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 x14ac:dyDescent="0.3">
      <c r="A15" s="671"/>
      <c r="B15" s="643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 x14ac:dyDescent="0.3">
      <c r="A16" s="671"/>
      <c r="B16" s="643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 x14ac:dyDescent="0.3">
      <c r="A17" s="671"/>
      <c r="B17" s="643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 x14ac:dyDescent="0.3">
      <c r="A18" s="671"/>
      <c r="B18" s="643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 x14ac:dyDescent="0.3">
      <c r="A19" s="671"/>
      <c r="B19" s="643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 x14ac:dyDescent="0.3">
      <c r="A20" s="671"/>
      <c r="B20" s="643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 x14ac:dyDescent="0.3">
      <c r="A21" s="671"/>
      <c r="B21" s="643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 x14ac:dyDescent="0.3">
      <c r="A22" s="671"/>
      <c r="B22" s="643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 x14ac:dyDescent="0.3">
      <c r="A23" s="671"/>
      <c r="B23" s="643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 x14ac:dyDescent="0.3">
      <c r="A24" s="671"/>
      <c r="B24" s="643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 x14ac:dyDescent="0.3">
      <c r="A25" s="671"/>
      <c r="B25" s="643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 x14ac:dyDescent="0.3">
      <c r="A26" s="671"/>
      <c r="B26" s="643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 x14ac:dyDescent="0.3">
      <c r="A27" s="671"/>
      <c r="B27" s="643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 x14ac:dyDescent="0.3">
      <c r="A28" s="671"/>
      <c r="B28" s="643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 x14ac:dyDescent="0.3">
      <c r="A29" s="671"/>
      <c r="B29" s="643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 x14ac:dyDescent="0.3">
      <c r="A30" s="644" t="s">
        <v>19</v>
      </c>
      <c r="B30" s="643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 x14ac:dyDescent="0.3">
      <c r="A31" s="644"/>
      <c r="B31" s="643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626">
        <v>420</v>
      </c>
      <c r="K31" s="13"/>
    </row>
    <row r="32" spans="1:11" ht="15" customHeight="1" x14ac:dyDescent="0.3">
      <c r="A32" s="644"/>
      <c r="B32" s="643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626">
        <v>470</v>
      </c>
      <c r="K32" s="13"/>
    </row>
    <row r="33" spans="1:11" ht="15" customHeight="1" x14ac:dyDescent="0.3">
      <c r="A33" s="644" t="s">
        <v>24</v>
      </c>
      <c r="B33" s="643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626">
        <v>540</v>
      </c>
      <c r="K33" s="13"/>
    </row>
    <row r="34" spans="1:11" ht="15" customHeight="1" x14ac:dyDescent="0.3">
      <c r="A34" s="644"/>
      <c r="B34" s="643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626">
        <v>540</v>
      </c>
      <c r="K34" s="13"/>
    </row>
    <row r="35" spans="1:11" ht="15" customHeight="1" x14ac:dyDescent="0.3">
      <c r="A35" s="644"/>
      <c r="B35" s="643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626">
        <v>540</v>
      </c>
      <c r="K35" s="13"/>
    </row>
    <row r="36" spans="1:11" ht="15" customHeight="1" x14ac:dyDescent="0.3">
      <c r="A36" s="644" t="s">
        <v>29</v>
      </c>
      <c r="B36" s="643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627"/>
      <c r="K36" s="13"/>
    </row>
    <row r="37" spans="1:11" ht="15" customHeight="1" x14ac:dyDescent="0.3">
      <c r="A37" s="644"/>
      <c r="B37" s="643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627"/>
      <c r="K37" s="13"/>
    </row>
    <row r="38" spans="1:11" ht="15" customHeight="1" x14ac:dyDescent="0.3">
      <c r="A38" s="644"/>
      <c r="B38" s="643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627"/>
      <c r="K38" s="13"/>
    </row>
    <row r="39" spans="1:11" s="1" customFormat="1" ht="15" customHeight="1" x14ac:dyDescent="0.3">
      <c r="A39" s="644"/>
      <c r="B39" s="643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627"/>
      <c r="K39" s="13"/>
    </row>
    <row r="40" spans="1:11" s="1" customFormat="1" ht="15" customHeight="1" x14ac:dyDescent="0.3">
      <c r="A40" s="644"/>
      <c r="B40" s="643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627"/>
      <c r="K40" s="13"/>
    </row>
    <row r="41" spans="1:11" s="1" customFormat="1" ht="15" customHeight="1" x14ac:dyDescent="0.3">
      <c r="A41" s="644"/>
      <c r="B41" s="643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627"/>
      <c r="K41" s="13"/>
    </row>
    <row r="42" spans="1:11" s="1" customFormat="1" ht="15" customHeight="1" x14ac:dyDescent="0.3">
      <c r="A42" s="645" t="s">
        <v>32</v>
      </c>
      <c r="B42" s="639" t="s">
        <v>33</v>
      </c>
      <c r="C42" s="20">
        <v>110</v>
      </c>
      <c r="D42" s="21" t="s">
        <v>34</v>
      </c>
      <c r="E42" s="1" t="s">
        <v>4324</v>
      </c>
      <c r="G42" s="8">
        <v>110</v>
      </c>
      <c r="H42" s="11">
        <f>1.07*50</f>
        <v>53.5</v>
      </c>
      <c r="I42" s="12" t="e">
        <f>ROUND(#REF!*1000000/G42/H42,-3)</f>
        <v>#REF!</v>
      </c>
      <c r="J42" s="627"/>
      <c r="K42" s="13"/>
    </row>
    <row r="43" spans="1:11" s="1" customFormat="1" ht="15" customHeight="1" x14ac:dyDescent="0.3">
      <c r="A43" s="648"/>
      <c r="B43" s="641"/>
      <c r="C43" s="20"/>
      <c r="D43" s="21" t="s">
        <v>35</v>
      </c>
      <c r="E43" s="1" t="s">
        <v>4324</v>
      </c>
      <c r="G43" s="8">
        <v>110</v>
      </c>
      <c r="H43" s="11">
        <f>1.07*50</f>
        <v>53.5</v>
      </c>
      <c r="I43" s="12" t="e">
        <f>ROUND(#REF!*1000000/G43/H43,-3)</f>
        <v>#REF!</v>
      </c>
      <c r="J43" s="627"/>
      <c r="K43" s="13"/>
    </row>
    <row r="44" spans="1:11" s="1" customFormat="1" ht="15" customHeight="1" x14ac:dyDescent="0.3">
      <c r="A44" s="644" t="s">
        <v>36</v>
      </c>
      <c r="B44" s="643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626">
        <v>500</v>
      </c>
      <c r="K44" s="13"/>
    </row>
    <row r="45" spans="1:11" s="1" customFormat="1" ht="15" customHeight="1" x14ac:dyDescent="0.3">
      <c r="A45" s="644"/>
      <c r="B45" s="643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626">
        <v>800</v>
      </c>
      <c r="K45" s="13"/>
    </row>
    <row r="46" spans="1:11" s="1" customFormat="1" ht="15" customHeight="1" x14ac:dyDescent="0.3">
      <c r="A46" s="644"/>
      <c r="B46" s="643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626">
        <v>1000</v>
      </c>
      <c r="K46" s="13"/>
    </row>
    <row r="47" spans="1:11" s="1" customFormat="1" ht="15" customHeight="1" x14ac:dyDescent="0.3">
      <c r="A47" s="645" t="s">
        <v>38</v>
      </c>
      <c r="B47" s="639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 x14ac:dyDescent="0.3">
      <c r="A48" s="647"/>
      <c r="B48" s="640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626">
        <v>560</v>
      </c>
      <c r="K48" s="13"/>
    </row>
    <row r="49" spans="1:11" s="1" customFormat="1" ht="15" customHeight="1" x14ac:dyDescent="0.3">
      <c r="A49" s="647"/>
      <c r="B49" s="640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626">
        <v>640</v>
      </c>
      <c r="K49" s="13"/>
    </row>
    <row r="50" spans="1:11" s="1" customFormat="1" ht="15" customHeight="1" x14ac:dyDescent="0.3">
      <c r="A50" s="647"/>
      <c r="B50" s="640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626">
        <v>800</v>
      </c>
      <c r="K50" s="13"/>
    </row>
    <row r="51" spans="1:11" s="1" customFormat="1" ht="15" customHeight="1" x14ac:dyDescent="0.3">
      <c r="A51" s="647"/>
      <c r="B51" s="640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626">
        <v>960</v>
      </c>
      <c r="K51" s="13"/>
    </row>
    <row r="52" spans="1:11" s="1" customFormat="1" ht="15" customHeight="1" x14ac:dyDescent="0.3">
      <c r="A52" s="647"/>
      <c r="B52" s="640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626">
        <v>1000</v>
      </c>
      <c r="K52" s="13"/>
    </row>
    <row r="53" spans="1:11" s="1" customFormat="1" ht="15" customHeight="1" x14ac:dyDescent="0.3">
      <c r="A53" s="647"/>
      <c r="B53" s="640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626">
        <v>1100</v>
      </c>
      <c r="K53" s="13"/>
    </row>
    <row r="54" spans="1:11" s="1" customFormat="1" ht="15" customHeight="1" x14ac:dyDescent="0.3">
      <c r="A54" s="647"/>
      <c r="B54" s="640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626">
        <v>1300</v>
      </c>
      <c r="K54" s="13"/>
    </row>
    <row r="55" spans="1:11" s="1" customFormat="1" ht="15" customHeight="1" x14ac:dyDescent="0.3">
      <c r="A55" s="647"/>
      <c r="B55" s="640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626">
        <v>1400</v>
      </c>
      <c r="K55" s="13"/>
    </row>
    <row r="56" spans="1:11" s="1" customFormat="1" ht="15" customHeight="1" x14ac:dyDescent="0.3">
      <c r="A56" s="647"/>
      <c r="B56" s="640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626">
        <v>500</v>
      </c>
      <c r="K56" s="13"/>
    </row>
    <row r="57" spans="1:11" s="1" customFormat="1" ht="15" customHeight="1" x14ac:dyDescent="0.3">
      <c r="A57" s="647"/>
      <c r="B57" s="640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626">
        <v>560</v>
      </c>
      <c r="K57" s="13"/>
    </row>
    <row r="58" spans="1:11" s="1" customFormat="1" ht="15" customHeight="1" x14ac:dyDescent="0.3">
      <c r="A58" s="647"/>
      <c r="B58" s="640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626">
        <v>640</v>
      </c>
      <c r="K58" s="13"/>
    </row>
    <row r="59" spans="1:11" s="1" customFormat="1" ht="15" customHeight="1" x14ac:dyDescent="0.3">
      <c r="A59" s="647"/>
      <c r="B59" s="640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626">
        <v>800</v>
      </c>
      <c r="K59" s="13"/>
    </row>
    <row r="60" spans="1:11" s="1" customFormat="1" ht="15" customHeight="1" x14ac:dyDescent="0.3">
      <c r="A60" s="647"/>
      <c r="B60" s="640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626">
        <v>960</v>
      </c>
      <c r="K60" s="13"/>
    </row>
    <row r="61" spans="1:11" s="1" customFormat="1" ht="15" customHeight="1" x14ac:dyDescent="0.3">
      <c r="A61" s="647"/>
      <c r="B61" s="640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626">
        <v>1000</v>
      </c>
      <c r="K61" s="26"/>
    </row>
    <row r="62" spans="1:11" s="1" customFormat="1" ht="15" customHeight="1" x14ac:dyDescent="0.3">
      <c r="A62" s="647"/>
      <c r="B62" s="640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626">
        <v>1100</v>
      </c>
      <c r="K62" s="26"/>
    </row>
    <row r="63" spans="1:11" s="1" customFormat="1" ht="15" customHeight="1" x14ac:dyDescent="0.3">
      <c r="A63" s="647"/>
      <c r="B63" s="640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626">
        <v>1300</v>
      </c>
      <c r="K63" s="26"/>
    </row>
    <row r="64" spans="1:11" s="1" customFormat="1" ht="15" customHeight="1" x14ac:dyDescent="0.3">
      <c r="A64" s="647"/>
      <c r="B64" s="641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626">
        <v>1400</v>
      </c>
      <c r="K64" s="26"/>
    </row>
    <row r="65" spans="1:11" s="1" customFormat="1" ht="15" customHeight="1" x14ac:dyDescent="0.3">
      <c r="A65" s="647"/>
      <c r="B65" s="639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626">
        <v>1600</v>
      </c>
      <c r="K65" s="13"/>
    </row>
    <row r="66" spans="1:11" s="1" customFormat="1" ht="15" customHeight="1" x14ac:dyDescent="0.3">
      <c r="A66" s="647"/>
      <c r="B66" s="640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626">
        <v>1800</v>
      </c>
      <c r="K66" s="13"/>
    </row>
    <row r="67" spans="1:11" s="1" customFormat="1" ht="15" customHeight="1" x14ac:dyDescent="0.3">
      <c r="A67" s="647"/>
      <c r="B67" s="640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626">
        <v>2100</v>
      </c>
      <c r="K67" s="13"/>
    </row>
    <row r="68" spans="1:11" s="1" customFormat="1" ht="15" customHeight="1" x14ac:dyDescent="0.3">
      <c r="A68" s="647"/>
      <c r="B68" s="640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626">
        <v>1600</v>
      </c>
      <c r="K68" s="26"/>
    </row>
    <row r="69" spans="1:11" s="1" customFormat="1" ht="15" customHeight="1" x14ac:dyDescent="0.3">
      <c r="A69" s="647"/>
      <c r="B69" s="640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626">
        <v>1800</v>
      </c>
      <c r="K69" s="26"/>
    </row>
    <row r="70" spans="1:11" s="1" customFormat="1" ht="15" customHeight="1" x14ac:dyDescent="0.3">
      <c r="A70" s="648"/>
      <c r="B70" s="640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626">
        <v>2100</v>
      </c>
      <c r="K70" s="26"/>
    </row>
    <row r="71" spans="1:11" ht="15" customHeight="1" x14ac:dyDescent="0.3">
      <c r="A71" s="644" t="s">
        <v>63</v>
      </c>
      <c r="B71" s="643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627"/>
      <c r="K71" s="13"/>
    </row>
    <row r="72" spans="1:11" ht="15" customHeight="1" x14ac:dyDescent="0.3">
      <c r="A72" s="643"/>
      <c r="B72" s="643"/>
      <c r="C72" s="7"/>
      <c r="D72" s="9" t="s">
        <v>66</v>
      </c>
      <c r="E72" s="3">
        <v>0</v>
      </c>
      <c r="G72" s="8"/>
      <c r="H72" s="11"/>
      <c r="I72" s="12"/>
      <c r="J72" s="627"/>
      <c r="K72" s="13"/>
    </row>
    <row r="73" spans="1:11" ht="15" customHeight="1" x14ac:dyDescent="0.3">
      <c r="A73" s="643"/>
      <c r="B73" s="643"/>
      <c r="C73" s="7"/>
      <c r="D73" s="9" t="s">
        <v>67</v>
      </c>
      <c r="E73" s="3">
        <v>0</v>
      </c>
      <c r="G73" s="8"/>
      <c r="H73" s="11"/>
      <c r="I73" s="12"/>
      <c r="J73" s="627"/>
      <c r="K73" s="13"/>
    </row>
    <row r="74" spans="1:11" ht="15" customHeight="1" x14ac:dyDescent="0.3">
      <c r="A74" s="643"/>
      <c r="B74" s="643"/>
      <c r="C74" s="7"/>
      <c r="D74" s="9" t="s">
        <v>68</v>
      </c>
      <c r="E74" s="3">
        <v>0</v>
      </c>
      <c r="G74" s="8"/>
      <c r="H74" s="11"/>
      <c r="I74" s="12"/>
      <c r="J74" s="627"/>
      <c r="K74" s="13"/>
    </row>
    <row r="75" spans="1:11" ht="15" customHeight="1" x14ac:dyDescent="0.3">
      <c r="A75" s="643"/>
      <c r="B75" s="643"/>
      <c r="C75" s="7"/>
      <c r="D75" s="9" t="s">
        <v>69</v>
      </c>
      <c r="E75" s="3">
        <v>0</v>
      </c>
      <c r="G75" s="8"/>
      <c r="H75" s="11"/>
      <c r="I75" s="12"/>
      <c r="J75" s="627"/>
      <c r="K75" s="13"/>
    </row>
    <row r="76" spans="1:11" ht="15" customHeight="1" x14ac:dyDescent="0.3">
      <c r="A76" s="643"/>
      <c r="B76" s="643"/>
      <c r="C76" s="7"/>
      <c r="D76" s="9" t="s">
        <v>70</v>
      </c>
      <c r="E76" s="3">
        <v>0</v>
      </c>
      <c r="G76" s="8"/>
      <c r="H76" s="11"/>
      <c r="I76" s="12"/>
      <c r="J76" s="627"/>
      <c r="K76" s="13"/>
    </row>
    <row r="77" spans="1:11" ht="15" customHeight="1" x14ac:dyDescent="0.3">
      <c r="A77" s="643"/>
      <c r="B77" s="643"/>
      <c r="C77" s="7"/>
      <c r="D77" s="9" t="s">
        <v>71</v>
      </c>
      <c r="E77" s="3">
        <v>0</v>
      </c>
      <c r="G77" s="8"/>
      <c r="H77" s="11"/>
      <c r="I77" s="12"/>
      <c r="J77" s="627"/>
      <c r="K77" s="13"/>
    </row>
    <row r="78" spans="1:11" ht="15" customHeight="1" x14ac:dyDescent="0.3">
      <c r="A78" s="643"/>
      <c r="B78" s="643"/>
      <c r="C78" s="7"/>
      <c r="D78" s="9" t="s">
        <v>72</v>
      </c>
      <c r="E78" s="3">
        <v>0</v>
      </c>
      <c r="G78" s="8"/>
      <c r="H78" s="11"/>
      <c r="I78" s="12"/>
      <c r="J78" s="627"/>
      <c r="K78" s="13"/>
    </row>
    <row r="79" spans="1:11" ht="15" customHeight="1" x14ac:dyDescent="0.3">
      <c r="A79" s="643"/>
      <c r="B79" s="643"/>
      <c r="C79" s="7"/>
      <c r="D79" s="9" t="s">
        <v>73</v>
      </c>
      <c r="E79" s="3">
        <v>0</v>
      </c>
      <c r="G79" s="8"/>
      <c r="H79" s="11"/>
      <c r="I79" s="12"/>
      <c r="J79" s="627"/>
      <c r="K79" s="13"/>
    </row>
    <row r="80" spans="1:11" ht="15" customHeight="1" x14ac:dyDescent="0.3">
      <c r="A80" s="643"/>
      <c r="B80" s="643"/>
      <c r="C80" s="7">
        <v>74</v>
      </c>
      <c r="D80" s="9" t="s">
        <v>74</v>
      </c>
      <c r="E80" s="3">
        <v>0</v>
      </c>
      <c r="G80" s="8"/>
      <c r="H80" s="11"/>
      <c r="I80" s="12"/>
      <c r="J80" s="627"/>
      <c r="K80" s="13"/>
    </row>
    <row r="81" spans="1:11" ht="15" customHeight="1" x14ac:dyDescent="0.3">
      <c r="A81" s="643"/>
      <c r="B81" s="643"/>
      <c r="C81" s="7" t="s">
        <v>75</v>
      </c>
      <c r="D81" s="9" t="s">
        <v>76</v>
      </c>
      <c r="E81" s="3">
        <v>0</v>
      </c>
      <c r="G81" s="8"/>
      <c r="H81" s="11"/>
      <c r="I81" s="12"/>
      <c r="J81" s="627"/>
      <c r="K81" s="13"/>
    </row>
    <row r="82" spans="1:11" ht="15" customHeight="1" x14ac:dyDescent="0.3">
      <c r="A82" s="643"/>
      <c r="B82" s="643"/>
      <c r="C82" s="7"/>
      <c r="D82" s="9" t="s">
        <v>76</v>
      </c>
      <c r="E82" s="3">
        <v>0</v>
      </c>
      <c r="G82" s="8"/>
      <c r="H82" s="11"/>
      <c r="I82" s="12"/>
      <c r="J82" s="627"/>
      <c r="K82" s="13"/>
    </row>
    <row r="83" spans="1:11" ht="15" customHeight="1" x14ac:dyDescent="0.3">
      <c r="A83" s="643"/>
      <c r="B83" s="643"/>
      <c r="C83" s="7"/>
      <c r="D83" s="9" t="s">
        <v>76</v>
      </c>
      <c r="E83" s="3">
        <v>0</v>
      </c>
      <c r="G83" s="8"/>
      <c r="H83" s="11"/>
      <c r="I83" s="12"/>
      <c r="J83" s="627"/>
      <c r="K83" s="13"/>
    </row>
    <row r="84" spans="1:11" ht="15" customHeight="1" x14ac:dyDescent="0.3">
      <c r="A84" s="643"/>
      <c r="B84" s="643"/>
      <c r="C84" s="7"/>
      <c r="D84" s="9" t="s">
        <v>77</v>
      </c>
      <c r="E84" s="3">
        <v>0</v>
      </c>
      <c r="G84" s="8"/>
      <c r="H84" s="11"/>
      <c r="I84" s="12"/>
      <c r="J84" s="627"/>
      <c r="K84" s="13"/>
    </row>
    <row r="85" spans="1:11" ht="15" customHeight="1" x14ac:dyDescent="0.3">
      <c r="A85" s="643"/>
      <c r="B85" s="643"/>
      <c r="C85" s="7"/>
      <c r="D85" s="9" t="s">
        <v>77</v>
      </c>
      <c r="E85" s="3">
        <v>0</v>
      </c>
      <c r="G85" s="8"/>
      <c r="H85" s="11"/>
      <c r="I85" s="12"/>
      <c r="J85" s="627"/>
      <c r="K85" s="13"/>
    </row>
    <row r="86" spans="1:11" ht="15" customHeight="1" x14ac:dyDescent="0.3">
      <c r="A86" s="643"/>
      <c r="B86" s="643"/>
      <c r="C86" s="7"/>
      <c r="D86" s="9" t="s">
        <v>78</v>
      </c>
      <c r="E86" s="3">
        <v>0</v>
      </c>
      <c r="G86" s="8"/>
      <c r="H86" s="11"/>
      <c r="I86" s="12"/>
      <c r="J86" s="627"/>
      <c r="K86" s="13"/>
    </row>
    <row r="87" spans="1:11" ht="15" customHeight="1" x14ac:dyDescent="0.3">
      <c r="A87" s="643"/>
      <c r="B87" s="643"/>
      <c r="C87" s="7">
        <v>120</v>
      </c>
      <c r="D87" s="9" t="s">
        <v>79</v>
      </c>
      <c r="E87" s="3">
        <v>0</v>
      </c>
      <c r="G87" s="8"/>
      <c r="H87" s="11"/>
      <c r="I87" s="12"/>
      <c r="J87" s="627"/>
      <c r="K87" s="13"/>
    </row>
    <row r="88" spans="1:11" ht="15" customHeight="1" x14ac:dyDescent="0.3">
      <c r="A88" s="643"/>
      <c r="B88" s="643"/>
      <c r="C88" s="7"/>
      <c r="D88" s="9" t="s">
        <v>80</v>
      </c>
      <c r="E88" s="3">
        <v>0</v>
      </c>
      <c r="G88" s="8"/>
      <c r="H88" s="11"/>
      <c r="I88" s="12"/>
      <c r="J88" s="627"/>
      <c r="K88" s="13"/>
    </row>
    <row r="89" spans="1:11" ht="15" customHeight="1" x14ac:dyDescent="0.3">
      <c r="A89" s="643"/>
      <c r="B89" s="643"/>
      <c r="C89" s="7"/>
      <c r="D89" s="9" t="s">
        <v>72</v>
      </c>
      <c r="E89" s="3">
        <v>0</v>
      </c>
      <c r="G89" s="8"/>
      <c r="H89" s="11"/>
      <c r="I89" s="12"/>
      <c r="J89" s="627"/>
      <c r="K89" s="13"/>
    </row>
    <row r="90" spans="1:11" ht="15" customHeight="1" x14ac:dyDescent="0.3">
      <c r="A90" s="643"/>
      <c r="B90" s="643"/>
      <c r="C90" s="7"/>
      <c r="D90" s="9" t="s">
        <v>81</v>
      </c>
      <c r="E90" s="3">
        <v>0</v>
      </c>
      <c r="G90" s="8"/>
      <c r="H90" s="11"/>
      <c r="I90" s="12"/>
      <c r="J90" s="627"/>
      <c r="K90" s="13"/>
    </row>
    <row r="91" spans="1:11" s="1" customFormat="1" ht="15" customHeight="1" x14ac:dyDescent="0.3">
      <c r="A91" s="643"/>
      <c r="B91" s="643"/>
      <c r="C91" s="7">
        <v>180</v>
      </c>
      <c r="D91" s="9" t="s">
        <v>79</v>
      </c>
      <c r="E91" s="1">
        <v>0</v>
      </c>
      <c r="G91" s="8"/>
      <c r="H91" s="11"/>
      <c r="I91" s="12"/>
      <c r="J91" s="627"/>
      <c r="K91" s="13"/>
    </row>
    <row r="92" spans="1:11" s="1" customFormat="1" ht="15" customHeight="1" x14ac:dyDescent="0.3">
      <c r="A92" s="643"/>
      <c r="B92" s="643"/>
      <c r="C92" s="7"/>
      <c r="D92" s="9" t="s">
        <v>82</v>
      </c>
      <c r="E92" s="1">
        <v>0</v>
      </c>
      <c r="G92" s="8"/>
      <c r="H92" s="11"/>
      <c r="I92" s="12"/>
      <c r="J92" s="627"/>
      <c r="K92" s="13"/>
    </row>
    <row r="93" spans="1:11" ht="15" customHeight="1" x14ac:dyDescent="0.3">
      <c r="A93" s="643"/>
      <c r="B93" s="643"/>
      <c r="C93" s="7"/>
      <c r="D93" s="9" t="s">
        <v>72</v>
      </c>
      <c r="E93" s="3">
        <v>0</v>
      </c>
      <c r="G93" s="8"/>
      <c r="H93" s="11"/>
      <c r="I93" s="12"/>
      <c r="J93" s="627"/>
      <c r="K93" s="13"/>
    </row>
    <row r="94" spans="1:11" ht="15" customHeight="1" x14ac:dyDescent="0.3">
      <c r="A94" s="643"/>
      <c r="B94" s="643"/>
      <c r="C94" s="7"/>
      <c r="D94" s="9" t="s">
        <v>83</v>
      </c>
      <c r="E94" s="3">
        <v>0</v>
      </c>
      <c r="G94" s="8"/>
      <c r="H94" s="11"/>
      <c r="I94" s="12"/>
      <c r="J94" s="627"/>
      <c r="K94" s="13"/>
    </row>
    <row r="95" spans="1:11" ht="15" customHeight="1" x14ac:dyDescent="0.3">
      <c r="A95" s="643"/>
      <c r="B95" s="643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627"/>
      <c r="K95" s="13"/>
    </row>
    <row r="96" spans="1:11" ht="15" customHeight="1" x14ac:dyDescent="0.3">
      <c r="A96" s="643"/>
      <c r="B96" s="643"/>
      <c r="C96" s="7"/>
      <c r="D96" s="9" t="s">
        <v>86</v>
      </c>
      <c r="E96" s="3">
        <v>0</v>
      </c>
      <c r="G96" s="8"/>
      <c r="H96" s="11"/>
      <c r="I96" s="12"/>
      <c r="J96" s="627"/>
      <c r="K96" s="13"/>
    </row>
    <row r="97" spans="1:11" ht="15" customHeight="1" x14ac:dyDescent="0.3">
      <c r="A97" s="643"/>
      <c r="B97" s="643"/>
      <c r="C97" s="7">
        <v>180</v>
      </c>
      <c r="D97" s="9" t="s">
        <v>85</v>
      </c>
      <c r="E97" s="3">
        <v>0</v>
      </c>
      <c r="G97" s="8"/>
      <c r="H97" s="11"/>
      <c r="I97" s="12"/>
      <c r="J97" s="627"/>
      <c r="K97" s="13"/>
    </row>
    <row r="98" spans="1:11" ht="15" customHeight="1" x14ac:dyDescent="0.3">
      <c r="A98" s="643"/>
      <c r="B98" s="643"/>
      <c r="C98" s="7"/>
      <c r="D98" s="9" t="s">
        <v>87</v>
      </c>
      <c r="E98" s="3">
        <v>0</v>
      </c>
      <c r="G98" s="8"/>
      <c r="H98" s="11"/>
      <c r="I98" s="12"/>
      <c r="J98" s="627"/>
      <c r="K98" s="13"/>
    </row>
    <row r="99" spans="1:11" s="1" customFormat="1" ht="15" customHeight="1" x14ac:dyDescent="0.3">
      <c r="A99" s="644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627"/>
      <c r="K99" s="13"/>
    </row>
    <row r="100" spans="1:11" s="1" customFormat="1" ht="15" customHeight="1" x14ac:dyDescent="0.3">
      <c r="A100" s="643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627"/>
      <c r="K100" s="13"/>
    </row>
    <row r="101" spans="1:11" s="1" customFormat="1" ht="15" customHeight="1" x14ac:dyDescent="0.3">
      <c r="A101" s="643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627"/>
      <c r="K101" s="13"/>
    </row>
    <row r="102" spans="1:11" s="1" customFormat="1" ht="15" customHeight="1" x14ac:dyDescent="0.3">
      <c r="A102" s="643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 x14ac:dyDescent="0.3">
      <c r="A103" s="643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 x14ac:dyDescent="0.3">
      <c r="A104" s="643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 x14ac:dyDescent="0.3">
      <c r="A105" s="643"/>
      <c r="B105" s="639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 x14ac:dyDescent="0.3">
      <c r="A106" s="643"/>
      <c r="B106" s="641"/>
      <c r="C106" s="16"/>
      <c r="D106" s="29" t="s">
        <v>103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 x14ac:dyDescent="0.3">
      <c r="A107" s="643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 x14ac:dyDescent="0.3">
      <c r="A108" s="643"/>
      <c r="B108" s="643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 x14ac:dyDescent="0.3">
      <c r="A109" s="643"/>
      <c r="B109" s="643"/>
      <c r="C109" s="27"/>
      <c r="D109" s="28" t="s">
        <v>108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 x14ac:dyDescent="0.3">
      <c r="A110" s="643"/>
      <c r="B110" s="643"/>
      <c r="C110" s="27"/>
      <c r="D110" s="28" t="s">
        <v>109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 x14ac:dyDescent="0.3">
      <c r="A111" s="643"/>
      <c r="B111" s="643"/>
      <c r="C111" s="27"/>
      <c r="D111" s="28" t="s">
        <v>110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 x14ac:dyDescent="0.3">
      <c r="A112" s="643"/>
      <c r="B112" s="643"/>
      <c r="C112" s="27"/>
      <c r="D112" s="28" t="s">
        <v>111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 x14ac:dyDescent="0.3">
      <c r="A113" s="643"/>
      <c r="B113" s="639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 x14ac:dyDescent="0.3">
      <c r="A114" s="643"/>
      <c r="B114" s="640"/>
      <c r="C114" s="27"/>
      <c r="D114" s="28" t="s">
        <v>114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 x14ac:dyDescent="0.3">
      <c r="A115" s="643"/>
      <c r="B115" s="640"/>
      <c r="C115" s="27"/>
      <c r="D115" s="28" t="s">
        <v>115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 x14ac:dyDescent="0.3">
      <c r="A116" s="643"/>
      <c r="B116" s="640"/>
      <c r="C116" s="27"/>
      <c r="D116" s="28" t="s">
        <v>116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 x14ac:dyDescent="0.3">
      <c r="A117" s="643"/>
      <c r="B117" s="640"/>
      <c r="C117" s="27"/>
      <c r="D117" s="28" t="s">
        <v>117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 x14ac:dyDescent="0.3">
      <c r="A118" s="643"/>
      <c r="B118" s="641"/>
      <c r="C118" s="27"/>
      <c r="D118" s="28" t="s">
        <v>118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 x14ac:dyDescent="0.3">
      <c r="A119" s="643"/>
      <c r="B119" s="643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 x14ac:dyDescent="0.3">
      <c r="A120" s="643"/>
      <c r="B120" s="643"/>
      <c r="C120" s="27"/>
      <c r="D120" s="28" t="s">
        <v>121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 x14ac:dyDescent="0.3">
      <c r="A121" s="643"/>
      <c r="B121" s="643"/>
      <c r="C121" s="27"/>
      <c r="D121" s="28" t="s">
        <v>122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 x14ac:dyDescent="0.3">
      <c r="A122" s="643"/>
      <c r="B122" s="643"/>
      <c r="C122" s="27"/>
      <c r="D122" s="28" t="s">
        <v>123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 x14ac:dyDescent="0.3">
      <c r="A123" s="643"/>
      <c r="B123" s="643"/>
      <c r="C123" s="27"/>
      <c r="D123" s="28" t="s">
        <v>124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 x14ac:dyDescent="0.3">
      <c r="A124" s="643"/>
      <c r="B124" s="643"/>
      <c r="C124" s="27"/>
      <c r="D124" s="28" t="s">
        <v>125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 x14ac:dyDescent="0.3">
      <c r="A125" s="643"/>
      <c r="B125" s="639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 x14ac:dyDescent="0.3">
      <c r="A126" s="643"/>
      <c r="B126" s="641"/>
      <c r="C126" s="27"/>
      <c r="D126" s="28" t="s">
        <v>127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 x14ac:dyDescent="0.3">
      <c r="A127" s="643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 x14ac:dyDescent="0.3">
      <c r="A128" s="643"/>
      <c r="B128" s="639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 x14ac:dyDescent="0.3">
      <c r="A129" s="643"/>
      <c r="B129" s="640"/>
      <c r="C129" s="27"/>
      <c r="D129" s="28" t="s">
        <v>131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 x14ac:dyDescent="0.3">
      <c r="A130" s="643"/>
      <c r="B130" s="640"/>
      <c r="C130" s="27"/>
      <c r="D130" s="28" t="s">
        <v>132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 x14ac:dyDescent="0.3">
      <c r="A131" s="643"/>
      <c r="B131" s="641"/>
      <c r="C131" s="27"/>
      <c r="D131" s="28" t="s">
        <v>133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 x14ac:dyDescent="0.3">
      <c r="A132" s="643"/>
      <c r="B132" s="643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 x14ac:dyDescent="0.3">
      <c r="A133" s="643"/>
      <c r="B133" s="643"/>
      <c r="C133" s="27"/>
      <c r="D133" s="28" t="s">
        <v>135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 x14ac:dyDescent="0.3">
      <c r="A134" s="643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 x14ac:dyDescent="0.3">
      <c r="A135" s="643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 x14ac:dyDescent="0.3">
      <c r="A136" s="643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 x14ac:dyDescent="0.3">
      <c r="A137" s="643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 x14ac:dyDescent="0.3">
      <c r="A138" s="643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 x14ac:dyDescent="0.3">
      <c r="A139" s="643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 x14ac:dyDescent="0.3">
      <c r="A140" s="643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 x14ac:dyDescent="0.3">
      <c r="A141" s="643"/>
      <c r="B141" s="639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 x14ac:dyDescent="0.3">
      <c r="A142" s="643"/>
      <c r="B142" s="641"/>
      <c r="C142" s="27"/>
      <c r="D142" s="28" t="s">
        <v>151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 x14ac:dyDescent="0.3">
      <c r="A143" s="643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 x14ac:dyDescent="0.3">
      <c r="A144" s="643"/>
      <c r="B144" s="639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 x14ac:dyDescent="0.3">
      <c r="A145" s="643"/>
      <c r="B145" s="640"/>
      <c r="C145" s="27"/>
      <c r="D145" s="28" t="s">
        <v>155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 x14ac:dyDescent="0.3">
      <c r="A146" s="643"/>
      <c r="B146" s="640"/>
      <c r="C146" s="27"/>
      <c r="D146" s="28" t="s">
        <v>156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 x14ac:dyDescent="0.3">
      <c r="A147" s="643"/>
      <c r="B147" s="640"/>
      <c r="C147" s="27"/>
      <c r="D147" s="28" t="s">
        <v>157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 x14ac:dyDescent="0.3">
      <c r="A148" s="643"/>
      <c r="B148" s="640"/>
      <c r="C148" s="31"/>
      <c r="D148" s="32" t="s">
        <v>158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 x14ac:dyDescent="0.3">
      <c r="A149" s="643"/>
      <c r="B149" s="639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 x14ac:dyDescent="0.3">
      <c r="A150" s="643"/>
      <c r="B150" s="640"/>
      <c r="C150" s="27"/>
      <c r="D150" s="28" t="s">
        <v>160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 x14ac:dyDescent="0.3">
      <c r="A151" s="643"/>
      <c r="B151" s="640"/>
      <c r="C151" s="27"/>
      <c r="D151" s="28" t="s">
        <v>161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 x14ac:dyDescent="0.3">
      <c r="A152" s="643"/>
      <c r="B152" s="640"/>
      <c r="C152" s="27"/>
      <c r="D152" s="28" t="s">
        <v>162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 x14ac:dyDescent="0.3">
      <c r="A153" s="643"/>
      <c r="B153" s="640"/>
      <c r="C153" s="31"/>
      <c r="D153" s="32" t="s">
        <v>163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 x14ac:dyDescent="0.3">
      <c r="A154" s="643"/>
      <c r="B154" s="643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 x14ac:dyDescent="0.3">
      <c r="A155" s="643"/>
      <c r="B155" s="643"/>
      <c r="C155" s="27"/>
      <c r="D155" s="28" t="s">
        <v>165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 x14ac:dyDescent="0.3">
      <c r="A156" s="643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 x14ac:dyDescent="0.3">
      <c r="A157" s="643"/>
      <c r="B157" s="639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 x14ac:dyDescent="0.3">
      <c r="A158" s="643"/>
      <c r="B158" s="641"/>
      <c r="C158" s="27"/>
      <c r="D158" s="28" t="s">
        <v>168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 x14ac:dyDescent="0.3">
      <c r="A159" s="643"/>
      <c r="B159" s="639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 x14ac:dyDescent="0.3">
      <c r="A160" s="643"/>
      <c r="B160" s="640"/>
      <c r="C160" s="27"/>
      <c r="D160" s="28" t="s">
        <v>170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 x14ac:dyDescent="0.3">
      <c r="A161" s="643"/>
      <c r="B161" s="641"/>
      <c r="C161" s="27"/>
      <c r="D161" s="28" t="s">
        <v>171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 x14ac:dyDescent="0.3">
      <c r="A162" s="643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 x14ac:dyDescent="0.3">
      <c r="A163" s="643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 x14ac:dyDescent="0.3">
      <c r="A164" s="643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 x14ac:dyDescent="0.3">
      <c r="A165" s="643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 x14ac:dyDescent="0.3">
      <c r="A166" s="643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 x14ac:dyDescent="0.3">
      <c r="A167" s="643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 x14ac:dyDescent="0.3">
      <c r="A168" s="643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 x14ac:dyDescent="0.3">
      <c r="A169" s="643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 x14ac:dyDescent="0.3">
      <c r="A170" s="643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 x14ac:dyDescent="0.3">
      <c r="A171" s="643"/>
      <c r="B171" s="639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 x14ac:dyDescent="0.3">
      <c r="A172" s="643"/>
      <c r="B172" s="641"/>
      <c r="C172" s="27"/>
      <c r="D172" s="28" t="s">
        <v>189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 x14ac:dyDescent="0.3">
      <c r="A173" s="643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 x14ac:dyDescent="0.3">
      <c r="A174" s="643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 x14ac:dyDescent="0.3">
      <c r="A175" s="643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 x14ac:dyDescent="0.3">
      <c r="A176" s="643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 x14ac:dyDescent="0.3">
      <c r="A177" s="643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 x14ac:dyDescent="0.3">
      <c r="A178" s="643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 x14ac:dyDescent="0.3">
      <c r="A179" s="643"/>
      <c r="B179" s="639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 x14ac:dyDescent="0.3">
      <c r="A180" s="643"/>
      <c r="B180" s="640"/>
      <c r="C180" s="27"/>
      <c r="D180" s="28" t="s">
        <v>201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 x14ac:dyDescent="0.3">
      <c r="A181" s="643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 x14ac:dyDescent="0.3">
      <c r="A182" s="643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 x14ac:dyDescent="0.3">
      <c r="A183" s="643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 x14ac:dyDescent="0.3">
      <c r="A184" s="643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 x14ac:dyDescent="0.3">
      <c r="A185" s="643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 x14ac:dyDescent="0.3">
      <c r="A186" s="643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627"/>
      <c r="K186" s="13"/>
    </row>
    <row r="187" spans="1:11" ht="15" customHeight="1" x14ac:dyDescent="0.3">
      <c r="A187" s="644" t="s">
        <v>214</v>
      </c>
      <c r="B187" s="643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626">
        <v>100</v>
      </c>
      <c r="K187" s="13"/>
    </row>
    <row r="188" spans="1:11" ht="15" customHeight="1" x14ac:dyDescent="0.3">
      <c r="A188" s="644"/>
      <c r="B188" s="643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626">
        <v>127</v>
      </c>
      <c r="K188" s="13"/>
    </row>
    <row r="189" spans="1:11" ht="15" customHeight="1" x14ac:dyDescent="0.3">
      <c r="A189" s="644"/>
      <c r="B189" s="643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626">
        <v>157</v>
      </c>
      <c r="K189" s="13"/>
    </row>
    <row r="190" spans="1:11" ht="15" customHeight="1" x14ac:dyDescent="0.3">
      <c r="A190" s="644"/>
      <c r="B190" s="643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626">
        <v>182</v>
      </c>
      <c r="K190" s="13"/>
    </row>
    <row r="191" spans="1:11" ht="15" customHeight="1" x14ac:dyDescent="0.3">
      <c r="A191" s="644"/>
      <c r="B191" s="643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626">
        <v>100</v>
      </c>
      <c r="K191" s="13"/>
    </row>
    <row r="192" spans="1:11" ht="15" customHeight="1" x14ac:dyDescent="0.3">
      <c r="A192" s="644"/>
      <c r="B192" s="643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626">
        <v>127</v>
      </c>
      <c r="K192" s="13"/>
    </row>
    <row r="193" spans="1:11" ht="15" customHeight="1" x14ac:dyDescent="0.3">
      <c r="A193" s="644"/>
      <c r="B193" s="643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626">
        <v>157</v>
      </c>
      <c r="K193" s="13"/>
    </row>
    <row r="194" spans="1:11" ht="15" customHeight="1" x14ac:dyDescent="0.3">
      <c r="A194" s="644"/>
      <c r="B194" s="643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626">
        <v>182</v>
      </c>
      <c r="K194" s="13"/>
    </row>
    <row r="195" spans="1:11" ht="15" customHeight="1" x14ac:dyDescent="0.3">
      <c r="A195" s="639" t="s">
        <v>215</v>
      </c>
      <c r="B195" s="639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627"/>
      <c r="K195" s="13"/>
    </row>
    <row r="196" spans="1:11" ht="15" customHeight="1" x14ac:dyDescent="0.3">
      <c r="A196" s="640"/>
      <c r="B196" s="641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627"/>
      <c r="K196" s="13"/>
    </row>
    <row r="197" spans="1:11" ht="15" customHeight="1" x14ac:dyDescent="0.3">
      <c r="A197" s="640"/>
      <c r="B197" s="639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627"/>
      <c r="K197" s="13"/>
    </row>
    <row r="198" spans="1:11" ht="15" customHeight="1" x14ac:dyDescent="0.3">
      <c r="A198" s="641"/>
      <c r="B198" s="641"/>
      <c r="C198" s="33"/>
      <c r="D198" s="21" t="s">
        <v>218</v>
      </c>
      <c r="E198" s="3">
        <v>0</v>
      </c>
      <c r="G198" s="8"/>
      <c r="H198" s="11"/>
      <c r="I198" s="12"/>
      <c r="J198" s="627"/>
      <c r="K198" s="13"/>
    </row>
    <row r="199" spans="1:11" ht="15" customHeight="1" x14ac:dyDescent="0.3">
      <c r="A199" s="645" t="s">
        <v>220</v>
      </c>
      <c r="B199" s="639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 x14ac:dyDescent="0.3">
      <c r="A200" s="647"/>
      <c r="B200" s="640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627"/>
      <c r="K200" s="13"/>
    </row>
    <row r="201" spans="1:11" ht="15" customHeight="1" x14ac:dyDescent="0.3">
      <c r="A201" s="647"/>
      <c r="B201" s="640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627"/>
      <c r="K201" s="13"/>
    </row>
    <row r="202" spans="1:11" ht="15" customHeight="1" x14ac:dyDescent="0.3">
      <c r="A202" s="647"/>
      <c r="B202" s="640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 x14ac:dyDescent="0.3">
      <c r="A203" s="648"/>
      <c r="B203" s="641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 x14ac:dyDescent="0.3">
      <c r="A204" s="643" t="s">
        <v>227</v>
      </c>
      <c r="B204" s="639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 x14ac:dyDescent="0.3">
      <c r="A205" s="643"/>
      <c r="B205" s="641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 x14ac:dyDescent="0.3">
      <c r="A206" s="643"/>
      <c r="B206" s="639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627"/>
      <c r="K206" s="13"/>
    </row>
    <row r="207" spans="1:11" ht="15" customHeight="1" x14ac:dyDescent="0.3">
      <c r="A207" s="643"/>
      <c r="B207" s="641"/>
      <c r="C207" s="33"/>
      <c r="D207" s="21" t="s">
        <v>229</v>
      </c>
      <c r="E207" s="3">
        <v>0</v>
      </c>
      <c r="G207" s="8"/>
      <c r="H207" s="11"/>
      <c r="I207" s="12"/>
      <c r="J207" s="627"/>
      <c r="K207" s="13"/>
    </row>
    <row r="208" spans="1:11" ht="15" customHeight="1" x14ac:dyDescent="0.3">
      <c r="A208" s="643" t="s">
        <v>230</v>
      </c>
      <c r="B208" s="639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 x14ac:dyDescent="0.3">
      <c r="A209" s="643"/>
      <c r="B209" s="640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627"/>
      <c r="K209" s="13"/>
    </row>
    <row r="210" spans="1:11" ht="15" customHeight="1" x14ac:dyDescent="0.3">
      <c r="A210" s="643"/>
      <c r="B210" s="640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627"/>
      <c r="K210" s="13"/>
    </row>
    <row r="211" spans="1:11" ht="15" customHeight="1" x14ac:dyDescent="0.3">
      <c r="A211" s="644" t="s">
        <v>234</v>
      </c>
      <c r="B211" s="643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627"/>
      <c r="K211" s="13"/>
    </row>
    <row r="212" spans="1:11" ht="15" customHeight="1" x14ac:dyDescent="0.3">
      <c r="A212" s="644"/>
      <c r="B212" s="643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627"/>
      <c r="K212" s="13"/>
    </row>
    <row r="213" spans="1:11" ht="15" customHeight="1" x14ac:dyDescent="0.3">
      <c r="A213" s="644"/>
      <c r="B213" s="643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627"/>
      <c r="K213" s="13"/>
    </row>
    <row r="214" spans="1:11" ht="15" customHeight="1" x14ac:dyDescent="0.3">
      <c r="A214" s="644"/>
      <c r="B214" s="643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627"/>
      <c r="K214" s="13"/>
    </row>
    <row r="215" spans="1:11" ht="15" customHeight="1" x14ac:dyDescent="0.3">
      <c r="A215" s="644"/>
      <c r="B215" s="643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627"/>
      <c r="K215" s="13"/>
    </row>
    <row r="216" spans="1:11" ht="15" customHeight="1" x14ac:dyDescent="0.3">
      <c r="A216" s="644"/>
      <c r="B216" s="643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627"/>
      <c r="K216" s="13"/>
    </row>
    <row r="217" spans="1:11" ht="15" customHeight="1" x14ac:dyDescent="0.3">
      <c r="A217" s="644"/>
      <c r="B217" s="643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 x14ac:dyDescent="0.3">
      <c r="A218" s="644"/>
      <c r="B218" s="643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 x14ac:dyDescent="0.3">
      <c r="A219" s="645" t="s">
        <v>245</v>
      </c>
      <c r="B219" s="643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627"/>
      <c r="K219" s="13"/>
    </row>
    <row r="220" spans="1:11" ht="15" customHeight="1" x14ac:dyDescent="0.3">
      <c r="A220" s="647"/>
      <c r="B220" s="643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627"/>
      <c r="K220" s="13"/>
    </row>
    <row r="221" spans="1:11" ht="15" customHeight="1" x14ac:dyDescent="0.3">
      <c r="A221" s="647"/>
      <c r="B221" s="643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627"/>
      <c r="K221" s="13"/>
    </row>
    <row r="222" spans="1:11" ht="15" customHeight="1" x14ac:dyDescent="0.3">
      <c r="A222" s="647"/>
      <c r="B222" s="643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627"/>
      <c r="K222" s="13"/>
    </row>
    <row r="223" spans="1:11" ht="15" customHeight="1" x14ac:dyDescent="0.3">
      <c r="A223" s="647"/>
      <c r="B223" s="643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 x14ac:dyDescent="0.3">
      <c r="A224" s="647"/>
      <c r="B224" s="643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 x14ac:dyDescent="0.3">
      <c r="A225" s="647"/>
      <c r="B225" s="643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 x14ac:dyDescent="0.3">
      <c r="A226" s="647"/>
      <c r="B226" s="643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 x14ac:dyDescent="0.3">
      <c r="A227" s="647"/>
      <c r="B227" s="643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 x14ac:dyDescent="0.3">
      <c r="A228" s="647"/>
      <c r="B228" s="643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 x14ac:dyDescent="0.3">
      <c r="A229" s="647"/>
      <c r="B229" s="643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 x14ac:dyDescent="0.3">
      <c r="A230" s="648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 x14ac:dyDescent="0.3">
      <c r="A231" s="645" t="s">
        <v>256</v>
      </c>
      <c r="B231" s="639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 x14ac:dyDescent="0.3">
      <c r="A232" s="647"/>
      <c r="B232" s="640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 x14ac:dyDescent="0.3">
      <c r="A233" s="647"/>
      <c r="B233" s="640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 x14ac:dyDescent="0.3">
      <c r="A234" s="647"/>
      <c r="B234" s="640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 x14ac:dyDescent="0.3">
      <c r="A235" s="647"/>
      <c r="B235" s="640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 x14ac:dyDescent="0.3">
      <c r="A236" s="644" t="s">
        <v>262</v>
      </c>
      <c r="B236" s="643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 x14ac:dyDescent="0.3">
      <c r="A237" s="644"/>
      <c r="B237" s="643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627"/>
      <c r="K237" s="13"/>
    </row>
    <row r="238" spans="1:11" ht="15" customHeight="1" x14ac:dyDescent="0.3">
      <c r="A238" s="644"/>
      <c r="B238" s="643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 x14ac:dyDescent="0.3">
      <c r="A239" s="644"/>
      <c r="B239" s="643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 x14ac:dyDescent="0.3">
      <c r="A240" s="644"/>
      <c r="B240" s="643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 x14ac:dyDescent="0.3">
      <c r="A241" s="644"/>
      <c r="B241" s="643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 x14ac:dyDescent="0.3">
      <c r="A242" s="644"/>
      <c r="B242" s="643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 x14ac:dyDescent="0.3">
      <c r="A243" s="644"/>
      <c r="B243" s="643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 x14ac:dyDescent="0.3">
      <c r="A244" s="644"/>
      <c r="B244" s="643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 x14ac:dyDescent="0.3">
      <c r="A245" s="644"/>
      <c r="B245" s="643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627"/>
      <c r="K245" s="13"/>
    </row>
    <row r="246" spans="1:11" ht="15" customHeight="1" x14ac:dyDescent="0.3">
      <c r="A246" s="644"/>
      <c r="B246" s="643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 x14ac:dyDescent="0.3">
      <c r="A247" s="644"/>
      <c r="B247" s="643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 x14ac:dyDescent="0.3">
      <c r="A248" s="644"/>
      <c r="B248" s="643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627"/>
      <c r="K248" s="13"/>
    </row>
    <row r="249" spans="1:11" ht="15" customHeight="1" x14ac:dyDescent="0.3">
      <c r="A249" s="644"/>
      <c r="B249" s="643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 x14ac:dyDescent="0.3">
      <c r="A250" s="644"/>
      <c r="B250" s="643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627"/>
      <c r="K250" s="13"/>
    </row>
    <row r="251" spans="1:11" ht="15" customHeight="1" x14ac:dyDescent="0.3">
      <c r="A251" s="644"/>
      <c r="B251" s="643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627"/>
      <c r="K251" s="13"/>
    </row>
    <row r="252" spans="1:11" ht="15" customHeight="1" x14ac:dyDescent="0.3">
      <c r="A252" s="644" t="s">
        <v>280</v>
      </c>
      <c r="B252" s="643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628">
        <v>450</v>
      </c>
      <c r="K252" s="13"/>
    </row>
    <row r="253" spans="1:11" ht="15" customHeight="1" x14ac:dyDescent="0.3">
      <c r="A253" s="644"/>
      <c r="B253" s="643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628">
        <v>450</v>
      </c>
      <c r="K253" s="13"/>
    </row>
    <row r="254" spans="1:11" ht="15" customHeight="1" x14ac:dyDescent="0.3">
      <c r="A254" s="644"/>
      <c r="B254" s="643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628">
        <v>450</v>
      </c>
      <c r="K254" s="13"/>
    </row>
    <row r="255" spans="1:11" ht="15" customHeight="1" x14ac:dyDescent="0.3">
      <c r="A255" s="645" t="s">
        <v>284</v>
      </c>
      <c r="B255" s="643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627"/>
      <c r="K255" s="13"/>
    </row>
    <row r="256" spans="1:11" ht="15" customHeight="1" x14ac:dyDescent="0.3">
      <c r="A256" s="647"/>
      <c r="B256" s="643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627"/>
      <c r="K256" s="13"/>
    </row>
    <row r="257" spans="1:11" ht="15" customHeight="1" x14ac:dyDescent="0.3">
      <c r="A257" s="647"/>
      <c r="B257" s="643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627"/>
      <c r="K257" s="13"/>
    </row>
    <row r="258" spans="1:11" ht="15" customHeight="1" x14ac:dyDescent="0.3">
      <c r="A258" s="647"/>
      <c r="B258" s="643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627"/>
      <c r="K258" s="13"/>
    </row>
    <row r="259" spans="1:11" ht="15" customHeight="1" x14ac:dyDescent="0.3">
      <c r="A259" s="647"/>
      <c r="B259" s="643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627"/>
      <c r="K259" s="13"/>
    </row>
    <row r="260" spans="1:11" ht="15" customHeight="1" x14ac:dyDescent="0.3">
      <c r="A260" s="647"/>
      <c r="B260" s="643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627"/>
      <c r="K260" s="13"/>
    </row>
    <row r="261" spans="1:11" ht="15" customHeight="1" x14ac:dyDescent="0.3">
      <c r="A261" s="647"/>
      <c r="B261" s="643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 x14ac:dyDescent="0.3">
      <c r="A262" s="647"/>
      <c r="B262" s="643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 x14ac:dyDescent="0.3">
      <c r="A263" s="647"/>
      <c r="B263" s="643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 x14ac:dyDescent="0.3">
      <c r="A264" s="647"/>
      <c r="B264" s="643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 x14ac:dyDescent="0.3">
      <c r="A265" s="647"/>
      <c r="B265" s="643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 x14ac:dyDescent="0.3">
      <c r="A266" s="647"/>
      <c r="B266" s="643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 x14ac:dyDescent="0.3">
      <c r="A267" s="647"/>
      <c r="B267" s="643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627"/>
      <c r="K267" s="13"/>
    </row>
    <row r="268" spans="1:11" ht="15" customHeight="1" x14ac:dyDescent="0.3">
      <c r="A268" s="648"/>
      <c r="B268" s="643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627"/>
      <c r="K268" s="13"/>
    </row>
    <row r="269" spans="1:11" ht="15" customHeight="1" x14ac:dyDescent="0.3">
      <c r="A269" s="643" t="s">
        <v>301</v>
      </c>
      <c r="B269" s="643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 x14ac:dyDescent="0.3">
      <c r="A270" s="643"/>
      <c r="B270" s="643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 x14ac:dyDescent="0.3">
      <c r="A271" s="643"/>
      <c r="B271" s="643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 x14ac:dyDescent="0.3">
      <c r="A272" s="643"/>
      <c r="B272" s="643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626">
        <v>140</v>
      </c>
      <c r="K272" s="13"/>
    </row>
    <row r="273" spans="1:11" ht="15" customHeight="1" x14ac:dyDescent="0.3">
      <c r="A273" s="643"/>
      <c r="B273" s="643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626">
        <v>140</v>
      </c>
      <c r="K273" s="13"/>
    </row>
    <row r="274" spans="1:11" ht="15" customHeight="1" x14ac:dyDescent="0.3">
      <c r="A274" s="643"/>
      <c r="B274" s="643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 x14ac:dyDescent="0.3">
      <c r="A275" s="643"/>
      <c r="B275" s="643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 x14ac:dyDescent="0.3">
      <c r="A276" s="643"/>
      <c r="B276" s="643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626">
        <v>175</v>
      </c>
      <c r="K276" s="13"/>
    </row>
    <row r="277" spans="1:11" ht="15" customHeight="1" x14ac:dyDescent="0.3">
      <c r="A277" s="643"/>
      <c r="B277" s="643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626">
        <v>175</v>
      </c>
      <c r="K277" s="13"/>
    </row>
    <row r="278" spans="1:11" ht="15" customHeight="1" x14ac:dyDescent="0.3">
      <c r="A278" s="643"/>
      <c r="B278" s="643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 x14ac:dyDescent="0.3">
      <c r="A279" s="643"/>
      <c r="B279" s="643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 x14ac:dyDescent="0.3">
      <c r="A280" s="643"/>
      <c r="B280" s="643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626">
        <v>345</v>
      </c>
      <c r="K280" s="13"/>
    </row>
    <row r="281" spans="1:11" ht="15" customHeight="1" x14ac:dyDescent="0.3">
      <c r="A281" s="643"/>
      <c r="B281" s="643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626">
        <v>345</v>
      </c>
      <c r="K281" s="13"/>
    </row>
    <row r="282" spans="1:11" ht="15" customHeight="1" x14ac:dyDescent="0.3">
      <c r="A282" s="643"/>
      <c r="B282" s="643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 x14ac:dyDescent="0.3">
      <c r="A283" s="643"/>
      <c r="B283" s="643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 x14ac:dyDescent="0.3">
      <c r="A284" s="643"/>
      <c r="B284" s="643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 x14ac:dyDescent="0.3">
      <c r="A285" s="643"/>
      <c r="B285" s="643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 x14ac:dyDescent="0.3">
      <c r="A286" s="643"/>
      <c r="B286" s="643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626">
        <v>440</v>
      </c>
      <c r="K286" s="13"/>
    </row>
    <row r="287" spans="1:11" ht="15" customHeight="1" x14ac:dyDescent="0.3">
      <c r="A287" s="643"/>
      <c r="B287" s="643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626">
        <v>440</v>
      </c>
      <c r="K287" s="13"/>
    </row>
    <row r="288" spans="1:11" ht="15" customHeight="1" x14ac:dyDescent="0.3">
      <c r="A288" s="643"/>
      <c r="B288" s="643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 x14ac:dyDescent="0.3">
      <c r="A289" s="643"/>
      <c r="B289" s="643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626">
        <v>515</v>
      </c>
      <c r="K289" s="13"/>
    </row>
    <row r="290" spans="1:11" ht="15" customHeight="1" x14ac:dyDescent="0.3">
      <c r="A290" s="643"/>
      <c r="B290" s="643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626">
        <v>515</v>
      </c>
      <c r="K290" s="13"/>
    </row>
    <row r="291" spans="1:11" ht="15" customHeight="1" x14ac:dyDescent="0.3">
      <c r="A291" s="643"/>
      <c r="B291" s="643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626">
        <v>180</v>
      </c>
      <c r="K291" s="13"/>
    </row>
    <row r="292" spans="1:11" ht="15" customHeight="1" x14ac:dyDescent="0.3">
      <c r="A292" s="643"/>
      <c r="B292" s="643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626">
        <v>180</v>
      </c>
      <c r="K292" s="13"/>
    </row>
    <row r="293" spans="1:11" ht="15" customHeight="1" x14ac:dyDescent="0.3">
      <c r="A293" s="643"/>
      <c r="B293" s="643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626">
        <v>350</v>
      </c>
      <c r="K293" s="13"/>
    </row>
    <row r="294" spans="1:11" ht="15" customHeight="1" x14ac:dyDescent="0.3">
      <c r="A294" s="643"/>
      <c r="B294" s="643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626">
        <v>350</v>
      </c>
      <c r="K294" s="13"/>
    </row>
    <row r="295" spans="1:11" ht="15" customHeight="1" x14ac:dyDescent="0.3">
      <c r="A295" s="643"/>
      <c r="B295" s="643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626">
        <v>440</v>
      </c>
      <c r="K295" s="13"/>
    </row>
    <row r="296" spans="1:11" s="1" customFormat="1" ht="15" customHeight="1" x14ac:dyDescent="0.3">
      <c r="A296" s="644" t="s">
        <v>325</v>
      </c>
      <c r="B296" s="643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 x14ac:dyDescent="0.3">
      <c r="A297" s="643"/>
      <c r="B297" s="643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 x14ac:dyDescent="0.3">
      <c r="A298" s="643"/>
      <c r="B298" s="643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627"/>
      <c r="K298" s="13"/>
    </row>
    <row r="299" spans="1:11" s="1" customFormat="1" ht="15" customHeight="1" x14ac:dyDescent="0.3">
      <c r="A299" s="643"/>
      <c r="B299" s="643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627"/>
      <c r="K299" s="13"/>
    </row>
    <row r="300" spans="1:11" s="1" customFormat="1" ht="15" customHeight="1" x14ac:dyDescent="0.3">
      <c r="A300" s="643"/>
      <c r="B300" s="643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627"/>
      <c r="K300" s="13"/>
    </row>
    <row r="301" spans="1:11" s="1" customFormat="1" ht="15" customHeight="1" x14ac:dyDescent="0.3">
      <c r="A301" s="644" t="s">
        <v>331</v>
      </c>
      <c r="B301" s="643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 x14ac:dyDescent="0.3">
      <c r="A302" s="644"/>
      <c r="B302" s="643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 x14ac:dyDescent="0.3">
      <c r="A303" s="644"/>
      <c r="B303" s="643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627"/>
      <c r="K303" s="13"/>
    </row>
    <row r="304" spans="1:11" s="1" customFormat="1" ht="15" customHeight="1" x14ac:dyDescent="0.3">
      <c r="A304" s="644"/>
      <c r="B304" s="643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627"/>
      <c r="K304" s="13"/>
    </row>
    <row r="305" spans="1:11" s="1" customFormat="1" ht="15" customHeight="1" x14ac:dyDescent="0.3">
      <c r="A305" s="644"/>
      <c r="B305" s="643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627"/>
      <c r="K305" s="13"/>
    </row>
    <row r="306" spans="1:11" s="1" customFormat="1" ht="15" customHeight="1" x14ac:dyDescent="0.3">
      <c r="A306" s="644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627"/>
      <c r="K306" s="13"/>
    </row>
    <row r="307" spans="1:11" ht="15" customHeight="1" x14ac:dyDescent="0.3">
      <c r="A307" s="643" t="s">
        <v>340</v>
      </c>
      <c r="B307" s="643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626">
        <v>185</v>
      </c>
      <c r="K307" s="13"/>
    </row>
    <row r="308" spans="1:11" ht="15" customHeight="1" x14ac:dyDescent="0.3">
      <c r="A308" s="643"/>
      <c r="B308" s="643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626">
        <v>550</v>
      </c>
      <c r="K308" s="13"/>
    </row>
    <row r="309" spans="1:11" ht="15" customHeight="1" x14ac:dyDescent="0.3">
      <c r="A309" s="643"/>
      <c r="B309" s="643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626">
        <v>1000</v>
      </c>
      <c r="K309" s="13"/>
    </row>
    <row r="310" spans="1:11" ht="15" customHeight="1" x14ac:dyDescent="0.3">
      <c r="A310" s="643"/>
      <c r="B310" s="643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626">
        <v>1550</v>
      </c>
      <c r="K310" s="13"/>
    </row>
    <row r="311" spans="1:11" ht="15" customHeight="1" x14ac:dyDescent="0.3">
      <c r="A311" s="643"/>
      <c r="B311" s="643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626">
        <v>185</v>
      </c>
      <c r="K311" s="13"/>
    </row>
    <row r="312" spans="1:11" ht="15" customHeight="1" x14ac:dyDescent="0.3">
      <c r="A312" s="643"/>
      <c r="B312" s="643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 x14ac:dyDescent="0.3">
      <c r="A313" s="643"/>
      <c r="B313" s="643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 x14ac:dyDescent="0.3">
      <c r="A314" s="643"/>
      <c r="B314" s="643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 x14ac:dyDescent="0.3">
      <c r="A315" s="643"/>
      <c r="B315" s="643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626">
        <v>550</v>
      </c>
      <c r="K315" s="13"/>
    </row>
    <row r="316" spans="1:11" ht="15" customHeight="1" x14ac:dyDescent="0.3">
      <c r="A316" s="643"/>
      <c r="B316" s="643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 x14ac:dyDescent="0.3">
      <c r="A317" s="643"/>
      <c r="B317" s="643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 x14ac:dyDescent="0.3">
      <c r="A318" s="643"/>
      <c r="B318" s="643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626">
        <v>530</v>
      </c>
      <c r="K318" s="13"/>
    </row>
    <row r="319" spans="1:11" ht="15" customHeight="1" x14ac:dyDescent="0.3">
      <c r="A319" s="643"/>
      <c r="B319" s="643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626">
        <v>1000</v>
      </c>
      <c r="K319" s="13"/>
    </row>
    <row r="320" spans="1:11" ht="15" customHeight="1" x14ac:dyDescent="0.3">
      <c r="A320" s="643"/>
      <c r="B320" s="643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626">
        <v>1550</v>
      </c>
      <c r="K320" s="13"/>
    </row>
    <row r="321" spans="1:11" ht="15" customHeight="1" x14ac:dyDescent="0.3">
      <c r="A321" s="644" t="s">
        <v>345</v>
      </c>
      <c r="B321" s="643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 x14ac:dyDescent="0.3">
      <c r="A322" s="643"/>
      <c r="B322" s="643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 x14ac:dyDescent="0.3">
      <c r="A323" s="643"/>
      <c r="B323" s="643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 x14ac:dyDescent="0.3">
      <c r="A324" s="643"/>
      <c r="B324" s="643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627"/>
      <c r="K324" s="13"/>
    </row>
    <row r="325" spans="1:11" ht="15" customHeight="1" x14ac:dyDescent="0.3">
      <c r="A325" s="643"/>
      <c r="B325" s="643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627"/>
      <c r="K325" s="13"/>
    </row>
    <row r="326" spans="1:11" ht="15" customHeight="1" x14ac:dyDescent="0.3">
      <c r="A326" s="643"/>
      <c r="B326" s="643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627"/>
      <c r="K326" s="13"/>
    </row>
    <row r="327" spans="1:11" ht="15" customHeight="1" x14ac:dyDescent="0.3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627"/>
      <c r="K327" s="13"/>
    </row>
    <row r="328" spans="1:11" ht="15" customHeight="1" x14ac:dyDescent="0.3">
      <c r="A328" s="639" t="s">
        <v>354</v>
      </c>
      <c r="B328" s="639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626">
        <v>350</v>
      </c>
      <c r="K328" s="13"/>
    </row>
    <row r="329" spans="1:11" ht="15" customHeight="1" x14ac:dyDescent="0.3">
      <c r="A329" s="640"/>
      <c r="B329" s="640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626">
        <v>280</v>
      </c>
      <c r="K329" s="13"/>
    </row>
    <row r="330" spans="1:11" ht="15" customHeight="1" x14ac:dyDescent="0.3">
      <c r="A330" s="640"/>
      <c r="B330" s="640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626">
        <v>330</v>
      </c>
      <c r="K330" s="13"/>
    </row>
    <row r="331" spans="1:11" ht="15" customHeight="1" x14ac:dyDescent="0.3">
      <c r="A331" s="640"/>
      <c r="B331" s="640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626">
        <v>400</v>
      </c>
      <c r="K331" s="13"/>
    </row>
    <row r="332" spans="1:11" ht="15" customHeight="1" x14ac:dyDescent="0.3">
      <c r="A332" s="640"/>
      <c r="B332" s="640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626">
        <v>350</v>
      </c>
      <c r="K332" s="13"/>
    </row>
    <row r="333" spans="1:11" ht="15" customHeight="1" x14ac:dyDescent="0.3">
      <c r="A333" s="640"/>
      <c r="B333" s="640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626">
        <v>380</v>
      </c>
      <c r="K333" s="13"/>
    </row>
    <row r="334" spans="1:11" ht="15" customHeight="1" x14ac:dyDescent="0.3">
      <c r="A334" s="640"/>
      <c r="B334" s="640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626">
        <v>480</v>
      </c>
      <c r="K334" s="13"/>
    </row>
    <row r="335" spans="1:11" ht="15" customHeight="1" x14ac:dyDescent="0.3">
      <c r="A335" s="640"/>
      <c r="B335" s="640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626">
        <v>400</v>
      </c>
      <c r="K335" s="13"/>
    </row>
    <row r="336" spans="1:11" ht="15" customHeight="1" x14ac:dyDescent="0.3">
      <c r="A336" s="640"/>
      <c r="B336" s="641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626">
        <v>450</v>
      </c>
      <c r="K336" s="13"/>
    </row>
    <row r="337" spans="1:11" ht="15" customHeight="1" x14ac:dyDescent="0.3">
      <c r="A337" s="640"/>
      <c r="B337" s="639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626">
        <v>350</v>
      </c>
      <c r="K337" s="13"/>
    </row>
    <row r="338" spans="1:11" ht="15" customHeight="1" x14ac:dyDescent="0.3">
      <c r="A338" s="640"/>
      <c r="B338" s="640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626">
        <v>280</v>
      </c>
      <c r="K338" s="13"/>
    </row>
    <row r="339" spans="1:11" ht="15" customHeight="1" x14ac:dyDescent="0.3">
      <c r="A339" s="640"/>
      <c r="B339" s="640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626">
        <v>330</v>
      </c>
      <c r="K339" s="13"/>
    </row>
    <row r="340" spans="1:11" ht="15" customHeight="1" x14ac:dyDescent="0.3">
      <c r="A340" s="640"/>
      <c r="B340" s="640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626">
        <v>400</v>
      </c>
      <c r="K340" s="13"/>
    </row>
    <row r="341" spans="1:11" ht="15" customHeight="1" x14ac:dyDescent="0.3">
      <c r="A341" s="640"/>
      <c r="B341" s="640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626">
        <v>350</v>
      </c>
      <c r="K341" s="13"/>
    </row>
    <row r="342" spans="1:11" ht="15" customHeight="1" x14ac:dyDescent="0.3">
      <c r="A342" s="640"/>
      <c r="B342" s="640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626">
        <v>380</v>
      </c>
      <c r="K342" s="13"/>
    </row>
    <row r="343" spans="1:11" ht="15" customHeight="1" x14ac:dyDescent="0.3">
      <c r="A343" s="640"/>
      <c r="B343" s="640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626">
        <v>480</v>
      </c>
      <c r="K343" s="13"/>
    </row>
    <row r="344" spans="1:11" ht="15" customHeight="1" x14ac:dyDescent="0.3">
      <c r="A344" s="640"/>
      <c r="B344" s="640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626">
        <v>400</v>
      </c>
      <c r="K344" s="13"/>
    </row>
    <row r="345" spans="1:11" ht="15" customHeight="1" x14ac:dyDescent="0.3">
      <c r="A345" s="640"/>
      <c r="B345" s="641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626">
        <v>450</v>
      </c>
      <c r="K345" s="13"/>
    </row>
    <row r="346" spans="1:11" ht="15" customHeight="1" x14ac:dyDescent="0.3">
      <c r="A346" s="640"/>
      <c r="B346" s="639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 x14ac:dyDescent="0.3">
      <c r="A347" s="640"/>
      <c r="B347" s="640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390</v>
      </c>
      <c r="K347" s="13"/>
    </row>
    <row r="348" spans="1:11" ht="15" customHeight="1" x14ac:dyDescent="0.3">
      <c r="A348" s="640"/>
      <c r="B348" s="640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450</v>
      </c>
      <c r="K348" s="13"/>
    </row>
    <row r="349" spans="1:11" ht="15" customHeight="1" x14ac:dyDescent="0.3">
      <c r="A349" s="640"/>
      <c r="B349" s="640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626">
        <v>340</v>
      </c>
      <c r="K349" s="13"/>
    </row>
    <row r="350" spans="1:11" ht="15" customHeight="1" x14ac:dyDescent="0.3">
      <c r="A350" s="640"/>
      <c r="B350" s="640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626">
        <v>420</v>
      </c>
      <c r="K350" s="13"/>
    </row>
    <row r="351" spans="1:11" ht="15" customHeight="1" x14ac:dyDescent="0.3">
      <c r="A351" s="640"/>
      <c r="B351" s="641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626">
        <v>500</v>
      </c>
      <c r="K351" s="13"/>
    </row>
    <row r="352" spans="1:11" ht="15" customHeight="1" x14ac:dyDescent="0.3">
      <c r="A352" s="640"/>
      <c r="B352" s="643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626">
        <v>340</v>
      </c>
      <c r="K352" s="13"/>
    </row>
    <row r="353" spans="1:11" ht="15" customHeight="1" x14ac:dyDescent="0.3">
      <c r="A353" s="640"/>
      <c r="B353" s="643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626">
        <v>420</v>
      </c>
      <c r="K353" s="13"/>
    </row>
    <row r="354" spans="1:11" ht="15" customHeight="1" x14ac:dyDescent="0.3">
      <c r="A354" s="641"/>
      <c r="B354" s="643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626">
        <v>500</v>
      </c>
      <c r="K354" s="13"/>
    </row>
    <row r="355" spans="1:11" ht="15" customHeight="1" x14ac:dyDescent="0.3">
      <c r="A355" s="643" t="s">
        <v>364</v>
      </c>
      <c r="B355" s="643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627"/>
      <c r="K355" s="13"/>
    </row>
    <row r="356" spans="1:11" ht="15" customHeight="1" x14ac:dyDescent="0.3">
      <c r="A356" s="643"/>
      <c r="B356" s="643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627"/>
      <c r="K356" s="13"/>
    </row>
    <row r="357" spans="1:11" ht="15" customHeight="1" x14ac:dyDescent="0.3">
      <c r="A357" s="643"/>
      <c r="B357" s="643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627"/>
      <c r="K357" s="13"/>
    </row>
    <row r="358" spans="1:11" ht="15" customHeight="1" x14ac:dyDescent="0.3">
      <c r="A358" s="643"/>
      <c r="B358" s="643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627"/>
      <c r="K358" s="13"/>
    </row>
    <row r="359" spans="1:11" ht="15" customHeight="1" x14ac:dyDescent="0.3">
      <c r="A359" s="643"/>
      <c r="B359" s="643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627"/>
      <c r="K359" s="13"/>
    </row>
    <row r="360" spans="1:11" ht="15" customHeight="1" x14ac:dyDescent="0.3">
      <c r="A360" s="645" t="s">
        <v>370</v>
      </c>
      <c r="B360" s="639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626">
        <v>233</v>
      </c>
      <c r="K360" s="13"/>
    </row>
    <row r="361" spans="1:11" ht="15" customHeight="1" x14ac:dyDescent="0.3">
      <c r="A361" s="647"/>
      <c r="B361" s="640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626">
        <v>295</v>
      </c>
      <c r="K361" s="13"/>
    </row>
    <row r="362" spans="1:11" ht="15" customHeight="1" x14ac:dyDescent="0.3">
      <c r="A362" s="647"/>
      <c r="B362" s="640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626">
        <v>365</v>
      </c>
      <c r="K362" s="13"/>
    </row>
    <row r="363" spans="1:11" ht="15" customHeight="1" x14ac:dyDescent="0.3">
      <c r="A363" s="647"/>
      <c r="B363" s="640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626">
        <v>423</v>
      </c>
      <c r="K363" s="13"/>
    </row>
    <row r="364" spans="1:11" ht="15" customHeight="1" x14ac:dyDescent="0.3">
      <c r="A364" s="647"/>
      <c r="B364" s="640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626">
        <v>494</v>
      </c>
      <c r="K364" s="13"/>
    </row>
    <row r="365" spans="1:11" ht="15" customHeight="1" x14ac:dyDescent="0.3">
      <c r="A365" s="647"/>
      <c r="B365" s="640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626">
        <v>250</v>
      </c>
      <c r="K365" s="13"/>
    </row>
    <row r="366" spans="1:11" ht="15" customHeight="1" x14ac:dyDescent="0.3">
      <c r="A366" s="647"/>
      <c r="B366" s="640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626">
        <v>325</v>
      </c>
      <c r="K366" s="13"/>
    </row>
    <row r="367" spans="1:11" ht="15" customHeight="1" x14ac:dyDescent="0.3">
      <c r="A367" s="647"/>
      <c r="B367" s="640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626">
        <v>375</v>
      </c>
      <c r="K367" s="13"/>
    </row>
    <row r="368" spans="1:11" ht="15" customHeight="1" x14ac:dyDescent="0.3">
      <c r="A368" s="647"/>
      <c r="B368" s="641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626">
        <v>425</v>
      </c>
      <c r="K368" s="13"/>
    </row>
    <row r="369" spans="1:11" ht="15" customHeight="1" x14ac:dyDescent="0.3">
      <c r="A369" s="647"/>
      <c r="B369" s="639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626">
        <v>233</v>
      </c>
      <c r="K369" s="13"/>
    </row>
    <row r="370" spans="1:11" ht="15" customHeight="1" x14ac:dyDescent="0.3">
      <c r="A370" s="647"/>
      <c r="B370" s="640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626">
        <v>295</v>
      </c>
      <c r="K370" s="13"/>
    </row>
    <row r="371" spans="1:11" ht="15" customHeight="1" x14ac:dyDescent="0.3">
      <c r="A371" s="647"/>
      <c r="B371" s="640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626">
        <v>365</v>
      </c>
      <c r="K371" s="13"/>
    </row>
    <row r="372" spans="1:11" ht="15" customHeight="1" x14ac:dyDescent="0.3">
      <c r="A372" s="647"/>
      <c r="B372" s="640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626">
        <v>423</v>
      </c>
      <c r="K372" s="13"/>
    </row>
    <row r="373" spans="1:11" ht="15" customHeight="1" x14ac:dyDescent="0.3">
      <c r="A373" s="647"/>
      <c r="B373" s="640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626">
        <v>494</v>
      </c>
      <c r="K373" s="13"/>
    </row>
    <row r="374" spans="1:11" ht="15" customHeight="1" x14ac:dyDescent="0.3">
      <c r="A374" s="647"/>
      <c r="B374" s="640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626">
        <v>250</v>
      </c>
      <c r="K374" s="13"/>
    </row>
    <row r="375" spans="1:11" ht="15" customHeight="1" x14ac:dyDescent="0.3">
      <c r="A375" s="647"/>
      <c r="B375" s="640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626">
        <v>325</v>
      </c>
      <c r="K375" s="13"/>
    </row>
    <row r="376" spans="1:11" ht="15" customHeight="1" x14ac:dyDescent="0.3">
      <c r="A376" s="647"/>
      <c r="B376" s="640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626">
        <v>375</v>
      </c>
      <c r="K376" s="13"/>
    </row>
    <row r="377" spans="1:11" ht="15" customHeight="1" x14ac:dyDescent="0.3">
      <c r="A377" s="647"/>
      <c r="B377" s="641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626">
        <v>425</v>
      </c>
      <c r="K377" s="13"/>
    </row>
    <row r="378" spans="1:11" ht="15" customHeight="1" x14ac:dyDescent="0.3">
      <c r="A378" s="647"/>
      <c r="B378" s="643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627"/>
      <c r="K378" s="13"/>
    </row>
    <row r="379" spans="1:11" ht="15" customHeight="1" x14ac:dyDescent="0.3">
      <c r="A379" s="647"/>
      <c r="B379" s="643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627"/>
      <c r="K379" s="13"/>
    </row>
    <row r="380" spans="1:11" ht="15" customHeight="1" x14ac:dyDescent="0.3">
      <c r="A380" s="643" t="s">
        <v>377</v>
      </c>
      <c r="B380" s="643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 x14ac:dyDescent="0.3">
      <c r="A381" s="643"/>
      <c r="B381" s="643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627"/>
      <c r="K381" s="13"/>
    </row>
    <row r="382" spans="1:11" ht="15" customHeight="1" x14ac:dyDescent="0.3">
      <c r="A382" s="643"/>
      <c r="B382" s="643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627"/>
      <c r="K382" s="13"/>
    </row>
    <row r="383" spans="1:11" ht="15" customHeight="1" x14ac:dyDescent="0.3">
      <c r="A383" s="643"/>
      <c r="B383" s="643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627"/>
      <c r="K383" s="13"/>
    </row>
    <row r="384" spans="1:11" ht="15" customHeight="1" x14ac:dyDescent="0.3">
      <c r="A384" s="643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627"/>
      <c r="K384" s="13"/>
    </row>
    <row r="385" spans="1:11" ht="15" customHeight="1" x14ac:dyDescent="0.3">
      <c r="A385" s="643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627">
        <v>85</v>
      </c>
      <c r="K385" s="13"/>
    </row>
    <row r="386" spans="1:11" ht="15" customHeight="1" x14ac:dyDescent="0.3">
      <c r="A386" s="643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627">
        <v>85</v>
      </c>
      <c r="K386" s="13"/>
    </row>
    <row r="387" spans="1:11" s="35" customFormat="1" ht="15" customHeight="1" x14ac:dyDescent="0.3">
      <c r="A387" s="644" t="s">
        <v>385</v>
      </c>
      <c r="B387" s="643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626">
        <v>130</v>
      </c>
      <c r="K387" s="13"/>
    </row>
    <row r="388" spans="1:11" s="35" customFormat="1" ht="15" customHeight="1" x14ac:dyDescent="0.3">
      <c r="A388" s="644"/>
      <c r="B388" s="643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626">
        <v>165</v>
      </c>
      <c r="K388" s="13"/>
    </row>
    <row r="389" spans="1:11" s="35" customFormat="1" ht="15" customHeight="1" x14ac:dyDescent="0.3">
      <c r="A389" s="644"/>
      <c r="B389" s="643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626">
        <v>205</v>
      </c>
      <c r="K389" s="13"/>
    </row>
    <row r="390" spans="1:11" s="35" customFormat="1" ht="15" customHeight="1" x14ac:dyDescent="0.3">
      <c r="A390" s="644"/>
      <c r="B390" s="643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626">
        <v>240</v>
      </c>
      <c r="K390" s="13"/>
    </row>
    <row r="391" spans="1:11" s="35" customFormat="1" ht="15" customHeight="1" x14ac:dyDescent="0.3">
      <c r="A391" s="644"/>
      <c r="B391" s="643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626">
        <v>305</v>
      </c>
      <c r="K391" s="13"/>
    </row>
    <row r="392" spans="1:11" s="35" customFormat="1" ht="15" customHeight="1" x14ac:dyDescent="0.3">
      <c r="A392" s="644"/>
      <c r="B392" s="643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626">
        <v>340</v>
      </c>
      <c r="K392" s="13"/>
    </row>
    <row r="393" spans="1:11" s="35" customFormat="1" ht="15" customHeight="1" x14ac:dyDescent="0.3">
      <c r="A393" s="644"/>
      <c r="B393" s="643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626">
        <v>130</v>
      </c>
      <c r="K393" s="13"/>
    </row>
    <row r="394" spans="1:11" s="35" customFormat="1" ht="15" customHeight="1" x14ac:dyDescent="0.3">
      <c r="A394" s="644"/>
      <c r="B394" s="643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626">
        <v>165</v>
      </c>
      <c r="K394" s="13"/>
    </row>
    <row r="395" spans="1:11" s="35" customFormat="1" ht="15" customHeight="1" x14ac:dyDescent="0.3">
      <c r="A395" s="644"/>
      <c r="B395" s="643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626">
        <v>205</v>
      </c>
      <c r="K395" s="13"/>
    </row>
    <row r="396" spans="1:11" s="35" customFormat="1" ht="15" customHeight="1" x14ac:dyDescent="0.3">
      <c r="A396" s="644"/>
      <c r="B396" s="643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626">
        <v>240</v>
      </c>
      <c r="K396" s="13"/>
    </row>
    <row r="397" spans="1:11" s="35" customFormat="1" ht="15" customHeight="1" x14ac:dyDescent="0.3">
      <c r="A397" s="644"/>
      <c r="B397" s="643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626">
        <v>305</v>
      </c>
      <c r="K397" s="13"/>
    </row>
    <row r="398" spans="1:11" s="35" customFormat="1" ht="15" customHeight="1" x14ac:dyDescent="0.3">
      <c r="A398" s="644"/>
      <c r="B398" s="643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626">
        <v>340</v>
      </c>
      <c r="K398" s="13"/>
    </row>
    <row r="399" spans="1:11" ht="15" customHeight="1" x14ac:dyDescent="0.3">
      <c r="A399" s="644" t="s">
        <v>388</v>
      </c>
      <c r="B399" s="643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627"/>
      <c r="K399" s="13"/>
    </row>
    <row r="400" spans="1:11" ht="15" customHeight="1" x14ac:dyDescent="0.3">
      <c r="A400" s="643"/>
      <c r="B400" s="643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627"/>
      <c r="K400" s="13"/>
    </row>
    <row r="401" spans="1:11" ht="15" customHeight="1" x14ac:dyDescent="0.3">
      <c r="A401" s="643"/>
      <c r="B401" s="643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627"/>
      <c r="K401" s="13"/>
    </row>
    <row r="402" spans="1:11" ht="15" customHeight="1" x14ac:dyDescent="0.3">
      <c r="A402" s="644" t="s">
        <v>392</v>
      </c>
      <c r="B402" s="639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627"/>
      <c r="K402" s="13"/>
    </row>
    <row r="403" spans="1:11" ht="15" customHeight="1" x14ac:dyDescent="0.3">
      <c r="A403" s="643"/>
      <c r="B403" s="640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627"/>
      <c r="K403" s="13"/>
    </row>
    <row r="404" spans="1:11" ht="15" customHeight="1" x14ac:dyDescent="0.3">
      <c r="A404" s="643"/>
      <c r="B404" s="640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 x14ac:dyDescent="0.3">
      <c r="A405" s="643"/>
      <c r="B405" s="643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627"/>
      <c r="K405" s="13"/>
    </row>
    <row r="406" spans="1:11" ht="15" customHeight="1" x14ac:dyDescent="0.3">
      <c r="A406" s="643"/>
      <c r="B406" s="643"/>
      <c r="C406" s="16">
        <v>120</v>
      </c>
      <c r="D406" s="29" t="s">
        <v>395</v>
      </c>
      <c r="E406" s="3">
        <v>0</v>
      </c>
      <c r="G406" s="8"/>
      <c r="H406" s="11"/>
      <c r="I406" s="12"/>
      <c r="J406" s="627"/>
      <c r="K406" s="13"/>
    </row>
    <row r="407" spans="1:11" ht="15" customHeight="1" x14ac:dyDescent="0.3">
      <c r="A407" s="643"/>
      <c r="B407" s="643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627"/>
      <c r="K407" s="13"/>
    </row>
    <row r="408" spans="1:11" ht="15" customHeight="1" x14ac:dyDescent="0.3">
      <c r="A408" s="643"/>
      <c r="B408" s="643"/>
      <c r="C408" s="16">
        <v>120</v>
      </c>
      <c r="D408" s="29" t="s">
        <v>395</v>
      </c>
      <c r="E408" s="3">
        <v>0</v>
      </c>
      <c r="G408" s="8"/>
      <c r="H408" s="11"/>
      <c r="I408" s="12"/>
      <c r="J408" s="627"/>
      <c r="K408" s="13"/>
    </row>
    <row r="409" spans="1:11" ht="15" customHeight="1" x14ac:dyDescent="0.3">
      <c r="A409" s="645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 x14ac:dyDescent="0.3">
      <c r="A410" s="647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 x14ac:dyDescent="0.3">
      <c r="A411" s="647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 x14ac:dyDescent="0.3">
      <c r="A412" s="647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 x14ac:dyDescent="0.3">
      <c r="A413" s="647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 x14ac:dyDescent="0.3">
      <c r="A414" s="647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 x14ac:dyDescent="0.3">
      <c r="A415" s="647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 x14ac:dyDescent="0.3">
      <c r="A416" s="647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 x14ac:dyDescent="0.3">
      <c r="A417" s="647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627"/>
      <c r="K417" s="13"/>
    </row>
    <row r="418" spans="1:11" ht="15" customHeight="1" x14ac:dyDescent="0.3">
      <c r="A418" s="647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627"/>
      <c r="K418" s="13"/>
    </row>
    <row r="419" spans="1:11" ht="15" customHeight="1" x14ac:dyDescent="0.3">
      <c r="A419" s="647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627"/>
      <c r="K419" s="13"/>
    </row>
    <row r="420" spans="1:11" ht="15" customHeight="1" x14ac:dyDescent="0.3">
      <c r="A420" s="647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627"/>
      <c r="K420" s="13"/>
    </row>
    <row r="421" spans="1:11" ht="15" customHeight="1" x14ac:dyDescent="0.3">
      <c r="A421" s="647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627"/>
      <c r="K421" s="13"/>
    </row>
    <row r="422" spans="1:11" ht="15" customHeight="1" x14ac:dyDescent="0.3">
      <c r="A422" s="647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 x14ac:dyDescent="0.3">
      <c r="A423" s="647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 x14ac:dyDescent="0.3">
      <c r="A424" s="647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 x14ac:dyDescent="0.3">
      <c r="A425" s="647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 x14ac:dyDescent="0.3">
      <c r="A426" s="647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 x14ac:dyDescent="0.3">
      <c r="A427" s="647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627"/>
      <c r="K427" s="13"/>
    </row>
    <row r="428" spans="1:11" ht="15" customHeight="1" x14ac:dyDescent="0.3">
      <c r="A428" s="647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627"/>
      <c r="K428" s="13"/>
    </row>
    <row r="429" spans="1:11" ht="15" customHeight="1" x14ac:dyDescent="0.3">
      <c r="A429" s="647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627"/>
      <c r="K429" s="13"/>
    </row>
    <row r="430" spans="1:11" ht="15" customHeight="1" x14ac:dyDescent="0.3">
      <c r="A430" s="647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627"/>
      <c r="K430" s="13"/>
    </row>
    <row r="431" spans="1:11" ht="15" customHeight="1" x14ac:dyDescent="0.3">
      <c r="A431" s="647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627"/>
      <c r="K431" s="13"/>
    </row>
    <row r="432" spans="1:11" ht="15" customHeight="1" x14ac:dyDescent="0.3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627"/>
      <c r="K432" s="13"/>
    </row>
    <row r="433" spans="1:11" ht="15" customHeight="1" x14ac:dyDescent="0.3">
      <c r="A433" s="643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627"/>
      <c r="K433" s="13"/>
    </row>
    <row r="434" spans="1:11" ht="15" customHeight="1" x14ac:dyDescent="0.3">
      <c r="A434" s="643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627"/>
      <c r="K434" s="13"/>
    </row>
    <row r="435" spans="1:11" ht="15" customHeight="1" x14ac:dyDescent="0.3">
      <c r="A435" s="639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627"/>
      <c r="K435" s="13"/>
    </row>
    <row r="436" spans="1:11" ht="15" customHeight="1" x14ac:dyDescent="0.3">
      <c r="A436" s="641"/>
      <c r="B436" s="19" t="s">
        <v>409</v>
      </c>
      <c r="C436" s="20"/>
      <c r="D436" s="21" t="s">
        <v>410</v>
      </c>
      <c r="G436" s="8"/>
      <c r="H436" s="11"/>
      <c r="I436" s="12"/>
      <c r="J436" s="627"/>
      <c r="K436" s="13"/>
    </row>
    <row r="437" spans="1:11" ht="15" customHeight="1" x14ac:dyDescent="0.3">
      <c r="A437" s="643" t="s">
        <v>411</v>
      </c>
      <c r="B437" s="639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 x14ac:dyDescent="0.3">
      <c r="A438" s="643"/>
      <c r="B438" s="640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 x14ac:dyDescent="0.3">
      <c r="A439" s="643"/>
      <c r="B439" s="640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627"/>
      <c r="K439" s="13"/>
    </row>
    <row r="440" spans="1:11" ht="15" customHeight="1" x14ac:dyDescent="0.3">
      <c r="A440" s="643"/>
      <c r="B440" s="640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627"/>
      <c r="K440" s="13"/>
    </row>
    <row r="441" spans="1:11" ht="15" customHeight="1" x14ac:dyDescent="0.3">
      <c r="A441" s="643"/>
      <c r="B441" s="640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627"/>
      <c r="K441" s="13"/>
    </row>
    <row r="442" spans="1:11" ht="15" customHeight="1" x14ac:dyDescent="0.3">
      <c r="A442" s="643"/>
      <c r="B442" s="640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627"/>
      <c r="K442" s="13"/>
    </row>
    <row r="443" spans="1:11" ht="15" customHeight="1" x14ac:dyDescent="0.3">
      <c r="A443" s="643"/>
      <c r="B443" s="640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627"/>
      <c r="K443" s="13"/>
    </row>
    <row r="444" spans="1:11" ht="15" customHeight="1" x14ac:dyDescent="0.3">
      <c r="A444" s="643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627"/>
      <c r="K444" s="13"/>
    </row>
    <row r="445" spans="1:11" ht="15" customHeight="1" x14ac:dyDescent="0.3">
      <c r="A445" s="644" t="s">
        <v>420</v>
      </c>
      <c r="B445" s="643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626">
        <v>500</v>
      </c>
      <c r="K445" s="13"/>
    </row>
    <row r="446" spans="1:11" ht="15" customHeight="1" x14ac:dyDescent="0.3">
      <c r="A446" s="643"/>
      <c r="B446" s="643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626">
        <v>500</v>
      </c>
      <c r="K446" s="13"/>
    </row>
    <row r="447" spans="1:11" ht="15" customHeight="1" x14ac:dyDescent="0.3">
      <c r="A447" s="643"/>
      <c r="B447" s="643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626">
        <v>700</v>
      </c>
      <c r="K447" s="13"/>
    </row>
    <row r="448" spans="1:11" ht="15" customHeight="1" x14ac:dyDescent="0.3">
      <c r="A448" s="643"/>
      <c r="B448" s="643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626">
        <v>700</v>
      </c>
      <c r="K448" s="13"/>
    </row>
    <row r="449" spans="1:11" ht="15" customHeight="1" x14ac:dyDescent="0.3">
      <c r="A449" s="643"/>
      <c r="B449" s="643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626">
        <v>950</v>
      </c>
      <c r="K449" s="13"/>
    </row>
    <row r="450" spans="1:11" ht="15" customHeight="1" x14ac:dyDescent="0.3">
      <c r="A450" s="643"/>
      <c r="B450" s="643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626">
        <v>950</v>
      </c>
      <c r="K450" s="13"/>
    </row>
    <row r="451" spans="1:11" ht="15" customHeight="1" x14ac:dyDescent="0.3">
      <c r="A451" s="643" t="s">
        <v>426</v>
      </c>
      <c r="B451" s="643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 x14ac:dyDescent="0.3">
      <c r="A452" s="643"/>
      <c r="B452" s="643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 x14ac:dyDescent="0.3">
      <c r="A453" s="643"/>
      <c r="B453" s="643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 x14ac:dyDescent="0.3">
      <c r="A454" s="643"/>
      <c r="B454" s="643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627"/>
      <c r="K454" s="13"/>
    </row>
    <row r="455" spans="1:11" ht="15" customHeight="1" x14ac:dyDescent="0.3">
      <c r="A455" s="643"/>
      <c r="B455" s="643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627"/>
      <c r="K455" s="13"/>
    </row>
    <row r="456" spans="1:11" ht="15" customHeight="1" x14ac:dyDescent="0.3">
      <c r="A456" s="643"/>
      <c r="B456" s="643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627"/>
      <c r="K456" s="13"/>
    </row>
    <row r="457" spans="1:11" ht="15" customHeight="1" x14ac:dyDescent="0.3">
      <c r="A457" s="643"/>
      <c r="B457" s="643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627"/>
      <c r="K457" s="13"/>
    </row>
    <row r="458" spans="1:11" ht="15" customHeight="1" x14ac:dyDescent="0.3">
      <c r="A458" s="643"/>
      <c r="B458" s="643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627"/>
      <c r="K458" s="13"/>
    </row>
    <row r="459" spans="1:11" ht="15" customHeight="1" x14ac:dyDescent="0.3">
      <c r="A459" s="644" t="s">
        <v>435</v>
      </c>
      <c r="B459" s="643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 x14ac:dyDescent="0.3">
      <c r="A460" s="644"/>
      <c r="B460" s="643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 x14ac:dyDescent="0.3">
      <c r="A461" s="644"/>
      <c r="B461" s="643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627"/>
      <c r="K461" s="13"/>
    </row>
    <row r="462" spans="1:11" ht="15" customHeight="1" x14ac:dyDescent="0.3">
      <c r="A462" s="644"/>
      <c r="B462" s="643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627"/>
      <c r="K462" s="13"/>
    </row>
    <row r="463" spans="1:11" ht="15" customHeight="1" x14ac:dyDescent="0.3">
      <c r="A463" s="644"/>
      <c r="B463" s="643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627"/>
      <c r="K463" s="13"/>
    </row>
    <row r="464" spans="1:11" ht="15" customHeight="1" x14ac:dyDescent="0.3">
      <c r="A464" s="644"/>
      <c r="B464" s="643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627"/>
      <c r="K464" s="13"/>
    </row>
    <row r="465" spans="1:11" ht="15" customHeight="1" x14ac:dyDescent="0.3">
      <c r="A465" s="644"/>
      <c r="B465" s="643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627"/>
      <c r="K465" s="13"/>
    </row>
    <row r="466" spans="1:11" ht="15" customHeight="1" x14ac:dyDescent="0.3">
      <c r="A466" s="645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627"/>
      <c r="K466" s="13"/>
    </row>
    <row r="467" spans="1:11" ht="15" customHeight="1" x14ac:dyDescent="0.3">
      <c r="A467" s="647"/>
      <c r="B467" s="668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629">
        <v>150</v>
      </c>
      <c r="K467" s="13"/>
    </row>
    <row r="468" spans="1:11" ht="15" customHeight="1" x14ac:dyDescent="0.3">
      <c r="A468" s="647"/>
      <c r="B468" s="670"/>
      <c r="C468" s="42"/>
      <c r="D468" s="43" t="s">
        <v>446</v>
      </c>
      <c r="E468" s="3">
        <v>0</v>
      </c>
      <c r="G468" s="41"/>
      <c r="H468" s="11"/>
      <c r="I468" s="12"/>
      <c r="J468" s="629">
        <v>200</v>
      </c>
      <c r="K468" s="13"/>
    </row>
    <row r="469" spans="1:11" ht="15" customHeight="1" x14ac:dyDescent="0.3">
      <c r="A469" s="647"/>
      <c r="B469" s="670"/>
      <c r="C469" s="42"/>
      <c r="D469" s="43" t="s">
        <v>446</v>
      </c>
      <c r="E469" s="3">
        <v>0</v>
      </c>
      <c r="G469" s="41"/>
      <c r="H469" s="11"/>
      <c r="I469" s="12"/>
      <c r="J469" s="629">
        <v>250</v>
      </c>
      <c r="K469" s="13"/>
    </row>
    <row r="470" spans="1:11" ht="15" customHeight="1" x14ac:dyDescent="0.3">
      <c r="A470" s="647"/>
      <c r="B470" s="670"/>
      <c r="C470" s="42"/>
      <c r="D470" s="43" t="s">
        <v>446</v>
      </c>
      <c r="E470" s="3">
        <v>0</v>
      </c>
      <c r="G470" s="41"/>
      <c r="H470" s="11"/>
      <c r="I470" s="12"/>
      <c r="J470" s="629">
        <v>300</v>
      </c>
      <c r="K470" s="13"/>
    </row>
    <row r="471" spans="1:11" ht="15" customHeight="1" x14ac:dyDescent="0.3">
      <c r="A471" s="647"/>
      <c r="B471" s="669"/>
      <c r="C471" s="39"/>
      <c r="D471" s="44" t="s">
        <v>447</v>
      </c>
      <c r="E471" s="3">
        <v>0</v>
      </c>
      <c r="G471" s="41"/>
      <c r="H471" s="11"/>
      <c r="I471" s="12"/>
      <c r="J471" s="629">
        <v>208</v>
      </c>
      <c r="K471" s="13"/>
    </row>
    <row r="472" spans="1:11" ht="15" customHeight="1" x14ac:dyDescent="0.3">
      <c r="A472" s="647"/>
      <c r="B472" s="659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629">
        <v>150</v>
      </c>
      <c r="K472" s="13"/>
    </row>
    <row r="473" spans="1:11" ht="15" customHeight="1" x14ac:dyDescent="0.3">
      <c r="A473" s="647"/>
      <c r="B473" s="659"/>
      <c r="C473" s="42"/>
      <c r="D473" s="43" t="s">
        <v>446</v>
      </c>
      <c r="E473" s="3">
        <v>0</v>
      </c>
      <c r="G473" s="41"/>
      <c r="H473" s="11"/>
      <c r="I473" s="12"/>
      <c r="J473" s="629">
        <v>200</v>
      </c>
      <c r="K473" s="13"/>
    </row>
    <row r="474" spans="1:11" ht="15" customHeight="1" x14ac:dyDescent="0.3">
      <c r="A474" s="647"/>
      <c r="B474" s="659"/>
      <c r="C474" s="42"/>
      <c r="D474" s="43" t="s">
        <v>446</v>
      </c>
      <c r="E474" s="3">
        <v>0</v>
      </c>
      <c r="G474" s="41"/>
      <c r="H474" s="11"/>
      <c r="I474" s="12"/>
      <c r="J474" s="629">
        <v>250</v>
      </c>
      <c r="K474" s="13"/>
    </row>
    <row r="475" spans="1:11" ht="15" customHeight="1" x14ac:dyDescent="0.3">
      <c r="A475" s="647"/>
      <c r="B475" s="659"/>
      <c r="C475" s="42"/>
      <c r="D475" s="43" t="s">
        <v>446</v>
      </c>
      <c r="E475" s="3">
        <v>0</v>
      </c>
      <c r="G475" s="41"/>
      <c r="H475" s="11"/>
      <c r="I475" s="12"/>
      <c r="J475" s="629">
        <v>300</v>
      </c>
      <c r="K475" s="13"/>
    </row>
    <row r="476" spans="1:11" s="48" customFormat="1" ht="15" customHeight="1" x14ac:dyDescent="0.3">
      <c r="A476" s="647"/>
      <c r="B476" s="668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627"/>
      <c r="K476" s="13"/>
    </row>
    <row r="477" spans="1:11" ht="15" customHeight="1" x14ac:dyDescent="0.3">
      <c r="A477" s="647"/>
      <c r="B477" s="670"/>
      <c r="C477" s="45">
        <v>128</v>
      </c>
      <c r="D477" s="46" t="s">
        <v>451</v>
      </c>
      <c r="E477" s="3">
        <v>0</v>
      </c>
      <c r="G477" s="41"/>
      <c r="H477" s="11"/>
      <c r="I477" s="12"/>
      <c r="J477" s="627"/>
      <c r="K477" s="13"/>
    </row>
    <row r="478" spans="1:11" ht="15" customHeight="1" x14ac:dyDescent="0.3">
      <c r="A478" s="647"/>
      <c r="B478" s="669"/>
      <c r="C478" s="45">
        <v>157</v>
      </c>
      <c r="D478" s="46" t="s">
        <v>451</v>
      </c>
      <c r="E478" s="3">
        <v>0</v>
      </c>
      <c r="G478" s="41"/>
      <c r="H478" s="11"/>
      <c r="I478" s="12"/>
      <c r="J478" s="627"/>
      <c r="K478" s="13"/>
    </row>
    <row r="479" spans="1:11" s="1" customFormat="1" ht="15" customHeight="1" x14ac:dyDescent="0.3">
      <c r="A479" s="647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627"/>
      <c r="K479" s="13"/>
    </row>
    <row r="480" spans="1:11" s="1" customFormat="1" ht="15" customHeight="1" x14ac:dyDescent="0.3">
      <c r="A480" s="647"/>
      <c r="B480" s="659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627"/>
      <c r="K480" s="13"/>
    </row>
    <row r="481" spans="1:11" s="1" customFormat="1" ht="15" customHeight="1" x14ac:dyDescent="0.3">
      <c r="A481" s="647"/>
      <c r="B481" s="659"/>
      <c r="C481" s="49">
        <v>275</v>
      </c>
      <c r="D481" s="50" t="s">
        <v>456</v>
      </c>
      <c r="E481" s="1">
        <v>0</v>
      </c>
      <c r="G481" s="41"/>
      <c r="H481" s="11"/>
      <c r="I481" s="12"/>
      <c r="J481" s="627"/>
      <c r="K481" s="13"/>
    </row>
    <row r="482" spans="1:11" ht="15" customHeight="1" x14ac:dyDescent="0.3">
      <c r="A482" s="647"/>
      <c r="B482" s="659"/>
      <c r="C482" s="49"/>
      <c r="D482" s="52" t="s">
        <v>457</v>
      </c>
      <c r="E482" s="3">
        <v>0</v>
      </c>
      <c r="G482" s="41"/>
      <c r="H482" s="11"/>
      <c r="I482" s="12"/>
      <c r="J482" s="627"/>
      <c r="K482" s="13"/>
    </row>
    <row r="483" spans="1:11" ht="15" customHeight="1" x14ac:dyDescent="0.3">
      <c r="A483" s="647"/>
      <c r="B483" s="659"/>
      <c r="C483" s="49"/>
      <c r="D483" s="52" t="s">
        <v>458</v>
      </c>
      <c r="E483" s="3">
        <v>0</v>
      </c>
      <c r="G483" s="41"/>
      <c r="H483" s="11"/>
      <c r="I483" s="12"/>
      <c r="J483" s="627"/>
      <c r="K483" s="13"/>
    </row>
    <row r="484" spans="1:11" ht="15" customHeight="1" x14ac:dyDescent="0.3">
      <c r="A484" s="647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627"/>
      <c r="K484" s="13"/>
    </row>
    <row r="485" spans="1:11" ht="15" customHeight="1" x14ac:dyDescent="0.3">
      <c r="A485" s="647"/>
      <c r="B485" s="659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627"/>
      <c r="K485" s="13"/>
    </row>
    <row r="486" spans="1:11" ht="15" customHeight="1" x14ac:dyDescent="0.3">
      <c r="A486" s="647"/>
      <c r="B486" s="659"/>
      <c r="C486" s="49">
        <v>216</v>
      </c>
      <c r="D486" s="52" t="s">
        <v>462</v>
      </c>
      <c r="E486" s="3">
        <v>0</v>
      </c>
      <c r="G486" s="41"/>
      <c r="H486" s="11"/>
      <c r="I486" s="12"/>
      <c r="J486" s="627"/>
      <c r="K486" s="13"/>
    </row>
    <row r="487" spans="1:11" s="1" customFormat="1" ht="15" customHeight="1" x14ac:dyDescent="0.3">
      <c r="A487" s="647"/>
      <c r="B487" s="659"/>
      <c r="C487" s="49">
        <v>298</v>
      </c>
      <c r="D487" s="52" t="s">
        <v>463</v>
      </c>
      <c r="E487" s="1">
        <v>0</v>
      </c>
      <c r="G487" s="41"/>
      <c r="H487" s="11"/>
      <c r="I487" s="12"/>
      <c r="J487" s="627"/>
      <c r="K487" s="13"/>
    </row>
    <row r="488" spans="1:11" s="1" customFormat="1" ht="15" customHeight="1" x14ac:dyDescent="0.3">
      <c r="A488" s="647"/>
      <c r="B488" s="659"/>
      <c r="C488" s="49"/>
      <c r="D488" s="52" t="s">
        <v>464</v>
      </c>
      <c r="E488" s="1">
        <v>0</v>
      </c>
      <c r="G488" s="41"/>
      <c r="H488" s="11"/>
      <c r="I488" s="12"/>
      <c r="J488" s="627"/>
      <c r="K488" s="13"/>
    </row>
    <row r="489" spans="1:11" ht="15" customHeight="1" x14ac:dyDescent="0.3">
      <c r="A489" s="647"/>
      <c r="B489" s="668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627"/>
      <c r="K489" s="13"/>
    </row>
    <row r="490" spans="1:11" ht="15" customHeight="1" x14ac:dyDescent="0.3">
      <c r="A490" s="647"/>
      <c r="B490" s="670"/>
      <c r="C490" s="49">
        <v>157</v>
      </c>
      <c r="D490" s="52" t="s">
        <v>465</v>
      </c>
      <c r="E490" s="3">
        <v>0</v>
      </c>
      <c r="G490" s="41"/>
      <c r="H490" s="11"/>
      <c r="I490" s="12"/>
      <c r="J490" s="627"/>
      <c r="K490" s="13"/>
    </row>
    <row r="491" spans="1:11" ht="15" customHeight="1" x14ac:dyDescent="0.3">
      <c r="A491" s="647"/>
      <c r="B491" s="670"/>
      <c r="C491" s="49">
        <v>209</v>
      </c>
      <c r="D491" s="52" t="s">
        <v>465</v>
      </c>
      <c r="E491" s="3">
        <v>0</v>
      </c>
      <c r="G491" s="41"/>
      <c r="H491" s="11"/>
      <c r="I491" s="12"/>
      <c r="J491" s="627"/>
      <c r="K491" s="13"/>
    </row>
    <row r="492" spans="1:11" s="1" customFormat="1" ht="15" customHeight="1" x14ac:dyDescent="0.3">
      <c r="A492" s="647"/>
      <c r="B492" s="670"/>
      <c r="C492" s="49">
        <v>128</v>
      </c>
      <c r="D492" s="52" t="s">
        <v>466</v>
      </c>
      <c r="E492" s="1">
        <v>0</v>
      </c>
      <c r="G492" s="41"/>
      <c r="H492" s="11"/>
      <c r="I492" s="12"/>
      <c r="J492" s="627"/>
      <c r="K492" s="13"/>
    </row>
    <row r="493" spans="1:11" ht="15" customHeight="1" x14ac:dyDescent="0.3">
      <c r="A493" s="647"/>
      <c r="B493" s="670"/>
      <c r="C493" s="49">
        <v>157</v>
      </c>
      <c r="D493" s="52" t="s">
        <v>466</v>
      </c>
      <c r="E493" s="3">
        <v>0</v>
      </c>
      <c r="G493" s="41"/>
      <c r="H493" s="11"/>
      <c r="I493" s="12"/>
      <c r="J493" s="627"/>
      <c r="K493" s="13"/>
    </row>
    <row r="494" spans="1:11" ht="15" customHeight="1" x14ac:dyDescent="0.3">
      <c r="A494" s="647"/>
      <c r="B494" s="670"/>
      <c r="C494" s="49">
        <v>209</v>
      </c>
      <c r="D494" s="52" t="s">
        <v>466</v>
      </c>
      <c r="E494" s="3">
        <v>0</v>
      </c>
      <c r="G494" s="41"/>
      <c r="H494" s="11"/>
      <c r="I494" s="12"/>
      <c r="J494" s="627"/>
      <c r="K494" s="13"/>
    </row>
    <row r="495" spans="1:11" ht="15" customHeight="1" x14ac:dyDescent="0.3">
      <c r="A495" s="647"/>
      <c r="B495" s="670"/>
      <c r="C495" s="49">
        <v>128</v>
      </c>
      <c r="D495" s="52" t="s">
        <v>467</v>
      </c>
      <c r="E495" s="3">
        <v>0</v>
      </c>
      <c r="G495" s="41"/>
      <c r="H495" s="11"/>
      <c r="I495" s="12"/>
      <c r="J495" s="627"/>
      <c r="K495" s="13"/>
    </row>
    <row r="496" spans="1:11" ht="15" customHeight="1" x14ac:dyDescent="0.3">
      <c r="A496" s="647"/>
      <c r="B496" s="669"/>
      <c r="C496" s="49">
        <v>157</v>
      </c>
      <c r="D496" s="52" t="s">
        <v>467</v>
      </c>
      <c r="E496" s="3">
        <v>0</v>
      </c>
      <c r="G496" s="41"/>
      <c r="H496" s="11"/>
      <c r="I496" s="12"/>
      <c r="J496" s="627"/>
      <c r="K496" s="13"/>
    </row>
    <row r="497" spans="1:11" ht="15" customHeight="1" x14ac:dyDescent="0.3">
      <c r="A497" s="647"/>
      <c r="B497" s="659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627"/>
      <c r="K497" s="13"/>
    </row>
    <row r="498" spans="1:11" ht="15" customHeight="1" x14ac:dyDescent="0.3">
      <c r="A498" s="647"/>
      <c r="B498" s="659"/>
      <c r="C498" s="49">
        <v>200</v>
      </c>
      <c r="D498" s="52" t="s">
        <v>469</v>
      </c>
      <c r="E498" s="3">
        <v>0</v>
      </c>
      <c r="G498" s="41"/>
      <c r="H498" s="11"/>
      <c r="I498" s="12"/>
      <c r="J498" s="627"/>
      <c r="K498" s="13"/>
    </row>
    <row r="499" spans="1:11" ht="15" customHeight="1" x14ac:dyDescent="0.3">
      <c r="A499" s="647"/>
      <c r="B499" s="659"/>
      <c r="C499" s="49">
        <v>260</v>
      </c>
      <c r="D499" s="52" t="s">
        <v>469</v>
      </c>
      <c r="E499" s="3">
        <v>0</v>
      </c>
      <c r="G499" s="41"/>
      <c r="H499" s="11"/>
      <c r="I499" s="12"/>
      <c r="J499" s="627"/>
      <c r="K499" s="13"/>
    </row>
    <row r="500" spans="1:11" ht="15" customHeight="1" x14ac:dyDescent="0.3">
      <c r="A500" s="647"/>
      <c r="B500" s="659"/>
      <c r="C500" s="49">
        <v>100</v>
      </c>
      <c r="D500" s="52" t="s">
        <v>470</v>
      </c>
      <c r="E500" s="3">
        <v>0</v>
      </c>
      <c r="G500" s="41"/>
      <c r="H500" s="11"/>
      <c r="I500" s="12"/>
      <c r="J500" s="627"/>
      <c r="K500" s="13"/>
    </row>
    <row r="501" spans="1:11" ht="15" customHeight="1" x14ac:dyDescent="0.3">
      <c r="A501" s="647"/>
      <c r="B501" s="659"/>
      <c r="C501" s="49">
        <v>120</v>
      </c>
      <c r="D501" s="52" t="s">
        <v>470</v>
      </c>
      <c r="E501" s="3">
        <v>0</v>
      </c>
      <c r="G501" s="41"/>
      <c r="H501" s="11"/>
      <c r="I501" s="12"/>
      <c r="J501" s="627"/>
      <c r="K501" s="13"/>
    </row>
    <row r="502" spans="1:11" ht="15" customHeight="1" x14ac:dyDescent="0.3">
      <c r="A502" s="647"/>
      <c r="B502" s="659"/>
      <c r="C502" s="49">
        <v>150</v>
      </c>
      <c r="D502" s="52" t="s">
        <v>470</v>
      </c>
      <c r="E502" s="3">
        <v>0</v>
      </c>
      <c r="G502" s="41"/>
      <c r="H502" s="11"/>
      <c r="I502" s="12"/>
      <c r="J502" s="627"/>
      <c r="K502" s="13"/>
    </row>
    <row r="503" spans="1:11" ht="15" customHeight="1" x14ac:dyDescent="0.3">
      <c r="A503" s="647"/>
      <c r="B503" s="659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627"/>
      <c r="K503" s="13"/>
    </row>
    <row r="504" spans="1:11" ht="15" customHeight="1" x14ac:dyDescent="0.3">
      <c r="A504" s="647"/>
      <c r="B504" s="659"/>
      <c r="C504" s="49">
        <v>200</v>
      </c>
      <c r="D504" s="52" t="s">
        <v>470</v>
      </c>
      <c r="E504" s="3">
        <v>0</v>
      </c>
      <c r="G504" s="41"/>
      <c r="H504" s="11"/>
      <c r="I504" s="12"/>
      <c r="J504" s="627"/>
      <c r="K504" s="13"/>
    </row>
    <row r="505" spans="1:11" ht="15" customHeight="1" x14ac:dyDescent="0.3">
      <c r="A505" s="647"/>
      <c r="B505" s="659"/>
      <c r="C505" s="49">
        <v>240</v>
      </c>
      <c r="D505" s="52" t="s">
        <v>470</v>
      </c>
      <c r="E505" s="3">
        <v>0</v>
      </c>
      <c r="G505" s="41"/>
      <c r="H505" s="11"/>
      <c r="I505" s="12"/>
      <c r="J505" s="627"/>
      <c r="K505" s="13"/>
    </row>
    <row r="506" spans="1:11" ht="15" customHeight="1" x14ac:dyDescent="0.3">
      <c r="A506" s="647"/>
      <c r="B506" s="659"/>
      <c r="C506" s="49">
        <v>300</v>
      </c>
      <c r="D506" s="52" t="s">
        <v>470</v>
      </c>
      <c r="E506" s="3">
        <v>0</v>
      </c>
      <c r="G506" s="41"/>
      <c r="H506" s="11"/>
      <c r="I506" s="12"/>
      <c r="J506" s="627"/>
      <c r="K506" s="13"/>
    </row>
    <row r="507" spans="1:11" ht="15" customHeight="1" x14ac:dyDescent="0.3">
      <c r="A507" s="647"/>
      <c r="B507" s="668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627"/>
      <c r="K507" s="13"/>
    </row>
    <row r="508" spans="1:11" ht="15" customHeight="1" x14ac:dyDescent="0.3">
      <c r="A508" s="647"/>
      <c r="B508" s="670"/>
      <c r="C508" s="49">
        <v>151</v>
      </c>
      <c r="D508" s="52" t="s">
        <v>472</v>
      </c>
      <c r="E508" s="3">
        <v>0</v>
      </c>
      <c r="G508" s="41"/>
      <c r="H508" s="11"/>
      <c r="I508" s="12"/>
      <c r="J508" s="627"/>
      <c r="K508" s="13"/>
    </row>
    <row r="509" spans="1:11" ht="15" customHeight="1" x14ac:dyDescent="0.3">
      <c r="A509" s="647"/>
      <c r="B509" s="670"/>
      <c r="C509" s="49">
        <v>227</v>
      </c>
      <c r="D509" s="52" t="s">
        <v>471</v>
      </c>
      <c r="E509" s="3">
        <v>0</v>
      </c>
      <c r="G509" s="41"/>
      <c r="H509" s="11"/>
      <c r="I509" s="12"/>
      <c r="J509" s="627"/>
      <c r="K509" s="13"/>
    </row>
    <row r="510" spans="1:11" ht="15" customHeight="1" x14ac:dyDescent="0.3">
      <c r="A510" s="647"/>
      <c r="B510" s="670"/>
      <c r="C510" s="49">
        <v>320</v>
      </c>
      <c r="D510" s="52" t="s">
        <v>473</v>
      </c>
      <c r="E510" s="3">
        <v>0</v>
      </c>
      <c r="G510" s="41"/>
      <c r="H510" s="11"/>
      <c r="I510" s="12"/>
      <c r="J510" s="627"/>
      <c r="K510" s="13"/>
    </row>
    <row r="511" spans="1:11" ht="15" customHeight="1" x14ac:dyDescent="0.3">
      <c r="A511" s="647"/>
      <c r="B511" s="669"/>
      <c r="C511" s="49">
        <v>175</v>
      </c>
      <c r="D511" s="52" t="s">
        <v>472</v>
      </c>
      <c r="E511" s="3">
        <v>0</v>
      </c>
      <c r="G511" s="41"/>
      <c r="H511" s="11"/>
      <c r="I511" s="12"/>
      <c r="J511" s="627"/>
      <c r="K511" s="13"/>
    </row>
    <row r="512" spans="1:11" ht="15" customHeight="1" x14ac:dyDescent="0.3">
      <c r="A512" s="647"/>
      <c r="B512" s="659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627"/>
      <c r="K512" s="13"/>
    </row>
    <row r="513" spans="1:11" s="1" customFormat="1" ht="15" customHeight="1" x14ac:dyDescent="0.3">
      <c r="A513" s="647"/>
      <c r="B513" s="659"/>
      <c r="C513" s="49">
        <v>216</v>
      </c>
      <c r="D513" s="52" t="s">
        <v>474</v>
      </c>
      <c r="E513" s="1">
        <v>0</v>
      </c>
      <c r="G513" s="41"/>
      <c r="H513" s="11"/>
      <c r="I513" s="12"/>
      <c r="J513" s="627"/>
      <c r="K513" s="13"/>
    </row>
    <row r="514" spans="1:11" s="1" customFormat="1" ht="15" customHeight="1" x14ac:dyDescent="0.3">
      <c r="A514" s="647"/>
      <c r="B514" s="659"/>
      <c r="C514" s="49">
        <v>298</v>
      </c>
      <c r="D514" s="52" t="s">
        <v>474</v>
      </c>
      <c r="E514" s="1">
        <v>0</v>
      </c>
      <c r="G514" s="41"/>
      <c r="H514" s="11"/>
      <c r="I514" s="12"/>
      <c r="J514" s="627"/>
      <c r="K514" s="13"/>
    </row>
    <row r="515" spans="1:11" s="1" customFormat="1" ht="15" customHeight="1" x14ac:dyDescent="0.3">
      <c r="A515" s="647"/>
      <c r="B515" s="659"/>
      <c r="C515" s="51">
        <v>104</v>
      </c>
      <c r="D515" s="52" t="s">
        <v>475</v>
      </c>
      <c r="E515" s="1">
        <v>0</v>
      </c>
      <c r="G515" s="41"/>
      <c r="H515" s="11"/>
      <c r="I515" s="12"/>
      <c r="J515" s="627"/>
      <c r="K515" s="13"/>
    </row>
    <row r="516" spans="1:11" s="1" customFormat="1" ht="15" customHeight="1" x14ac:dyDescent="0.3">
      <c r="A516" s="647"/>
      <c r="B516" s="659"/>
      <c r="C516" s="51">
        <v>216</v>
      </c>
      <c r="D516" s="52" t="s">
        <v>475</v>
      </c>
      <c r="E516" s="1">
        <v>0</v>
      </c>
      <c r="G516" s="41"/>
      <c r="H516" s="11"/>
      <c r="I516" s="12"/>
      <c r="J516" s="627"/>
      <c r="K516" s="13"/>
    </row>
    <row r="517" spans="1:11" ht="15" customHeight="1" x14ac:dyDescent="0.3">
      <c r="A517" s="647"/>
      <c r="B517" s="659"/>
      <c r="C517" s="49">
        <v>298</v>
      </c>
      <c r="D517" s="52" t="s">
        <v>476</v>
      </c>
      <c r="E517" s="3">
        <v>0</v>
      </c>
      <c r="G517" s="41"/>
      <c r="H517" s="11"/>
      <c r="I517" s="12"/>
      <c r="J517" s="627"/>
      <c r="K517" s="13"/>
    </row>
    <row r="518" spans="1:11" ht="15" customHeight="1" x14ac:dyDescent="0.3">
      <c r="A518" s="647"/>
      <c r="B518" s="659"/>
      <c r="C518" s="49"/>
      <c r="D518" s="52" t="s">
        <v>477</v>
      </c>
      <c r="E518" s="3">
        <v>0</v>
      </c>
      <c r="G518" s="41"/>
      <c r="H518" s="11"/>
      <c r="I518" s="12"/>
      <c r="J518" s="627"/>
      <c r="K518" s="13"/>
    </row>
    <row r="519" spans="1:11" ht="15" customHeight="1" x14ac:dyDescent="0.3">
      <c r="A519" s="647"/>
      <c r="B519" s="668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627"/>
      <c r="K519" s="13"/>
    </row>
    <row r="520" spans="1:11" ht="15" customHeight="1" x14ac:dyDescent="0.3">
      <c r="A520" s="647"/>
      <c r="B520" s="670"/>
      <c r="C520" s="49">
        <v>174</v>
      </c>
      <c r="D520" s="52" t="s">
        <v>478</v>
      </c>
      <c r="E520" s="3">
        <v>0</v>
      </c>
      <c r="G520" s="41"/>
      <c r="H520" s="11"/>
      <c r="I520" s="12"/>
      <c r="J520" s="627"/>
      <c r="K520" s="13"/>
    </row>
    <row r="521" spans="1:11" ht="15" customHeight="1" x14ac:dyDescent="0.3">
      <c r="A521" s="647"/>
      <c r="B521" s="670"/>
      <c r="C521" s="49">
        <v>209</v>
      </c>
      <c r="D521" s="52" t="s">
        <v>478</v>
      </c>
      <c r="E521" s="3">
        <v>0</v>
      </c>
      <c r="G521" s="41"/>
      <c r="H521" s="11"/>
      <c r="I521" s="12"/>
      <c r="J521" s="627"/>
      <c r="K521" s="13"/>
    </row>
    <row r="522" spans="1:11" ht="15" customHeight="1" x14ac:dyDescent="0.3">
      <c r="A522" s="647"/>
      <c r="B522" s="670"/>
      <c r="C522" s="49">
        <v>128</v>
      </c>
      <c r="D522" s="52" t="s">
        <v>479</v>
      </c>
      <c r="E522" s="3">
        <v>0</v>
      </c>
      <c r="G522" s="41"/>
      <c r="H522" s="11"/>
      <c r="I522" s="12"/>
      <c r="J522" s="627"/>
      <c r="K522" s="13"/>
    </row>
    <row r="523" spans="1:11" ht="15" customHeight="1" x14ac:dyDescent="0.3">
      <c r="A523" s="647"/>
      <c r="B523" s="670"/>
      <c r="C523" s="49">
        <v>186</v>
      </c>
      <c r="D523" s="52" t="s">
        <v>479</v>
      </c>
      <c r="E523" s="3">
        <v>0</v>
      </c>
      <c r="G523" s="41"/>
      <c r="H523" s="11"/>
      <c r="I523" s="12"/>
      <c r="J523" s="627"/>
      <c r="K523" s="13"/>
    </row>
    <row r="524" spans="1:11" ht="15" customHeight="1" x14ac:dyDescent="0.3">
      <c r="A524" s="647"/>
      <c r="B524" s="669"/>
      <c r="C524" s="49">
        <v>209</v>
      </c>
      <c r="D524" s="52" t="s">
        <v>479</v>
      </c>
      <c r="E524" s="3">
        <v>0</v>
      </c>
      <c r="G524" s="41"/>
      <c r="H524" s="11"/>
      <c r="I524" s="12"/>
      <c r="J524" s="627"/>
      <c r="K524" s="13"/>
    </row>
    <row r="525" spans="1:11" ht="15" customHeight="1" x14ac:dyDescent="0.3">
      <c r="A525" s="647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627"/>
      <c r="K525" s="13"/>
    </row>
    <row r="526" spans="1:11" ht="15" customHeight="1" x14ac:dyDescent="0.3">
      <c r="A526" s="647"/>
      <c r="B526" s="659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627"/>
      <c r="K526" s="13"/>
    </row>
    <row r="527" spans="1:11" ht="15" customHeight="1" x14ac:dyDescent="0.3">
      <c r="A527" s="647"/>
      <c r="B527" s="659"/>
      <c r="C527" s="49">
        <v>128</v>
      </c>
      <c r="D527" s="52" t="s">
        <v>481</v>
      </c>
      <c r="E527" s="3">
        <v>0</v>
      </c>
      <c r="G527" s="41"/>
      <c r="H527" s="11"/>
      <c r="I527" s="12"/>
      <c r="J527" s="627"/>
      <c r="K527" s="13"/>
    </row>
    <row r="528" spans="1:11" ht="15" customHeight="1" x14ac:dyDescent="0.3">
      <c r="A528" s="647"/>
      <c r="B528" s="659"/>
      <c r="C528" s="49">
        <v>100</v>
      </c>
      <c r="D528" s="52" t="s">
        <v>482</v>
      </c>
      <c r="E528" s="3">
        <v>0</v>
      </c>
      <c r="G528" s="54"/>
      <c r="H528" s="11"/>
      <c r="I528" s="12"/>
      <c r="J528" s="627"/>
      <c r="K528" s="13"/>
    </row>
    <row r="529" spans="1:11" ht="15" customHeight="1" x14ac:dyDescent="0.3">
      <c r="A529" s="647"/>
      <c r="B529" s="659"/>
      <c r="C529" s="49">
        <v>115</v>
      </c>
      <c r="D529" s="52" t="s">
        <v>482</v>
      </c>
      <c r="E529" s="3">
        <v>0</v>
      </c>
      <c r="G529" s="54"/>
      <c r="H529" s="11"/>
      <c r="I529" s="12"/>
      <c r="J529" s="627"/>
      <c r="K529" s="13"/>
    </row>
    <row r="530" spans="1:11" ht="15" customHeight="1" x14ac:dyDescent="0.3">
      <c r="A530" s="647"/>
      <c r="B530" s="659"/>
      <c r="C530" s="49">
        <v>250</v>
      </c>
      <c r="D530" s="52" t="s">
        <v>482</v>
      </c>
      <c r="E530" s="3">
        <v>0</v>
      </c>
      <c r="G530" s="41"/>
      <c r="H530" s="11"/>
      <c r="I530" s="12"/>
      <c r="J530" s="627"/>
      <c r="K530" s="13"/>
    </row>
    <row r="531" spans="1:11" ht="15" customHeight="1" x14ac:dyDescent="0.3">
      <c r="A531" s="647"/>
      <c r="B531" s="659"/>
      <c r="C531" s="49">
        <v>116</v>
      </c>
      <c r="D531" s="52" t="s">
        <v>483</v>
      </c>
      <c r="E531" s="3">
        <v>0</v>
      </c>
      <c r="G531" s="41"/>
      <c r="H531" s="11"/>
      <c r="I531" s="12"/>
      <c r="J531" s="627"/>
      <c r="K531" s="13"/>
    </row>
    <row r="532" spans="1:11" ht="15" customHeight="1" x14ac:dyDescent="0.3">
      <c r="A532" s="647"/>
      <c r="B532" s="659"/>
      <c r="C532" s="49">
        <v>233</v>
      </c>
      <c r="D532" s="52" t="s">
        <v>483</v>
      </c>
      <c r="E532" s="3">
        <v>0</v>
      </c>
      <c r="G532" s="41"/>
      <c r="H532" s="11"/>
      <c r="I532" s="12"/>
      <c r="J532" s="627"/>
      <c r="K532" s="13"/>
    </row>
    <row r="533" spans="1:11" ht="15" customHeight="1" x14ac:dyDescent="0.3">
      <c r="A533" s="647"/>
      <c r="B533" s="659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627"/>
      <c r="K533" s="13"/>
    </row>
    <row r="534" spans="1:11" ht="15" customHeight="1" x14ac:dyDescent="0.3">
      <c r="A534" s="647"/>
      <c r="B534" s="659"/>
      <c r="C534" s="49">
        <v>216</v>
      </c>
      <c r="D534" s="52" t="s">
        <v>484</v>
      </c>
      <c r="E534" s="3">
        <v>0</v>
      </c>
      <c r="G534" s="41"/>
      <c r="H534" s="11"/>
      <c r="I534" s="12"/>
      <c r="J534" s="627"/>
      <c r="K534" s="13"/>
    </row>
    <row r="535" spans="1:11" ht="15" customHeight="1" x14ac:dyDescent="0.3">
      <c r="A535" s="647"/>
      <c r="B535" s="659"/>
      <c r="C535" s="49">
        <v>270</v>
      </c>
      <c r="D535" s="52" t="s">
        <v>484</v>
      </c>
      <c r="E535" s="3">
        <v>0</v>
      </c>
      <c r="G535" s="41"/>
      <c r="H535" s="11"/>
      <c r="I535" s="12"/>
      <c r="J535" s="627"/>
      <c r="K535" s="13"/>
    </row>
    <row r="536" spans="1:11" ht="15" customHeight="1" x14ac:dyDescent="0.3">
      <c r="A536" s="647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627"/>
      <c r="K536" s="13"/>
    </row>
    <row r="537" spans="1:11" ht="15" customHeight="1" x14ac:dyDescent="0.3">
      <c r="A537" s="647"/>
      <c r="B537" s="659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627"/>
      <c r="K537" s="13"/>
    </row>
    <row r="538" spans="1:11" ht="15" customHeight="1" x14ac:dyDescent="0.3">
      <c r="A538" s="647"/>
      <c r="B538" s="659"/>
      <c r="C538" s="49">
        <v>216</v>
      </c>
      <c r="D538" s="52" t="s">
        <v>486</v>
      </c>
      <c r="E538" s="3">
        <v>0</v>
      </c>
      <c r="G538" s="41"/>
      <c r="H538" s="11"/>
      <c r="I538" s="12"/>
      <c r="J538" s="627"/>
      <c r="K538" s="13"/>
    </row>
    <row r="539" spans="1:11" ht="15" customHeight="1" x14ac:dyDescent="0.3">
      <c r="A539" s="647"/>
      <c r="B539" s="659"/>
      <c r="C539" s="49">
        <v>300</v>
      </c>
      <c r="D539" s="52" t="s">
        <v>486</v>
      </c>
      <c r="E539" s="3">
        <v>0</v>
      </c>
      <c r="G539" s="41"/>
      <c r="H539" s="11"/>
      <c r="I539" s="12"/>
      <c r="J539" s="627"/>
      <c r="K539" s="13"/>
    </row>
    <row r="540" spans="1:11" ht="15" customHeight="1" x14ac:dyDescent="0.3">
      <c r="A540" s="647"/>
      <c r="B540" s="659"/>
      <c r="C540" s="49">
        <v>352</v>
      </c>
      <c r="D540" s="52" t="s">
        <v>486</v>
      </c>
      <c r="E540" s="3">
        <v>0</v>
      </c>
      <c r="G540" s="41"/>
      <c r="H540" s="11"/>
      <c r="I540" s="12"/>
      <c r="J540" s="627"/>
      <c r="K540" s="13"/>
    </row>
    <row r="541" spans="1:11" ht="15" customHeight="1" x14ac:dyDescent="0.3">
      <c r="A541" s="647"/>
      <c r="B541" s="668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627"/>
      <c r="K541" s="13"/>
    </row>
    <row r="542" spans="1:11" ht="15" customHeight="1" x14ac:dyDescent="0.3">
      <c r="A542" s="647"/>
      <c r="B542" s="669"/>
      <c r="C542" s="49"/>
      <c r="D542" s="52" t="s">
        <v>488</v>
      </c>
      <c r="E542" s="3">
        <v>0</v>
      </c>
      <c r="G542" s="41"/>
      <c r="H542" s="11"/>
      <c r="I542" s="12"/>
      <c r="J542" s="627"/>
      <c r="K542" s="13"/>
    </row>
    <row r="543" spans="1:11" ht="15" customHeight="1" x14ac:dyDescent="0.3">
      <c r="A543" s="647"/>
      <c r="B543" s="668" t="s">
        <v>489</v>
      </c>
      <c r="C543" s="51">
        <v>260</v>
      </c>
      <c r="D543" s="52" t="s">
        <v>490</v>
      </c>
      <c r="G543" s="41"/>
      <c r="H543" s="11"/>
      <c r="I543" s="12"/>
      <c r="J543" s="627"/>
      <c r="K543" s="13"/>
    </row>
    <row r="544" spans="1:11" ht="15" customHeight="1" x14ac:dyDescent="0.3">
      <c r="A544" s="647"/>
      <c r="B544" s="669"/>
      <c r="C544" s="51">
        <v>300</v>
      </c>
      <c r="D544" s="52" t="s">
        <v>490</v>
      </c>
      <c r="G544" s="41"/>
      <c r="H544" s="11"/>
      <c r="I544" s="12"/>
      <c r="J544" s="627"/>
      <c r="K544" s="13"/>
    </row>
    <row r="545" spans="1:11" ht="15" customHeight="1" x14ac:dyDescent="0.3">
      <c r="A545" s="647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627"/>
      <c r="K545" s="13"/>
    </row>
    <row r="546" spans="1:11" ht="15" customHeight="1" x14ac:dyDescent="0.3">
      <c r="A546" s="647"/>
      <c r="B546" s="659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627"/>
      <c r="K546" s="13"/>
    </row>
    <row r="547" spans="1:11" ht="15" customHeight="1" x14ac:dyDescent="0.3">
      <c r="A547" s="647"/>
      <c r="B547" s="659"/>
      <c r="C547" s="49">
        <v>300</v>
      </c>
      <c r="D547" s="53" t="s">
        <v>492</v>
      </c>
      <c r="E547" s="3">
        <v>0</v>
      </c>
      <c r="G547" s="41"/>
      <c r="H547" s="11"/>
      <c r="I547" s="12"/>
      <c r="J547" s="627"/>
      <c r="K547" s="13"/>
    </row>
    <row r="548" spans="1:11" ht="15" customHeight="1" x14ac:dyDescent="0.3">
      <c r="A548" s="647"/>
      <c r="B548" s="659"/>
      <c r="C548" s="49">
        <v>260</v>
      </c>
      <c r="D548" s="53" t="s">
        <v>493</v>
      </c>
      <c r="E548" s="3">
        <v>0</v>
      </c>
      <c r="G548" s="41"/>
      <c r="H548" s="11"/>
      <c r="I548" s="12"/>
      <c r="J548" s="627"/>
      <c r="K548" s="13"/>
    </row>
    <row r="549" spans="1:11" ht="15" customHeight="1" x14ac:dyDescent="0.3">
      <c r="A549" s="647"/>
      <c r="B549" s="659"/>
      <c r="C549" s="49">
        <v>330</v>
      </c>
      <c r="D549" s="53" t="s">
        <v>493</v>
      </c>
      <c r="E549" s="3">
        <v>0</v>
      </c>
      <c r="G549" s="41"/>
      <c r="H549" s="11"/>
      <c r="I549" s="12"/>
      <c r="J549" s="627"/>
      <c r="K549" s="13"/>
    </row>
    <row r="550" spans="1:11" ht="15" customHeight="1" x14ac:dyDescent="0.3">
      <c r="A550" s="647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627"/>
      <c r="K550" s="13"/>
    </row>
    <row r="551" spans="1:11" ht="15" customHeight="1" x14ac:dyDescent="0.3">
      <c r="A551" s="647"/>
      <c r="B551" s="668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627"/>
      <c r="K551" s="13"/>
    </row>
    <row r="552" spans="1:11" ht="15" customHeight="1" x14ac:dyDescent="0.3">
      <c r="A552" s="647"/>
      <c r="B552" s="670"/>
      <c r="C552" s="49">
        <v>209</v>
      </c>
      <c r="D552" s="52" t="s">
        <v>494</v>
      </c>
      <c r="E552" s="3">
        <v>0</v>
      </c>
      <c r="G552" s="41"/>
      <c r="H552" s="11"/>
      <c r="I552" s="12"/>
      <c r="J552" s="627"/>
      <c r="K552" s="13"/>
    </row>
    <row r="553" spans="1:11" ht="15" customHeight="1" x14ac:dyDescent="0.3">
      <c r="A553" s="647"/>
      <c r="B553" s="670"/>
      <c r="C553" s="49">
        <v>128</v>
      </c>
      <c r="D553" s="52" t="s">
        <v>495</v>
      </c>
      <c r="E553" s="3">
        <v>0</v>
      </c>
      <c r="G553" s="41"/>
      <c r="H553" s="11"/>
      <c r="I553" s="12"/>
      <c r="J553" s="627"/>
      <c r="K553" s="13"/>
    </row>
    <row r="554" spans="1:11" ht="15" customHeight="1" x14ac:dyDescent="0.3">
      <c r="A554" s="647"/>
      <c r="B554" s="670"/>
      <c r="C554" s="49">
        <v>157</v>
      </c>
      <c r="D554" s="52" t="s">
        <v>495</v>
      </c>
      <c r="E554" s="3">
        <v>0</v>
      </c>
      <c r="G554" s="41"/>
      <c r="H554" s="11"/>
      <c r="I554" s="12"/>
      <c r="J554" s="627"/>
      <c r="K554" s="13"/>
    </row>
    <row r="555" spans="1:11" s="1" customFormat="1" ht="15" customHeight="1" x14ac:dyDescent="0.3">
      <c r="A555" s="647"/>
      <c r="B555" s="670"/>
      <c r="C555" s="49">
        <v>203</v>
      </c>
      <c r="D555" s="52" t="s">
        <v>495</v>
      </c>
      <c r="E555" s="1">
        <v>0</v>
      </c>
      <c r="G555" s="41"/>
      <c r="H555" s="11"/>
      <c r="I555" s="12"/>
      <c r="J555" s="627"/>
      <c r="K555" s="13"/>
    </row>
    <row r="556" spans="1:11" s="1" customFormat="1" ht="15" customHeight="1" x14ac:dyDescent="0.3">
      <c r="A556" s="648"/>
      <c r="B556" s="669"/>
      <c r="C556" s="49">
        <v>250</v>
      </c>
      <c r="D556" s="52" t="s">
        <v>495</v>
      </c>
      <c r="E556" s="1">
        <v>0</v>
      </c>
      <c r="G556" s="41"/>
      <c r="H556" s="11"/>
      <c r="I556" s="12"/>
      <c r="J556" s="627"/>
      <c r="K556" s="13"/>
    </row>
    <row r="557" spans="1:11" ht="15" customHeight="1" x14ac:dyDescent="0.3">
      <c r="A557" s="644" t="s">
        <v>496</v>
      </c>
      <c r="B557" s="643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627"/>
      <c r="K557" s="13"/>
    </row>
    <row r="558" spans="1:11" ht="15" customHeight="1" x14ac:dyDescent="0.3">
      <c r="A558" s="644"/>
      <c r="B558" s="643"/>
      <c r="C558" s="55">
        <v>209</v>
      </c>
      <c r="D558" s="56" t="s">
        <v>498</v>
      </c>
      <c r="E558" s="3">
        <v>0</v>
      </c>
      <c r="G558" s="54"/>
      <c r="H558" s="11"/>
      <c r="I558" s="12"/>
      <c r="J558" s="627"/>
      <c r="K558" s="13"/>
    </row>
    <row r="559" spans="1:11" ht="15" customHeight="1" x14ac:dyDescent="0.3">
      <c r="A559" s="644"/>
      <c r="B559" s="643"/>
      <c r="C559" s="55">
        <v>256</v>
      </c>
      <c r="D559" s="56" t="s">
        <v>499</v>
      </c>
      <c r="E559" s="3">
        <v>0</v>
      </c>
      <c r="G559" s="54"/>
      <c r="H559" s="11"/>
      <c r="I559" s="12"/>
      <c r="J559" s="627"/>
      <c r="K559" s="13"/>
    </row>
    <row r="560" spans="1:11" ht="15" customHeight="1" x14ac:dyDescent="0.3">
      <c r="A560" s="644"/>
      <c r="B560" s="643"/>
      <c r="C560" s="55">
        <v>128</v>
      </c>
      <c r="D560" s="56" t="s">
        <v>500</v>
      </c>
      <c r="E560" s="3">
        <v>0</v>
      </c>
      <c r="G560" s="54"/>
      <c r="H560" s="11"/>
      <c r="I560" s="12"/>
      <c r="J560" s="627"/>
      <c r="K560" s="13"/>
    </row>
    <row r="561" spans="1:11" ht="15" customHeight="1" x14ac:dyDescent="0.3">
      <c r="A561" s="644"/>
      <c r="B561" s="643"/>
      <c r="C561" s="55">
        <v>157</v>
      </c>
      <c r="D561" s="56" t="s">
        <v>501</v>
      </c>
      <c r="E561" s="3">
        <v>0</v>
      </c>
      <c r="G561" s="54"/>
      <c r="H561" s="11"/>
      <c r="I561" s="12"/>
      <c r="J561" s="627"/>
      <c r="K561" s="13"/>
    </row>
    <row r="562" spans="1:11" ht="15" customHeight="1" x14ac:dyDescent="0.3">
      <c r="A562" s="644"/>
      <c r="B562" s="643"/>
      <c r="C562" s="55">
        <v>233</v>
      </c>
      <c r="D562" s="56" t="s">
        <v>502</v>
      </c>
      <c r="E562" s="3">
        <v>0</v>
      </c>
      <c r="G562" s="54"/>
      <c r="H562" s="11"/>
      <c r="I562" s="12"/>
      <c r="J562" s="627"/>
      <c r="K562" s="13"/>
    </row>
    <row r="563" spans="1:11" ht="15" customHeight="1" x14ac:dyDescent="0.3">
      <c r="A563" s="644"/>
      <c r="B563" s="643"/>
      <c r="C563" s="55">
        <v>157</v>
      </c>
      <c r="D563" s="56" t="s">
        <v>503</v>
      </c>
      <c r="E563" s="3">
        <v>0</v>
      </c>
      <c r="G563" s="54"/>
      <c r="H563" s="11"/>
      <c r="I563" s="12"/>
      <c r="J563" s="627"/>
      <c r="K563" s="13"/>
    </row>
    <row r="564" spans="1:11" ht="15" customHeight="1" x14ac:dyDescent="0.3">
      <c r="A564" s="644"/>
      <c r="B564" s="643"/>
      <c r="C564" s="55">
        <v>233</v>
      </c>
      <c r="D564" s="56" t="s">
        <v>504</v>
      </c>
      <c r="E564" s="3">
        <v>0</v>
      </c>
      <c r="G564" s="54"/>
      <c r="H564" s="11"/>
      <c r="I564" s="12"/>
      <c r="J564" s="627"/>
      <c r="K564" s="13"/>
    </row>
    <row r="565" spans="1:11" ht="15" customHeight="1" x14ac:dyDescent="0.3">
      <c r="A565" s="644"/>
      <c r="B565" s="643"/>
      <c r="C565" s="55">
        <v>128</v>
      </c>
      <c r="D565" s="56" t="s">
        <v>505</v>
      </c>
      <c r="E565" s="3">
        <v>0</v>
      </c>
      <c r="G565" s="54"/>
      <c r="H565" s="11"/>
      <c r="I565" s="12"/>
      <c r="J565" s="627"/>
      <c r="K565" s="13"/>
    </row>
    <row r="566" spans="1:11" ht="15" customHeight="1" x14ac:dyDescent="0.3">
      <c r="A566" s="644"/>
      <c r="B566" s="643"/>
      <c r="C566" s="55">
        <v>174</v>
      </c>
      <c r="D566" s="56" t="s">
        <v>506</v>
      </c>
      <c r="E566" s="3">
        <v>0</v>
      </c>
      <c r="G566" s="54"/>
      <c r="H566" s="11"/>
      <c r="I566" s="12"/>
      <c r="J566" s="627"/>
      <c r="K566" s="13"/>
    </row>
    <row r="567" spans="1:11" ht="15" customHeight="1" x14ac:dyDescent="0.3">
      <c r="A567" s="644"/>
      <c r="B567" s="643"/>
      <c r="C567" s="55">
        <v>209</v>
      </c>
      <c r="D567" s="56" t="s">
        <v>507</v>
      </c>
      <c r="E567" s="3">
        <v>0</v>
      </c>
      <c r="G567" s="54"/>
      <c r="H567" s="11"/>
      <c r="I567" s="12"/>
      <c r="J567" s="627"/>
      <c r="K567" s="13"/>
    </row>
    <row r="568" spans="1:11" ht="15" customHeight="1" x14ac:dyDescent="0.3">
      <c r="A568" s="644"/>
      <c r="B568" s="643"/>
      <c r="C568" s="55">
        <v>80</v>
      </c>
      <c r="D568" s="56" t="s">
        <v>508</v>
      </c>
      <c r="E568" s="3">
        <v>0</v>
      </c>
      <c r="G568" s="54"/>
      <c r="H568" s="11"/>
      <c r="I568" s="12"/>
      <c r="J568" s="627"/>
      <c r="K568" s="13"/>
    </row>
    <row r="569" spans="1:11" ht="15" customHeight="1" x14ac:dyDescent="0.3">
      <c r="A569" s="644"/>
      <c r="B569" s="643"/>
      <c r="C569" s="55">
        <v>120</v>
      </c>
      <c r="D569" s="56" t="s">
        <v>509</v>
      </c>
      <c r="E569" s="3">
        <v>0</v>
      </c>
      <c r="G569" s="54"/>
      <c r="H569" s="11"/>
      <c r="I569" s="12"/>
      <c r="J569" s="627"/>
      <c r="K569" s="13"/>
    </row>
    <row r="570" spans="1:11" ht="15" customHeight="1" x14ac:dyDescent="0.3">
      <c r="A570" s="644"/>
      <c r="B570" s="643"/>
      <c r="C570" s="55">
        <v>185</v>
      </c>
      <c r="D570" s="56" t="s">
        <v>510</v>
      </c>
      <c r="E570" s="3">
        <v>0</v>
      </c>
      <c r="G570" s="54"/>
      <c r="H570" s="11"/>
      <c r="I570" s="12"/>
      <c r="J570" s="627"/>
      <c r="K570" s="13"/>
    </row>
    <row r="571" spans="1:11" ht="15" customHeight="1" x14ac:dyDescent="0.3">
      <c r="A571" s="644"/>
      <c r="B571" s="643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627"/>
      <c r="K571" s="13"/>
    </row>
    <row r="572" spans="1:11" ht="15" customHeight="1" x14ac:dyDescent="0.3">
      <c r="A572" s="642" t="s">
        <v>512</v>
      </c>
      <c r="B572" s="663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630">
        <v>170</v>
      </c>
      <c r="K572" s="13"/>
    </row>
    <row r="573" spans="1:11" ht="15" customHeight="1" x14ac:dyDescent="0.3">
      <c r="A573" s="642"/>
      <c r="B573" s="663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630">
        <v>170</v>
      </c>
      <c r="K573" s="13"/>
    </row>
    <row r="574" spans="1:11" ht="15" customHeight="1" x14ac:dyDescent="0.3">
      <c r="A574" s="642"/>
      <c r="B574" s="663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630">
        <v>170</v>
      </c>
      <c r="K574" s="13"/>
    </row>
    <row r="575" spans="1:11" ht="15" customHeight="1" x14ac:dyDescent="0.3">
      <c r="A575" s="642"/>
      <c r="B575" s="663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630">
        <v>170</v>
      </c>
      <c r="K575" s="13"/>
    </row>
    <row r="576" spans="1:11" ht="15" customHeight="1" x14ac:dyDescent="0.3">
      <c r="A576" s="642"/>
      <c r="B576" s="663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630">
        <v>220</v>
      </c>
      <c r="K576" s="13"/>
    </row>
    <row r="577" spans="1:11" ht="15" customHeight="1" x14ac:dyDescent="0.3">
      <c r="A577" s="642"/>
      <c r="B577" s="663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630">
        <v>220</v>
      </c>
      <c r="K577" s="13"/>
    </row>
    <row r="578" spans="1:11" ht="15" customHeight="1" x14ac:dyDescent="0.3">
      <c r="A578" s="642"/>
      <c r="B578" s="663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630">
        <v>220</v>
      </c>
      <c r="K578" s="13"/>
    </row>
    <row r="579" spans="1:11" ht="15" customHeight="1" x14ac:dyDescent="0.3">
      <c r="A579" s="642"/>
      <c r="B579" s="663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630">
        <v>220</v>
      </c>
      <c r="K579" s="13"/>
    </row>
    <row r="580" spans="1:11" ht="15" customHeight="1" x14ac:dyDescent="0.3">
      <c r="A580" s="642"/>
      <c r="B580" s="663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630">
        <v>280</v>
      </c>
      <c r="K580" s="13"/>
    </row>
    <row r="581" spans="1:11" ht="15" customHeight="1" x14ac:dyDescent="0.3">
      <c r="A581" s="642"/>
      <c r="B581" s="663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630">
        <v>280</v>
      </c>
      <c r="K581" s="13"/>
    </row>
    <row r="582" spans="1:11" ht="15" customHeight="1" x14ac:dyDescent="0.3">
      <c r="A582" s="642"/>
      <c r="B582" s="663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630">
        <v>280</v>
      </c>
      <c r="K582" s="13"/>
    </row>
    <row r="583" spans="1:11" ht="15" customHeight="1" x14ac:dyDescent="0.3">
      <c r="A583" s="642"/>
      <c r="B583" s="663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630">
        <v>280</v>
      </c>
      <c r="K583" s="13"/>
    </row>
    <row r="584" spans="1:11" ht="15" customHeight="1" x14ac:dyDescent="0.3">
      <c r="A584" s="642"/>
      <c r="B584" s="663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630">
        <v>350</v>
      </c>
      <c r="K584" s="13"/>
    </row>
    <row r="585" spans="1:11" ht="15" customHeight="1" x14ac:dyDescent="0.3">
      <c r="A585" s="642"/>
      <c r="B585" s="663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630">
        <v>350</v>
      </c>
      <c r="K585" s="13"/>
    </row>
    <row r="586" spans="1:11" ht="15" customHeight="1" x14ac:dyDescent="0.3">
      <c r="A586" s="642"/>
      <c r="B586" s="663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630">
        <v>350</v>
      </c>
      <c r="K586" s="13"/>
    </row>
    <row r="587" spans="1:11" ht="15" customHeight="1" x14ac:dyDescent="0.3">
      <c r="A587" s="642"/>
      <c r="B587" s="663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630">
        <v>350</v>
      </c>
      <c r="K587" s="13"/>
    </row>
    <row r="588" spans="1:11" ht="15" customHeight="1" x14ac:dyDescent="0.3">
      <c r="A588" s="642"/>
      <c r="B588" s="663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630">
        <v>350</v>
      </c>
      <c r="K588" s="13"/>
    </row>
    <row r="589" spans="1:11" ht="15" customHeight="1" x14ac:dyDescent="0.3">
      <c r="A589" s="642"/>
      <c r="B589" s="663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630">
        <v>390</v>
      </c>
      <c r="K589" s="13"/>
    </row>
    <row r="590" spans="1:11" ht="15" customHeight="1" x14ac:dyDescent="0.3">
      <c r="A590" s="642"/>
      <c r="B590" s="663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630">
        <v>390</v>
      </c>
      <c r="K590" s="13"/>
    </row>
    <row r="591" spans="1:11" ht="15" customHeight="1" x14ac:dyDescent="0.3">
      <c r="A591" s="642"/>
      <c r="B591" s="663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630">
        <v>390</v>
      </c>
      <c r="K591" s="13"/>
    </row>
    <row r="592" spans="1:11" ht="15" customHeight="1" x14ac:dyDescent="0.3">
      <c r="A592" s="642"/>
      <c r="B592" s="663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630">
        <v>390</v>
      </c>
      <c r="K592" s="13"/>
    </row>
    <row r="593" spans="1:11" ht="15" customHeight="1" x14ac:dyDescent="0.3">
      <c r="A593" s="642"/>
      <c r="B593" s="663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630">
        <v>390</v>
      </c>
      <c r="K593" s="13"/>
    </row>
    <row r="594" spans="1:11" ht="15" customHeight="1" x14ac:dyDescent="0.3">
      <c r="A594" s="642"/>
      <c r="B594" s="663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630">
        <v>450</v>
      </c>
      <c r="K594" s="13"/>
    </row>
    <row r="595" spans="1:11" ht="15" customHeight="1" x14ac:dyDescent="0.3">
      <c r="A595" s="642"/>
      <c r="B595" s="663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630">
        <v>450</v>
      </c>
      <c r="K595" s="13"/>
    </row>
    <row r="596" spans="1:11" ht="15" customHeight="1" x14ac:dyDescent="0.3">
      <c r="A596" s="642"/>
      <c r="B596" s="663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630">
        <v>450</v>
      </c>
      <c r="K596" s="13"/>
    </row>
    <row r="597" spans="1:11" ht="15" customHeight="1" x14ac:dyDescent="0.3">
      <c r="A597" s="642"/>
      <c r="B597" s="663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630">
        <v>450</v>
      </c>
      <c r="K597" s="13"/>
    </row>
    <row r="598" spans="1:11" ht="15" customHeight="1" x14ac:dyDescent="0.3">
      <c r="A598" s="642"/>
      <c r="B598" s="663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630">
        <v>500</v>
      </c>
      <c r="K598" s="13"/>
    </row>
    <row r="599" spans="1:11" ht="15" customHeight="1" x14ac:dyDescent="0.3">
      <c r="A599" s="642"/>
      <c r="B599" s="663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630">
        <v>500</v>
      </c>
      <c r="K599" s="13"/>
    </row>
    <row r="600" spans="1:11" ht="15" customHeight="1" x14ac:dyDescent="0.3">
      <c r="A600" s="642"/>
      <c r="B600" s="663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630">
        <v>500</v>
      </c>
      <c r="K600" s="13"/>
    </row>
    <row r="601" spans="1:11" ht="15" customHeight="1" x14ac:dyDescent="0.3">
      <c r="A601" s="642"/>
      <c r="B601" s="663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630">
        <v>500</v>
      </c>
      <c r="K601" s="13"/>
    </row>
    <row r="602" spans="1:11" ht="15" customHeight="1" x14ac:dyDescent="0.3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 x14ac:dyDescent="0.3">
      <c r="A603" s="644" t="s">
        <v>544</v>
      </c>
      <c r="B603" s="643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 x14ac:dyDescent="0.3">
      <c r="A604" s="644"/>
      <c r="B604" s="643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 x14ac:dyDescent="0.3">
      <c r="A605" s="644"/>
      <c r="B605" s="643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 x14ac:dyDescent="0.3">
      <c r="A606" s="644"/>
      <c r="B606" s="643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 x14ac:dyDescent="0.3">
      <c r="A607" s="644"/>
      <c r="B607" s="643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627"/>
      <c r="K607" s="13"/>
    </row>
    <row r="608" spans="1:11" ht="15" customHeight="1" x14ac:dyDescent="0.3">
      <c r="A608" s="644"/>
      <c r="B608" s="643"/>
      <c r="C608" s="33">
        <v>190</v>
      </c>
      <c r="D608" s="21"/>
      <c r="E608" s="3">
        <v>0</v>
      </c>
      <c r="G608" s="8">
        <v>190</v>
      </c>
      <c r="H608" s="11"/>
      <c r="I608" s="12"/>
      <c r="J608" s="627"/>
      <c r="K608" s="13"/>
    </row>
    <row r="609" spans="1:11" ht="15" customHeight="1" x14ac:dyDescent="0.3">
      <c r="A609" s="644"/>
      <c r="B609" s="643"/>
      <c r="C609" s="33">
        <v>220</v>
      </c>
      <c r="D609" s="21"/>
      <c r="E609" s="3">
        <v>0</v>
      </c>
      <c r="G609" s="8">
        <v>220</v>
      </c>
      <c r="H609" s="11"/>
      <c r="I609" s="12"/>
      <c r="J609" s="627"/>
      <c r="K609" s="13"/>
    </row>
    <row r="610" spans="1:11" ht="15" customHeight="1" x14ac:dyDescent="0.3">
      <c r="A610" s="645" t="s">
        <v>545</v>
      </c>
      <c r="B610" s="643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 x14ac:dyDescent="0.3">
      <c r="A611" s="647"/>
      <c r="B611" s="643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 x14ac:dyDescent="0.3">
      <c r="A612" s="647"/>
      <c r="B612" s="643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 x14ac:dyDescent="0.3">
      <c r="A613" s="647"/>
      <c r="B613" s="643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 x14ac:dyDescent="0.3">
      <c r="A614" s="647"/>
      <c r="B614" s="643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 x14ac:dyDescent="0.3">
      <c r="A615" s="647"/>
      <c r="B615" s="643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 x14ac:dyDescent="0.3">
      <c r="A616" s="647"/>
      <c r="B616" s="643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 x14ac:dyDescent="0.3">
      <c r="A617" s="647"/>
      <c r="B617" s="643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627"/>
      <c r="K617" s="13"/>
    </row>
    <row r="618" spans="1:11" ht="15" customHeight="1" x14ac:dyDescent="0.3">
      <c r="A618" s="647"/>
      <c r="B618" s="643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627"/>
      <c r="K618" s="13"/>
    </row>
    <row r="619" spans="1:11" ht="15" customHeight="1" x14ac:dyDescent="0.3">
      <c r="A619" s="647"/>
      <c r="B619" s="643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627"/>
      <c r="K619" s="13"/>
    </row>
    <row r="620" spans="1:11" ht="15" customHeight="1" x14ac:dyDescent="0.3">
      <c r="A620" s="647"/>
      <c r="B620" s="643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627"/>
      <c r="K620" s="13"/>
    </row>
    <row r="621" spans="1:11" ht="15" customHeight="1" x14ac:dyDescent="0.3">
      <c r="A621" s="647"/>
      <c r="B621" s="643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627"/>
      <c r="K621" s="13"/>
    </row>
    <row r="622" spans="1:11" ht="15" customHeight="1" x14ac:dyDescent="0.3">
      <c r="A622" s="647"/>
      <c r="B622" s="643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627"/>
      <c r="K622" s="13"/>
    </row>
    <row r="623" spans="1:11" ht="15" customHeight="1" x14ac:dyDescent="0.3">
      <c r="A623" s="647"/>
      <c r="B623" s="643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 x14ac:dyDescent="0.3">
      <c r="A624" s="647"/>
      <c r="B624" s="643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 x14ac:dyDescent="0.3">
      <c r="A625" s="647"/>
      <c r="B625" s="643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627"/>
      <c r="K625" s="13"/>
    </row>
    <row r="626" spans="1:11" ht="15" customHeight="1" x14ac:dyDescent="0.3">
      <c r="A626" s="647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627"/>
      <c r="K626" s="13"/>
    </row>
    <row r="627" spans="1:11" ht="15" customHeight="1" x14ac:dyDescent="0.3">
      <c r="A627" s="647"/>
      <c r="B627" s="643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627"/>
      <c r="K627" s="13"/>
    </row>
    <row r="628" spans="1:11" ht="15" customHeight="1" x14ac:dyDescent="0.3">
      <c r="A628" s="647"/>
      <c r="B628" s="643"/>
      <c r="C628" s="16"/>
      <c r="D628" s="29" t="s">
        <v>561</v>
      </c>
      <c r="E628" s="3">
        <v>0</v>
      </c>
      <c r="G628" s="8">
        <v>116</v>
      </c>
      <c r="H628" s="11"/>
      <c r="I628" s="12"/>
      <c r="J628" s="627"/>
      <c r="K628" s="13"/>
    </row>
    <row r="629" spans="1:11" ht="15" customHeight="1" x14ac:dyDescent="0.3">
      <c r="A629" s="648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627"/>
      <c r="K629" s="13"/>
    </row>
    <row r="630" spans="1:11" ht="15" customHeight="1" x14ac:dyDescent="0.3">
      <c r="A630" s="644" t="s">
        <v>564</v>
      </c>
      <c r="B630" s="639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627">
        <v>440</v>
      </c>
      <c r="K630" s="13"/>
    </row>
    <row r="631" spans="1:11" ht="15" customHeight="1" x14ac:dyDescent="0.3">
      <c r="A631" s="643"/>
      <c r="B631" s="641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627">
        <v>440</v>
      </c>
      <c r="K631" s="13"/>
    </row>
    <row r="632" spans="1:11" ht="15" customHeight="1" x14ac:dyDescent="0.3">
      <c r="A632" s="644" t="s">
        <v>567</v>
      </c>
      <c r="B632" s="643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627"/>
      <c r="K632" s="13"/>
    </row>
    <row r="633" spans="1:11" ht="15" customHeight="1" x14ac:dyDescent="0.3">
      <c r="A633" s="643"/>
      <c r="B633" s="643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627"/>
      <c r="K633" s="13"/>
    </row>
    <row r="634" spans="1:11" ht="15" customHeight="1" x14ac:dyDescent="0.3">
      <c r="A634" s="666" t="s">
        <v>569</v>
      </c>
      <c r="B634" s="664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627"/>
      <c r="K634" s="13"/>
    </row>
    <row r="635" spans="1:11" ht="15" customHeight="1" x14ac:dyDescent="0.3">
      <c r="A635" s="666"/>
      <c r="B635" s="665"/>
      <c r="C635" s="64"/>
      <c r="D635" s="65" t="s">
        <v>572</v>
      </c>
      <c r="E635" s="3">
        <v>0</v>
      </c>
      <c r="G635" s="8"/>
      <c r="H635" s="11"/>
      <c r="I635" s="12"/>
      <c r="J635" s="627"/>
      <c r="K635" s="13"/>
    </row>
    <row r="636" spans="1:11" ht="15" customHeight="1" x14ac:dyDescent="0.3">
      <c r="A636" s="666"/>
      <c r="B636" s="664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627"/>
      <c r="K636" s="13"/>
    </row>
    <row r="637" spans="1:11" ht="15" customHeight="1" x14ac:dyDescent="0.3">
      <c r="A637" s="666"/>
      <c r="B637" s="665"/>
      <c r="C637" s="64"/>
      <c r="D637" s="65" t="s">
        <v>575</v>
      </c>
      <c r="E637" s="3">
        <v>0</v>
      </c>
      <c r="G637" s="8"/>
      <c r="H637" s="11"/>
      <c r="I637" s="12"/>
      <c r="J637" s="627"/>
      <c r="K637" s="13"/>
    </row>
    <row r="638" spans="1:11" ht="15" customHeight="1" x14ac:dyDescent="0.3">
      <c r="A638" s="666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627"/>
      <c r="K638" s="13"/>
    </row>
    <row r="639" spans="1:11" ht="15" customHeight="1" x14ac:dyDescent="0.3">
      <c r="A639" s="666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627"/>
      <c r="K639" s="13"/>
    </row>
    <row r="640" spans="1:11" ht="15" customHeight="1" x14ac:dyDescent="0.3">
      <c r="A640" s="666"/>
      <c r="B640" s="664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627"/>
      <c r="K640" s="13"/>
    </row>
    <row r="641" spans="1:11" ht="15" customHeight="1" x14ac:dyDescent="0.3">
      <c r="A641" s="666"/>
      <c r="B641" s="667"/>
      <c r="C641" s="64"/>
      <c r="D641" s="65" t="s">
        <v>581</v>
      </c>
      <c r="E641" s="3">
        <v>0</v>
      </c>
      <c r="G641" s="8"/>
      <c r="H641" s="11"/>
      <c r="I641" s="12"/>
      <c r="J641" s="627"/>
      <c r="K641" s="13"/>
    </row>
    <row r="642" spans="1:11" ht="15" customHeight="1" x14ac:dyDescent="0.3">
      <c r="A642" s="666"/>
      <c r="B642" s="665"/>
      <c r="C642" s="64"/>
      <c r="D642" s="65" t="s">
        <v>582</v>
      </c>
      <c r="E642" s="3">
        <v>0</v>
      </c>
      <c r="G642" s="8"/>
      <c r="H642" s="11"/>
      <c r="I642" s="12"/>
      <c r="J642" s="627"/>
      <c r="K642" s="13"/>
    </row>
    <row r="643" spans="1:11" ht="15" customHeight="1" x14ac:dyDescent="0.3">
      <c r="A643" s="666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627"/>
      <c r="K643" s="13"/>
    </row>
    <row r="644" spans="1:11" ht="15" customHeight="1" x14ac:dyDescent="0.3">
      <c r="A644" s="666"/>
      <c r="B644" s="664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627"/>
      <c r="K644" s="13"/>
    </row>
    <row r="645" spans="1:11" ht="15" customHeight="1" x14ac:dyDescent="0.3">
      <c r="A645" s="666"/>
      <c r="B645" s="667"/>
      <c r="C645" s="64"/>
      <c r="D645" s="65" t="s">
        <v>586</v>
      </c>
      <c r="E645" s="3">
        <v>0</v>
      </c>
      <c r="G645" s="8"/>
      <c r="H645" s="11"/>
      <c r="I645" s="12"/>
      <c r="J645" s="627"/>
      <c r="K645" s="13"/>
    </row>
    <row r="646" spans="1:11" ht="15" customHeight="1" x14ac:dyDescent="0.3">
      <c r="A646" s="666"/>
      <c r="B646" s="665"/>
      <c r="C646" s="64"/>
      <c r="D646" s="65" t="s">
        <v>587</v>
      </c>
      <c r="E646" s="3">
        <v>0</v>
      </c>
      <c r="G646" s="8"/>
      <c r="H646" s="11"/>
      <c r="I646" s="12"/>
      <c r="J646" s="627"/>
      <c r="K646" s="13"/>
    </row>
    <row r="647" spans="1:11" ht="15" customHeight="1" x14ac:dyDescent="0.3">
      <c r="A647" s="666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627"/>
      <c r="K647" s="13"/>
    </row>
    <row r="648" spans="1:11" ht="15" customHeight="1" x14ac:dyDescent="0.3">
      <c r="A648" s="666"/>
      <c r="B648" s="664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627"/>
      <c r="K648" s="13"/>
    </row>
    <row r="649" spans="1:11" ht="15" customHeight="1" x14ac:dyDescent="0.3">
      <c r="A649" s="666"/>
      <c r="B649" s="665"/>
      <c r="C649" s="64"/>
      <c r="D649" s="65" t="s">
        <v>592</v>
      </c>
      <c r="E649" s="3">
        <v>0</v>
      </c>
      <c r="G649" s="8"/>
      <c r="H649" s="11"/>
      <c r="I649" s="12"/>
      <c r="J649" s="627"/>
      <c r="K649" s="13"/>
    </row>
    <row r="650" spans="1:11" ht="15" customHeight="1" x14ac:dyDescent="0.3">
      <c r="A650" s="666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627"/>
      <c r="K650" s="13"/>
    </row>
    <row r="651" spans="1:11" ht="15" customHeight="1" x14ac:dyDescent="0.3">
      <c r="A651" s="666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627"/>
      <c r="K651" s="13"/>
    </row>
    <row r="652" spans="1:11" ht="15" customHeight="1" x14ac:dyDescent="0.3">
      <c r="A652" s="666"/>
      <c r="B652" s="664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627"/>
      <c r="K652" s="13"/>
    </row>
    <row r="653" spans="1:11" ht="15" customHeight="1" x14ac:dyDescent="0.3">
      <c r="A653" s="666"/>
      <c r="B653" s="665"/>
      <c r="C653" s="64"/>
      <c r="D653" s="65" t="s">
        <v>599</v>
      </c>
      <c r="E653" s="3">
        <v>0</v>
      </c>
      <c r="G653" s="8"/>
      <c r="H653" s="11"/>
      <c r="I653" s="12"/>
      <c r="J653" s="627"/>
      <c r="K653" s="13"/>
    </row>
    <row r="654" spans="1:11" ht="15" customHeight="1" x14ac:dyDescent="0.3">
      <c r="A654" s="666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627"/>
      <c r="K654" s="13"/>
    </row>
    <row r="655" spans="1:11" ht="15" customHeight="1" x14ac:dyDescent="0.3">
      <c r="A655" s="666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627"/>
      <c r="K655" s="13"/>
    </row>
    <row r="656" spans="1:11" ht="15" customHeight="1" x14ac:dyDescent="0.3">
      <c r="A656" s="666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627"/>
      <c r="K656" s="13"/>
    </row>
    <row r="657" spans="1:11" ht="15" customHeight="1" x14ac:dyDescent="0.3">
      <c r="A657" s="666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627"/>
      <c r="K657" s="13"/>
    </row>
    <row r="658" spans="1:11" ht="15" customHeight="1" x14ac:dyDescent="0.3">
      <c r="A658" s="666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627"/>
      <c r="K658" s="13"/>
    </row>
    <row r="659" spans="1:11" ht="15" customHeight="1" x14ac:dyDescent="0.3">
      <c r="A659" s="666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627"/>
      <c r="K659" s="13"/>
    </row>
    <row r="660" spans="1:11" ht="15" customHeight="1" x14ac:dyDescent="0.3">
      <c r="A660" s="666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627"/>
      <c r="K660" s="13"/>
    </row>
    <row r="661" spans="1:11" ht="15" customHeight="1" x14ac:dyDescent="0.3">
      <c r="A661" s="666"/>
      <c r="B661" s="664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627"/>
      <c r="K661" s="13"/>
    </row>
    <row r="662" spans="1:11" ht="15" customHeight="1" x14ac:dyDescent="0.3">
      <c r="A662" s="666"/>
      <c r="B662" s="665"/>
      <c r="C662" s="64"/>
      <c r="D662" s="65" t="s">
        <v>615</v>
      </c>
      <c r="E662" s="3">
        <v>0</v>
      </c>
      <c r="G662" s="8"/>
      <c r="H662" s="11"/>
      <c r="I662" s="12"/>
      <c r="J662" s="627"/>
      <c r="K662" s="13"/>
    </row>
    <row r="663" spans="1:11" ht="15" customHeight="1" x14ac:dyDescent="0.3">
      <c r="A663" s="643" t="s">
        <v>616</v>
      </c>
      <c r="B663" s="643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626">
        <v>164</v>
      </c>
      <c r="K663" s="13"/>
    </row>
    <row r="664" spans="1:11" ht="15" customHeight="1" x14ac:dyDescent="0.3">
      <c r="A664" s="643"/>
      <c r="B664" s="643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626">
        <v>164</v>
      </c>
      <c r="K664" s="13"/>
    </row>
    <row r="665" spans="1:11" ht="15" customHeight="1" x14ac:dyDescent="0.3">
      <c r="A665" s="643"/>
      <c r="B665" s="643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626">
        <v>164</v>
      </c>
      <c r="K665" s="13"/>
    </row>
    <row r="666" spans="1:11" ht="15" customHeight="1" x14ac:dyDescent="0.3">
      <c r="A666" s="643"/>
      <c r="B666" s="643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626">
        <v>164</v>
      </c>
      <c r="K666" s="13"/>
    </row>
    <row r="667" spans="1:11" ht="15" customHeight="1" x14ac:dyDescent="0.3">
      <c r="A667" s="643"/>
      <c r="B667" s="643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626">
        <v>164</v>
      </c>
      <c r="K667" s="13"/>
    </row>
    <row r="668" spans="1:11" ht="15" customHeight="1" x14ac:dyDescent="0.3">
      <c r="A668" s="643"/>
      <c r="B668" s="643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626">
        <v>330</v>
      </c>
      <c r="K668" s="13"/>
    </row>
    <row r="669" spans="1:11" ht="15" customHeight="1" x14ac:dyDescent="0.3">
      <c r="A669" s="643"/>
      <c r="B669" s="643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626">
        <v>330</v>
      </c>
      <c r="K669" s="13"/>
    </row>
    <row r="670" spans="1:11" ht="15" customHeight="1" x14ac:dyDescent="0.3">
      <c r="A670" s="643"/>
      <c r="B670" s="643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626">
        <v>330</v>
      </c>
      <c r="K670" s="13"/>
    </row>
    <row r="671" spans="1:11" ht="15" customHeight="1" x14ac:dyDescent="0.3">
      <c r="A671" s="643"/>
      <c r="B671" s="643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626">
        <v>330</v>
      </c>
      <c r="K671" s="13"/>
    </row>
    <row r="672" spans="1:11" ht="15" customHeight="1" x14ac:dyDescent="0.3">
      <c r="A672" s="643"/>
      <c r="B672" s="643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626">
        <v>330</v>
      </c>
      <c r="K672" s="13"/>
    </row>
    <row r="673" spans="1:11" ht="15" customHeight="1" x14ac:dyDescent="0.3">
      <c r="A673" s="643"/>
      <c r="B673" s="643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626">
        <v>401</v>
      </c>
      <c r="K673" s="13"/>
    </row>
    <row r="674" spans="1:11" ht="15" customHeight="1" x14ac:dyDescent="0.3">
      <c r="A674" s="643"/>
      <c r="B674" s="643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626">
        <v>401</v>
      </c>
      <c r="K674" s="13"/>
    </row>
    <row r="675" spans="1:11" ht="15" customHeight="1" x14ac:dyDescent="0.3">
      <c r="A675" s="643"/>
      <c r="B675" s="643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626">
        <v>401</v>
      </c>
      <c r="K675" s="13"/>
    </row>
    <row r="676" spans="1:11" ht="15" customHeight="1" x14ac:dyDescent="0.3">
      <c r="A676" s="643"/>
      <c r="B676" s="643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626">
        <v>401</v>
      </c>
      <c r="K676" s="13"/>
    </row>
    <row r="677" spans="1:11" ht="15" customHeight="1" x14ac:dyDescent="0.3">
      <c r="A677" s="643"/>
      <c r="B677" s="643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626">
        <v>401</v>
      </c>
      <c r="K677" s="13"/>
    </row>
    <row r="678" spans="1:11" ht="15" customHeight="1" x14ac:dyDescent="0.3">
      <c r="A678" s="643"/>
      <c r="B678" s="643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626">
        <v>540</v>
      </c>
      <c r="K678" s="13"/>
    </row>
    <row r="679" spans="1:11" ht="15" customHeight="1" x14ac:dyDescent="0.3">
      <c r="A679" s="643"/>
      <c r="B679" s="643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626">
        <v>540</v>
      </c>
      <c r="K679" s="13"/>
    </row>
    <row r="680" spans="1:11" ht="15" customHeight="1" x14ac:dyDescent="0.3">
      <c r="A680" s="643"/>
      <c r="B680" s="643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626">
        <v>540</v>
      </c>
      <c r="K680" s="13"/>
    </row>
    <row r="681" spans="1:11" ht="15" customHeight="1" x14ac:dyDescent="0.3">
      <c r="A681" s="643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627"/>
      <c r="K681" s="13"/>
    </row>
    <row r="682" spans="1:11" ht="15" customHeight="1" x14ac:dyDescent="0.3">
      <c r="A682" s="643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627"/>
      <c r="K682" s="13"/>
    </row>
    <row r="683" spans="1:11" ht="15" customHeight="1" x14ac:dyDescent="0.3">
      <c r="A683" s="644" t="s">
        <v>636</v>
      </c>
      <c r="B683" s="643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627"/>
      <c r="K683" s="13"/>
    </row>
    <row r="684" spans="1:11" ht="15" customHeight="1" x14ac:dyDescent="0.3">
      <c r="A684" s="643"/>
      <c r="B684" s="643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627"/>
      <c r="K684" s="13"/>
    </row>
    <row r="685" spans="1:11" ht="15" customHeight="1" x14ac:dyDescent="0.3">
      <c r="A685" s="643"/>
      <c r="B685" s="643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627"/>
      <c r="K685" s="13"/>
    </row>
    <row r="686" spans="1:11" ht="15" customHeight="1" x14ac:dyDescent="0.3">
      <c r="A686" s="643"/>
      <c r="B686" s="643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627"/>
      <c r="K686" s="13"/>
    </row>
    <row r="687" spans="1:11" ht="15" customHeight="1" x14ac:dyDescent="0.3">
      <c r="A687" s="643"/>
      <c r="B687" s="643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627"/>
      <c r="K687" s="13"/>
    </row>
    <row r="688" spans="1:11" ht="15" customHeight="1" x14ac:dyDescent="0.3">
      <c r="A688" s="643"/>
      <c r="B688" s="643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627"/>
      <c r="K688" s="13"/>
    </row>
    <row r="689" spans="1:11" s="1" customFormat="1" ht="15" customHeight="1" x14ac:dyDescent="0.3">
      <c r="A689" s="7" t="s">
        <v>640</v>
      </c>
      <c r="B689" s="7" t="s">
        <v>641</v>
      </c>
      <c r="C689" s="33"/>
      <c r="D689" s="21" t="s">
        <v>642</v>
      </c>
      <c r="E689" s="1" t="s">
        <v>4324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627"/>
      <c r="K689" s="13"/>
    </row>
    <row r="690" spans="1:11" s="1" customFormat="1" ht="15" customHeight="1" x14ac:dyDescent="0.3">
      <c r="A690" s="644" t="s">
        <v>643</v>
      </c>
      <c r="B690" s="643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627"/>
      <c r="K690" s="13"/>
    </row>
    <row r="691" spans="1:11" s="1" customFormat="1" ht="15" customHeight="1" x14ac:dyDescent="0.3">
      <c r="A691" s="644"/>
      <c r="B691" s="643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627"/>
      <c r="K691" s="13"/>
    </row>
    <row r="692" spans="1:11" s="1" customFormat="1" ht="15" customHeight="1" x14ac:dyDescent="0.3">
      <c r="A692" s="644"/>
      <c r="B692" s="643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627"/>
      <c r="K692" s="13"/>
    </row>
    <row r="693" spans="1:11" s="1" customFormat="1" ht="15" customHeight="1" x14ac:dyDescent="0.3">
      <c r="A693" s="644"/>
      <c r="B693" s="643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627"/>
      <c r="K693" s="13"/>
    </row>
    <row r="694" spans="1:11" s="1" customFormat="1" ht="15" customHeight="1" x14ac:dyDescent="0.3">
      <c r="A694" s="644"/>
      <c r="B694" s="643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627"/>
      <c r="K694" s="13"/>
    </row>
    <row r="695" spans="1:11" s="1" customFormat="1" ht="15" customHeight="1" x14ac:dyDescent="0.3">
      <c r="A695" s="644"/>
      <c r="B695" s="643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627"/>
      <c r="K695" s="13"/>
    </row>
    <row r="696" spans="1:11" ht="15" customHeight="1" x14ac:dyDescent="0.3">
      <c r="A696" s="643" t="s">
        <v>650</v>
      </c>
      <c r="B696" s="643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627">
        <v>192</v>
      </c>
      <c r="K696" s="13"/>
    </row>
    <row r="697" spans="1:11" ht="15" customHeight="1" x14ac:dyDescent="0.3">
      <c r="A697" s="643"/>
      <c r="B697" s="643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627">
        <v>383</v>
      </c>
      <c r="K697" s="13"/>
    </row>
    <row r="698" spans="1:11" s="1" customFormat="1" ht="15" customHeight="1" x14ac:dyDescent="0.3">
      <c r="A698" s="644" t="s">
        <v>651</v>
      </c>
      <c r="B698" s="663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627"/>
      <c r="K698" s="13"/>
    </row>
    <row r="699" spans="1:11" s="1" customFormat="1" ht="15" customHeight="1" x14ac:dyDescent="0.3">
      <c r="A699" s="644"/>
      <c r="B699" s="663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627"/>
      <c r="K699" s="13"/>
    </row>
    <row r="700" spans="1:11" ht="15" customHeight="1" x14ac:dyDescent="0.3">
      <c r="A700" s="643" t="s">
        <v>654</v>
      </c>
      <c r="B700" s="643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 x14ac:dyDescent="0.3">
      <c r="A701" s="643"/>
      <c r="B701" s="643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 x14ac:dyDescent="0.3">
      <c r="A702" s="643"/>
      <c r="B702" s="643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 x14ac:dyDescent="0.3">
      <c r="A703" s="643"/>
      <c r="B703" s="643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 x14ac:dyDescent="0.3">
      <c r="A704" s="643"/>
      <c r="B704" s="643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 x14ac:dyDescent="0.3">
      <c r="A705" s="643"/>
      <c r="B705" s="643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 x14ac:dyDescent="0.3">
      <c r="A706" s="643" t="s">
        <v>655</v>
      </c>
      <c r="B706" s="643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 x14ac:dyDescent="0.3">
      <c r="A707" s="643"/>
      <c r="B707" s="643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627"/>
      <c r="K707" s="13"/>
    </row>
    <row r="708" spans="1:11" ht="15" customHeight="1" x14ac:dyDescent="0.3">
      <c r="A708" s="644" t="s">
        <v>658</v>
      </c>
      <c r="B708" s="643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627"/>
      <c r="K708" s="13"/>
    </row>
    <row r="709" spans="1:11" ht="15" customHeight="1" x14ac:dyDescent="0.3">
      <c r="A709" s="643"/>
      <c r="B709" s="643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627"/>
      <c r="K709" s="13"/>
    </row>
    <row r="710" spans="1:11" ht="15" customHeight="1" x14ac:dyDescent="0.3">
      <c r="A710" s="643"/>
      <c r="B710" s="643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627"/>
      <c r="K710" s="13"/>
    </row>
    <row r="711" spans="1:11" ht="15" customHeight="1" x14ac:dyDescent="0.3">
      <c r="A711" s="643"/>
      <c r="B711" s="643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627"/>
      <c r="K711" s="13"/>
    </row>
    <row r="712" spans="1:11" ht="15" customHeight="1" x14ac:dyDescent="0.3">
      <c r="A712" s="643"/>
      <c r="B712" s="643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627"/>
      <c r="K712" s="13"/>
    </row>
    <row r="713" spans="1:11" ht="15" customHeight="1" x14ac:dyDescent="0.3">
      <c r="A713" s="643"/>
      <c r="B713" s="643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627"/>
      <c r="K713" s="13"/>
    </row>
    <row r="714" spans="1:11" ht="15" customHeight="1" x14ac:dyDescent="0.3">
      <c r="A714" s="643"/>
      <c r="B714" s="643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627"/>
      <c r="K714" s="13"/>
    </row>
    <row r="715" spans="1:11" ht="15" customHeight="1" x14ac:dyDescent="0.3">
      <c r="A715" s="643"/>
      <c r="B715" s="643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627"/>
      <c r="K715" s="13"/>
    </row>
    <row r="716" spans="1:11" ht="15" customHeight="1" x14ac:dyDescent="0.3">
      <c r="A716" s="643"/>
      <c r="B716" s="643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627"/>
      <c r="K716" s="13"/>
    </row>
    <row r="717" spans="1:11" ht="15" customHeight="1" x14ac:dyDescent="0.3">
      <c r="A717" s="644" t="s">
        <v>659</v>
      </c>
      <c r="B717" s="644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 x14ac:dyDescent="0.3">
      <c r="A718" s="644"/>
      <c r="B718" s="644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 x14ac:dyDescent="0.3">
      <c r="A719" s="644"/>
      <c r="B719" s="644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627"/>
      <c r="K719" s="13"/>
    </row>
    <row r="720" spans="1:11" ht="15" customHeight="1" x14ac:dyDescent="0.3">
      <c r="A720" s="644"/>
      <c r="B720" s="644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627"/>
      <c r="K720" s="13"/>
    </row>
    <row r="721" spans="1:11" ht="15" customHeight="1" x14ac:dyDescent="0.3">
      <c r="A721" s="644"/>
      <c r="B721" s="644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627"/>
      <c r="K721" s="13"/>
    </row>
    <row r="722" spans="1:11" ht="15" customHeight="1" x14ac:dyDescent="0.3">
      <c r="A722" s="644"/>
      <c r="B722" s="644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627"/>
      <c r="K722" s="13"/>
    </row>
    <row r="723" spans="1:11" ht="15" customHeight="1" x14ac:dyDescent="0.3">
      <c r="A723" s="644"/>
      <c r="B723" s="644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627"/>
      <c r="K723" s="13"/>
    </row>
    <row r="724" spans="1:11" ht="15" customHeight="1" x14ac:dyDescent="0.3">
      <c r="A724" s="644"/>
      <c r="B724" s="644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627"/>
      <c r="K724" s="13"/>
    </row>
    <row r="725" spans="1:11" ht="15" customHeight="1" x14ac:dyDescent="0.3">
      <c r="A725" s="644"/>
      <c r="B725" s="644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627"/>
      <c r="K725" s="13"/>
    </row>
    <row r="726" spans="1:11" ht="15" customHeight="1" x14ac:dyDescent="0.3">
      <c r="A726" s="643" t="s">
        <v>671</v>
      </c>
      <c r="B726" s="643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626">
        <v>130</v>
      </c>
      <c r="K726" s="13"/>
    </row>
    <row r="727" spans="1:11" ht="15" customHeight="1" x14ac:dyDescent="0.3">
      <c r="A727" s="643"/>
      <c r="B727" s="643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626">
        <v>160</v>
      </c>
      <c r="K727" s="13"/>
    </row>
    <row r="728" spans="1:11" ht="15" customHeight="1" x14ac:dyDescent="0.3">
      <c r="A728" s="643"/>
      <c r="B728" s="643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626">
        <v>190</v>
      </c>
      <c r="K728" s="13"/>
    </row>
    <row r="729" spans="1:11" ht="15" customHeight="1" x14ac:dyDescent="0.3">
      <c r="A729" s="643"/>
      <c r="B729" s="643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626">
        <v>260</v>
      </c>
      <c r="K729" s="13"/>
    </row>
    <row r="730" spans="1:11" ht="15" customHeight="1" x14ac:dyDescent="0.3">
      <c r="A730" s="643"/>
      <c r="B730" s="643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626">
        <v>320</v>
      </c>
      <c r="K730" s="13"/>
    </row>
    <row r="731" spans="1:11" ht="15" customHeight="1" x14ac:dyDescent="0.3">
      <c r="A731" s="643"/>
      <c r="B731" s="643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626">
        <v>130</v>
      </c>
      <c r="K731" s="13"/>
    </row>
    <row r="732" spans="1:11" ht="15" customHeight="1" x14ac:dyDescent="0.3">
      <c r="A732" s="643"/>
      <c r="B732" s="643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626">
        <v>160</v>
      </c>
      <c r="K732" s="13"/>
    </row>
    <row r="733" spans="1:11" ht="15" customHeight="1" x14ac:dyDescent="0.3">
      <c r="A733" s="643"/>
      <c r="B733" s="643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626">
        <v>190</v>
      </c>
      <c r="K733" s="13"/>
    </row>
    <row r="734" spans="1:11" ht="15" customHeight="1" x14ac:dyDescent="0.3">
      <c r="A734" s="643"/>
      <c r="B734" s="643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626">
        <v>260</v>
      </c>
      <c r="K734" s="13"/>
    </row>
    <row r="735" spans="1:11" ht="15" customHeight="1" x14ac:dyDescent="0.3">
      <c r="A735" s="643"/>
      <c r="B735" s="643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626">
        <v>320</v>
      </c>
      <c r="K735" s="13"/>
    </row>
    <row r="736" spans="1:11" ht="15" customHeight="1" x14ac:dyDescent="0.3">
      <c r="A736" s="643" t="s">
        <v>673</v>
      </c>
      <c r="B736" s="643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627"/>
      <c r="K736" s="13"/>
    </row>
    <row r="737" spans="1:11" ht="15" customHeight="1" x14ac:dyDescent="0.3">
      <c r="A737" s="643"/>
      <c r="B737" s="643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627"/>
      <c r="K737" s="13"/>
    </row>
    <row r="738" spans="1:11" ht="15" customHeight="1" x14ac:dyDescent="0.3">
      <c r="A738" s="643"/>
      <c r="B738" s="643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627"/>
      <c r="K738" s="13"/>
    </row>
    <row r="739" spans="1:11" ht="15" customHeight="1" x14ac:dyDescent="0.3">
      <c r="A739" s="643"/>
      <c r="B739" s="643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627"/>
      <c r="K739" s="13"/>
    </row>
    <row r="740" spans="1:11" ht="15" customHeight="1" x14ac:dyDescent="0.3">
      <c r="A740" s="643" t="s">
        <v>676</v>
      </c>
      <c r="B740" s="639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 x14ac:dyDescent="0.3">
      <c r="A741" s="643"/>
      <c r="B741" s="640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 x14ac:dyDescent="0.3">
      <c r="A742" s="643"/>
      <c r="B742" s="641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 x14ac:dyDescent="0.3">
      <c r="A743" s="643"/>
      <c r="B743" s="639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627"/>
      <c r="K743" s="13"/>
    </row>
    <row r="744" spans="1:11" ht="15" customHeight="1" x14ac:dyDescent="0.3">
      <c r="A744" s="643"/>
      <c r="B744" s="640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627"/>
      <c r="K744" s="13"/>
    </row>
    <row r="745" spans="1:11" ht="15" customHeight="1" x14ac:dyDescent="0.3">
      <c r="A745" s="643"/>
      <c r="B745" s="640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627"/>
      <c r="K745" s="13"/>
    </row>
    <row r="746" spans="1:11" ht="15" customHeight="1" x14ac:dyDescent="0.3">
      <c r="A746" s="643"/>
      <c r="B746" s="641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627"/>
      <c r="K746" s="13"/>
    </row>
    <row r="747" spans="1:11" ht="15" customHeight="1" x14ac:dyDescent="0.3">
      <c r="A747" s="643" t="s">
        <v>679</v>
      </c>
      <c r="B747" s="643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627"/>
      <c r="K747" s="13"/>
    </row>
    <row r="748" spans="1:11" ht="15" customHeight="1" x14ac:dyDescent="0.3">
      <c r="A748" s="643"/>
      <c r="B748" s="643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627"/>
      <c r="K748" s="13"/>
    </row>
    <row r="749" spans="1:11" ht="15" customHeight="1" x14ac:dyDescent="0.3">
      <c r="A749" s="643"/>
      <c r="B749" s="643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627"/>
      <c r="K749" s="13"/>
    </row>
    <row r="750" spans="1:11" ht="15" customHeight="1" x14ac:dyDescent="0.3">
      <c r="A750" s="643"/>
      <c r="B750" s="643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627"/>
      <c r="K750" s="13"/>
    </row>
    <row r="751" spans="1:11" s="1" customFormat="1" ht="15" customHeight="1" x14ac:dyDescent="0.3">
      <c r="A751" s="644" t="s">
        <v>684</v>
      </c>
      <c r="B751" s="643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626">
        <v>116</v>
      </c>
      <c r="K751" s="13"/>
    </row>
    <row r="752" spans="1:11" s="1" customFormat="1" ht="15" customHeight="1" x14ac:dyDescent="0.3">
      <c r="A752" s="643"/>
      <c r="B752" s="643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626">
        <v>140</v>
      </c>
      <c r="K752" s="13"/>
    </row>
    <row r="753" spans="1:11" s="1" customFormat="1" ht="15" customHeight="1" x14ac:dyDescent="0.3">
      <c r="A753" s="643"/>
      <c r="B753" s="643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626">
        <v>178</v>
      </c>
      <c r="K753" s="13"/>
    </row>
    <row r="754" spans="1:11" s="1" customFormat="1" ht="15" customHeight="1" x14ac:dyDescent="0.3">
      <c r="A754" s="643"/>
      <c r="B754" s="643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626">
        <v>238</v>
      </c>
      <c r="K754" s="13"/>
    </row>
    <row r="755" spans="1:11" s="1" customFormat="1" ht="15" customHeight="1" x14ac:dyDescent="0.3">
      <c r="A755" s="643"/>
      <c r="B755" s="643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626">
        <v>298</v>
      </c>
      <c r="K755" s="13"/>
    </row>
    <row r="756" spans="1:11" s="1" customFormat="1" ht="15" customHeight="1" x14ac:dyDescent="0.3">
      <c r="A756" s="643"/>
      <c r="B756" s="643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626">
        <v>417</v>
      </c>
      <c r="K756" s="13"/>
    </row>
    <row r="757" spans="1:11" ht="15" customHeight="1" x14ac:dyDescent="0.3">
      <c r="A757" s="643" t="s">
        <v>685</v>
      </c>
      <c r="B757" s="643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627"/>
      <c r="K757" s="13"/>
    </row>
    <row r="758" spans="1:11" ht="15" customHeight="1" x14ac:dyDescent="0.3">
      <c r="A758" s="643"/>
      <c r="B758" s="643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627"/>
      <c r="K758" s="13"/>
    </row>
    <row r="759" spans="1:11" s="1" customFormat="1" ht="15" customHeight="1" x14ac:dyDescent="0.3">
      <c r="A759" s="644" t="s">
        <v>689</v>
      </c>
      <c r="B759" s="643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 x14ac:dyDescent="0.3">
      <c r="A760" s="644"/>
      <c r="B760" s="643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 x14ac:dyDescent="0.3">
      <c r="A761" s="644"/>
      <c r="B761" s="643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 x14ac:dyDescent="0.3">
      <c r="A762" s="644"/>
      <c r="B762" s="643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 x14ac:dyDescent="0.3">
      <c r="A763" s="644" t="s">
        <v>693</v>
      </c>
      <c r="B763" s="661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 x14ac:dyDescent="0.3">
      <c r="A764" s="644"/>
      <c r="B764" s="662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 x14ac:dyDescent="0.3">
      <c r="A765" s="644"/>
      <c r="B765" s="662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 x14ac:dyDescent="0.3">
      <c r="A766" s="644"/>
      <c r="B766" s="662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627"/>
      <c r="K766" s="13"/>
    </row>
    <row r="767" spans="1:11" s="1" customFormat="1" ht="15" customHeight="1" x14ac:dyDescent="0.3">
      <c r="A767" s="644"/>
      <c r="B767" s="662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627"/>
      <c r="K767" s="13"/>
    </row>
    <row r="768" spans="1:11" s="1" customFormat="1" ht="15" customHeight="1" x14ac:dyDescent="0.3">
      <c r="A768" s="644"/>
      <c r="B768" s="662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627"/>
      <c r="K768" s="13"/>
    </row>
    <row r="769" spans="1:11" s="1" customFormat="1" ht="15" customHeight="1" x14ac:dyDescent="0.3">
      <c r="A769" s="644"/>
      <c r="B769" s="662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627"/>
      <c r="K769" s="13"/>
    </row>
    <row r="770" spans="1:11" s="1" customFormat="1" ht="15" customHeight="1" x14ac:dyDescent="0.3">
      <c r="A770" s="644"/>
      <c r="B770" s="662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627"/>
      <c r="K770" s="13"/>
    </row>
    <row r="771" spans="1:11" s="1" customFormat="1" ht="15" customHeight="1" x14ac:dyDescent="0.3">
      <c r="A771" s="644"/>
      <c r="B771" s="662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627"/>
      <c r="K771" s="13"/>
    </row>
    <row r="772" spans="1:11" s="1" customFormat="1" ht="15" customHeight="1" x14ac:dyDescent="0.3">
      <c r="A772" s="644"/>
      <c r="B772" s="662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627"/>
      <c r="K772" s="13"/>
    </row>
    <row r="773" spans="1:11" s="1" customFormat="1" ht="15" customHeight="1" x14ac:dyDescent="0.3">
      <c r="A773" s="644" t="s">
        <v>702</v>
      </c>
      <c r="B773" s="643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627"/>
      <c r="K773" s="13"/>
    </row>
    <row r="774" spans="1:11" s="1" customFormat="1" ht="15" customHeight="1" x14ac:dyDescent="0.3">
      <c r="A774" s="644"/>
      <c r="B774" s="643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627"/>
      <c r="K774" s="13"/>
    </row>
    <row r="775" spans="1:11" ht="15" customHeight="1" x14ac:dyDescent="0.3">
      <c r="A775" s="645" t="s">
        <v>705</v>
      </c>
      <c r="B775" s="639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627"/>
      <c r="K775" s="13"/>
    </row>
    <row r="776" spans="1:11" ht="15" customHeight="1" x14ac:dyDescent="0.3">
      <c r="A776" s="640"/>
      <c r="B776" s="640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627"/>
      <c r="K776" s="13"/>
    </row>
    <row r="777" spans="1:11" ht="15" customHeight="1" x14ac:dyDescent="0.3">
      <c r="A777" s="640"/>
      <c r="B777" s="640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627"/>
      <c r="K777" s="13"/>
    </row>
    <row r="778" spans="1:11" ht="15" customHeight="1" x14ac:dyDescent="0.3">
      <c r="A778" s="639" t="s">
        <v>709</v>
      </c>
      <c r="B778" s="639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 x14ac:dyDescent="0.3">
      <c r="A779" s="640"/>
      <c r="B779" s="640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 x14ac:dyDescent="0.3">
      <c r="A780" s="640"/>
      <c r="B780" s="640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 x14ac:dyDescent="0.3">
      <c r="A781" s="640"/>
      <c r="B781" s="640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 x14ac:dyDescent="0.3">
      <c r="A782" s="640"/>
      <c r="B782" s="640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 x14ac:dyDescent="0.3">
      <c r="A783" s="640"/>
      <c r="B783" s="640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 x14ac:dyDescent="0.3">
      <c r="A784" s="640"/>
      <c r="B784" s="640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 x14ac:dyDescent="0.3">
      <c r="A785" s="640"/>
      <c r="B785" s="640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 x14ac:dyDescent="0.3">
      <c r="A786" s="640"/>
      <c r="B786" s="640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 x14ac:dyDescent="0.3">
      <c r="A787" s="640"/>
      <c r="B787" s="640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 x14ac:dyDescent="0.3">
      <c r="A788" s="640"/>
      <c r="B788" s="640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 x14ac:dyDescent="0.3">
      <c r="A789" s="641"/>
      <c r="B789" s="641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 x14ac:dyDescent="0.3">
      <c r="A790" s="643" t="s">
        <v>718</v>
      </c>
      <c r="B790" s="643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 x14ac:dyDescent="0.3">
      <c r="A791" s="643"/>
      <c r="B791" s="643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627"/>
      <c r="K791" s="13"/>
    </row>
    <row r="792" spans="1:11" ht="15" customHeight="1" x14ac:dyDescent="0.3">
      <c r="A792" s="643"/>
      <c r="B792" s="643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627"/>
      <c r="K792" s="13"/>
    </row>
    <row r="793" spans="1:11" ht="15" customHeight="1" x14ac:dyDescent="0.3">
      <c r="A793" s="643"/>
      <c r="B793" s="643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627"/>
      <c r="K793" s="13"/>
    </row>
    <row r="794" spans="1:11" ht="15" customHeight="1" x14ac:dyDescent="0.3">
      <c r="A794" s="643"/>
      <c r="B794" s="643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627"/>
      <c r="K794" s="13"/>
    </row>
    <row r="795" spans="1:11" ht="15" customHeight="1" x14ac:dyDescent="0.3">
      <c r="A795" s="643"/>
      <c r="B795" s="643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627"/>
      <c r="K795" s="13"/>
    </row>
    <row r="796" spans="1:11" ht="15" customHeight="1" x14ac:dyDescent="0.3">
      <c r="A796" s="643"/>
      <c r="B796" s="643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627"/>
      <c r="K796" s="13"/>
    </row>
    <row r="797" spans="1:11" ht="15" customHeight="1" x14ac:dyDescent="0.3">
      <c r="A797" s="643"/>
      <c r="B797" s="643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627"/>
      <c r="K797" s="13"/>
    </row>
    <row r="798" spans="1:11" ht="15" customHeight="1" x14ac:dyDescent="0.3">
      <c r="A798" s="636" t="s">
        <v>727</v>
      </c>
      <c r="B798" s="643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626">
        <v>240</v>
      </c>
      <c r="K798" s="13"/>
    </row>
    <row r="799" spans="1:11" ht="15" customHeight="1" x14ac:dyDescent="0.3">
      <c r="A799" s="637"/>
      <c r="B799" s="643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626">
        <v>300</v>
      </c>
      <c r="K799" s="13"/>
    </row>
    <row r="800" spans="1:11" ht="15" customHeight="1" x14ac:dyDescent="0.3">
      <c r="A800" s="637"/>
      <c r="B800" s="643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626">
        <v>366</v>
      </c>
      <c r="K800" s="13"/>
    </row>
    <row r="801" spans="1:11" ht="15" customHeight="1" x14ac:dyDescent="0.3">
      <c r="A801" s="637"/>
      <c r="B801" s="643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626">
        <v>427</v>
      </c>
      <c r="K801" s="13"/>
    </row>
    <row r="802" spans="1:11" ht="15" customHeight="1" x14ac:dyDescent="0.3">
      <c r="A802" s="637"/>
      <c r="B802" s="643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626">
        <v>240</v>
      </c>
      <c r="K802" s="13"/>
    </row>
    <row r="803" spans="1:11" ht="15" customHeight="1" x14ac:dyDescent="0.3">
      <c r="A803" s="637"/>
      <c r="B803" s="643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626">
        <v>300</v>
      </c>
      <c r="K803" s="13"/>
    </row>
    <row r="804" spans="1:11" ht="15" customHeight="1" x14ac:dyDescent="0.3">
      <c r="A804" s="637"/>
      <c r="B804" s="643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626">
        <v>366</v>
      </c>
      <c r="K804" s="13"/>
    </row>
    <row r="805" spans="1:11" ht="15" customHeight="1" x14ac:dyDescent="0.3">
      <c r="A805" s="638"/>
      <c r="B805" s="643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626">
        <v>427</v>
      </c>
      <c r="K805" s="13"/>
    </row>
    <row r="806" spans="1:11" ht="15" customHeight="1" x14ac:dyDescent="0.3">
      <c r="A806" s="643" t="s">
        <v>728</v>
      </c>
      <c r="B806" s="643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627"/>
      <c r="K806" s="13"/>
    </row>
    <row r="807" spans="1:11" ht="15" customHeight="1" x14ac:dyDescent="0.3">
      <c r="A807" s="643"/>
      <c r="B807" s="643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627"/>
      <c r="K807" s="13"/>
    </row>
    <row r="808" spans="1:11" ht="15" customHeight="1" x14ac:dyDescent="0.3">
      <c r="A808" s="643" t="s">
        <v>731</v>
      </c>
      <c r="B808" s="643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 x14ac:dyDescent="0.3">
      <c r="A809" s="643"/>
      <c r="B809" s="643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627"/>
      <c r="K809" s="13"/>
    </row>
    <row r="810" spans="1:11" ht="15" customHeight="1" x14ac:dyDescent="0.3">
      <c r="A810" s="643"/>
      <c r="B810" s="643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627"/>
      <c r="K810" s="13"/>
    </row>
    <row r="811" spans="1:11" ht="15" customHeight="1" x14ac:dyDescent="0.3">
      <c r="A811" s="643"/>
      <c r="B811" s="643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627"/>
      <c r="K811" s="13"/>
    </row>
    <row r="812" spans="1:11" ht="15" customHeight="1" x14ac:dyDescent="0.3">
      <c r="A812" s="643"/>
      <c r="B812" s="643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627"/>
      <c r="K812" s="13"/>
    </row>
    <row r="813" spans="1:11" ht="15" customHeight="1" x14ac:dyDescent="0.3">
      <c r="A813" s="643" t="s">
        <v>732</v>
      </c>
      <c r="B813" s="643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627"/>
      <c r="K813" s="13"/>
    </row>
    <row r="814" spans="1:11" ht="15" customHeight="1" x14ac:dyDescent="0.3">
      <c r="A814" s="643"/>
      <c r="B814" s="643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627"/>
      <c r="K814" s="13"/>
    </row>
    <row r="815" spans="1:11" ht="15" customHeight="1" x14ac:dyDescent="0.3">
      <c r="A815" s="643"/>
      <c r="B815" s="643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627"/>
      <c r="K815" s="13"/>
    </row>
    <row r="816" spans="1:11" ht="15" customHeight="1" x14ac:dyDescent="0.3">
      <c r="A816" s="639" t="s">
        <v>736</v>
      </c>
      <c r="B816" s="643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626">
        <v>123</v>
      </c>
      <c r="K816" s="13"/>
    </row>
    <row r="817" spans="1:11" ht="15" customHeight="1" x14ac:dyDescent="0.3">
      <c r="A817" s="640"/>
      <c r="B817" s="643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626">
        <v>150</v>
      </c>
      <c r="K817" s="13"/>
    </row>
    <row r="818" spans="1:11" ht="15" customHeight="1" x14ac:dyDescent="0.3">
      <c r="A818" s="640"/>
      <c r="B818" s="643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626">
        <v>180</v>
      </c>
      <c r="K818" s="13"/>
    </row>
    <row r="819" spans="1:11" ht="15" customHeight="1" x14ac:dyDescent="0.3">
      <c r="A819" s="640"/>
      <c r="B819" s="643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626">
        <v>211</v>
      </c>
      <c r="K819" s="13"/>
    </row>
    <row r="820" spans="1:11" ht="15" customHeight="1" x14ac:dyDescent="0.3">
      <c r="A820" s="640"/>
      <c r="B820" s="643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626">
        <v>235</v>
      </c>
      <c r="K820" s="13"/>
    </row>
    <row r="821" spans="1:11" ht="15" customHeight="1" x14ac:dyDescent="0.3">
      <c r="A821" s="640"/>
      <c r="B821" s="643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626">
        <v>255</v>
      </c>
      <c r="K821" s="13"/>
    </row>
    <row r="822" spans="1:11" ht="15" customHeight="1" x14ac:dyDescent="0.3">
      <c r="A822" s="640"/>
      <c r="B822" s="643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626">
        <v>286</v>
      </c>
      <c r="K822" s="13"/>
    </row>
    <row r="823" spans="1:11" ht="15" customHeight="1" x14ac:dyDescent="0.3">
      <c r="A823" s="640"/>
      <c r="B823" s="643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626">
        <v>94</v>
      </c>
      <c r="K823" s="13"/>
    </row>
    <row r="824" spans="1:11" ht="15" customHeight="1" x14ac:dyDescent="0.3">
      <c r="A824" s="640"/>
      <c r="B824" s="643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626">
        <v>123</v>
      </c>
      <c r="K824" s="13"/>
    </row>
    <row r="825" spans="1:11" ht="15" customHeight="1" x14ac:dyDescent="0.3">
      <c r="A825" s="640"/>
      <c r="B825" s="643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626">
        <v>150</v>
      </c>
      <c r="K825" s="13"/>
    </row>
    <row r="826" spans="1:11" ht="15" customHeight="1" x14ac:dyDescent="0.3">
      <c r="A826" s="640"/>
      <c r="B826" s="643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626">
        <v>180</v>
      </c>
      <c r="K826" s="13"/>
    </row>
    <row r="827" spans="1:11" ht="15" customHeight="1" x14ac:dyDescent="0.3">
      <c r="A827" s="640"/>
      <c r="B827" s="643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626">
        <v>211</v>
      </c>
      <c r="K827" s="13"/>
    </row>
    <row r="828" spans="1:11" ht="15" customHeight="1" x14ac:dyDescent="0.3">
      <c r="A828" s="640"/>
      <c r="B828" s="643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626">
        <v>235</v>
      </c>
      <c r="K828" s="13"/>
    </row>
    <row r="829" spans="1:11" ht="15" customHeight="1" x14ac:dyDescent="0.3">
      <c r="A829" s="640"/>
      <c r="B829" s="643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626">
        <v>255</v>
      </c>
      <c r="K829" s="13"/>
    </row>
    <row r="830" spans="1:11" ht="15" customHeight="1" x14ac:dyDescent="0.3">
      <c r="A830" s="640"/>
      <c r="B830" s="643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626">
        <v>286</v>
      </c>
      <c r="K830" s="13"/>
    </row>
    <row r="831" spans="1:11" s="67" customFormat="1" ht="15" customHeight="1" x14ac:dyDescent="0.3">
      <c r="A831" s="640"/>
      <c r="B831" s="639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626">
        <v>123</v>
      </c>
      <c r="K831" s="13"/>
    </row>
    <row r="832" spans="1:11" ht="15" customHeight="1" x14ac:dyDescent="0.3">
      <c r="A832" s="640"/>
      <c r="B832" s="640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626">
        <v>150</v>
      </c>
      <c r="K832" s="13"/>
    </row>
    <row r="833" spans="1:11" ht="15" customHeight="1" x14ac:dyDescent="0.3">
      <c r="A833" s="640"/>
      <c r="B833" s="640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626">
        <v>180</v>
      </c>
      <c r="K833" s="13"/>
    </row>
    <row r="834" spans="1:11" ht="15" customHeight="1" x14ac:dyDescent="0.3">
      <c r="A834" s="640"/>
      <c r="B834" s="640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626">
        <v>211</v>
      </c>
      <c r="K834" s="13"/>
    </row>
    <row r="835" spans="1:11" ht="15" customHeight="1" x14ac:dyDescent="0.3">
      <c r="A835" s="640"/>
      <c r="B835" s="640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626">
        <v>235</v>
      </c>
      <c r="K835" s="13"/>
    </row>
    <row r="836" spans="1:11" ht="15" customHeight="1" x14ac:dyDescent="0.3">
      <c r="A836" s="640"/>
      <c r="B836" s="640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626">
        <v>255</v>
      </c>
      <c r="K836" s="13"/>
    </row>
    <row r="837" spans="1:11" ht="15" customHeight="1" x14ac:dyDescent="0.3">
      <c r="A837" s="640"/>
      <c r="B837" s="640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626">
        <v>286</v>
      </c>
      <c r="K837" s="13"/>
    </row>
    <row r="838" spans="1:11" ht="15" customHeight="1" x14ac:dyDescent="0.3">
      <c r="A838" s="640"/>
      <c r="B838" s="640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626">
        <v>94</v>
      </c>
      <c r="K838" s="13"/>
    </row>
    <row r="839" spans="1:11" ht="15" customHeight="1" x14ac:dyDescent="0.3">
      <c r="A839" s="640"/>
      <c r="B839" s="640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626">
        <v>123</v>
      </c>
      <c r="K839" s="13"/>
    </row>
    <row r="840" spans="1:11" ht="15" customHeight="1" x14ac:dyDescent="0.3">
      <c r="A840" s="640"/>
      <c r="B840" s="640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626">
        <v>150</v>
      </c>
      <c r="K840" s="13"/>
    </row>
    <row r="841" spans="1:11" ht="15" customHeight="1" x14ac:dyDescent="0.3">
      <c r="A841" s="640"/>
      <c r="B841" s="640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626">
        <v>180</v>
      </c>
      <c r="K841" s="13"/>
    </row>
    <row r="842" spans="1:11" ht="15" customHeight="1" x14ac:dyDescent="0.3">
      <c r="A842" s="640"/>
      <c r="B842" s="640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626">
        <v>211</v>
      </c>
      <c r="K842" s="13"/>
    </row>
    <row r="843" spans="1:11" ht="15" customHeight="1" x14ac:dyDescent="0.3">
      <c r="A843" s="640"/>
      <c r="B843" s="640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626">
        <v>235</v>
      </c>
      <c r="K843" s="13"/>
    </row>
    <row r="844" spans="1:11" ht="15" customHeight="1" x14ac:dyDescent="0.3">
      <c r="A844" s="640"/>
      <c r="B844" s="640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626">
        <v>255</v>
      </c>
      <c r="K844" s="13"/>
    </row>
    <row r="845" spans="1:11" ht="15" customHeight="1" x14ac:dyDescent="0.3">
      <c r="A845" s="640"/>
      <c r="B845" s="640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626">
        <v>286</v>
      </c>
      <c r="K845" s="13"/>
    </row>
    <row r="846" spans="1:11" ht="15" customHeight="1" x14ac:dyDescent="0.3">
      <c r="A846" s="640"/>
      <c r="B846" s="640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626">
        <v>84</v>
      </c>
      <c r="K846" s="13"/>
    </row>
    <row r="847" spans="1:11" ht="15" customHeight="1" x14ac:dyDescent="0.3">
      <c r="A847" s="640"/>
      <c r="B847" s="640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626">
        <v>247</v>
      </c>
      <c r="K847" s="13"/>
    </row>
    <row r="848" spans="1:11" ht="15" customHeight="1" x14ac:dyDescent="0.3">
      <c r="A848" s="640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626">
        <v>84</v>
      </c>
      <c r="K848" s="13"/>
    </row>
    <row r="849" spans="1:11" ht="15" customHeight="1" x14ac:dyDescent="0.3">
      <c r="A849" s="644" t="s">
        <v>740</v>
      </c>
      <c r="B849" s="639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627"/>
      <c r="K849" s="13"/>
    </row>
    <row r="850" spans="1:11" ht="15" customHeight="1" x14ac:dyDescent="0.3">
      <c r="A850" s="644"/>
      <c r="B850" s="640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627"/>
      <c r="K850" s="13"/>
    </row>
    <row r="851" spans="1:11" ht="15" customHeight="1" x14ac:dyDescent="0.3">
      <c r="A851" s="644"/>
      <c r="B851" s="640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627"/>
      <c r="K851" s="13"/>
    </row>
    <row r="852" spans="1:11" ht="15" customHeight="1" x14ac:dyDescent="0.3">
      <c r="A852" s="644"/>
      <c r="B852" s="640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 x14ac:dyDescent="0.3">
      <c r="A853" s="644"/>
      <c r="B853" s="640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 x14ac:dyDescent="0.3">
      <c r="A854" s="644"/>
      <c r="B854" s="640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 x14ac:dyDescent="0.3">
      <c r="A855" s="644"/>
      <c r="B855" s="641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 x14ac:dyDescent="0.3">
      <c r="A856" s="644"/>
      <c r="B856" s="644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627"/>
      <c r="K856" s="13"/>
    </row>
    <row r="857" spans="1:11" ht="15" customHeight="1" x14ac:dyDescent="0.3">
      <c r="A857" s="644"/>
      <c r="B857" s="644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627"/>
      <c r="K857" s="13"/>
    </row>
    <row r="858" spans="1:11" ht="15" customHeight="1" x14ac:dyDescent="0.3">
      <c r="A858" s="644"/>
      <c r="B858" s="644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627"/>
      <c r="K858" s="13"/>
    </row>
    <row r="859" spans="1:11" ht="15" customHeight="1" x14ac:dyDescent="0.3">
      <c r="A859" s="644" t="s">
        <v>751</v>
      </c>
      <c r="B859" s="643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627"/>
      <c r="K859" s="13"/>
    </row>
    <row r="860" spans="1:11" ht="15" customHeight="1" x14ac:dyDescent="0.3">
      <c r="A860" s="644"/>
      <c r="B860" s="643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627"/>
      <c r="K860" s="13"/>
    </row>
    <row r="861" spans="1:11" ht="15" customHeight="1" x14ac:dyDescent="0.3">
      <c r="A861" s="644"/>
      <c r="B861" s="643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627"/>
      <c r="K861" s="13"/>
    </row>
    <row r="862" spans="1:11" ht="15" customHeight="1" x14ac:dyDescent="0.3">
      <c r="A862" s="644"/>
      <c r="B862" s="643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627"/>
      <c r="K862" s="13"/>
    </row>
    <row r="863" spans="1:11" ht="15" customHeight="1" x14ac:dyDescent="0.3">
      <c r="A863" s="644"/>
      <c r="B863" s="643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627"/>
      <c r="K863" s="13"/>
    </row>
    <row r="864" spans="1:11" ht="15" customHeight="1" x14ac:dyDescent="0.3">
      <c r="A864" s="644"/>
      <c r="B864" s="643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627"/>
      <c r="K864" s="13"/>
    </row>
    <row r="865" spans="1:11" ht="15" customHeight="1" x14ac:dyDescent="0.3">
      <c r="A865" s="644"/>
      <c r="B865" s="643"/>
      <c r="C865" s="7"/>
      <c r="D865" s="9" t="s">
        <v>755</v>
      </c>
      <c r="E865" s="3">
        <v>0</v>
      </c>
      <c r="G865" s="8"/>
      <c r="H865" s="11"/>
      <c r="I865" s="12"/>
      <c r="J865" s="627"/>
      <c r="K865" s="13"/>
    </row>
    <row r="866" spans="1:11" ht="15" customHeight="1" x14ac:dyDescent="0.3">
      <c r="A866" s="644"/>
      <c r="B866" s="643"/>
      <c r="C866" s="7"/>
      <c r="D866" s="9" t="s">
        <v>757</v>
      </c>
      <c r="E866" s="3">
        <v>0</v>
      </c>
      <c r="G866" s="8"/>
      <c r="H866" s="11"/>
      <c r="I866" s="12"/>
      <c r="J866" s="627"/>
      <c r="K866" s="13"/>
    </row>
    <row r="867" spans="1:11" ht="15" customHeight="1" x14ac:dyDescent="0.3">
      <c r="A867" s="644"/>
      <c r="B867" s="7" t="s">
        <v>64</v>
      </c>
      <c r="C867" s="7"/>
      <c r="D867" s="9"/>
      <c r="E867" s="3">
        <v>0</v>
      </c>
      <c r="G867" s="8"/>
      <c r="H867" s="11"/>
      <c r="I867" s="12"/>
      <c r="J867" s="627"/>
      <c r="K867" s="13"/>
    </row>
    <row r="868" spans="1:11" ht="15" customHeight="1" x14ac:dyDescent="0.3">
      <c r="A868" s="645" t="s">
        <v>758</v>
      </c>
      <c r="B868" s="639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626">
        <v>335</v>
      </c>
      <c r="K868" s="13"/>
    </row>
    <row r="869" spans="1:11" ht="15" customHeight="1" x14ac:dyDescent="0.3">
      <c r="A869" s="647"/>
      <c r="B869" s="640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626">
        <v>415</v>
      </c>
      <c r="K869" s="13"/>
    </row>
    <row r="870" spans="1:11" ht="15" customHeight="1" x14ac:dyDescent="0.3">
      <c r="A870" s="647"/>
      <c r="B870" s="640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626">
        <v>485</v>
      </c>
      <c r="K870" s="13"/>
    </row>
    <row r="871" spans="1:11" ht="15" customHeight="1" x14ac:dyDescent="0.3">
      <c r="A871" s="647"/>
      <c r="B871" s="640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626">
        <v>555</v>
      </c>
      <c r="K871" s="13"/>
    </row>
    <row r="872" spans="1:11" ht="15" customHeight="1" x14ac:dyDescent="0.3">
      <c r="A872" s="647"/>
      <c r="B872" s="640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626">
        <v>610</v>
      </c>
      <c r="K872" s="13"/>
    </row>
    <row r="873" spans="1:11" ht="15" customHeight="1" x14ac:dyDescent="0.3">
      <c r="A873" s="647"/>
      <c r="B873" s="639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626">
        <v>335</v>
      </c>
      <c r="K873" s="13"/>
    </row>
    <row r="874" spans="1:11" ht="15" customHeight="1" x14ac:dyDescent="0.3">
      <c r="A874" s="647"/>
      <c r="B874" s="640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626">
        <v>415</v>
      </c>
      <c r="K874" s="13"/>
    </row>
    <row r="875" spans="1:11" ht="15" customHeight="1" x14ac:dyDescent="0.3">
      <c r="A875" s="647"/>
      <c r="B875" s="640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626">
        <v>485</v>
      </c>
      <c r="K875" s="13"/>
    </row>
    <row r="876" spans="1:11" ht="15" customHeight="1" x14ac:dyDescent="0.3">
      <c r="A876" s="647"/>
      <c r="B876" s="640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626">
        <v>555</v>
      </c>
      <c r="K876" s="13"/>
    </row>
    <row r="877" spans="1:11" ht="15" customHeight="1" x14ac:dyDescent="0.3">
      <c r="A877" s="648"/>
      <c r="B877" s="640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626">
        <v>610</v>
      </c>
      <c r="K877" s="13"/>
    </row>
    <row r="878" spans="1:11" ht="15" customHeight="1" x14ac:dyDescent="0.3">
      <c r="A878" s="644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627"/>
      <c r="K878" s="13"/>
    </row>
    <row r="879" spans="1:11" ht="15" customHeight="1" x14ac:dyDescent="0.3">
      <c r="A879" s="644"/>
      <c r="B879" s="639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627"/>
      <c r="K879" s="13"/>
    </row>
    <row r="880" spans="1:11" ht="15" customHeight="1" x14ac:dyDescent="0.3">
      <c r="A880" s="644"/>
      <c r="B880" s="641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627"/>
      <c r="K880" s="13"/>
    </row>
    <row r="881" spans="1:11" ht="15" customHeight="1" x14ac:dyDescent="0.3">
      <c r="A881" s="645" t="s">
        <v>765</v>
      </c>
      <c r="B881" s="639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627"/>
      <c r="K881" s="13"/>
    </row>
    <row r="882" spans="1:11" ht="15" customHeight="1" x14ac:dyDescent="0.3">
      <c r="A882" s="648"/>
      <c r="B882" s="641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627"/>
      <c r="K882" s="13"/>
    </row>
    <row r="883" spans="1:11" ht="15" customHeight="1" x14ac:dyDescent="0.3">
      <c r="A883" s="644" t="s">
        <v>767</v>
      </c>
      <c r="B883" s="643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627"/>
      <c r="K883" s="13"/>
    </row>
    <row r="884" spans="1:11" ht="15" customHeight="1" x14ac:dyDescent="0.3">
      <c r="A884" s="644"/>
      <c r="B884" s="643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627"/>
      <c r="K884" s="13"/>
    </row>
    <row r="885" spans="1:11" ht="15" customHeight="1" x14ac:dyDescent="0.3">
      <c r="A885" s="644" t="s">
        <v>769</v>
      </c>
      <c r="B885" s="643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626">
        <v>105</v>
      </c>
      <c r="K885" s="13"/>
    </row>
    <row r="886" spans="1:11" ht="15" customHeight="1" x14ac:dyDescent="0.3">
      <c r="A886" s="644"/>
      <c r="B886" s="643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626">
        <v>113</v>
      </c>
      <c r="K886" s="13"/>
    </row>
    <row r="887" spans="1:11" ht="15" customHeight="1" x14ac:dyDescent="0.3">
      <c r="A887" s="644"/>
      <c r="B887" s="643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626">
        <v>136</v>
      </c>
      <c r="K887" s="13"/>
    </row>
    <row r="888" spans="1:11" ht="15" customHeight="1" x14ac:dyDescent="0.3">
      <c r="A888" s="644"/>
      <c r="B888" s="643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626">
        <v>170</v>
      </c>
      <c r="K888" s="13"/>
    </row>
    <row r="889" spans="1:11" ht="15" customHeight="1" x14ac:dyDescent="0.3">
      <c r="A889" s="644"/>
      <c r="B889" s="643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626">
        <v>192</v>
      </c>
      <c r="K889" s="13"/>
    </row>
    <row r="890" spans="1:11" ht="15" customHeight="1" x14ac:dyDescent="0.3">
      <c r="A890" s="644"/>
      <c r="B890" s="643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626">
        <v>226</v>
      </c>
      <c r="K890" s="13"/>
    </row>
    <row r="891" spans="1:11" ht="15" customHeight="1" x14ac:dyDescent="0.3">
      <c r="A891" s="644"/>
      <c r="B891" s="643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626">
        <v>271</v>
      </c>
      <c r="K891" s="13"/>
    </row>
    <row r="892" spans="1:11" ht="15" customHeight="1" x14ac:dyDescent="0.3">
      <c r="A892" s="644"/>
      <c r="B892" s="643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626">
        <v>339</v>
      </c>
      <c r="K892" s="13"/>
    </row>
    <row r="893" spans="1:11" ht="15" customHeight="1" x14ac:dyDescent="0.3">
      <c r="A893" s="644"/>
      <c r="B893" s="643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626">
        <v>452</v>
      </c>
      <c r="K893" s="13"/>
    </row>
    <row r="894" spans="1:11" ht="15" customHeight="1" x14ac:dyDescent="0.3">
      <c r="A894" s="644"/>
      <c r="B894" s="643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626">
        <v>140</v>
      </c>
      <c r="K894" s="13"/>
    </row>
    <row r="895" spans="1:11" ht="15" customHeight="1" x14ac:dyDescent="0.3">
      <c r="A895" s="644"/>
      <c r="B895" s="643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626">
        <v>168</v>
      </c>
      <c r="K895" s="13"/>
    </row>
    <row r="896" spans="1:11" ht="15" customHeight="1" x14ac:dyDescent="0.3">
      <c r="A896" s="644"/>
      <c r="B896" s="643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626">
        <v>210</v>
      </c>
      <c r="K896" s="13"/>
    </row>
    <row r="897" spans="1:11" ht="15" customHeight="1" x14ac:dyDescent="0.3">
      <c r="A897" s="644"/>
      <c r="B897" s="643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626">
        <v>238</v>
      </c>
      <c r="K897" s="13"/>
    </row>
    <row r="898" spans="1:11" ht="15" customHeight="1" x14ac:dyDescent="0.3">
      <c r="A898" s="644"/>
      <c r="B898" s="643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626">
        <v>420</v>
      </c>
      <c r="K898" s="13"/>
    </row>
    <row r="899" spans="1:11" ht="15" customHeight="1" x14ac:dyDescent="0.3">
      <c r="A899" s="644"/>
      <c r="B899" s="643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626">
        <v>113</v>
      </c>
      <c r="K899" s="13"/>
    </row>
    <row r="900" spans="1:11" ht="15" customHeight="1" x14ac:dyDescent="0.3">
      <c r="A900" s="644"/>
      <c r="B900" s="643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626">
        <v>147</v>
      </c>
      <c r="K900" s="13"/>
    </row>
    <row r="901" spans="1:11" ht="15" customHeight="1" x14ac:dyDescent="0.3">
      <c r="A901" s="644"/>
      <c r="B901" s="643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626">
        <v>170</v>
      </c>
      <c r="K901" s="13"/>
    </row>
    <row r="902" spans="1:11" ht="15" customHeight="1" x14ac:dyDescent="0.3">
      <c r="A902" s="644"/>
      <c r="B902" s="643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626">
        <v>226</v>
      </c>
      <c r="K902" s="13"/>
    </row>
    <row r="903" spans="1:11" ht="15" customHeight="1" x14ac:dyDescent="0.3">
      <c r="A903" s="644"/>
      <c r="B903" s="643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626">
        <v>271</v>
      </c>
      <c r="K903" s="13"/>
    </row>
    <row r="904" spans="1:11" ht="15" customHeight="1" x14ac:dyDescent="0.3">
      <c r="A904" s="644"/>
      <c r="B904" s="643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626">
        <v>339</v>
      </c>
      <c r="K904" s="13"/>
    </row>
    <row r="905" spans="1:11" ht="15" customHeight="1" x14ac:dyDescent="0.3">
      <c r="A905" s="644"/>
      <c r="B905" s="639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626">
        <v>105</v>
      </c>
      <c r="K905" s="13"/>
    </row>
    <row r="906" spans="1:11" ht="15" customHeight="1" x14ac:dyDescent="0.3">
      <c r="A906" s="644"/>
      <c r="B906" s="640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626">
        <v>113</v>
      </c>
      <c r="K906" s="13"/>
    </row>
    <row r="907" spans="1:11" ht="15" customHeight="1" x14ac:dyDescent="0.3">
      <c r="A907" s="644"/>
      <c r="B907" s="640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626">
        <v>136</v>
      </c>
      <c r="K907" s="13"/>
    </row>
    <row r="908" spans="1:11" ht="15" customHeight="1" x14ac:dyDescent="0.3">
      <c r="A908" s="644"/>
      <c r="B908" s="640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626">
        <v>170</v>
      </c>
      <c r="K908" s="13"/>
    </row>
    <row r="909" spans="1:11" ht="15" customHeight="1" x14ac:dyDescent="0.3">
      <c r="A909" s="644"/>
      <c r="B909" s="640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626">
        <v>192</v>
      </c>
      <c r="K909" s="13"/>
    </row>
    <row r="910" spans="1:11" ht="15" customHeight="1" x14ac:dyDescent="0.3">
      <c r="A910" s="644"/>
      <c r="B910" s="640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626">
        <v>226</v>
      </c>
      <c r="K910" s="13"/>
    </row>
    <row r="911" spans="1:11" ht="15" customHeight="1" x14ac:dyDescent="0.3">
      <c r="A911" s="644"/>
      <c r="B911" s="640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626">
        <v>271</v>
      </c>
      <c r="K911" s="13"/>
    </row>
    <row r="912" spans="1:11" ht="15" customHeight="1" x14ac:dyDescent="0.3">
      <c r="A912" s="644"/>
      <c r="B912" s="640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626">
        <v>339</v>
      </c>
      <c r="K912" s="13"/>
    </row>
    <row r="913" spans="1:11" ht="15" customHeight="1" x14ac:dyDescent="0.3">
      <c r="A913" s="644"/>
      <c r="B913" s="640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626">
        <v>452</v>
      </c>
      <c r="K913" s="13"/>
    </row>
    <row r="914" spans="1:11" ht="15" customHeight="1" x14ac:dyDescent="0.3">
      <c r="A914" s="644"/>
      <c r="B914" s="640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626">
        <v>140</v>
      </c>
      <c r="K914" s="13"/>
    </row>
    <row r="915" spans="1:11" ht="15" customHeight="1" x14ac:dyDescent="0.3">
      <c r="A915" s="644"/>
      <c r="B915" s="640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626">
        <v>168</v>
      </c>
      <c r="K915" s="13"/>
    </row>
    <row r="916" spans="1:11" ht="15" customHeight="1" x14ac:dyDescent="0.3">
      <c r="A916" s="644"/>
      <c r="B916" s="640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626">
        <v>210</v>
      </c>
      <c r="K916" s="13"/>
    </row>
    <row r="917" spans="1:11" ht="15" customHeight="1" x14ac:dyDescent="0.3">
      <c r="A917" s="644"/>
      <c r="B917" s="640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626">
        <v>238</v>
      </c>
      <c r="K917" s="13"/>
    </row>
    <row r="918" spans="1:11" ht="15" customHeight="1" x14ac:dyDescent="0.3">
      <c r="A918" s="644"/>
      <c r="B918" s="640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626">
        <v>420</v>
      </c>
      <c r="K918" s="13"/>
    </row>
    <row r="919" spans="1:11" ht="15" customHeight="1" x14ac:dyDescent="0.3">
      <c r="A919" s="644"/>
      <c r="B919" s="640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626">
        <v>113</v>
      </c>
      <c r="K919" s="13"/>
    </row>
    <row r="920" spans="1:11" ht="15" customHeight="1" x14ac:dyDescent="0.3">
      <c r="A920" s="644"/>
      <c r="B920" s="640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626">
        <v>147</v>
      </c>
      <c r="K920" s="13"/>
    </row>
    <row r="921" spans="1:11" ht="15" customHeight="1" x14ac:dyDescent="0.3">
      <c r="A921" s="644"/>
      <c r="B921" s="640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626">
        <v>170</v>
      </c>
      <c r="K921" s="13"/>
    </row>
    <row r="922" spans="1:11" s="1" customFormat="1" ht="15" customHeight="1" x14ac:dyDescent="0.3">
      <c r="A922" s="644"/>
      <c r="B922" s="640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626">
        <v>226</v>
      </c>
      <c r="K922" s="13"/>
    </row>
    <row r="923" spans="1:11" ht="15" customHeight="1" x14ac:dyDescent="0.3">
      <c r="A923" s="644"/>
      <c r="B923" s="640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626">
        <v>271</v>
      </c>
      <c r="K923" s="13"/>
    </row>
    <row r="924" spans="1:11" ht="15" customHeight="1" x14ac:dyDescent="0.3">
      <c r="A924" s="644"/>
      <c r="B924" s="641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626">
        <v>339</v>
      </c>
      <c r="K924" s="13"/>
    </row>
    <row r="925" spans="1:11" ht="15" customHeight="1" x14ac:dyDescent="0.3">
      <c r="A925" s="644" t="s">
        <v>776</v>
      </c>
      <c r="B925" s="643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626">
        <v>124</v>
      </c>
      <c r="K925" s="13"/>
    </row>
    <row r="926" spans="1:11" ht="15" customHeight="1" x14ac:dyDescent="0.3">
      <c r="A926" s="644"/>
      <c r="B926" s="643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626">
        <v>144</v>
      </c>
      <c r="K926" s="13"/>
    </row>
    <row r="927" spans="1:11" ht="15" customHeight="1" x14ac:dyDescent="0.3">
      <c r="A927" s="644"/>
      <c r="B927" s="643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626">
        <v>162</v>
      </c>
      <c r="K927" s="13"/>
    </row>
    <row r="928" spans="1:11" ht="15" customHeight="1" x14ac:dyDescent="0.3">
      <c r="A928" s="644"/>
      <c r="B928" s="643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626">
        <v>120</v>
      </c>
      <c r="K928" s="13"/>
    </row>
    <row r="929" spans="1:11" ht="15" customHeight="1" x14ac:dyDescent="0.3">
      <c r="A929" s="644"/>
      <c r="B929" s="643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626">
        <v>144</v>
      </c>
      <c r="K929" s="13"/>
    </row>
    <row r="930" spans="1:11" ht="15" customHeight="1" x14ac:dyDescent="0.3">
      <c r="A930" s="644"/>
      <c r="B930" s="643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626">
        <v>162</v>
      </c>
      <c r="K930" s="13"/>
    </row>
    <row r="931" spans="1:11" ht="15" customHeight="1" x14ac:dyDescent="0.3">
      <c r="A931" s="644"/>
      <c r="B931" s="643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626">
        <v>209</v>
      </c>
      <c r="K931" s="13"/>
    </row>
    <row r="932" spans="1:11" ht="15" customHeight="1" x14ac:dyDescent="0.3">
      <c r="A932" s="644"/>
      <c r="B932" s="643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626">
        <v>270</v>
      </c>
      <c r="K932" s="13"/>
    </row>
    <row r="933" spans="1:11" ht="15" customHeight="1" x14ac:dyDescent="0.3">
      <c r="A933" s="644" t="s">
        <v>777</v>
      </c>
      <c r="B933" s="643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626">
        <v>120</v>
      </c>
      <c r="K933" s="13"/>
    </row>
    <row r="934" spans="1:11" ht="15" customHeight="1" x14ac:dyDescent="0.3">
      <c r="A934" s="644"/>
      <c r="B934" s="643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626">
        <v>135</v>
      </c>
      <c r="K934" s="13"/>
    </row>
    <row r="935" spans="1:11" ht="15" customHeight="1" x14ac:dyDescent="0.3">
      <c r="A935" s="644"/>
      <c r="B935" s="643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626">
        <v>172</v>
      </c>
      <c r="K935" s="13"/>
    </row>
    <row r="936" spans="1:11" ht="15" customHeight="1" x14ac:dyDescent="0.3">
      <c r="A936" s="644"/>
      <c r="B936" s="643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626">
        <v>225</v>
      </c>
      <c r="K936" s="13"/>
    </row>
    <row r="937" spans="1:11" ht="15" customHeight="1" x14ac:dyDescent="0.3">
      <c r="A937" s="644"/>
      <c r="B937" s="643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626">
        <v>120</v>
      </c>
      <c r="K937" s="13"/>
    </row>
    <row r="938" spans="1:11" ht="15" customHeight="1" x14ac:dyDescent="0.3">
      <c r="A938" s="644"/>
      <c r="B938" s="643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626">
        <v>135</v>
      </c>
      <c r="K938" s="13"/>
    </row>
    <row r="939" spans="1:11" ht="15" customHeight="1" x14ac:dyDescent="0.3">
      <c r="A939" s="644"/>
      <c r="B939" s="643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626">
        <v>172</v>
      </c>
      <c r="K939" s="13"/>
    </row>
    <row r="940" spans="1:11" ht="15" customHeight="1" x14ac:dyDescent="0.3">
      <c r="A940" s="644"/>
      <c r="B940" s="643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626">
        <v>225</v>
      </c>
      <c r="K940" s="13"/>
    </row>
    <row r="941" spans="1:11" s="1" customFormat="1" ht="15" customHeight="1" x14ac:dyDescent="0.3">
      <c r="A941" s="644" t="s">
        <v>779</v>
      </c>
      <c r="B941" s="643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626">
        <v>120</v>
      </c>
      <c r="K941" s="13"/>
    </row>
    <row r="942" spans="1:11" s="1" customFormat="1" ht="15" customHeight="1" x14ac:dyDescent="0.3">
      <c r="A942" s="643"/>
      <c r="B942" s="643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626">
        <v>140</v>
      </c>
      <c r="K942" s="13"/>
    </row>
    <row r="943" spans="1:11" s="1" customFormat="1" ht="15" customHeight="1" x14ac:dyDescent="0.3">
      <c r="A943" s="643"/>
      <c r="B943" s="643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626">
        <v>200</v>
      </c>
      <c r="K943" s="13"/>
    </row>
    <row r="944" spans="1:11" s="1" customFormat="1" ht="15" customHeight="1" x14ac:dyDescent="0.3">
      <c r="A944" s="643"/>
      <c r="B944" s="643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626">
        <v>300</v>
      </c>
      <c r="K944" s="13"/>
    </row>
    <row r="945" spans="1:11" s="1" customFormat="1" ht="15" customHeight="1" x14ac:dyDescent="0.3">
      <c r="A945" s="643"/>
      <c r="B945" s="643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626">
        <v>400</v>
      </c>
      <c r="K945" s="13"/>
    </row>
    <row r="946" spans="1:11" s="1" customFormat="1" ht="15" customHeight="1" x14ac:dyDescent="0.3">
      <c r="A946" s="643"/>
      <c r="B946" s="643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626">
        <v>120</v>
      </c>
      <c r="K946" s="13"/>
    </row>
    <row r="947" spans="1:11" s="1" customFormat="1" ht="15" customHeight="1" x14ac:dyDescent="0.3">
      <c r="A947" s="643"/>
      <c r="B947" s="643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626">
        <v>140</v>
      </c>
      <c r="K947" s="13"/>
    </row>
    <row r="948" spans="1:11" s="1" customFormat="1" ht="15" customHeight="1" x14ac:dyDescent="0.3">
      <c r="A948" s="643"/>
      <c r="B948" s="643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626">
        <v>200</v>
      </c>
      <c r="K948" s="13"/>
    </row>
    <row r="949" spans="1:11" s="1" customFormat="1" ht="15" customHeight="1" x14ac:dyDescent="0.3">
      <c r="A949" s="643"/>
      <c r="B949" s="643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626">
        <v>300</v>
      </c>
      <c r="K949" s="13"/>
    </row>
    <row r="950" spans="1:11" s="1" customFormat="1" ht="15" customHeight="1" x14ac:dyDescent="0.3">
      <c r="A950" s="643"/>
      <c r="B950" s="643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626">
        <v>400</v>
      </c>
      <c r="K950" s="13"/>
    </row>
    <row r="951" spans="1:11" ht="15" customHeight="1" x14ac:dyDescent="0.3">
      <c r="A951" s="645" t="s">
        <v>785</v>
      </c>
      <c r="B951" s="639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627"/>
      <c r="K951" s="13"/>
    </row>
    <row r="952" spans="1:11" ht="15" customHeight="1" x14ac:dyDescent="0.3">
      <c r="A952" s="647"/>
      <c r="B952" s="640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627"/>
      <c r="K952" s="13"/>
    </row>
    <row r="953" spans="1:11" ht="15" customHeight="1" x14ac:dyDescent="0.3">
      <c r="A953" s="647"/>
      <c r="B953" s="641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 x14ac:dyDescent="0.3">
      <c r="A954" s="647"/>
      <c r="B954" s="639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627"/>
      <c r="K954" s="13"/>
    </row>
    <row r="955" spans="1:11" ht="15" customHeight="1" x14ac:dyDescent="0.3">
      <c r="A955" s="647"/>
      <c r="B955" s="640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627"/>
      <c r="K955" s="13"/>
    </row>
    <row r="956" spans="1:11" ht="15" customHeight="1" x14ac:dyDescent="0.3">
      <c r="A956" s="647"/>
      <c r="B956" s="640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 x14ac:dyDescent="0.3">
      <c r="A957" s="648"/>
      <c r="B957" s="641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627"/>
      <c r="K957" s="13"/>
    </row>
    <row r="958" spans="1:11" s="1" customFormat="1" ht="15" customHeight="1" x14ac:dyDescent="0.3">
      <c r="A958" s="645" t="s">
        <v>788</v>
      </c>
      <c r="B958" s="643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627">
        <v>130</v>
      </c>
      <c r="K958" s="13"/>
    </row>
    <row r="959" spans="1:11" s="1" customFormat="1" ht="15" customHeight="1" x14ac:dyDescent="0.3">
      <c r="A959" s="648"/>
      <c r="B959" s="643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627">
        <v>150</v>
      </c>
      <c r="K959" s="13"/>
    </row>
    <row r="960" spans="1:11" ht="15" customHeight="1" x14ac:dyDescent="0.3">
      <c r="A960" s="643" t="s">
        <v>791</v>
      </c>
      <c r="B960" s="643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627"/>
      <c r="K960" s="13"/>
    </row>
    <row r="961" spans="1:11" ht="15" customHeight="1" x14ac:dyDescent="0.3">
      <c r="A961" s="643"/>
      <c r="B961" s="643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 x14ac:dyDescent="0.3">
      <c r="A962" s="643"/>
      <c r="B962" s="643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 x14ac:dyDescent="0.3">
      <c r="A963" s="643"/>
      <c r="B963" s="643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 x14ac:dyDescent="0.3">
      <c r="A964" s="643"/>
      <c r="B964" s="643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 x14ac:dyDescent="0.3">
      <c r="A965" s="643"/>
      <c r="B965" s="643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 x14ac:dyDescent="0.3">
      <c r="A966" s="643"/>
      <c r="B966" s="643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 x14ac:dyDescent="0.3">
      <c r="A967" s="643"/>
      <c r="B967" s="643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 x14ac:dyDescent="0.3">
      <c r="A968" s="643"/>
      <c r="B968" s="643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 x14ac:dyDescent="0.3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 x14ac:dyDescent="0.3">
      <c r="A970" s="645" t="s">
        <v>796</v>
      </c>
      <c r="B970" s="639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 x14ac:dyDescent="0.3">
      <c r="A971" s="647"/>
      <c r="B971" s="640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 x14ac:dyDescent="0.3">
      <c r="A972" s="647"/>
      <c r="B972" s="641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 x14ac:dyDescent="0.3">
      <c r="A973" s="647"/>
      <c r="B973" s="639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 x14ac:dyDescent="0.3">
      <c r="A974" s="648"/>
      <c r="B974" s="641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 x14ac:dyDescent="0.3">
      <c r="A975" s="644" t="s">
        <v>802</v>
      </c>
      <c r="B975" s="643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 x14ac:dyDescent="0.3">
      <c r="A976" s="644"/>
      <c r="B976" s="643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 x14ac:dyDescent="0.3">
      <c r="A977" s="644"/>
      <c r="B977" s="643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 x14ac:dyDescent="0.3">
      <c r="A978" s="644"/>
      <c r="B978" s="643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 x14ac:dyDescent="0.3">
      <c r="A979" s="644"/>
      <c r="B979" s="643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 x14ac:dyDescent="0.3">
      <c r="A980" s="644"/>
      <c r="B980" s="643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 x14ac:dyDescent="0.3">
      <c r="A981" s="644"/>
      <c r="B981" s="643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 x14ac:dyDescent="0.3">
      <c r="A982" s="644"/>
      <c r="B982" s="643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 x14ac:dyDescent="0.3">
      <c r="A983" s="644"/>
      <c r="B983" s="643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 x14ac:dyDescent="0.3">
      <c r="A984" s="644"/>
      <c r="B984" s="643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 x14ac:dyDescent="0.3">
      <c r="A985" s="644"/>
      <c r="B985" s="643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 x14ac:dyDescent="0.3">
      <c r="A986" s="644"/>
      <c r="B986" s="643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 x14ac:dyDescent="0.3">
      <c r="A987" s="644"/>
      <c r="B987" s="643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 x14ac:dyDescent="0.3">
      <c r="A988" s="644"/>
      <c r="B988" s="643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 x14ac:dyDescent="0.3">
      <c r="A989" s="644"/>
      <c r="B989" s="643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 x14ac:dyDescent="0.3">
      <c r="A990" s="644"/>
      <c r="B990" s="643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 x14ac:dyDescent="0.3">
      <c r="A991" s="644"/>
      <c r="B991" s="639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 x14ac:dyDescent="0.3">
      <c r="A992" s="644"/>
      <c r="B992" s="640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 x14ac:dyDescent="0.3">
      <c r="A993" s="644"/>
      <c r="B993" s="640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 x14ac:dyDescent="0.3">
      <c r="A994" s="644"/>
      <c r="B994" s="640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 x14ac:dyDescent="0.3">
      <c r="A995" s="644"/>
      <c r="B995" s="640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 x14ac:dyDescent="0.3">
      <c r="A996" s="644"/>
      <c r="B996" s="640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 x14ac:dyDescent="0.3">
      <c r="A997" s="644"/>
      <c r="B997" s="640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 x14ac:dyDescent="0.3">
      <c r="A998" s="644"/>
      <c r="B998" s="641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 x14ac:dyDescent="0.3">
      <c r="A999" s="644" t="s">
        <v>808</v>
      </c>
      <c r="B999" s="643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 x14ac:dyDescent="0.3">
      <c r="A1000" s="644"/>
      <c r="B1000" s="643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 x14ac:dyDescent="0.3">
      <c r="A1001" s="644"/>
      <c r="B1001" s="643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 x14ac:dyDescent="0.3">
      <c r="A1002" s="644"/>
      <c r="B1002" s="643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 x14ac:dyDescent="0.3">
      <c r="A1003" s="644" t="s">
        <v>810</v>
      </c>
      <c r="B1003" s="643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627"/>
      <c r="K1003" s="13"/>
    </row>
    <row r="1004" spans="1:11" ht="15" customHeight="1" x14ac:dyDescent="0.3">
      <c r="A1004" s="644"/>
      <c r="B1004" s="643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627"/>
      <c r="K1004" s="13"/>
    </row>
    <row r="1005" spans="1:11" ht="15" customHeight="1" x14ac:dyDescent="0.3">
      <c r="A1005" s="644"/>
      <c r="B1005" s="643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627"/>
      <c r="K1005" s="13"/>
    </row>
    <row r="1006" spans="1:11" ht="15" customHeight="1" x14ac:dyDescent="0.3">
      <c r="A1006" s="644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627"/>
      <c r="K1006" s="13"/>
    </row>
    <row r="1007" spans="1:11" ht="15" customHeight="1" x14ac:dyDescent="0.3">
      <c r="A1007" s="644"/>
      <c r="B1007" s="643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 x14ac:dyDescent="0.3">
      <c r="A1008" s="644"/>
      <c r="B1008" s="643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 x14ac:dyDescent="0.3">
      <c r="A1009" s="643" t="s">
        <v>817</v>
      </c>
      <c r="B1009" s="643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 x14ac:dyDescent="0.3">
      <c r="A1010" s="643"/>
      <c r="B1010" s="643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 x14ac:dyDescent="0.3">
      <c r="A1011" s="643"/>
      <c r="B1011" s="643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627"/>
      <c r="K1011" s="13"/>
    </row>
    <row r="1012" spans="1:11" ht="15" customHeight="1" x14ac:dyDescent="0.3">
      <c r="A1012" s="643"/>
      <c r="B1012" s="643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 x14ac:dyDescent="0.3">
      <c r="A1013" s="643"/>
      <c r="B1013" s="643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 x14ac:dyDescent="0.3">
      <c r="A1014" s="643"/>
      <c r="B1014" s="643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 x14ac:dyDescent="0.3">
      <c r="A1015" s="643"/>
      <c r="B1015" s="643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 x14ac:dyDescent="0.3">
      <c r="A1016" s="643"/>
      <c r="B1016" s="643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627"/>
      <c r="K1016" s="13"/>
    </row>
    <row r="1017" spans="1:11" ht="15" customHeight="1" x14ac:dyDescent="0.3">
      <c r="A1017" s="644" t="s">
        <v>821</v>
      </c>
      <c r="B1017" s="643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 x14ac:dyDescent="0.3">
      <c r="A1018" s="643"/>
      <c r="B1018" s="643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 x14ac:dyDescent="0.3">
      <c r="A1019" s="643"/>
      <c r="B1019" s="643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 x14ac:dyDescent="0.3">
      <c r="A1020" s="643"/>
      <c r="B1020" s="643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 x14ac:dyDescent="0.3">
      <c r="A1021" s="643"/>
      <c r="B1021" s="643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 x14ac:dyDescent="0.3">
      <c r="A1022" s="643"/>
      <c r="B1022" s="643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 x14ac:dyDescent="0.3">
      <c r="A1023" s="645" t="s">
        <v>828</v>
      </c>
      <c r="B1023" s="639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 x14ac:dyDescent="0.3">
      <c r="A1024" s="648"/>
      <c r="B1024" s="641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627"/>
      <c r="K1024" s="13"/>
    </row>
    <row r="1025" spans="1:11" ht="15" customHeight="1" x14ac:dyDescent="0.3">
      <c r="A1025" s="643" t="s">
        <v>831</v>
      </c>
      <c r="B1025" s="643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626">
        <v>158</v>
      </c>
      <c r="K1025" s="13"/>
    </row>
    <row r="1026" spans="1:11" ht="15" customHeight="1" x14ac:dyDescent="0.3">
      <c r="A1026" s="643"/>
      <c r="B1026" s="643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626">
        <v>193</v>
      </c>
      <c r="K1026" s="13"/>
    </row>
    <row r="1027" spans="1:11" ht="15" customHeight="1" x14ac:dyDescent="0.3">
      <c r="A1027" s="643"/>
      <c r="B1027" s="643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626">
        <v>220</v>
      </c>
      <c r="K1027" s="13"/>
    </row>
    <row r="1028" spans="1:11" ht="15" customHeight="1" x14ac:dyDescent="0.3">
      <c r="A1028" s="643"/>
      <c r="B1028" s="643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626">
        <v>247</v>
      </c>
      <c r="K1028" s="13"/>
    </row>
    <row r="1029" spans="1:11" ht="15" customHeight="1" x14ac:dyDescent="0.3">
      <c r="A1029" s="643"/>
      <c r="B1029" s="643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626">
        <v>280</v>
      </c>
      <c r="K1029" s="13"/>
    </row>
    <row r="1030" spans="1:11" ht="15" customHeight="1" x14ac:dyDescent="0.3">
      <c r="A1030" s="643"/>
      <c r="B1030" s="643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626">
        <v>158</v>
      </c>
      <c r="K1030" s="13"/>
    </row>
    <row r="1031" spans="1:11" ht="15" customHeight="1" x14ac:dyDescent="0.3">
      <c r="A1031" s="643"/>
      <c r="B1031" s="643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626">
        <v>193</v>
      </c>
      <c r="K1031" s="13"/>
    </row>
    <row r="1032" spans="1:11" ht="15" customHeight="1" x14ac:dyDescent="0.3">
      <c r="A1032" s="643"/>
      <c r="B1032" s="643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626">
        <v>220</v>
      </c>
      <c r="K1032" s="13"/>
    </row>
    <row r="1033" spans="1:11" ht="15" customHeight="1" x14ac:dyDescent="0.3">
      <c r="A1033" s="643"/>
      <c r="B1033" s="643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626">
        <v>247</v>
      </c>
      <c r="K1033" s="13"/>
    </row>
    <row r="1034" spans="1:11" ht="15" customHeight="1" x14ac:dyDescent="0.3">
      <c r="A1034" s="643"/>
      <c r="B1034" s="643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626">
        <v>280</v>
      </c>
      <c r="K1034" s="13"/>
    </row>
    <row r="1035" spans="1:11" ht="15" customHeight="1" x14ac:dyDescent="0.3">
      <c r="A1035" s="644" t="s">
        <v>832</v>
      </c>
      <c r="B1035" s="643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 x14ac:dyDescent="0.3">
      <c r="A1036" s="644"/>
      <c r="B1036" s="643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 x14ac:dyDescent="0.3">
      <c r="A1037" s="644"/>
      <c r="B1037" s="643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 x14ac:dyDescent="0.3">
      <c r="A1038" s="644"/>
      <c r="B1038" s="643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 x14ac:dyDescent="0.3">
      <c r="A1039" s="644"/>
      <c r="B1039" s="643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 x14ac:dyDescent="0.3">
      <c r="A1040" s="644"/>
      <c r="B1040" s="643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 x14ac:dyDescent="0.3">
      <c r="A1041" s="644"/>
      <c r="B1041" s="643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627"/>
      <c r="K1041" s="13"/>
    </row>
    <row r="1042" spans="1:11" ht="15" customHeight="1" x14ac:dyDescent="0.3">
      <c r="A1042" s="639" t="s">
        <v>835</v>
      </c>
      <c r="B1042" s="639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 x14ac:dyDescent="0.3">
      <c r="A1043" s="641"/>
      <c r="B1043" s="641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627"/>
      <c r="K1043" s="13"/>
    </row>
    <row r="1044" spans="1:11" ht="15" customHeight="1" x14ac:dyDescent="0.3">
      <c r="A1044" s="636" t="s">
        <v>839</v>
      </c>
      <c r="B1044" s="645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 x14ac:dyDescent="0.3">
      <c r="A1045" s="637"/>
      <c r="B1045" s="641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627"/>
      <c r="K1045" s="13"/>
    </row>
    <row r="1046" spans="1:11" ht="15" customHeight="1" x14ac:dyDescent="0.3">
      <c r="A1046" s="637"/>
      <c r="B1046" s="652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627"/>
      <c r="K1046" s="13"/>
    </row>
    <row r="1047" spans="1:11" ht="15" customHeight="1" x14ac:dyDescent="0.3">
      <c r="A1047" s="637"/>
      <c r="B1047" s="653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627"/>
      <c r="K1047" s="13"/>
    </row>
    <row r="1048" spans="1:11" ht="15" customHeight="1" x14ac:dyDescent="0.3">
      <c r="A1048" s="637"/>
      <c r="B1048" s="654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627"/>
      <c r="K1048" s="13"/>
    </row>
    <row r="1049" spans="1:11" ht="15" customHeight="1" x14ac:dyDescent="0.3">
      <c r="A1049" s="637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627"/>
      <c r="K1049" s="13"/>
    </row>
    <row r="1050" spans="1:11" ht="15" customHeight="1" x14ac:dyDescent="0.3">
      <c r="A1050" s="637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627"/>
      <c r="K1050" s="13"/>
    </row>
    <row r="1051" spans="1:11" ht="15" customHeight="1" x14ac:dyDescent="0.3">
      <c r="A1051" s="637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627"/>
      <c r="K1051" s="13"/>
    </row>
    <row r="1052" spans="1:11" ht="15" customHeight="1" x14ac:dyDescent="0.3">
      <c r="A1052" s="637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627"/>
      <c r="K1052" s="13"/>
    </row>
    <row r="1053" spans="1:11" ht="15" customHeight="1" x14ac:dyDescent="0.3">
      <c r="A1053" s="637"/>
      <c r="B1053" s="639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 x14ac:dyDescent="0.3">
      <c r="A1054" s="637"/>
      <c r="B1054" s="641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 x14ac:dyDescent="0.3">
      <c r="A1055" s="637"/>
      <c r="B1055" s="639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 x14ac:dyDescent="0.3">
      <c r="A1056" s="637"/>
      <c r="B1056" s="640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 x14ac:dyDescent="0.3">
      <c r="A1057" s="637"/>
      <c r="B1057" s="641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627"/>
      <c r="K1057" s="13"/>
    </row>
    <row r="1058" spans="1:11" ht="15" customHeight="1" x14ac:dyDescent="0.3">
      <c r="A1058" s="637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627"/>
      <c r="K1058" s="13"/>
    </row>
    <row r="1059" spans="1:11" ht="15" customHeight="1" x14ac:dyDescent="0.3">
      <c r="A1059" s="637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627"/>
      <c r="K1059" s="13"/>
    </row>
    <row r="1060" spans="1:11" ht="15" customHeight="1" x14ac:dyDescent="0.3">
      <c r="A1060" s="638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627"/>
      <c r="K1060" s="13"/>
    </row>
    <row r="1061" spans="1:11" ht="15" customHeight="1" x14ac:dyDescent="0.3">
      <c r="A1061" s="646" t="s">
        <v>859</v>
      </c>
      <c r="B1061" s="646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 x14ac:dyDescent="0.3">
      <c r="A1062" s="646"/>
      <c r="B1062" s="646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 x14ac:dyDescent="0.3">
      <c r="A1063" s="649" t="s">
        <v>860</v>
      </c>
      <c r="B1063" s="652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 x14ac:dyDescent="0.3">
      <c r="A1064" s="653"/>
      <c r="B1064" s="653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 x14ac:dyDescent="0.3">
      <c r="A1065" s="653"/>
      <c r="B1065" s="653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 x14ac:dyDescent="0.3">
      <c r="A1066" s="653"/>
      <c r="B1066" s="653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 x14ac:dyDescent="0.3">
      <c r="A1067" s="653"/>
      <c r="B1067" s="653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 x14ac:dyDescent="0.3">
      <c r="A1068" s="653"/>
      <c r="B1068" s="654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 x14ac:dyDescent="0.3">
      <c r="A1069" s="653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627"/>
      <c r="K1069" s="13"/>
    </row>
    <row r="1070" spans="1:11" ht="15" customHeight="1" x14ac:dyDescent="0.3">
      <c r="A1070" s="653"/>
      <c r="B1070" s="646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 x14ac:dyDescent="0.3">
      <c r="A1071" s="653"/>
      <c r="B1071" s="646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 x14ac:dyDescent="0.3">
      <c r="A1072" s="653"/>
      <c r="B1072" s="646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 x14ac:dyDescent="0.3">
      <c r="A1073" s="653"/>
      <c r="B1073" s="646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 x14ac:dyDescent="0.3">
      <c r="A1074" s="653"/>
      <c r="B1074" s="646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 x14ac:dyDescent="0.3">
      <c r="A1075" s="653"/>
      <c r="B1075" s="646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 x14ac:dyDescent="0.3">
      <c r="A1076" s="654"/>
      <c r="B1076" s="646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627"/>
      <c r="K1076" s="13"/>
    </row>
    <row r="1077" spans="1:11" ht="15" customHeight="1" x14ac:dyDescent="0.3">
      <c r="A1077" s="646" t="s">
        <v>861</v>
      </c>
      <c r="B1077" s="646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 x14ac:dyDescent="0.3">
      <c r="A1078" s="646"/>
      <c r="B1078" s="646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 x14ac:dyDescent="0.3">
      <c r="A1079" s="646"/>
      <c r="B1079" s="646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 x14ac:dyDescent="0.3">
      <c r="A1080" s="646"/>
      <c r="B1080" s="646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627"/>
      <c r="K1080" s="13"/>
    </row>
    <row r="1081" spans="1:11" ht="15" customHeight="1" x14ac:dyDescent="0.3">
      <c r="A1081" s="646" t="s">
        <v>863</v>
      </c>
      <c r="B1081" s="646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631">
        <v>85</v>
      </c>
      <c r="K1081" s="13"/>
    </row>
    <row r="1082" spans="1:11" ht="15" customHeight="1" x14ac:dyDescent="0.3">
      <c r="A1082" s="646"/>
      <c r="B1082" s="646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631">
        <v>110</v>
      </c>
      <c r="K1082" s="13"/>
    </row>
    <row r="1083" spans="1:11" ht="15" customHeight="1" x14ac:dyDescent="0.3">
      <c r="A1083" s="646"/>
      <c r="B1083" s="646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631">
        <v>140</v>
      </c>
      <c r="K1083" s="13"/>
    </row>
    <row r="1084" spans="1:11" ht="15" customHeight="1" x14ac:dyDescent="0.3">
      <c r="A1084" s="646"/>
      <c r="B1084" s="646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631">
        <v>300</v>
      </c>
      <c r="K1084" s="13"/>
    </row>
    <row r="1085" spans="1:11" ht="15" customHeight="1" x14ac:dyDescent="0.3">
      <c r="A1085" s="644" t="s">
        <v>864</v>
      </c>
      <c r="B1085" s="643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 x14ac:dyDescent="0.3">
      <c r="A1086" s="644"/>
      <c r="B1086" s="643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 x14ac:dyDescent="0.3">
      <c r="A1087" s="644"/>
      <c r="B1087" s="643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 x14ac:dyDescent="0.3">
      <c r="A1088" s="644"/>
      <c r="B1088" s="643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627"/>
      <c r="K1088" s="13"/>
    </row>
    <row r="1089" spans="1:11" ht="15" customHeight="1" x14ac:dyDescent="0.3">
      <c r="A1089" s="644"/>
      <c r="B1089" s="643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627"/>
      <c r="K1089" s="13"/>
    </row>
    <row r="1090" spans="1:11" ht="15" customHeight="1" x14ac:dyDescent="0.3">
      <c r="A1090" s="644"/>
      <c r="B1090" s="643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627"/>
      <c r="K1090" s="13"/>
    </row>
    <row r="1091" spans="1:11" ht="15" customHeight="1" x14ac:dyDescent="0.3">
      <c r="A1091" s="644"/>
      <c r="B1091" s="643"/>
      <c r="C1091" s="7"/>
      <c r="D1091" s="9" t="s">
        <v>869</v>
      </c>
      <c r="E1091" s="3">
        <v>0</v>
      </c>
      <c r="G1091" s="8"/>
      <c r="H1091" s="11"/>
      <c r="I1091" s="12"/>
      <c r="J1091" s="627"/>
      <c r="K1091" s="13"/>
    </row>
    <row r="1092" spans="1:11" ht="15" customHeight="1" x14ac:dyDescent="0.3">
      <c r="A1092" s="645" t="s">
        <v>871</v>
      </c>
      <c r="B1092" s="639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626">
        <v>125</v>
      </c>
      <c r="K1092" s="13"/>
    </row>
    <row r="1093" spans="1:11" ht="15" customHeight="1" x14ac:dyDescent="0.3">
      <c r="A1093" s="647"/>
      <c r="B1093" s="640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626">
        <v>140</v>
      </c>
      <c r="K1093" s="13"/>
    </row>
    <row r="1094" spans="1:11" ht="15" customHeight="1" x14ac:dyDescent="0.3">
      <c r="A1094" s="647"/>
      <c r="B1094" s="640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626">
        <v>163</v>
      </c>
      <c r="K1094" s="13"/>
    </row>
    <row r="1095" spans="1:11" ht="15" customHeight="1" x14ac:dyDescent="0.3">
      <c r="A1095" s="647"/>
      <c r="B1095" s="640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626">
        <v>198</v>
      </c>
      <c r="K1095" s="13"/>
    </row>
    <row r="1096" spans="1:11" ht="15" customHeight="1" x14ac:dyDescent="0.3">
      <c r="A1096" s="647"/>
      <c r="B1096" s="641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626">
        <v>110</v>
      </c>
      <c r="K1096" s="13"/>
    </row>
    <row r="1097" spans="1:11" ht="15" customHeight="1" x14ac:dyDescent="0.3">
      <c r="A1097" s="647"/>
      <c r="B1097" s="639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626">
        <v>125</v>
      </c>
      <c r="K1097" s="13"/>
    </row>
    <row r="1098" spans="1:11" ht="15" customHeight="1" x14ac:dyDescent="0.3">
      <c r="A1098" s="647"/>
      <c r="B1098" s="640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626">
        <v>140</v>
      </c>
      <c r="K1098" s="13"/>
    </row>
    <row r="1099" spans="1:11" ht="15" customHeight="1" x14ac:dyDescent="0.3">
      <c r="A1099" s="647"/>
      <c r="B1099" s="640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626">
        <v>163</v>
      </c>
      <c r="K1099" s="13"/>
    </row>
    <row r="1100" spans="1:11" ht="15" customHeight="1" x14ac:dyDescent="0.3">
      <c r="A1100" s="647"/>
      <c r="B1100" s="640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626">
        <v>198</v>
      </c>
      <c r="K1100" s="13"/>
    </row>
    <row r="1101" spans="1:11" s="1" customFormat="1" ht="15" customHeight="1" x14ac:dyDescent="0.3">
      <c r="A1101" s="644" t="s">
        <v>874</v>
      </c>
      <c r="B1101" s="643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626">
        <v>132</v>
      </c>
      <c r="K1101" s="13"/>
    </row>
    <row r="1102" spans="1:11" s="1" customFormat="1" ht="15" customHeight="1" x14ac:dyDescent="0.3">
      <c r="A1102" s="644"/>
      <c r="B1102" s="643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626">
        <v>176</v>
      </c>
      <c r="K1102" s="13"/>
    </row>
    <row r="1103" spans="1:11" s="1" customFormat="1" ht="15" customHeight="1" x14ac:dyDescent="0.3">
      <c r="A1103" s="644"/>
      <c r="B1103" s="643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626">
        <v>216</v>
      </c>
      <c r="K1103" s="13"/>
    </row>
    <row r="1104" spans="1:11" s="1" customFormat="1" ht="15" customHeight="1" x14ac:dyDescent="0.3">
      <c r="A1104" s="644"/>
      <c r="B1104" s="643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626">
        <v>268</v>
      </c>
      <c r="K1104" s="13"/>
    </row>
    <row r="1105" spans="1:11" s="1" customFormat="1" ht="15" customHeight="1" x14ac:dyDescent="0.3">
      <c r="A1105" s="644"/>
      <c r="B1105" s="643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626">
        <v>318</v>
      </c>
      <c r="K1105" s="13"/>
    </row>
    <row r="1106" spans="1:11" s="1" customFormat="1" ht="15" customHeight="1" x14ac:dyDescent="0.3">
      <c r="A1106" s="644"/>
      <c r="B1106" s="643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626">
        <v>368</v>
      </c>
      <c r="K1106" s="13"/>
    </row>
    <row r="1107" spans="1:11" s="1" customFormat="1" ht="15" customHeight="1" x14ac:dyDescent="0.3">
      <c r="A1107" s="644"/>
      <c r="B1107" s="643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626">
        <v>420</v>
      </c>
      <c r="K1107" s="13"/>
    </row>
    <row r="1108" spans="1:11" s="1" customFormat="1" ht="15" customHeight="1" x14ac:dyDescent="0.3">
      <c r="A1108" s="644"/>
      <c r="B1108" s="643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626">
        <v>530</v>
      </c>
      <c r="K1108" s="13"/>
    </row>
    <row r="1109" spans="1:11" s="1" customFormat="1" ht="15" customHeight="1" x14ac:dyDescent="0.3">
      <c r="A1109" s="644"/>
      <c r="B1109" s="643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626">
        <v>740</v>
      </c>
      <c r="K1109" s="13"/>
    </row>
    <row r="1110" spans="1:11" ht="15" customHeight="1" x14ac:dyDescent="0.3">
      <c r="A1110" s="644"/>
      <c r="B1110" s="643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626">
        <v>136</v>
      </c>
      <c r="K1110" s="13"/>
    </row>
    <row r="1111" spans="1:11" ht="15" customHeight="1" x14ac:dyDescent="0.3">
      <c r="A1111" s="644"/>
      <c r="B1111" s="643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626">
        <v>189</v>
      </c>
      <c r="K1111" s="13"/>
    </row>
    <row r="1112" spans="1:11" ht="15" customHeight="1" x14ac:dyDescent="0.3">
      <c r="A1112" s="644"/>
      <c r="B1112" s="643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626">
        <v>220</v>
      </c>
      <c r="K1112" s="13"/>
    </row>
    <row r="1113" spans="1:11" ht="15" customHeight="1" x14ac:dyDescent="0.3">
      <c r="A1113" s="644"/>
      <c r="B1113" s="643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626">
        <v>264</v>
      </c>
      <c r="K1113" s="13"/>
    </row>
    <row r="1114" spans="1:11" ht="15" customHeight="1" x14ac:dyDescent="0.3">
      <c r="A1114" s="644"/>
      <c r="B1114" s="643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626">
        <v>305</v>
      </c>
      <c r="K1114" s="13"/>
    </row>
    <row r="1115" spans="1:11" ht="15" customHeight="1" x14ac:dyDescent="0.3">
      <c r="A1115" s="644"/>
      <c r="B1115" s="643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626">
        <v>342</v>
      </c>
      <c r="K1115" s="13"/>
    </row>
    <row r="1116" spans="1:11" ht="15" customHeight="1" x14ac:dyDescent="0.3">
      <c r="A1116" s="644"/>
      <c r="B1116" s="643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626">
        <v>382</v>
      </c>
      <c r="K1116" s="13"/>
    </row>
    <row r="1117" spans="1:11" ht="15" customHeight="1" x14ac:dyDescent="0.3">
      <c r="A1117" s="644"/>
      <c r="B1117" s="643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626">
        <v>424</v>
      </c>
      <c r="K1117" s="13"/>
    </row>
    <row r="1118" spans="1:11" ht="15" customHeight="1" x14ac:dyDescent="0.3">
      <c r="A1118" s="644"/>
      <c r="B1118" s="643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626">
        <v>128</v>
      </c>
      <c r="K1118" s="13"/>
    </row>
    <row r="1119" spans="1:11" ht="15" customHeight="1" x14ac:dyDescent="0.3">
      <c r="A1119" s="644"/>
      <c r="B1119" s="643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626">
        <v>183</v>
      </c>
      <c r="K1119" s="13"/>
    </row>
    <row r="1120" spans="1:11" ht="15" customHeight="1" x14ac:dyDescent="0.3">
      <c r="A1120" s="644"/>
      <c r="B1120" s="643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626">
        <v>214</v>
      </c>
      <c r="K1120" s="13"/>
    </row>
    <row r="1121" spans="1:11" ht="15" customHeight="1" x14ac:dyDescent="0.3">
      <c r="A1121" s="644"/>
      <c r="B1121" s="643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626">
        <v>266</v>
      </c>
      <c r="K1121" s="13"/>
    </row>
    <row r="1122" spans="1:11" ht="15" customHeight="1" x14ac:dyDescent="0.3">
      <c r="A1122" s="644"/>
      <c r="B1122" s="643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626">
        <v>322</v>
      </c>
      <c r="K1122" s="13"/>
    </row>
    <row r="1123" spans="1:11" ht="15" customHeight="1" x14ac:dyDescent="0.3">
      <c r="A1123" s="644"/>
      <c r="B1123" s="643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626">
        <v>375</v>
      </c>
      <c r="K1123" s="13"/>
    </row>
    <row r="1124" spans="1:11" ht="15" customHeight="1" x14ac:dyDescent="0.3">
      <c r="A1124" s="639" t="s">
        <v>879</v>
      </c>
      <c r="B1124" s="639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 x14ac:dyDescent="0.3">
      <c r="A1125" s="640"/>
      <c r="B1125" s="640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 x14ac:dyDescent="0.3">
      <c r="A1126" s="640"/>
      <c r="B1126" s="640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627"/>
      <c r="K1126" s="13"/>
    </row>
    <row r="1127" spans="1:11" ht="15" customHeight="1" x14ac:dyDescent="0.3">
      <c r="A1127" s="640"/>
      <c r="B1127" s="640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627"/>
      <c r="K1127" s="13"/>
    </row>
    <row r="1128" spans="1:11" ht="15" customHeight="1" x14ac:dyDescent="0.3">
      <c r="A1128" s="640"/>
      <c r="B1128" s="640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627"/>
      <c r="K1128" s="13"/>
    </row>
    <row r="1129" spans="1:11" ht="15" customHeight="1" x14ac:dyDescent="0.3">
      <c r="A1129" s="641"/>
      <c r="B1129" s="641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627"/>
      <c r="K1129" s="13"/>
    </row>
    <row r="1130" spans="1:11" ht="15" customHeight="1" x14ac:dyDescent="0.3">
      <c r="A1130" s="639" t="s">
        <v>886</v>
      </c>
      <c r="B1130" s="639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627"/>
      <c r="K1130" s="13"/>
    </row>
    <row r="1131" spans="1:11" ht="15" customHeight="1" x14ac:dyDescent="0.3">
      <c r="A1131" s="640"/>
      <c r="B1131" s="640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627"/>
      <c r="K1131" s="13"/>
    </row>
    <row r="1132" spans="1:11" ht="15" customHeight="1" x14ac:dyDescent="0.3">
      <c r="A1132" s="640"/>
      <c r="B1132" s="640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627"/>
      <c r="K1132" s="13"/>
    </row>
    <row r="1133" spans="1:11" ht="15" customHeight="1" x14ac:dyDescent="0.3">
      <c r="A1133" s="641"/>
      <c r="B1133" s="641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627"/>
      <c r="K1133" s="13"/>
    </row>
    <row r="1134" spans="1:11" ht="15" customHeight="1" x14ac:dyDescent="0.3">
      <c r="A1134" s="643" t="s">
        <v>891</v>
      </c>
      <c r="B1134" s="639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627"/>
      <c r="K1134" s="13"/>
    </row>
    <row r="1135" spans="1:11" ht="15" customHeight="1" x14ac:dyDescent="0.3">
      <c r="A1135" s="643"/>
      <c r="B1135" s="641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627"/>
      <c r="K1135" s="13"/>
    </row>
    <row r="1136" spans="1:11" ht="15" customHeight="1" x14ac:dyDescent="0.3">
      <c r="A1136" s="643"/>
      <c r="B1136" s="639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627"/>
      <c r="K1136" s="13"/>
    </row>
    <row r="1137" spans="1:11" ht="15" customHeight="1" x14ac:dyDescent="0.3">
      <c r="A1137" s="643"/>
      <c r="B1137" s="641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627"/>
      <c r="K1137" s="13"/>
    </row>
    <row r="1138" spans="1:11" ht="15" customHeight="1" x14ac:dyDescent="0.3">
      <c r="A1138" s="643" t="s">
        <v>897</v>
      </c>
      <c r="B1138" s="643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627"/>
      <c r="K1138" s="13"/>
    </row>
    <row r="1139" spans="1:11" ht="15" customHeight="1" x14ac:dyDescent="0.3">
      <c r="A1139" s="643"/>
      <c r="B1139" s="643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627"/>
      <c r="K1139" s="13"/>
    </row>
    <row r="1140" spans="1:11" ht="15" customHeight="1" x14ac:dyDescent="0.3">
      <c r="A1140" s="643"/>
      <c r="B1140" s="643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627"/>
      <c r="K1140" s="13"/>
    </row>
    <row r="1141" spans="1:11" ht="15" customHeight="1" x14ac:dyDescent="0.3">
      <c r="A1141" s="643"/>
      <c r="B1141" s="643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627"/>
      <c r="K1141" s="13"/>
    </row>
    <row r="1142" spans="1:11" ht="15" customHeight="1" x14ac:dyDescent="0.3">
      <c r="A1142" s="639" t="s">
        <v>899</v>
      </c>
      <c r="B1142" s="639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627"/>
      <c r="K1142" s="13"/>
    </row>
    <row r="1143" spans="1:11" ht="15" customHeight="1" x14ac:dyDescent="0.3">
      <c r="A1143" s="640"/>
      <c r="B1143" s="640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627"/>
      <c r="K1143" s="13"/>
    </row>
    <row r="1144" spans="1:11" ht="15" customHeight="1" x14ac:dyDescent="0.3">
      <c r="A1144" s="641"/>
      <c r="B1144" s="641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627"/>
      <c r="K1144" s="13"/>
    </row>
    <row r="1145" spans="1:11" ht="15" customHeight="1" x14ac:dyDescent="0.3">
      <c r="A1145" s="644" t="s">
        <v>903</v>
      </c>
      <c r="B1145" s="643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627"/>
      <c r="K1145" s="13"/>
    </row>
    <row r="1146" spans="1:11" ht="15" customHeight="1" x14ac:dyDescent="0.3">
      <c r="A1146" s="644"/>
      <c r="B1146" s="643"/>
      <c r="C1146" s="7"/>
      <c r="D1146" s="9" t="s">
        <v>906</v>
      </c>
      <c r="E1146" s="3">
        <v>0</v>
      </c>
      <c r="G1146" s="8"/>
      <c r="H1146" s="11"/>
      <c r="I1146" s="12"/>
      <c r="J1146" s="627"/>
      <c r="K1146" s="13"/>
    </row>
    <row r="1147" spans="1:11" ht="15" customHeight="1" x14ac:dyDescent="0.3">
      <c r="A1147" s="644"/>
      <c r="B1147" s="643"/>
      <c r="C1147" s="7"/>
      <c r="D1147" s="9" t="s">
        <v>907</v>
      </c>
      <c r="E1147" s="3">
        <v>0</v>
      </c>
      <c r="G1147" s="8"/>
      <c r="H1147" s="11"/>
      <c r="I1147" s="12"/>
      <c r="J1147" s="627"/>
      <c r="K1147" s="13"/>
    </row>
    <row r="1148" spans="1:11" ht="15" customHeight="1" x14ac:dyDescent="0.3">
      <c r="A1148" s="644"/>
      <c r="B1148" s="643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627"/>
      <c r="K1148" s="13"/>
    </row>
    <row r="1149" spans="1:11" ht="15" customHeight="1" x14ac:dyDescent="0.3">
      <c r="A1149" s="644"/>
      <c r="B1149" s="643"/>
      <c r="C1149" s="7"/>
      <c r="D1149" s="9" t="s">
        <v>906</v>
      </c>
      <c r="E1149" s="3">
        <v>0</v>
      </c>
      <c r="G1149" s="8"/>
      <c r="H1149" s="11"/>
      <c r="I1149" s="12"/>
      <c r="J1149" s="627"/>
      <c r="K1149" s="13"/>
    </row>
    <row r="1150" spans="1:11" ht="15" customHeight="1" x14ac:dyDescent="0.3">
      <c r="A1150" s="644"/>
      <c r="B1150" s="643"/>
      <c r="C1150" s="7"/>
      <c r="D1150" s="9" t="s">
        <v>907</v>
      </c>
      <c r="E1150" s="3">
        <v>0</v>
      </c>
      <c r="G1150" s="8"/>
      <c r="H1150" s="11"/>
      <c r="I1150" s="12"/>
      <c r="J1150" s="627"/>
      <c r="K1150" s="13"/>
    </row>
    <row r="1151" spans="1:11" ht="15" customHeight="1" x14ac:dyDescent="0.3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 x14ac:dyDescent="0.3">
      <c r="A1152" s="643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627"/>
      <c r="K1152" s="13"/>
    </row>
    <row r="1153" spans="1:11" ht="15" customHeight="1" x14ac:dyDescent="0.3">
      <c r="A1153" s="643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 x14ac:dyDescent="0.3">
      <c r="A1154" s="643" t="s">
        <v>912</v>
      </c>
      <c r="B1154" s="643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 x14ac:dyDescent="0.3">
      <c r="A1155" s="643"/>
      <c r="B1155" s="643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 x14ac:dyDescent="0.3">
      <c r="A1156" s="643"/>
      <c r="B1156" s="643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627"/>
      <c r="K1156" s="13"/>
    </row>
    <row r="1157" spans="1:11" ht="15" customHeight="1" x14ac:dyDescent="0.3">
      <c r="A1157" s="643"/>
      <c r="B1157" s="643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627"/>
      <c r="K1157" s="13"/>
    </row>
    <row r="1158" spans="1:11" ht="15" customHeight="1" x14ac:dyDescent="0.3">
      <c r="A1158" s="643"/>
      <c r="B1158" s="643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 x14ac:dyDescent="0.3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 x14ac:dyDescent="0.3">
      <c r="A1160" s="639" t="s">
        <v>917</v>
      </c>
      <c r="B1160" s="639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627"/>
      <c r="K1160" s="13"/>
    </row>
    <row r="1161" spans="1:11" ht="15" customHeight="1" x14ac:dyDescent="0.3">
      <c r="A1161" s="641"/>
      <c r="B1161" s="641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627"/>
      <c r="K1161" s="13"/>
    </row>
    <row r="1162" spans="1:11" ht="15" customHeight="1" x14ac:dyDescent="0.3">
      <c r="A1162" s="643" t="s">
        <v>919</v>
      </c>
      <c r="B1162" s="639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 x14ac:dyDescent="0.3">
      <c r="A1163" s="643"/>
      <c r="B1163" s="640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 x14ac:dyDescent="0.3">
      <c r="A1164" s="643"/>
      <c r="B1164" s="640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627"/>
      <c r="K1164" s="13"/>
    </row>
    <row r="1165" spans="1:11" ht="15" customHeight="1" x14ac:dyDescent="0.3">
      <c r="A1165" s="643"/>
      <c r="B1165" s="640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627"/>
      <c r="K1165" s="13"/>
    </row>
    <row r="1166" spans="1:11" ht="15" customHeight="1" x14ac:dyDescent="0.3">
      <c r="A1166" s="643"/>
      <c r="B1166" s="641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627"/>
      <c r="K1166" s="13"/>
    </row>
    <row r="1167" spans="1:11" ht="15" customHeight="1" x14ac:dyDescent="0.3">
      <c r="A1167" s="643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627"/>
      <c r="K1167" s="13"/>
    </row>
    <row r="1168" spans="1:11" ht="15" customHeight="1" x14ac:dyDescent="0.3">
      <c r="A1168" s="639" t="s">
        <v>926</v>
      </c>
      <c r="B1168" s="639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 x14ac:dyDescent="0.3">
      <c r="A1169" s="640"/>
      <c r="B1169" s="640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 x14ac:dyDescent="0.3">
      <c r="A1170" s="640"/>
      <c r="B1170" s="640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627"/>
      <c r="K1170" s="13"/>
    </row>
    <row r="1171" spans="1:11" ht="15" customHeight="1" x14ac:dyDescent="0.3">
      <c r="A1171" s="640"/>
      <c r="B1171" s="640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627"/>
      <c r="K1171" s="13"/>
    </row>
    <row r="1172" spans="1:11" ht="15" customHeight="1" x14ac:dyDescent="0.3">
      <c r="A1172" s="640"/>
      <c r="B1172" s="641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627"/>
      <c r="K1172" s="13"/>
    </row>
    <row r="1173" spans="1:11" ht="15" customHeight="1" x14ac:dyDescent="0.3">
      <c r="A1173" s="640"/>
      <c r="B1173" s="643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627"/>
      <c r="K1173" s="13"/>
    </row>
    <row r="1174" spans="1:11" ht="15" customHeight="1" x14ac:dyDescent="0.3">
      <c r="A1174" s="641"/>
      <c r="B1174" s="643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627"/>
      <c r="K1174" s="13"/>
    </row>
    <row r="1175" spans="1:11" ht="15" customHeight="1" x14ac:dyDescent="0.3">
      <c r="A1175" s="644" t="s">
        <v>931</v>
      </c>
      <c r="B1175" s="643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 x14ac:dyDescent="0.3">
      <c r="A1176" s="644"/>
      <c r="B1176" s="643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627"/>
      <c r="K1176" s="13"/>
    </row>
    <row r="1177" spans="1:11" ht="15" customHeight="1" x14ac:dyDescent="0.3">
      <c r="A1177" s="644"/>
      <c r="B1177" s="643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 x14ac:dyDescent="0.3">
      <c r="A1178" s="644"/>
      <c r="B1178" s="643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 x14ac:dyDescent="0.3">
      <c r="A1179" s="644"/>
      <c r="B1179" s="643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 x14ac:dyDescent="0.3">
      <c r="A1180" s="644"/>
      <c r="B1180" s="643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 x14ac:dyDescent="0.3">
      <c r="A1181" s="644"/>
      <c r="B1181" s="643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627"/>
      <c r="K1181" s="13"/>
    </row>
    <row r="1182" spans="1:11" ht="15" customHeight="1" x14ac:dyDescent="0.3">
      <c r="A1182" s="644"/>
      <c r="B1182" s="643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627"/>
      <c r="K1182" s="13"/>
    </row>
    <row r="1183" spans="1:11" ht="15" customHeight="1" x14ac:dyDescent="0.3">
      <c r="A1183" s="644"/>
      <c r="B1183" s="643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627"/>
      <c r="K1183" s="13"/>
    </row>
    <row r="1184" spans="1:11" ht="15" customHeight="1" x14ac:dyDescent="0.3">
      <c r="A1184" s="639" t="s">
        <v>938</v>
      </c>
      <c r="B1184" s="639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627"/>
      <c r="K1184" s="13"/>
    </row>
    <row r="1185" spans="1:11" ht="15" customHeight="1" x14ac:dyDescent="0.3">
      <c r="A1185" s="641"/>
      <c r="B1185" s="641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627"/>
      <c r="K1185" s="13"/>
    </row>
    <row r="1186" spans="1:11" ht="15" customHeight="1" x14ac:dyDescent="0.3">
      <c r="A1186" s="639" t="s">
        <v>941</v>
      </c>
      <c r="B1186" s="639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 x14ac:dyDescent="0.3">
      <c r="A1187" s="640"/>
      <c r="B1187" s="640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 x14ac:dyDescent="0.3">
      <c r="A1188" s="640"/>
      <c r="B1188" s="640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627"/>
      <c r="K1188" s="13"/>
    </row>
    <row r="1189" spans="1:11" ht="15" customHeight="1" x14ac:dyDescent="0.3">
      <c r="A1189" s="643" t="s">
        <v>944</v>
      </c>
      <c r="B1189" s="643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627"/>
      <c r="K1189" s="13"/>
    </row>
    <row r="1190" spans="1:11" ht="15" customHeight="1" x14ac:dyDescent="0.3">
      <c r="A1190" s="643"/>
      <c r="B1190" s="643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627"/>
      <c r="K1190" s="13"/>
    </row>
    <row r="1191" spans="1:11" ht="15" customHeight="1" x14ac:dyDescent="0.3">
      <c r="A1191" s="643"/>
      <c r="B1191" s="643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627"/>
      <c r="K1191" s="13"/>
    </row>
    <row r="1192" spans="1:11" s="1" customFormat="1" ht="15" customHeight="1" x14ac:dyDescent="0.3">
      <c r="A1192" s="644" t="s">
        <v>945</v>
      </c>
      <c r="B1192" s="643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626">
        <v>260</v>
      </c>
      <c r="K1192" s="13"/>
    </row>
    <row r="1193" spans="1:11" s="1" customFormat="1" ht="15" customHeight="1" x14ac:dyDescent="0.3">
      <c r="A1193" s="644"/>
      <c r="B1193" s="643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626">
        <v>340</v>
      </c>
      <c r="K1193" s="13"/>
    </row>
    <row r="1194" spans="1:11" s="1" customFormat="1" ht="15" customHeight="1" x14ac:dyDescent="0.3">
      <c r="A1194" s="644"/>
      <c r="B1194" s="643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626">
        <v>410</v>
      </c>
      <c r="K1194" s="13"/>
    </row>
    <row r="1195" spans="1:11" s="1" customFormat="1" ht="15" customHeight="1" x14ac:dyDescent="0.3">
      <c r="A1195" s="644"/>
      <c r="B1195" s="643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626">
        <v>450</v>
      </c>
      <c r="K1195" s="13"/>
    </row>
    <row r="1196" spans="1:11" s="1" customFormat="1" ht="15" customHeight="1" x14ac:dyDescent="0.3">
      <c r="A1196" s="644"/>
      <c r="B1196" s="643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626">
        <v>530</v>
      </c>
      <c r="K1196" s="13"/>
    </row>
    <row r="1197" spans="1:11" s="1" customFormat="1" ht="15" customHeight="1" x14ac:dyDescent="0.3">
      <c r="A1197" s="644"/>
      <c r="B1197" s="643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626">
        <v>920</v>
      </c>
      <c r="K1197" s="13"/>
    </row>
    <row r="1198" spans="1:11" s="1" customFormat="1" ht="15" customHeight="1" x14ac:dyDescent="0.3">
      <c r="A1198" s="644"/>
      <c r="B1198" s="643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626">
        <v>1050</v>
      </c>
      <c r="K1198" s="13"/>
    </row>
    <row r="1199" spans="1:11" s="1" customFormat="1" ht="15" customHeight="1" x14ac:dyDescent="0.3">
      <c r="A1199" s="644" t="s">
        <v>946</v>
      </c>
      <c r="B1199" s="644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 x14ac:dyDescent="0.3">
      <c r="A1200" s="644"/>
      <c r="B1200" s="643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627"/>
      <c r="K1200" s="13"/>
    </row>
    <row r="1201" spans="1:11" s="1" customFormat="1" ht="15" customHeight="1" x14ac:dyDescent="0.3">
      <c r="A1201" s="644"/>
      <c r="B1201" s="643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627"/>
      <c r="K1201" s="13"/>
    </row>
    <row r="1202" spans="1:11" s="1" customFormat="1" ht="15" customHeight="1" x14ac:dyDescent="0.3">
      <c r="A1202" s="644"/>
      <c r="B1202" s="643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627"/>
      <c r="K1202" s="13"/>
    </row>
    <row r="1203" spans="1:11" s="1" customFormat="1" ht="15" customHeight="1" x14ac:dyDescent="0.3">
      <c r="A1203" s="645" t="s">
        <v>948</v>
      </c>
      <c r="B1203" s="644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 x14ac:dyDescent="0.3">
      <c r="A1204" s="647"/>
      <c r="B1204" s="644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626">
        <v>1000</v>
      </c>
      <c r="K1204" s="13"/>
    </row>
    <row r="1205" spans="1:11" s="1" customFormat="1" ht="15" customHeight="1" x14ac:dyDescent="0.3">
      <c r="A1205" s="647"/>
      <c r="B1205" s="644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626">
        <v>1000</v>
      </c>
      <c r="K1205" s="13"/>
    </row>
    <row r="1206" spans="1:11" s="1" customFormat="1" ht="15" customHeight="1" x14ac:dyDescent="0.3">
      <c r="A1206" s="647"/>
      <c r="B1206" s="644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626">
        <v>1000</v>
      </c>
      <c r="K1206" s="13"/>
    </row>
    <row r="1207" spans="1:11" s="1" customFormat="1" ht="15" customHeight="1" x14ac:dyDescent="0.3">
      <c r="A1207" s="647"/>
      <c r="B1207" s="644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626">
        <v>100</v>
      </c>
      <c r="K1207" s="13"/>
    </row>
    <row r="1208" spans="1:11" s="1" customFormat="1" ht="15" customHeight="1" x14ac:dyDescent="0.3">
      <c r="A1208" s="647"/>
      <c r="B1208" s="644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626">
        <v>1500</v>
      </c>
      <c r="K1208" s="13"/>
    </row>
    <row r="1209" spans="1:11" s="1" customFormat="1" ht="15" customHeight="1" x14ac:dyDescent="0.3">
      <c r="A1209" s="647"/>
      <c r="B1209" s="644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626">
        <v>1500</v>
      </c>
      <c r="K1209" s="13"/>
    </row>
    <row r="1210" spans="1:11" s="1" customFormat="1" ht="15" customHeight="1" x14ac:dyDescent="0.3">
      <c r="A1210" s="647"/>
      <c r="B1210" s="644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626">
        <v>2000</v>
      </c>
      <c r="K1210" s="13"/>
    </row>
    <row r="1211" spans="1:11" s="1" customFormat="1" ht="15" customHeight="1" x14ac:dyDescent="0.3">
      <c r="A1211" s="647"/>
      <c r="B1211" s="644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626">
        <v>2000</v>
      </c>
      <c r="K1211" s="13"/>
    </row>
    <row r="1212" spans="1:11" s="1" customFormat="1" ht="15" customHeight="1" x14ac:dyDescent="0.3">
      <c r="A1212" s="647"/>
      <c r="B1212" s="644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626">
        <v>3000</v>
      </c>
      <c r="K1212" s="13"/>
    </row>
    <row r="1213" spans="1:11" s="1" customFormat="1" ht="15" customHeight="1" x14ac:dyDescent="0.3">
      <c r="A1213" s="647"/>
      <c r="B1213" s="644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626">
        <v>3000</v>
      </c>
      <c r="K1213" s="13"/>
    </row>
    <row r="1214" spans="1:11" ht="15" customHeight="1" x14ac:dyDescent="0.3">
      <c r="A1214" s="644" t="s">
        <v>954</v>
      </c>
      <c r="B1214" s="643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 x14ac:dyDescent="0.3">
      <c r="A1215" s="644"/>
      <c r="B1215" s="643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 x14ac:dyDescent="0.3">
      <c r="A1216" s="644"/>
      <c r="B1216" s="643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 x14ac:dyDescent="0.3">
      <c r="A1217" s="645" t="s">
        <v>958</v>
      </c>
      <c r="B1217" s="639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 x14ac:dyDescent="0.3">
      <c r="A1218" s="647"/>
      <c r="B1218" s="640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 x14ac:dyDescent="0.3">
      <c r="A1219" s="647"/>
      <c r="B1219" s="640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 x14ac:dyDescent="0.3">
      <c r="A1220" s="647"/>
      <c r="B1220" s="640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 x14ac:dyDescent="0.3">
      <c r="A1221" s="647"/>
      <c r="B1221" s="640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 x14ac:dyDescent="0.3">
      <c r="A1222" s="647"/>
      <c r="B1222" s="640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 x14ac:dyDescent="0.3">
      <c r="A1223" s="647"/>
      <c r="B1223" s="640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 x14ac:dyDescent="0.3">
      <c r="A1224" s="648"/>
      <c r="B1224" s="641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 x14ac:dyDescent="0.3">
      <c r="A1225" s="645" t="s">
        <v>966</v>
      </c>
      <c r="B1225" s="643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 x14ac:dyDescent="0.3">
      <c r="A1226" s="647"/>
      <c r="B1226" s="643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 x14ac:dyDescent="0.3">
      <c r="A1227" s="647"/>
      <c r="B1227" s="643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 x14ac:dyDescent="0.3">
      <c r="A1228" s="647"/>
      <c r="B1228" s="643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 x14ac:dyDescent="0.3">
      <c r="A1229" s="647"/>
      <c r="B1229" s="643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 x14ac:dyDescent="0.3">
      <c r="A1230" s="647"/>
      <c r="B1230" s="643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 x14ac:dyDescent="0.3">
      <c r="A1231" s="647"/>
      <c r="B1231" s="643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 x14ac:dyDescent="0.3">
      <c r="A1232" s="647"/>
      <c r="B1232" s="643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 x14ac:dyDescent="0.3">
      <c r="A1233" s="647"/>
      <c r="B1233" s="643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 x14ac:dyDescent="0.3">
      <c r="A1234" s="647"/>
      <c r="B1234" s="643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 x14ac:dyDescent="0.3">
      <c r="A1235" s="647"/>
      <c r="B1235" s="643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 x14ac:dyDescent="0.3">
      <c r="A1236" s="647"/>
      <c r="B1236" s="643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 x14ac:dyDescent="0.3">
      <c r="A1237" s="647"/>
      <c r="B1237" s="643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 x14ac:dyDescent="0.3">
      <c r="A1238" s="647"/>
      <c r="B1238" s="643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 x14ac:dyDescent="0.3">
      <c r="A1239" s="647"/>
      <c r="B1239" s="643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 x14ac:dyDescent="0.3">
      <c r="A1240" s="647"/>
      <c r="B1240" s="643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 x14ac:dyDescent="0.3">
      <c r="A1241" s="647"/>
      <c r="B1241" s="643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 x14ac:dyDescent="0.3">
      <c r="A1242" s="647"/>
      <c r="B1242" s="643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 x14ac:dyDescent="0.3">
      <c r="A1243" s="647"/>
      <c r="B1243" s="643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 x14ac:dyDescent="0.3">
      <c r="A1244" s="647"/>
      <c r="B1244" s="643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 x14ac:dyDescent="0.3">
      <c r="A1245" s="647"/>
      <c r="B1245" s="643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 x14ac:dyDescent="0.3">
      <c r="A1246" s="647"/>
      <c r="B1246" s="643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 x14ac:dyDescent="0.3">
      <c r="A1247" s="647"/>
      <c r="B1247" s="643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 x14ac:dyDescent="0.3">
      <c r="A1248" s="647"/>
      <c r="B1248" s="643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 x14ac:dyDescent="0.3">
      <c r="A1249" s="647"/>
      <c r="B1249" s="643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 x14ac:dyDescent="0.3">
      <c r="A1250" s="647"/>
      <c r="B1250" s="643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 x14ac:dyDescent="0.3">
      <c r="A1251" s="647"/>
      <c r="B1251" s="643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 x14ac:dyDescent="0.3">
      <c r="A1252" s="647"/>
      <c r="B1252" s="643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 x14ac:dyDescent="0.3">
      <c r="A1253" s="647"/>
      <c r="B1253" s="643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 x14ac:dyDescent="0.3">
      <c r="A1254" s="647"/>
      <c r="B1254" s="643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 x14ac:dyDescent="0.3">
      <c r="A1255" s="647"/>
      <c r="B1255" s="643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 x14ac:dyDescent="0.3">
      <c r="A1256" s="647"/>
      <c r="B1256" s="643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 x14ac:dyDescent="0.3">
      <c r="A1257" s="647"/>
      <c r="B1257" s="643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 x14ac:dyDescent="0.3">
      <c r="A1258" s="647"/>
      <c r="B1258" s="643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 x14ac:dyDescent="0.3">
      <c r="A1259" s="647"/>
      <c r="B1259" s="643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 x14ac:dyDescent="0.3">
      <c r="A1260" s="647"/>
      <c r="B1260" s="643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 x14ac:dyDescent="0.3">
      <c r="A1261" s="647"/>
      <c r="B1261" s="643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 x14ac:dyDescent="0.3">
      <c r="A1262" s="647"/>
      <c r="B1262" s="643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 x14ac:dyDescent="0.3">
      <c r="A1263" s="647"/>
      <c r="B1263" s="643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 x14ac:dyDescent="0.3">
      <c r="A1264" s="647"/>
      <c r="B1264" s="643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 x14ac:dyDescent="0.3">
      <c r="A1265" s="647"/>
      <c r="B1265" s="643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 x14ac:dyDescent="0.3">
      <c r="A1266" s="647"/>
      <c r="B1266" s="643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 x14ac:dyDescent="0.3">
      <c r="A1267" s="647"/>
      <c r="B1267" s="643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627"/>
      <c r="K1267" s="13"/>
    </row>
    <row r="1268" spans="1:11" ht="15" customHeight="1" x14ac:dyDescent="0.3">
      <c r="A1268" s="647"/>
      <c r="B1268" s="643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627"/>
      <c r="K1268" s="13"/>
    </row>
    <row r="1269" spans="1:11" ht="15" customHeight="1" x14ac:dyDescent="0.3">
      <c r="A1269" s="647"/>
      <c r="B1269" s="643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627"/>
      <c r="K1269" s="13"/>
    </row>
    <row r="1270" spans="1:11" ht="15" customHeight="1" x14ac:dyDescent="0.3">
      <c r="A1270" s="647"/>
      <c r="B1270" s="639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 x14ac:dyDescent="0.3">
      <c r="A1271" s="647"/>
      <c r="B1271" s="640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 x14ac:dyDescent="0.3">
      <c r="A1272" s="647"/>
      <c r="B1272" s="640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627"/>
      <c r="K1272" s="13"/>
    </row>
    <row r="1273" spans="1:11" ht="15" customHeight="1" x14ac:dyDescent="0.3">
      <c r="A1273" s="647"/>
      <c r="B1273" s="640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627"/>
      <c r="K1273" s="13"/>
    </row>
    <row r="1274" spans="1:11" ht="15" customHeight="1" x14ac:dyDescent="0.3">
      <c r="A1274" s="648"/>
      <c r="B1274" s="641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627"/>
      <c r="K1274" s="13"/>
    </row>
    <row r="1275" spans="1:11" ht="15" customHeight="1" x14ac:dyDescent="0.3">
      <c r="A1275" s="644" t="s">
        <v>1013</v>
      </c>
      <c r="B1275" s="642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627"/>
      <c r="K1275" s="13"/>
    </row>
    <row r="1276" spans="1:11" ht="15" customHeight="1" x14ac:dyDescent="0.3">
      <c r="A1276" s="644"/>
      <c r="B1276" s="642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 x14ac:dyDescent="0.3">
      <c r="A1277" s="644"/>
      <c r="B1277" s="642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 x14ac:dyDescent="0.3">
      <c r="A1278" s="644"/>
      <c r="B1278" s="642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 x14ac:dyDescent="0.3">
      <c r="A1279" s="644" t="s">
        <v>1018</v>
      </c>
      <c r="B1279" s="642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627"/>
      <c r="K1279" s="13"/>
    </row>
    <row r="1280" spans="1:11" ht="15" customHeight="1" x14ac:dyDescent="0.3">
      <c r="A1280" s="644"/>
      <c r="B1280" s="642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 x14ac:dyDescent="0.3">
      <c r="A1281" s="644"/>
      <c r="B1281" s="642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 x14ac:dyDescent="0.3">
      <c r="A1282" s="644"/>
      <c r="B1282" s="642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 x14ac:dyDescent="0.3">
      <c r="A1283" s="644"/>
      <c r="B1283" s="642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627"/>
      <c r="K1283" s="13"/>
    </row>
    <row r="1284" spans="1:11" ht="15" customHeight="1" x14ac:dyDescent="0.3">
      <c r="A1284" s="644"/>
      <c r="B1284" s="642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627"/>
      <c r="K1284" s="13"/>
    </row>
    <row r="1285" spans="1:11" ht="15" customHeight="1" x14ac:dyDescent="0.3">
      <c r="A1285" s="644"/>
      <c r="B1285" s="642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627"/>
      <c r="K1285" s="13"/>
    </row>
    <row r="1286" spans="1:11" ht="15" customHeight="1" x14ac:dyDescent="0.3">
      <c r="A1286" s="644"/>
      <c r="B1286" s="642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627"/>
      <c r="K1286" s="13"/>
    </row>
    <row r="1287" spans="1:11" s="1" customFormat="1" ht="15" customHeight="1" x14ac:dyDescent="0.3">
      <c r="A1287" s="644" t="s">
        <v>1027</v>
      </c>
      <c r="B1287" s="644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 x14ac:dyDescent="0.3">
      <c r="A1288" s="644"/>
      <c r="B1288" s="644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 x14ac:dyDescent="0.3">
      <c r="A1289" s="644"/>
      <c r="B1289" s="644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627"/>
      <c r="K1289" s="13"/>
    </row>
    <row r="1290" spans="1:11" s="1" customFormat="1" ht="15" customHeight="1" x14ac:dyDescent="0.3">
      <c r="A1290" s="644"/>
      <c r="B1290" s="644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627"/>
      <c r="K1290" s="13"/>
    </row>
    <row r="1291" spans="1:11" s="1" customFormat="1" ht="15" customHeight="1" x14ac:dyDescent="0.3">
      <c r="A1291" s="644"/>
      <c r="B1291" s="644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627"/>
      <c r="K1291" s="13"/>
    </row>
    <row r="1292" spans="1:11" s="1" customFormat="1" ht="15" customHeight="1" x14ac:dyDescent="0.3">
      <c r="A1292" s="644"/>
      <c r="B1292" s="644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627"/>
      <c r="K1292" s="13"/>
    </row>
    <row r="1293" spans="1:11" ht="15" customHeight="1" x14ac:dyDescent="0.3">
      <c r="A1293" s="643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627"/>
      <c r="K1293" s="13"/>
    </row>
    <row r="1294" spans="1:11" ht="15" customHeight="1" x14ac:dyDescent="0.3">
      <c r="A1294" s="643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627"/>
      <c r="K1294" s="13"/>
    </row>
    <row r="1295" spans="1:11" ht="15" customHeight="1" x14ac:dyDescent="0.3">
      <c r="A1295" s="643" t="s">
        <v>1036</v>
      </c>
      <c r="B1295" s="643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 x14ac:dyDescent="0.3">
      <c r="A1296" s="643"/>
      <c r="B1296" s="643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627"/>
      <c r="K1296" s="13"/>
    </row>
    <row r="1297" spans="1:11" ht="15" customHeight="1" x14ac:dyDescent="0.3">
      <c r="A1297" s="643"/>
      <c r="B1297" s="643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627"/>
      <c r="K1297" s="13"/>
    </row>
    <row r="1298" spans="1:11" ht="15" customHeight="1" x14ac:dyDescent="0.3">
      <c r="A1298" s="643"/>
      <c r="B1298" s="643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627"/>
      <c r="K1298" s="13"/>
    </row>
    <row r="1299" spans="1:11" ht="15" customHeight="1" x14ac:dyDescent="0.3">
      <c r="A1299" s="644" t="s">
        <v>1041</v>
      </c>
      <c r="B1299" s="643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 x14ac:dyDescent="0.3">
      <c r="A1300" s="644"/>
      <c r="B1300" s="643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 x14ac:dyDescent="0.3">
      <c r="A1301" s="644"/>
      <c r="B1301" s="643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 x14ac:dyDescent="0.3">
      <c r="A1302" s="644"/>
      <c r="B1302" s="643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627"/>
      <c r="K1302" s="13"/>
    </row>
    <row r="1303" spans="1:11" ht="15" customHeight="1" x14ac:dyDescent="0.3">
      <c r="A1303" s="644"/>
      <c r="B1303" s="643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627"/>
      <c r="K1303" s="13"/>
    </row>
    <row r="1304" spans="1:11" ht="15" customHeight="1" x14ac:dyDescent="0.3">
      <c r="A1304" s="644"/>
      <c r="B1304" s="643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627"/>
      <c r="K1304" s="13"/>
    </row>
    <row r="1305" spans="1:11" ht="15" customHeight="1" x14ac:dyDescent="0.3">
      <c r="A1305" s="645" t="s">
        <v>1044</v>
      </c>
      <c r="B1305" s="639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 x14ac:dyDescent="0.3">
      <c r="A1306" s="647"/>
      <c r="B1306" s="640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 x14ac:dyDescent="0.3">
      <c r="A1307" s="647"/>
      <c r="B1307" s="640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 x14ac:dyDescent="0.3">
      <c r="A1308" s="647"/>
      <c r="B1308" s="640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 x14ac:dyDescent="0.3">
      <c r="A1309" s="647"/>
      <c r="B1309" s="640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 x14ac:dyDescent="0.3">
      <c r="A1310" s="647"/>
      <c r="B1310" s="640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 x14ac:dyDescent="0.3">
      <c r="A1311" s="647"/>
      <c r="B1311" s="640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 x14ac:dyDescent="0.3">
      <c r="A1312" s="647"/>
      <c r="B1312" s="640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627"/>
      <c r="K1312" s="13"/>
    </row>
    <row r="1313" spans="1:11" ht="15" customHeight="1" x14ac:dyDescent="0.3">
      <c r="A1313" s="647"/>
      <c r="B1313" s="640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627"/>
      <c r="K1313" s="13"/>
    </row>
    <row r="1314" spans="1:11" ht="15" customHeight="1" x14ac:dyDescent="0.3">
      <c r="A1314" s="647"/>
      <c r="B1314" s="641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 x14ac:dyDescent="0.3">
      <c r="A1315" s="647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627"/>
      <c r="K1315" s="13"/>
    </row>
    <row r="1316" spans="1:11" ht="15" customHeight="1" x14ac:dyDescent="0.3">
      <c r="A1316" s="647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627"/>
      <c r="K1316" s="13"/>
    </row>
    <row r="1317" spans="1:11" ht="15" customHeight="1" x14ac:dyDescent="0.3">
      <c r="A1317" s="647"/>
      <c r="B1317" s="639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 x14ac:dyDescent="0.3">
      <c r="A1318" s="647"/>
      <c r="B1318" s="640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627"/>
      <c r="K1318" s="13"/>
    </row>
    <row r="1319" spans="1:11" ht="15" customHeight="1" x14ac:dyDescent="0.3">
      <c r="A1319" s="647"/>
      <c r="B1319" s="640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627"/>
      <c r="K1319" s="13"/>
    </row>
    <row r="1320" spans="1:11" ht="15" customHeight="1" x14ac:dyDescent="0.3">
      <c r="A1320" s="647"/>
      <c r="B1320" s="641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627"/>
      <c r="K1320" s="13"/>
    </row>
    <row r="1321" spans="1:11" ht="15" customHeight="1" x14ac:dyDescent="0.3">
      <c r="A1321" s="647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627"/>
      <c r="K1321" s="13"/>
    </row>
    <row r="1322" spans="1:11" ht="15" customHeight="1" x14ac:dyDescent="0.3">
      <c r="A1322" s="639" t="s">
        <v>1066</v>
      </c>
      <c r="B1322" s="639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 x14ac:dyDescent="0.3">
      <c r="A1323" s="640"/>
      <c r="B1323" s="640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627"/>
      <c r="K1323" s="13"/>
    </row>
    <row r="1324" spans="1:11" ht="15" customHeight="1" x14ac:dyDescent="0.3">
      <c r="A1324" s="640"/>
      <c r="B1324" s="640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627"/>
      <c r="K1324" s="13"/>
    </row>
    <row r="1325" spans="1:11" ht="15" customHeight="1" x14ac:dyDescent="0.3">
      <c r="A1325" s="640"/>
      <c r="B1325" s="640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627"/>
      <c r="K1325" s="13"/>
    </row>
    <row r="1326" spans="1:11" ht="15" customHeight="1" x14ac:dyDescent="0.3">
      <c r="A1326" s="640"/>
      <c r="B1326" s="644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627"/>
      <c r="K1326" s="13"/>
    </row>
    <row r="1327" spans="1:11" ht="15" customHeight="1" x14ac:dyDescent="0.3">
      <c r="A1327" s="640"/>
      <c r="B1327" s="644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627"/>
      <c r="K1327" s="13"/>
    </row>
    <row r="1328" spans="1:11" ht="15" customHeight="1" x14ac:dyDescent="0.3">
      <c r="A1328" s="640"/>
      <c r="B1328" s="644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627"/>
      <c r="K1328" s="13"/>
    </row>
    <row r="1329" spans="1:11" ht="15" customHeight="1" x14ac:dyDescent="0.3">
      <c r="A1329" s="641"/>
      <c r="B1329" s="644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627"/>
      <c r="K1329" s="13"/>
    </row>
    <row r="1330" spans="1:11" ht="15" customHeight="1" x14ac:dyDescent="0.3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627"/>
      <c r="K1330" s="13"/>
    </row>
    <row r="1331" spans="1:11" ht="15" customHeight="1" x14ac:dyDescent="0.3">
      <c r="A1331" s="645" t="s">
        <v>1076</v>
      </c>
      <c r="B1331" s="639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627"/>
      <c r="K1331" s="13"/>
    </row>
    <row r="1332" spans="1:11" ht="15" customHeight="1" x14ac:dyDescent="0.3">
      <c r="A1332" s="647"/>
      <c r="B1332" s="640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627"/>
      <c r="K1332" s="13"/>
    </row>
    <row r="1333" spans="1:11" ht="15" customHeight="1" x14ac:dyDescent="0.3">
      <c r="A1333" s="647"/>
      <c r="B1333" s="640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627"/>
      <c r="K1333" s="13"/>
    </row>
    <row r="1334" spans="1:11" ht="15" customHeight="1" x14ac:dyDescent="0.3">
      <c r="A1334" s="647"/>
      <c r="B1334" s="640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627"/>
      <c r="K1334" s="13"/>
    </row>
    <row r="1335" spans="1:11" ht="15" customHeight="1" x14ac:dyDescent="0.3">
      <c r="A1335" s="647"/>
      <c r="B1335" s="640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627"/>
      <c r="K1335" s="13"/>
    </row>
    <row r="1336" spans="1:11" ht="15" customHeight="1" x14ac:dyDescent="0.3">
      <c r="A1336" s="647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 x14ac:dyDescent="0.3">
      <c r="A1337" s="644" t="s">
        <v>1083</v>
      </c>
      <c r="B1337" s="643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627"/>
      <c r="K1337" s="13"/>
    </row>
    <row r="1338" spans="1:11" s="1" customFormat="1" ht="15" customHeight="1" x14ac:dyDescent="0.3">
      <c r="A1338" s="644"/>
      <c r="B1338" s="643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627"/>
      <c r="K1338" s="13"/>
    </row>
    <row r="1339" spans="1:11" s="1" customFormat="1" ht="15" customHeight="1" x14ac:dyDescent="0.3">
      <c r="A1339" s="644"/>
      <c r="B1339" s="643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627"/>
      <c r="K1339" s="13"/>
    </row>
    <row r="1340" spans="1:11" s="1" customFormat="1" ht="15" customHeight="1" x14ac:dyDescent="0.3">
      <c r="A1340" s="644"/>
      <c r="B1340" s="643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 x14ac:dyDescent="0.3">
      <c r="A1341" s="643" t="s">
        <v>1085</v>
      </c>
      <c r="B1341" s="643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 x14ac:dyDescent="0.3">
      <c r="A1342" s="643"/>
      <c r="B1342" s="643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 x14ac:dyDescent="0.3">
      <c r="A1343" s="643"/>
      <c r="B1343" s="643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 x14ac:dyDescent="0.3">
      <c r="A1344" s="643"/>
      <c r="B1344" s="643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627"/>
      <c r="K1344" s="13"/>
    </row>
    <row r="1345" spans="1:11" ht="15" customHeight="1" x14ac:dyDescent="0.3">
      <c r="A1345" s="643"/>
      <c r="B1345" s="643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627"/>
      <c r="K1345" s="13"/>
    </row>
    <row r="1346" spans="1:11" ht="15" customHeight="1" x14ac:dyDescent="0.3">
      <c r="A1346" s="643"/>
      <c r="B1346" s="643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627"/>
      <c r="K1346" s="13"/>
    </row>
    <row r="1347" spans="1:11" ht="15" customHeight="1" x14ac:dyDescent="0.3">
      <c r="A1347" s="645" t="s">
        <v>1091</v>
      </c>
      <c r="B1347" s="639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626">
        <v>95</v>
      </c>
      <c r="K1347" s="13"/>
    </row>
    <row r="1348" spans="1:11" ht="15" customHeight="1" x14ac:dyDescent="0.3">
      <c r="A1348" s="647"/>
      <c r="B1348" s="640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626">
        <v>123</v>
      </c>
      <c r="K1348" s="13"/>
    </row>
    <row r="1349" spans="1:11" ht="15" customHeight="1" x14ac:dyDescent="0.3">
      <c r="A1349" s="647"/>
      <c r="B1349" s="640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626">
        <v>148</v>
      </c>
      <c r="K1349" s="13"/>
    </row>
    <row r="1350" spans="1:11" ht="15" customHeight="1" x14ac:dyDescent="0.3">
      <c r="A1350" s="647"/>
      <c r="B1350" s="640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626">
        <v>181</v>
      </c>
      <c r="K1350" s="13"/>
    </row>
    <row r="1351" spans="1:11" ht="15" customHeight="1" x14ac:dyDescent="0.3">
      <c r="A1351" s="647"/>
      <c r="B1351" s="640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626">
        <v>234</v>
      </c>
      <c r="K1351" s="13"/>
    </row>
    <row r="1352" spans="1:11" ht="15" customHeight="1" x14ac:dyDescent="0.3">
      <c r="A1352" s="647"/>
      <c r="B1352" s="639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626">
        <v>95</v>
      </c>
      <c r="K1352" s="13"/>
    </row>
    <row r="1353" spans="1:11" ht="15" customHeight="1" x14ac:dyDescent="0.3">
      <c r="A1353" s="647"/>
      <c r="B1353" s="640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626">
        <v>123</v>
      </c>
      <c r="K1353" s="13"/>
    </row>
    <row r="1354" spans="1:11" ht="15" customHeight="1" x14ac:dyDescent="0.3">
      <c r="A1354" s="647"/>
      <c r="B1354" s="640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626">
        <v>148</v>
      </c>
      <c r="K1354" s="13"/>
    </row>
    <row r="1355" spans="1:11" ht="15" customHeight="1" x14ac:dyDescent="0.3">
      <c r="A1355" s="647"/>
      <c r="B1355" s="640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626">
        <v>181</v>
      </c>
      <c r="K1355" s="13"/>
    </row>
    <row r="1356" spans="1:11" ht="15" customHeight="1" x14ac:dyDescent="0.3">
      <c r="A1356" s="647"/>
      <c r="B1356" s="640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626">
        <v>234</v>
      </c>
      <c r="K1356" s="13"/>
    </row>
    <row r="1357" spans="1:11" ht="15" customHeight="1" x14ac:dyDescent="0.3">
      <c r="A1357" s="648"/>
      <c r="B1357" s="641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626">
        <v>79</v>
      </c>
      <c r="K1357" s="13"/>
    </row>
    <row r="1358" spans="1:11" ht="15" customHeight="1" x14ac:dyDescent="0.3">
      <c r="A1358" s="644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627"/>
      <c r="K1358" s="13"/>
    </row>
    <row r="1359" spans="1:11" ht="15" customHeight="1" x14ac:dyDescent="0.3">
      <c r="A1359" s="643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627"/>
      <c r="K1359" s="13"/>
    </row>
    <row r="1360" spans="1:11" ht="15" customHeight="1" x14ac:dyDescent="0.3">
      <c r="A1360" s="644" t="s">
        <v>1093</v>
      </c>
      <c r="B1360" s="643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626">
        <v>130</v>
      </c>
      <c r="K1360" s="13"/>
    </row>
    <row r="1361" spans="1:11" ht="15" customHeight="1" x14ac:dyDescent="0.3">
      <c r="A1361" s="644"/>
      <c r="B1361" s="643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 x14ac:dyDescent="0.3">
      <c r="A1362" s="644"/>
      <c r="B1362" s="643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626">
        <v>130</v>
      </c>
      <c r="K1362" s="13"/>
    </row>
    <row r="1363" spans="1:11" ht="15" customHeight="1" x14ac:dyDescent="0.3">
      <c r="A1363" s="644"/>
      <c r="B1363" s="643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626">
        <v>145</v>
      </c>
      <c r="K1363" s="13"/>
    </row>
    <row r="1364" spans="1:11" ht="15" customHeight="1" x14ac:dyDescent="0.3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627"/>
      <c r="K1364" s="13"/>
    </row>
    <row r="1365" spans="1:11" ht="15" customHeight="1" x14ac:dyDescent="0.3">
      <c r="A1365" s="644" t="s">
        <v>1097</v>
      </c>
      <c r="B1365" s="643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626">
        <v>145</v>
      </c>
      <c r="K1365" s="13"/>
    </row>
    <row r="1366" spans="1:11" ht="15" customHeight="1" x14ac:dyDescent="0.3">
      <c r="A1366" s="644"/>
      <c r="B1366" s="643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626">
        <v>145</v>
      </c>
      <c r="K1366" s="13"/>
    </row>
    <row r="1367" spans="1:11" ht="15" customHeight="1" x14ac:dyDescent="0.3">
      <c r="A1367" s="643"/>
      <c r="B1367" s="643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626">
        <v>180</v>
      </c>
      <c r="K1367" s="13"/>
    </row>
    <row r="1368" spans="1:11" ht="15" customHeight="1" x14ac:dyDescent="0.3">
      <c r="A1368" s="643"/>
      <c r="B1368" s="643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626">
        <v>210</v>
      </c>
      <c r="K1368" s="13"/>
    </row>
    <row r="1369" spans="1:11" ht="15" customHeight="1" x14ac:dyDescent="0.3">
      <c r="A1369" s="643"/>
      <c r="B1369" s="643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626">
        <v>210</v>
      </c>
      <c r="K1369" s="13"/>
    </row>
    <row r="1370" spans="1:11" ht="15" customHeight="1" x14ac:dyDescent="0.3">
      <c r="A1370" s="643"/>
      <c r="B1370" s="643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626">
        <v>260</v>
      </c>
      <c r="K1370" s="13"/>
    </row>
    <row r="1371" spans="1:11" ht="15" customHeight="1" x14ac:dyDescent="0.3">
      <c r="A1371" s="643"/>
      <c r="B1371" s="643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626">
        <v>325</v>
      </c>
      <c r="K1371" s="13"/>
    </row>
    <row r="1372" spans="1:11" ht="15" customHeight="1" x14ac:dyDescent="0.3">
      <c r="A1372" s="643"/>
      <c r="B1372" s="644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626">
        <v>145</v>
      </c>
      <c r="K1372" s="13"/>
    </row>
    <row r="1373" spans="1:11" ht="15" customHeight="1" x14ac:dyDescent="0.3">
      <c r="A1373" s="643"/>
      <c r="B1373" s="644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626">
        <v>180</v>
      </c>
      <c r="K1373" s="13"/>
    </row>
    <row r="1374" spans="1:11" ht="15" customHeight="1" x14ac:dyDescent="0.3">
      <c r="A1374" s="643"/>
      <c r="B1374" s="644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626">
        <v>210</v>
      </c>
      <c r="K1374" s="13"/>
    </row>
    <row r="1375" spans="1:11" ht="15" customHeight="1" x14ac:dyDescent="0.3">
      <c r="A1375" s="643"/>
      <c r="B1375" s="644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626">
        <v>260</v>
      </c>
      <c r="K1375" s="13"/>
    </row>
    <row r="1376" spans="1:11" ht="15" customHeight="1" x14ac:dyDescent="0.3">
      <c r="A1376" s="643"/>
      <c r="B1376" s="644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626">
        <v>325</v>
      </c>
      <c r="K1376" s="13"/>
    </row>
    <row r="1377" spans="1:11" s="1" customFormat="1" ht="15" customHeight="1" x14ac:dyDescent="0.3">
      <c r="A1377" s="644" t="s">
        <v>1101</v>
      </c>
      <c r="B1377" s="643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626">
        <v>224</v>
      </c>
      <c r="K1377" s="13"/>
    </row>
    <row r="1378" spans="1:11" s="1" customFormat="1" ht="15" customHeight="1" x14ac:dyDescent="0.3">
      <c r="A1378" s="644"/>
      <c r="B1378" s="643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626">
        <v>280</v>
      </c>
      <c r="K1378" s="13"/>
    </row>
    <row r="1379" spans="1:11" s="1" customFormat="1" ht="15" customHeight="1" x14ac:dyDescent="0.3">
      <c r="A1379" s="644"/>
      <c r="B1379" s="643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626">
        <v>336</v>
      </c>
      <c r="K1379" s="13"/>
    </row>
    <row r="1380" spans="1:11" s="1" customFormat="1" ht="15" customHeight="1" x14ac:dyDescent="0.3">
      <c r="A1380" s="644"/>
      <c r="B1380" s="643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626">
        <v>392</v>
      </c>
      <c r="K1380" s="13"/>
    </row>
    <row r="1381" spans="1:11" s="1" customFormat="1" ht="15" customHeight="1" x14ac:dyDescent="0.3">
      <c r="A1381" s="644"/>
      <c r="B1381" s="643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626">
        <v>450</v>
      </c>
      <c r="K1381" s="13"/>
    </row>
    <row r="1382" spans="1:11" s="1" customFormat="1" ht="15" customHeight="1" x14ac:dyDescent="0.3">
      <c r="A1382" s="644"/>
      <c r="B1382" s="643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626">
        <v>490</v>
      </c>
      <c r="K1382" s="13"/>
    </row>
    <row r="1383" spans="1:11" s="1" customFormat="1" ht="15" customHeight="1" x14ac:dyDescent="0.3">
      <c r="A1383" s="644"/>
      <c r="B1383" s="643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626">
        <v>630</v>
      </c>
      <c r="K1383" s="13"/>
    </row>
    <row r="1384" spans="1:11" s="1" customFormat="1" ht="15" customHeight="1" x14ac:dyDescent="0.3">
      <c r="A1384" s="644" t="s">
        <v>1102</v>
      </c>
      <c r="B1384" s="643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626">
        <v>168</v>
      </c>
      <c r="K1384" s="13"/>
    </row>
    <row r="1385" spans="1:11" s="1" customFormat="1" ht="15" customHeight="1" x14ac:dyDescent="0.3">
      <c r="A1385" s="643"/>
      <c r="B1385" s="643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626">
        <v>194</v>
      </c>
      <c r="K1385" s="13"/>
    </row>
    <row r="1386" spans="1:11" s="1" customFormat="1" ht="15" customHeight="1" x14ac:dyDescent="0.3">
      <c r="A1386" s="643"/>
      <c r="B1386" s="643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626">
        <v>270</v>
      </c>
      <c r="K1386" s="13"/>
    </row>
    <row r="1387" spans="1:11" s="1" customFormat="1" ht="15" customHeight="1" x14ac:dyDescent="0.3">
      <c r="A1387" s="643"/>
      <c r="B1387" s="643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626">
        <v>326</v>
      </c>
      <c r="K1387" s="13"/>
    </row>
    <row r="1388" spans="1:11" s="1" customFormat="1" ht="15" customHeight="1" x14ac:dyDescent="0.3">
      <c r="A1388" s="643"/>
      <c r="B1388" s="643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626">
        <v>368</v>
      </c>
      <c r="K1388" s="13"/>
    </row>
    <row r="1389" spans="1:11" s="1" customFormat="1" ht="15" customHeight="1" x14ac:dyDescent="0.3">
      <c r="A1389" s="643"/>
      <c r="B1389" s="643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626">
        <v>425</v>
      </c>
      <c r="K1389" s="13"/>
    </row>
    <row r="1390" spans="1:11" s="1" customFormat="1" ht="15" customHeight="1" x14ac:dyDescent="0.3">
      <c r="A1390" s="643"/>
      <c r="B1390" s="643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626">
        <v>465</v>
      </c>
      <c r="K1390" s="13"/>
    </row>
    <row r="1391" spans="1:11" s="1" customFormat="1" ht="15" customHeight="1" x14ac:dyDescent="0.3">
      <c r="A1391" s="643"/>
      <c r="B1391" s="643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626">
        <v>520</v>
      </c>
      <c r="K1391" s="13"/>
    </row>
    <row r="1392" spans="1:11" s="1" customFormat="1" ht="15" customHeight="1" x14ac:dyDescent="0.3">
      <c r="A1392" s="644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627"/>
      <c r="K1392" s="13"/>
    </row>
    <row r="1393" spans="1:11" s="1" customFormat="1" ht="15" customHeight="1" x14ac:dyDescent="0.3">
      <c r="A1393" s="644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 x14ac:dyDescent="0.3">
      <c r="A1394" s="647" t="s">
        <v>1105</v>
      </c>
      <c r="B1394" s="639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 x14ac:dyDescent="0.3">
      <c r="A1395" s="647"/>
      <c r="B1395" s="640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 x14ac:dyDescent="0.3">
      <c r="A1396" s="647"/>
      <c r="B1396" s="640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 x14ac:dyDescent="0.3">
      <c r="A1397" s="647"/>
      <c r="B1397" s="640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 x14ac:dyDescent="0.3">
      <c r="A1398" s="647"/>
      <c r="B1398" s="640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627"/>
      <c r="K1398" s="13"/>
    </row>
    <row r="1399" spans="1:11" s="1" customFormat="1" ht="15" customHeight="1" x14ac:dyDescent="0.3">
      <c r="A1399" s="647"/>
      <c r="B1399" s="640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627"/>
      <c r="K1399" s="13"/>
    </row>
    <row r="1400" spans="1:11" s="1" customFormat="1" ht="15" customHeight="1" x14ac:dyDescent="0.3">
      <c r="A1400" s="647"/>
      <c r="B1400" s="640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627"/>
      <c r="K1400" s="13"/>
    </row>
    <row r="1401" spans="1:11" s="1" customFormat="1" ht="15" customHeight="1" x14ac:dyDescent="0.3">
      <c r="A1401" s="647"/>
      <c r="B1401" s="640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627"/>
      <c r="K1401" s="13"/>
    </row>
    <row r="1402" spans="1:11" s="1" customFormat="1" ht="15" customHeight="1" x14ac:dyDescent="0.3">
      <c r="A1402" s="648"/>
      <c r="B1402" s="641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627"/>
      <c r="K1402" s="13"/>
    </row>
    <row r="1403" spans="1:11" ht="15" customHeight="1" x14ac:dyDescent="0.3">
      <c r="A1403" s="658" t="s">
        <v>1108</v>
      </c>
      <c r="B1403" s="658"/>
      <c r="C1403" s="69"/>
      <c r="D1403" s="9" t="s">
        <v>1109</v>
      </c>
      <c r="E1403" s="3">
        <v>0</v>
      </c>
      <c r="G1403" s="78"/>
      <c r="H1403" s="11"/>
      <c r="I1403" s="12"/>
      <c r="J1403" s="627"/>
      <c r="K1403" s="13"/>
    </row>
    <row r="1404" spans="1:11" ht="15" customHeight="1" x14ac:dyDescent="0.3">
      <c r="A1404" s="658"/>
      <c r="B1404" s="658"/>
      <c r="C1404" s="69"/>
      <c r="D1404" s="9" t="s">
        <v>1110</v>
      </c>
      <c r="E1404" s="3">
        <v>0</v>
      </c>
      <c r="G1404" s="78"/>
      <c r="H1404" s="11"/>
      <c r="I1404" s="12"/>
      <c r="J1404" s="627"/>
      <c r="K1404" s="13"/>
    </row>
    <row r="1405" spans="1:11" ht="15" customHeight="1" x14ac:dyDescent="0.3">
      <c r="A1405" s="658"/>
      <c r="B1405" s="658"/>
      <c r="C1405" s="69"/>
      <c r="D1405" s="9" t="s">
        <v>1111</v>
      </c>
      <c r="E1405" s="3">
        <v>0</v>
      </c>
      <c r="G1405" s="78"/>
      <c r="H1405" s="11"/>
      <c r="I1405" s="12"/>
      <c r="J1405" s="627"/>
      <c r="K1405" s="13"/>
    </row>
    <row r="1406" spans="1:11" ht="15" customHeight="1" x14ac:dyDescent="0.3">
      <c r="A1406" s="658"/>
      <c r="B1406" s="658"/>
      <c r="C1406" s="69"/>
      <c r="D1406" s="9" t="s">
        <v>1112</v>
      </c>
      <c r="E1406" s="3">
        <v>0</v>
      </c>
      <c r="G1406" s="78"/>
      <c r="H1406" s="11"/>
      <c r="I1406" s="12"/>
      <c r="J1406" s="627"/>
      <c r="K1406" s="13"/>
    </row>
    <row r="1407" spans="1:11" ht="15" customHeight="1" x14ac:dyDescent="0.3">
      <c r="A1407" s="658"/>
      <c r="B1407" s="658"/>
      <c r="C1407" s="69"/>
      <c r="D1407" s="9" t="s">
        <v>1113</v>
      </c>
      <c r="E1407" s="3">
        <v>0</v>
      </c>
      <c r="G1407" s="78"/>
      <c r="H1407" s="11"/>
      <c r="I1407" s="12"/>
      <c r="J1407" s="627"/>
      <c r="K1407" s="13"/>
    </row>
    <row r="1408" spans="1:11" ht="15" customHeight="1" x14ac:dyDescent="0.3">
      <c r="A1408" s="658"/>
      <c r="B1408" s="658"/>
      <c r="C1408" s="69"/>
      <c r="D1408" s="9" t="s">
        <v>1114</v>
      </c>
      <c r="E1408" s="3">
        <v>0</v>
      </c>
      <c r="G1408" s="78"/>
      <c r="H1408" s="11"/>
      <c r="I1408" s="12"/>
      <c r="J1408" s="627"/>
      <c r="K1408" s="13"/>
    </row>
    <row r="1409" spans="1:11" ht="15" customHeight="1" x14ac:dyDescent="0.3">
      <c r="A1409" s="658"/>
      <c r="B1409" s="658"/>
      <c r="C1409" s="69"/>
      <c r="D1409" s="9" t="s">
        <v>1115</v>
      </c>
      <c r="E1409" s="3">
        <v>0</v>
      </c>
      <c r="G1409" s="78"/>
      <c r="H1409" s="11"/>
      <c r="I1409" s="12"/>
      <c r="J1409" s="627"/>
      <c r="K1409" s="13"/>
    </row>
    <row r="1410" spans="1:11" ht="15" customHeight="1" x14ac:dyDescent="0.3">
      <c r="A1410" s="658"/>
      <c r="B1410" s="658"/>
      <c r="C1410" s="69"/>
      <c r="D1410" s="9" t="s">
        <v>1116</v>
      </c>
      <c r="E1410" s="3">
        <v>0</v>
      </c>
      <c r="G1410" s="78"/>
      <c r="H1410" s="11"/>
      <c r="I1410" s="12"/>
      <c r="J1410" s="627"/>
      <c r="K1410" s="13"/>
    </row>
    <row r="1411" spans="1:11" ht="15" customHeight="1" x14ac:dyDescent="0.3">
      <c r="A1411" s="658"/>
      <c r="B1411" s="658"/>
      <c r="C1411" s="69"/>
      <c r="D1411" s="9" t="s">
        <v>1117</v>
      </c>
      <c r="E1411" s="3">
        <v>0</v>
      </c>
      <c r="G1411" s="78"/>
      <c r="H1411" s="11"/>
      <c r="I1411" s="12"/>
      <c r="J1411" s="627"/>
      <c r="K1411" s="13"/>
    </row>
    <row r="1412" spans="1:11" ht="15" customHeight="1" x14ac:dyDescent="0.3">
      <c r="A1412" s="658"/>
      <c r="B1412" s="658"/>
      <c r="C1412" s="69"/>
      <c r="D1412" s="9" t="s">
        <v>1118</v>
      </c>
      <c r="E1412" s="3">
        <v>0</v>
      </c>
      <c r="G1412" s="78"/>
      <c r="H1412" s="11"/>
      <c r="I1412" s="12"/>
      <c r="J1412" s="627"/>
      <c r="K1412" s="13"/>
    </row>
    <row r="1413" spans="1:11" ht="15" customHeight="1" x14ac:dyDescent="0.3">
      <c r="A1413" s="643" t="s">
        <v>1119</v>
      </c>
      <c r="B1413" s="643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 x14ac:dyDescent="0.3">
      <c r="A1414" s="643"/>
      <c r="B1414" s="643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 x14ac:dyDescent="0.3">
      <c r="A1415" s="643"/>
      <c r="B1415" s="643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 x14ac:dyDescent="0.3">
      <c r="A1416" s="643"/>
      <c r="B1416" s="643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 x14ac:dyDescent="0.3">
      <c r="A1417" s="643"/>
      <c r="B1417" s="643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626">
        <v>106</v>
      </c>
      <c r="K1417" s="13"/>
    </row>
    <row r="1418" spans="1:11" ht="15" customHeight="1" x14ac:dyDescent="0.3">
      <c r="A1418" s="643"/>
      <c r="B1418" s="643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626">
        <v>136</v>
      </c>
      <c r="K1418" s="13"/>
    </row>
    <row r="1419" spans="1:11" ht="15" customHeight="1" x14ac:dyDescent="0.3">
      <c r="A1419" s="643"/>
      <c r="B1419" s="643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626">
        <v>193</v>
      </c>
      <c r="K1419" s="13"/>
    </row>
    <row r="1420" spans="1:11" ht="15" customHeight="1" x14ac:dyDescent="0.3">
      <c r="A1420" s="643"/>
      <c r="B1420" s="643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626">
        <v>261</v>
      </c>
      <c r="K1420" s="13"/>
    </row>
    <row r="1421" spans="1:11" ht="15" customHeight="1" x14ac:dyDescent="0.3">
      <c r="A1421" s="644" t="s">
        <v>1120</v>
      </c>
      <c r="B1421" s="69" t="s">
        <v>1121</v>
      </c>
      <c r="C1421" s="660">
        <v>110</v>
      </c>
      <c r="D1421" s="36" t="s">
        <v>1122</v>
      </c>
      <c r="E1421" s="3">
        <v>0</v>
      </c>
      <c r="G1421" s="8"/>
      <c r="H1421" s="11"/>
      <c r="I1421" s="12"/>
      <c r="J1421" s="627"/>
      <c r="K1421" s="13"/>
    </row>
    <row r="1422" spans="1:11" ht="15" customHeight="1" x14ac:dyDescent="0.3">
      <c r="A1422" s="643"/>
      <c r="B1422" s="69" t="s">
        <v>1123</v>
      </c>
      <c r="C1422" s="640"/>
      <c r="D1422" s="36" t="s">
        <v>1124</v>
      </c>
      <c r="E1422" s="3">
        <v>0</v>
      </c>
      <c r="G1422" s="8"/>
      <c r="H1422" s="11"/>
      <c r="I1422" s="12"/>
      <c r="J1422" s="627"/>
      <c r="K1422" s="13"/>
    </row>
    <row r="1423" spans="1:11" ht="15" customHeight="1" x14ac:dyDescent="0.3">
      <c r="A1423" s="643"/>
      <c r="B1423" s="69" t="s">
        <v>1125</v>
      </c>
      <c r="C1423" s="640"/>
      <c r="D1423" s="36" t="s">
        <v>1126</v>
      </c>
      <c r="E1423" s="3">
        <v>0</v>
      </c>
      <c r="G1423" s="8"/>
      <c r="H1423" s="11"/>
      <c r="I1423" s="12"/>
      <c r="J1423" s="627"/>
      <c r="K1423" s="13"/>
    </row>
    <row r="1424" spans="1:11" ht="15" customHeight="1" x14ac:dyDescent="0.3">
      <c r="A1424" s="643"/>
      <c r="B1424" s="69" t="s">
        <v>1127</v>
      </c>
      <c r="C1424" s="640"/>
      <c r="D1424" s="36" t="s">
        <v>1128</v>
      </c>
      <c r="E1424" s="3">
        <v>0</v>
      </c>
      <c r="G1424" s="8"/>
      <c r="H1424" s="11"/>
      <c r="I1424" s="12"/>
      <c r="J1424" s="627"/>
      <c r="K1424" s="13"/>
    </row>
    <row r="1425" spans="1:11" ht="15" customHeight="1" x14ac:dyDescent="0.3">
      <c r="A1425" s="643"/>
      <c r="B1425" s="69" t="s">
        <v>1125</v>
      </c>
      <c r="C1425" s="640"/>
      <c r="D1425" s="36" t="s">
        <v>1129</v>
      </c>
      <c r="E1425" s="3">
        <v>0</v>
      </c>
      <c r="G1425" s="8"/>
      <c r="H1425" s="11"/>
      <c r="I1425" s="12"/>
      <c r="J1425" s="627"/>
      <c r="K1425" s="13"/>
    </row>
    <row r="1426" spans="1:11" ht="15" customHeight="1" x14ac:dyDescent="0.3">
      <c r="A1426" s="643"/>
      <c r="B1426" s="77" t="s">
        <v>1127</v>
      </c>
      <c r="C1426" s="641"/>
      <c r="D1426" s="36" t="s">
        <v>1130</v>
      </c>
      <c r="E1426" s="3">
        <v>0</v>
      </c>
      <c r="G1426" s="8"/>
      <c r="H1426" s="11"/>
      <c r="I1426" s="12"/>
      <c r="J1426" s="627"/>
      <c r="K1426" s="13"/>
    </row>
    <row r="1427" spans="1:11" ht="15" customHeight="1" x14ac:dyDescent="0.3">
      <c r="A1427" s="643"/>
      <c r="B1427" s="77" t="s">
        <v>1121</v>
      </c>
      <c r="C1427" s="660">
        <v>190</v>
      </c>
      <c r="D1427" s="36" t="s">
        <v>1131</v>
      </c>
      <c r="E1427" s="3">
        <v>0</v>
      </c>
      <c r="G1427" s="8"/>
      <c r="H1427" s="11"/>
      <c r="I1427" s="12"/>
      <c r="J1427" s="627"/>
      <c r="K1427" s="13"/>
    </row>
    <row r="1428" spans="1:11" ht="15" customHeight="1" x14ac:dyDescent="0.3">
      <c r="A1428" s="643"/>
      <c r="B1428" s="77" t="s">
        <v>1123</v>
      </c>
      <c r="C1428" s="640"/>
      <c r="D1428" s="36" t="s">
        <v>1132</v>
      </c>
      <c r="E1428" s="3">
        <v>0</v>
      </c>
      <c r="G1428" s="8"/>
      <c r="H1428" s="11"/>
      <c r="I1428" s="12"/>
      <c r="J1428" s="627"/>
      <c r="K1428" s="13"/>
    </row>
    <row r="1429" spans="1:11" ht="15" customHeight="1" x14ac:dyDescent="0.3">
      <c r="A1429" s="643"/>
      <c r="B1429" s="77" t="s">
        <v>1125</v>
      </c>
      <c r="C1429" s="640"/>
      <c r="D1429" s="36" t="s">
        <v>1133</v>
      </c>
      <c r="E1429" s="3">
        <v>0</v>
      </c>
      <c r="G1429" s="8"/>
      <c r="H1429" s="11"/>
      <c r="I1429" s="12"/>
      <c r="J1429" s="627"/>
      <c r="K1429" s="13"/>
    </row>
    <row r="1430" spans="1:11" ht="15" customHeight="1" x14ac:dyDescent="0.3">
      <c r="A1430" s="643"/>
      <c r="B1430" s="77" t="s">
        <v>1127</v>
      </c>
      <c r="C1430" s="640"/>
      <c r="D1430" s="36" t="s">
        <v>1134</v>
      </c>
      <c r="E1430" s="3">
        <v>0</v>
      </c>
      <c r="G1430" s="8"/>
      <c r="H1430" s="11"/>
      <c r="I1430" s="12"/>
      <c r="J1430" s="627"/>
      <c r="K1430" s="13"/>
    </row>
    <row r="1431" spans="1:11" ht="15" customHeight="1" x14ac:dyDescent="0.3">
      <c r="A1431" s="643"/>
      <c r="B1431" s="77" t="s">
        <v>1135</v>
      </c>
      <c r="C1431" s="640"/>
      <c r="D1431" s="36" t="s">
        <v>1136</v>
      </c>
      <c r="E1431" s="3">
        <v>0</v>
      </c>
      <c r="G1431" s="8"/>
      <c r="H1431" s="11"/>
      <c r="I1431" s="12"/>
      <c r="J1431" s="627"/>
      <c r="K1431" s="13"/>
    </row>
    <row r="1432" spans="1:11" ht="15" customHeight="1" x14ac:dyDescent="0.3">
      <c r="A1432" s="643"/>
      <c r="B1432" s="77" t="s">
        <v>1125</v>
      </c>
      <c r="C1432" s="640"/>
      <c r="D1432" s="36" t="s">
        <v>1137</v>
      </c>
      <c r="E1432" s="3">
        <v>0</v>
      </c>
      <c r="G1432" s="8"/>
      <c r="H1432" s="11"/>
      <c r="I1432" s="12"/>
      <c r="J1432" s="627"/>
      <c r="K1432" s="13"/>
    </row>
    <row r="1433" spans="1:11" ht="15" customHeight="1" x14ac:dyDescent="0.3">
      <c r="A1433" s="643"/>
      <c r="B1433" s="77" t="s">
        <v>1127</v>
      </c>
      <c r="C1433" s="640"/>
      <c r="D1433" s="36" t="s">
        <v>1138</v>
      </c>
      <c r="E1433" s="3">
        <v>0</v>
      </c>
      <c r="G1433" s="8"/>
      <c r="H1433" s="11"/>
      <c r="I1433" s="12"/>
      <c r="J1433" s="627"/>
      <c r="K1433" s="13"/>
    </row>
    <row r="1434" spans="1:11" ht="15" customHeight="1" x14ac:dyDescent="0.3">
      <c r="A1434" s="643"/>
      <c r="B1434" s="77" t="s">
        <v>1135</v>
      </c>
      <c r="C1434" s="641"/>
      <c r="D1434" s="36" t="s">
        <v>1139</v>
      </c>
      <c r="E1434" s="3">
        <v>0</v>
      </c>
      <c r="G1434" s="8"/>
      <c r="H1434" s="11"/>
      <c r="I1434" s="12"/>
      <c r="J1434" s="627"/>
      <c r="K1434" s="13"/>
    </row>
    <row r="1435" spans="1:11" ht="15" customHeight="1" x14ac:dyDescent="0.3">
      <c r="A1435" s="643"/>
      <c r="B1435" s="77" t="s">
        <v>1140</v>
      </c>
      <c r="C1435" s="660">
        <v>220</v>
      </c>
      <c r="D1435" s="36" t="s">
        <v>1141</v>
      </c>
      <c r="E1435" s="3">
        <v>0</v>
      </c>
      <c r="G1435" s="8"/>
      <c r="H1435" s="11"/>
      <c r="I1435" s="12"/>
      <c r="J1435" s="627"/>
      <c r="K1435" s="13"/>
    </row>
    <row r="1436" spans="1:11" ht="15" customHeight="1" x14ac:dyDescent="0.3">
      <c r="A1436" s="643"/>
      <c r="B1436" s="77" t="s">
        <v>1143</v>
      </c>
      <c r="C1436" s="640"/>
      <c r="D1436" s="36" t="s">
        <v>1144</v>
      </c>
      <c r="E1436" s="3">
        <v>0</v>
      </c>
      <c r="G1436" s="8"/>
      <c r="H1436" s="11"/>
      <c r="I1436" s="12"/>
      <c r="J1436" s="627"/>
      <c r="K1436" s="13"/>
    </row>
    <row r="1437" spans="1:11" ht="15" customHeight="1" x14ac:dyDescent="0.3">
      <c r="A1437" s="643"/>
      <c r="B1437" s="77" t="s">
        <v>1121</v>
      </c>
      <c r="C1437" s="640"/>
      <c r="D1437" s="36" t="s">
        <v>1145</v>
      </c>
      <c r="E1437" s="3">
        <v>0</v>
      </c>
      <c r="G1437" s="8"/>
      <c r="H1437" s="11"/>
      <c r="I1437" s="12"/>
      <c r="J1437" s="627"/>
      <c r="K1437" s="13"/>
    </row>
    <row r="1438" spans="1:11" ht="15" customHeight="1" x14ac:dyDescent="0.3">
      <c r="A1438" s="643"/>
      <c r="B1438" s="77" t="s">
        <v>1125</v>
      </c>
      <c r="C1438" s="640"/>
      <c r="D1438" s="36" t="s">
        <v>1146</v>
      </c>
      <c r="E1438" s="3">
        <v>0</v>
      </c>
      <c r="G1438" s="8"/>
      <c r="H1438" s="11"/>
      <c r="I1438" s="12"/>
      <c r="J1438" s="627"/>
      <c r="K1438" s="13"/>
    </row>
    <row r="1439" spans="1:11" ht="15" customHeight="1" x14ac:dyDescent="0.3">
      <c r="A1439" s="643"/>
      <c r="B1439" s="77" t="s">
        <v>1127</v>
      </c>
      <c r="C1439" s="640"/>
      <c r="D1439" s="36" t="s">
        <v>1147</v>
      </c>
      <c r="E1439" s="3">
        <v>0</v>
      </c>
      <c r="G1439" s="8"/>
      <c r="H1439" s="11"/>
      <c r="I1439" s="12"/>
      <c r="J1439" s="627"/>
      <c r="K1439" s="13"/>
    </row>
    <row r="1440" spans="1:11" ht="15" customHeight="1" x14ac:dyDescent="0.3">
      <c r="A1440" s="643"/>
      <c r="B1440" s="77" t="s">
        <v>1135</v>
      </c>
      <c r="C1440" s="640"/>
      <c r="D1440" s="36" t="s">
        <v>1148</v>
      </c>
      <c r="E1440" s="3">
        <v>0</v>
      </c>
      <c r="G1440" s="8"/>
      <c r="H1440" s="11"/>
      <c r="I1440" s="12"/>
      <c r="J1440" s="627"/>
      <c r="K1440" s="13"/>
    </row>
    <row r="1441" spans="1:11" ht="15" customHeight="1" x14ac:dyDescent="0.3">
      <c r="A1441" s="643"/>
      <c r="B1441" s="77" t="s">
        <v>1149</v>
      </c>
      <c r="C1441" s="640"/>
      <c r="D1441" s="36" t="s">
        <v>1150</v>
      </c>
      <c r="E1441" s="3">
        <v>0</v>
      </c>
      <c r="G1441" s="8"/>
      <c r="H1441" s="11"/>
      <c r="I1441" s="12"/>
      <c r="J1441" s="627"/>
      <c r="K1441" s="13"/>
    </row>
    <row r="1442" spans="1:11" ht="15" customHeight="1" x14ac:dyDescent="0.3">
      <c r="A1442" s="643"/>
      <c r="B1442" s="77" t="s">
        <v>1125</v>
      </c>
      <c r="C1442" s="640"/>
      <c r="D1442" s="36" t="s">
        <v>1151</v>
      </c>
      <c r="E1442" s="3">
        <v>0</v>
      </c>
      <c r="G1442" s="8"/>
      <c r="H1442" s="11"/>
      <c r="I1442" s="12"/>
      <c r="J1442" s="627"/>
      <c r="K1442" s="13"/>
    </row>
    <row r="1443" spans="1:11" ht="15" customHeight="1" x14ac:dyDescent="0.3">
      <c r="A1443" s="643"/>
      <c r="B1443" s="77" t="s">
        <v>1127</v>
      </c>
      <c r="C1443" s="640"/>
      <c r="D1443" s="36" t="s">
        <v>1152</v>
      </c>
      <c r="E1443" s="3">
        <v>0</v>
      </c>
      <c r="G1443" s="8"/>
      <c r="H1443" s="11"/>
      <c r="I1443" s="12"/>
      <c r="J1443" s="627"/>
      <c r="K1443" s="13"/>
    </row>
    <row r="1444" spans="1:11" ht="15" customHeight="1" x14ac:dyDescent="0.3">
      <c r="A1444" s="643"/>
      <c r="B1444" s="77" t="s">
        <v>1135</v>
      </c>
      <c r="C1444" s="640"/>
      <c r="D1444" s="36" t="s">
        <v>1153</v>
      </c>
      <c r="E1444" s="3">
        <v>0</v>
      </c>
      <c r="G1444" s="8"/>
      <c r="H1444" s="11"/>
      <c r="I1444" s="12"/>
      <c r="J1444" s="627"/>
      <c r="K1444" s="13"/>
    </row>
    <row r="1445" spans="1:11" ht="15" customHeight="1" x14ac:dyDescent="0.3">
      <c r="A1445" s="643"/>
      <c r="B1445" s="77" t="s">
        <v>1149</v>
      </c>
      <c r="C1445" s="641"/>
      <c r="D1445" s="36" t="s">
        <v>1154</v>
      </c>
      <c r="E1445" s="3">
        <v>0</v>
      </c>
      <c r="G1445" s="8"/>
      <c r="H1445" s="11"/>
      <c r="I1445" s="12"/>
      <c r="J1445" s="627"/>
      <c r="K1445" s="13"/>
    </row>
    <row r="1446" spans="1:11" ht="15" customHeight="1" x14ac:dyDescent="0.3">
      <c r="A1446" s="643"/>
      <c r="B1446" s="77" t="s">
        <v>1140</v>
      </c>
      <c r="C1446" s="660">
        <v>250</v>
      </c>
      <c r="D1446" s="36" t="s">
        <v>1155</v>
      </c>
      <c r="E1446" s="3">
        <v>0</v>
      </c>
      <c r="G1446" s="8"/>
      <c r="H1446" s="11"/>
      <c r="I1446" s="12"/>
      <c r="J1446" s="627"/>
      <c r="K1446" s="13"/>
    </row>
    <row r="1447" spans="1:11" ht="15" customHeight="1" x14ac:dyDescent="0.3">
      <c r="A1447" s="643"/>
      <c r="B1447" s="77" t="s">
        <v>1143</v>
      </c>
      <c r="C1447" s="640"/>
      <c r="D1447" s="36" t="s">
        <v>1156</v>
      </c>
      <c r="E1447" s="3">
        <v>0</v>
      </c>
      <c r="G1447" s="8"/>
      <c r="H1447" s="11"/>
      <c r="I1447" s="12"/>
      <c r="J1447" s="627"/>
      <c r="K1447" s="13"/>
    </row>
    <row r="1448" spans="1:11" ht="15" customHeight="1" x14ac:dyDescent="0.3">
      <c r="A1448" s="643"/>
      <c r="B1448" s="77" t="s">
        <v>1121</v>
      </c>
      <c r="C1448" s="640"/>
      <c r="D1448" s="36" t="s">
        <v>1157</v>
      </c>
      <c r="E1448" s="3">
        <v>0</v>
      </c>
      <c r="G1448" s="8"/>
      <c r="H1448" s="11"/>
      <c r="I1448" s="12"/>
      <c r="J1448" s="627"/>
      <c r="K1448" s="13"/>
    </row>
    <row r="1449" spans="1:11" ht="15" customHeight="1" x14ac:dyDescent="0.3">
      <c r="A1449" s="643"/>
      <c r="B1449" s="77" t="s">
        <v>1125</v>
      </c>
      <c r="C1449" s="640"/>
      <c r="D1449" s="36" t="s">
        <v>1158</v>
      </c>
      <c r="E1449" s="3">
        <v>0</v>
      </c>
      <c r="G1449" s="8"/>
      <c r="H1449" s="11"/>
      <c r="I1449" s="12"/>
      <c r="J1449" s="627"/>
      <c r="K1449" s="13"/>
    </row>
    <row r="1450" spans="1:11" ht="15" customHeight="1" x14ac:dyDescent="0.3">
      <c r="A1450" s="643"/>
      <c r="B1450" s="77" t="s">
        <v>1127</v>
      </c>
      <c r="C1450" s="640"/>
      <c r="D1450" s="36" t="s">
        <v>1159</v>
      </c>
      <c r="E1450" s="3">
        <v>0</v>
      </c>
      <c r="G1450" s="8"/>
      <c r="H1450" s="11"/>
      <c r="I1450" s="12"/>
      <c r="J1450" s="627"/>
      <c r="K1450" s="13"/>
    </row>
    <row r="1451" spans="1:11" ht="15" customHeight="1" x14ac:dyDescent="0.3">
      <c r="A1451" s="643"/>
      <c r="B1451" s="77" t="s">
        <v>1135</v>
      </c>
      <c r="C1451" s="640"/>
      <c r="D1451" s="36" t="s">
        <v>1160</v>
      </c>
      <c r="E1451" s="3">
        <v>0</v>
      </c>
      <c r="G1451" s="8"/>
      <c r="H1451" s="11"/>
      <c r="I1451" s="12"/>
      <c r="J1451" s="627"/>
      <c r="K1451" s="13"/>
    </row>
    <row r="1452" spans="1:11" ht="15" customHeight="1" x14ac:dyDescent="0.3">
      <c r="A1452" s="643"/>
      <c r="B1452" s="77" t="s">
        <v>1149</v>
      </c>
      <c r="C1452" s="640"/>
      <c r="D1452" s="36" t="s">
        <v>1161</v>
      </c>
      <c r="E1452" s="3">
        <v>0</v>
      </c>
      <c r="G1452" s="8"/>
      <c r="H1452" s="11"/>
      <c r="I1452" s="12"/>
      <c r="J1452" s="627"/>
      <c r="K1452" s="13"/>
    </row>
    <row r="1453" spans="1:11" ht="15" customHeight="1" x14ac:dyDescent="0.3">
      <c r="A1453" s="643"/>
      <c r="B1453" s="77" t="s">
        <v>1125</v>
      </c>
      <c r="C1453" s="640"/>
      <c r="D1453" s="36" t="s">
        <v>1162</v>
      </c>
      <c r="E1453" s="3">
        <v>0</v>
      </c>
      <c r="G1453" s="8"/>
      <c r="H1453" s="11"/>
      <c r="I1453" s="12"/>
      <c r="J1453" s="627"/>
      <c r="K1453" s="13"/>
    </row>
    <row r="1454" spans="1:11" ht="15" customHeight="1" x14ac:dyDescent="0.3">
      <c r="A1454" s="643"/>
      <c r="B1454" s="77" t="s">
        <v>1127</v>
      </c>
      <c r="C1454" s="640"/>
      <c r="D1454" s="36" t="s">
        <v>1163</v>
      </c>
      <c r="E1454" s="3">
        <v>0</v>
      </c>
      <c r="G1454" s="8"/>
      <c r="H1454" s="11"/>
      <c r="I1454" s="12"/>
      <c r="J1454" s="627"/>
      <c r="K1454" s="13"/>
    </row>
    <row r="1455" spans="1:11" ht="15" customHeight="1" x14ac:dyDescent="0.3">
      <c r="A1455" s="643"/>
      <c r="B1455" s="77" t="s">
        <v>1135</v>
      </c>
      <c r="C1455" s="640"/>
      <c r="D1455" s="36" t="s">
        <v>1164</v>
      </c>
      <c r="E1455" s="3">
        <v>0</v>
      </c>
      <c r="G1455" s="8"/>
      <c r="H1455" s="11"/>
      <c r="I1455" s="12"/>
      <c r="J1455" s="627"/>
      <c r="K1455" s="13"/>
    </row>
    <row r="1456" spans="1:11" ht="15" customHeight="1" x14ac:dyDescent="0.3">
      <c r="A1456" s="643"/>
      <c r="B1456" s="77" t="s">
        <v>1149</v>
      </c>
      <c r="C1456" s="641"/>
      <c r="D1456" s="36" t="s">
        <v>1165</v>
      </c>
      <c r="E1456" s="3">
        <v>0</v>
      </c>
      <c r="G1456" s="8"/>
      <c r="H1456" s="11"/>
      <c r="I1456" s="12"/>
      <c r="J1456" s="627"/>
      <c r="K1456" s="13"/>
    </row>
    <row r="1457" spans="1:11" ht="15" customHeight="1" x14ac:dyDescent="0.3">
      <c r="A1457" s="644" t="s">
        <v>1166</v>
      </c>
      <c r="B1457" s="643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627"/>
      <c r="K1457" s="13"/>
    </row>
    <row r="1458" spans="1:11" ht="15" customHeight="1" x14ac:dyDescent="0.3">
      <c r="A1458" s="644"/>
      <c r="B1458" s="643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627"/>
      <c r="K1458" s="13"/>
    </row>
    <row r="1459" spans="1:11" ht="15" customHeight="1" x14ac:dyDescent="0.3">
      <c r="A1459" s="644"/>
      <c r="B1459" s="643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627"/>
      <c r="K1459" s="13"/>
    </row>
    <row r="1460" spans="1:11" s="1" customFormat="1" ht="15" customHeight="1" x14ac:dyDescent="0.3">
      <c r="A1460" s="643" t="s">
        <v>4748</v>
      </c>
      <c r="B1460" s="643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626">
        <v>199</v>
      </c>
      <c r="K1460" s="13"/>
    </row>
    <row r="1461" spans="1:11" s="1" customFormat="1" ht="15" customHeight="1" x14ac:dyDescent="0.3">
      <c r="A1461" s="643"/>
      <c r="B1461" s="643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626">
        <v>223</v>
      </c>
      <c r="K1461" s="13"/>
    </row>
    <row r="1462" spans="1:11" s="1" customFormat="1" ht="15" customHeight="1" x14ac:dyDescent="0.3">
      <c r="A1462" s="643"/>
      <c r="B1462" s="643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626">
        <v>281</v>
      </c>
      <c r="K1462" s="13"/>
    </row>
    <row r="1463" spans="1:11" s="1" customFormat="1" ht="15" customHeight="1" x14ac:dyDescent="0.3">
      <c r="A1463" s="643"/>
      <c r="B1463" s="643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626">
        <v>331</v>
      </c>
      <c r="K1463" s="13"/>
    </row>
    <row r="1464" spans="1:11" s="1" customFormat="1" ht="15" customHeight="1" x14ac:dyDescent="0.3">
      <c r="A1464" s="643"/>
      <c r="B1464" s="643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626">
        <v>364</v>
      </c>
      <c r="K1464" s="13"/>
    </row>
    <row r="1465" spans="1:11" s="1" customFormat="1" ht="15" customHeight="1" x14ac:dyDescent="0.3">
      <c r="A1465" s="643"/>
      <c r="B1465" s="643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626">
        <v>414</v>
      </c>
      <c r="K1465" s="13"/>
    </row>
    <row r="1466" spans="1:11" s="1" customFormat="1" ht="15" customHeight="1" x14ac:dyDescent="0.3">
      <c r="A1466" s="643"/>
      <c r="B1466" s="643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626">
        <v>455</v>
      </c>
      <c r="K1466" s="13"/>
    </row>
    <row r="1467" spans="1:11" ht="15" customHeight="1" x14ac:dyDescent="0.3">
      <c r="A1467" s="646" t="s">
        <v>1170</v>
      </c>
      <c r="B1467" s="646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627"/>
      <c r="K1467" s="13"/>
    </row>
    <row r="1468" spans="1:11" ht="15" customHeight="1" x14ac:dyDescent="0.3">
      <c r="A1468" s="646"/>
      <c r="B1468" s="646"/>
      <c r="C1468" s="69">
        <v>310</v>
      </c>
      <c r="D1468" s="9" t="s">
        <v>1171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627"/>
      <c r="K1468" s="13"/>
    </row>
    <row r="1469" spans="1:11" ht="15" customHeight="1" x14ac:dyDescent="0.3">
      <c r="A1469" s="646"/>
      <c r="B1469" s="646"/>
      <c r="C1469" s="69"/>
      <c r="D1469" s="9" t="s">
        <v>1172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627"/>
      <c r="K1469" s="13"/>
    </row>
    <row r="1470" spans="1:11" ht="15" customHeight="1" x14ac:dyDescent="0.3">
      <c r="A1470" s="646"/>
      <c r="B1470" s="646"/>
      <c r="C1470" s="69"/>
      <c r="D1470" s="9" t="s">
        <v>1173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627"/>
      <c r="K1470" s="13"/>
    </row>
    <row r="1471" spans="1:11" ht="15" customHeight="1" x14ac:dyDescent="0.3">
      <c r="A1471" s="646"/>
      <c r="B1471" s="69" t="s">
        <v>235</v>
      </c>
      <c r="C1471" s="69">
        <v>430</v>
      </c>
      <c r="D1471" s="9" t="s">
        <v>1174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627"/>
      <c r="K1471" s="13"/>
    </row>
    <row r="1472" spans="1:11" ht="15" customHeight="1" x14ac:dyDescent="0.3">
      <c r="A1472" s="643" t="s">
        <v>1175</v>
      </c>
      <c r="B1472" s="643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 x14ac:dyDescent="0.3">
      <c r="A1473" s="643"/>
      <c r="B1473" s="643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 x14ac:dyDescent="0.3">
      <c r="A1474" s="643"/>
      <c r="B1474" s="643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 x14ac:dyDescent="0.3">
      <c r="A1475" s="643"/>
      <c r="B1475" s="643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627"/>
      <c r="K1475" s="13"/>
    </row>
    <row r="1476" spans="1:11" ht="15" customHeight="1" x14ac:dyDescent="0.3">
      <c r="A1476" s="643"/>
      <c r="B1476" s="643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627"/>
      <c r="K1476" s="13"/>
    </row>
    <row r="1477" spans="1:11" ht="15" customHeight="1" x14ac:dyDescent="0.3">
      <c r="A1477" s="643"/>
      <c r="B1477" s="643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627"/>
      <c r="K1477" s="13"/>
    </row>
    <row r="1478" spans="1:11" ht="15" customHeight="1" x14ac:dyDescent="0.3">
      <c r="A1478" s="643"/>
      <c r="B1478" s="643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627"/>
      <c r="K1478" s="13"/>
    </row>
    <row r="1479" spans="1:11" ht="15" customHeight="1" x14ac:dyDescent="0.3">
      <c r="A1479" s="643"/>
      <c r="B1479" s="643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 x14ac:dyDescent="0.3">
      <c r="A1480" s="643"/>
      <c r="B1480" s="643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 x14ac:dyDescent="0.3">
      <c r="A1481" s="643"/>
      <c r="B1481" s="643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 x14ac:dyDescent="0.3">
      <c r="A1482" s="643"/>
      <c r="B1482" s="643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627"/>
      <c r="K1482" s="13"/>
    </row>
    <row r="1483" spans="1:11" ht="15" customHeight="1" x14ac:dyDescent="0.3">
      <c r="A1483" s="643"/>
      <c r="B1483" s="643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627"/>
      <c r="K1483" s="13"/>
    </row>
    <row r="1484" spans="1:11" ht="15" customHeight="1" x14ac:dyDescent="0.3">
      <c r="A1484" s="643"/>
      <c r="B1484" s="643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627"/>
      <c r="K1484" s="13"/>
    </row>
    <row r="1485" spans="1:11" ht="15" customHeight="1" x14ac:dyDescent="0.3">
      <c r="A1485" s="643"/>
      <c r="B1485" s="643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627"/>
      <c r="K1485" s="13"/>
    </row>
    <row r="1486" spans="1:11" ht="15" customHeight="1" x14ac:dyDescent="0.3">
      <c r="A1486" s="645" t="s">
        <v>1176</v>
      </c>
      <c r="B1486" s="643" t="s">
        <v>1177</v>
      </c>
      <c r="C1486" s="7">
        <v>516</v>
      </c>
      <c r="D1486" s="9" t="s">
        <v>1178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627"/>
      <c r="K1486" s="13"/>
    </row>
    <row r="1487" spans="1:11" ht="15" customHeight="1" x14ac:dyDescent="0.3">
      <c r="A1487" s="640"/>
      <c r="B1487" s="643"/>
      <c r="C1487" s="7">
        <v>606</v>
      </c>
      <c r="D1487" s="9" t="s">
        <v>1179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627"/>
      <c r="K1487" s="13"/>
    </row>
    <row r="1488" spans="1:11" ht="15" customHeight="1" x14ac:dyDescent="0.3">
      <c r="A1488" s="640"/>
      <c r="B1488" s="639" t="s">
        <v>221</v>
      </c>
      <c r="C1488" s="7">
        <v>396</v>
      </c>
      <c r="D1488" s="9" t="s">
        <v>1180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627"/>
      <c r="K1488" s="13"/>
    </row>
    <row r="1489" spans="1:11" ht="15" customHeight="1" x14ac:dyDescent="0.3">
      <c r="A1489" s="640"/>
      <c r="B1489" s="640"/>
      <c r="C1489" s="7">
        <v>330</v>
      </c>
      <c r="D1489" s="9" t="s">
        <v>1181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627"/>
      <c r="K1489" s="13"/>
    </row>
    <row r="1490" spans="1:11" ht="15" customHeight="1" x14ac:dyDescent="0.3">
      <c r="A1490" s="640"/>
      <c r="B1490" s="641"/>
      <c r="C1490" s="16">
        <v>330</v>
      </c>
      <c r="D1490" s="29" t="s">
        <v>1182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 x14ac:dyDescent="0.3">
      <c r="A1491" s="640"/>
      <c r="B1491" s="643" t="s">
        <v>1183</v>
      </c>
      <c r="C1491" s="7">
        <v>495</v>
      </c>
      <c r="D1491" s="9" t="s">
        <v>1184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627"/>
      <c r="K1491" s="13"/>
    </row>
    <row r="1492" spans="1:11" ht="15" customHeight="1" x14ac:dyDescent="0.3">
      <c r="A1492" s="640"/>
      <c r="B1492" s="643"/>
      <c r="C1492" s="7">
        <v>627</v>
      </c>
      <c r="D1492" s="9" t="s">
        <v>1185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627"/>
      <c r="K1492" s="13"/>
    </row>
    <row r="1493" spans="1:11" ht="15" customHeight="1" x14ac:dyDescent="0.3">
      <c r="A1493" s="640"/>
      <c r="B1493" s="19" t="s">
        <v>20</v>
      </c>
      <c r="C1493" s="20">
        <v>600</v>
      </c>
      <c r="D1493" s="21" t="s">
        <v>1186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627"/>
      <c r="K1493" s="13"/>
    </row>
    <row r="1494" spans="1:11" ht="15" customHeight="1" x14ac:dyDescent="0.3">
      <c r="A1494" s="640"/>
      <c r="B1494" s="643" t="s">
        <v>221</v>
      </c>
      <c r="C1494" s="20">
        <v>580</v>
      </c>
      <c r="D1494" s="21" t="s">
        <v>1187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627"/>
      <c r="K1494" s="13"/>
    </row>
    <row r="1495" spans="1:11" ht="15" customHeight="1" x14ac:dyDescent="0.3">
      <c r="A1495" s="640"/>
      <c r="B1495" s="643"/>
      <c r="C1495" s="20">
        <v>396</v>
      </c>
      <c r="D1495" s="21" t="s">
        <v>1188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 x14ac:dyDescent="0.3">
      <c r="A1496" s="640"/>
      <c r="B1496" s="24" t="s">
        <v>1189</v>
      </c>
      <c r="C1496" s="20">
        <v>396</v>
      </c>
      <c r="D1496" s="21" t="s">
        <v>1190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627"/>
      <c r="K1496" s="13"/>
    </row>
    <row r="1497" spans="1:11" ht="15" customHeight="1" x14ac:dyDescent="0.3">
      <c r="A1497" s="640"/>
      <c r="B1497" s="24" t="s">
        <v>1183</v>
      </c>
      <c r="C1497" s="20">
        <v>550</v>
      </c>
      <c r="D1497" s="21" t="s">
        <v>1191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627"/>
      <c r="K1497" s="13"/>
    </row>
    <row r="1498" spans="1:11" ht="15" customHeight="1" x14ac:dyDescent="0.3">
      <c r="A1498" s="640"/>
      <c r="B1498" s="24" t="s">
        <v>1192</v>
      </c>
      <c r="C1498" s="20">
        <v>606</v>
      </c>
      <c r="D1498" s="21" t="s">
        <v>1193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627"/>
      <c r="K1498" s="13"/>
    </row>
    <row r="1499" spans="1:11" ht="15" customHeight="1" x14ac:dyDescent="0.3">
      <c r="A1499" s="640"/>
      <c r="B1499" s="24" t="s">
        <v>637</v>
      </c>
      <c r="C1499" s="20">
        <v>620</v>
      </c>
      <c r="D1499" s="21" t="s">
        <v>1194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627"/>
      <c r="K1499" s="13"/>
    </row>
    <row r="1500" spans="1:11" ht="15" customHeight="1" x14ac:dyDescent="0.3">
      <c r="A1500" s="640"/>
      <c r="B1500" s="7" t="s">
        <v>1195</v>
      </c>
      <c r="C1500" s="20">
        <v>390</v>
      </c>
      <c r="D1500" s="21" t="s">
        <v>1196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627"/>
      <c r="K1500" s="13"/>
    </row>
    <row r="1501" spans="1:11" ht="15" customHeight="1" x14ac:dyDescent="0.3">
      <c r="A1501" s="640"/>
      <c r="B1501" s="7" t="s">
        <v>1197</v>
      </c>
      <c r="C1501" s="20">
        <v>325</v>
      </c>
      <c r="D1501" s="21" t="s">
        <v>1198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627"/>
      <c r="K1501" s="13"/>
    </row>
    <row r="1502" spans="1:11" ht="15" customHeight="1" x14ac:dyDescent="0.3">
      <c r="A1502" s="640"/>
      <c r="B1502" s="7" t="s">
        <v>1199</v>
      </c>
      <c r="C1502" s="20">
        <v>510</v>
      </c>
      <c r="D1502" s="21" t="s">
        <v>1200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627"/>
      <c r="K1502" s="13"/>
    </row>
    <row r="1503" spans="1:11" ht="15" customHeight="1" x14ac:dyDescent="0.3">
      <c r="A1503" s="640"/>
      <c r="B1503" s="7" t="s">
        <v>1192</v>
      </c>
      <c r="C1503" s="33">
        <v>602</v>
      </c>
      <c r="D1503" s="21" t="s">
        <v>1201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627"/>
      <c r="K1503" s="13"/>
    </row>
    <row r="1504" spans="1:11" ht="15" customHeight="1" x14ac:dyDescent="0.3">
      <c r="A1504" s="640"/>
      <c r="B1504" s="639" t="s">
        <v>1202</v>
      </c>
      <c r="C1504" s="20">
        <v>550</v>
      </c>
      <c r="D1504" s="21" t="s">
        <v>1203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627"/>
      <c r="K1504" s="13"/>
    </row>
    <row r="1505" spans="1:11" ht="15" customHeight="1" x14ac:dyDescent="0.3">
      <c r="A1505" s="640"/>
      <c r="B1505" s="641"/>
      <c r="C1505" s="20">
        <v>535</v>
      </c>
      <c r="D1505" s="21" t="s">
        <v>1204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627"/>
      <c r="K1505" s="13"/>
    </row>
    <row r="1506" spans="1:11" ht="15" customHeight="1" x14ac:dyDescent="0.3">
      <c r="A1506" s="640"/>
      <c r="B1506" s="7" t="s">
        <v>1205</v>
      </c>
      <c r="C1506" s="33">
        <v>758</v>
      </c>
      <c r="D1506" s="21" t="s">
        <v>1206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627"/>
      <c r="K1506" s="13"/>
    </row>
    <row r="1507" spans="1:11" ht="15" customHeight="1" x14ac:dyDescent="0.3">
      <c r="A1507" s="640"/>
      <c r="B1507" s="24" t="s">
        <v>1197</v>
      </c>
      <c r="C1507" s="20">
        <v>230</v>
      </c>
      <c r="D1507" s="21" t="s">
        <v>1207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627"/>
      <c r="K1507" s="13"/>
    </row>
    <row r="1508" spans="1:11" ht="15" customHeight="1" x14ac:dyDescent="0.3">
      <c r="A1508" s="640"/>
      <c r="B1508" s="24" t="s">
        <v>1208</v>
      </c>
      <c r="C1508" s="20">
        <v>403</v>
      </c>
      <c r="D1508" s="21" t="s">
        <v>1209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627"/>
      <c r="K1508" s="13"/>
    </row>
    <row r="1509" spans="1:11" ht="15" customHeight="1" x14ac:dyDescent="0.3">
      <c r="A1509" s="641"/>
      <c r="B1509" s="7" t="s">
        <v>1210</v>
      </c>
      <c r="C1509" s="20">
        <v>350</v>
      </c>
      <c r="D1509" s="21" t="s">
        <v>1211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627"/>
      <c r="K1509" s="13"/>
    </row>
    <row r="1510" spans="1:11" ht="15" customHeight="1" x14ac:dyDescent="0.3">
      <c r="A1510" s="645" t="s">
        <v>1212</v>
      </c>
      <c r="B1510" s="639" t="s">
        <v>25</v>
      </c>
      <c r="C1510" s="33">
        <v>116</v>
      </c>
      <c r="D1510" s="21" t="s">
        <v>1213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627"/>
      <c r="K1510" s="13"/>
    </row>
    <row r="1511" spans="1:11" ht="15" customHeight="1" x14ac:dyDescent="0.3">
      <c r="A1511" s="647"/>
      <c r="B1511" s="640"/>
      <c r="C1511" s="33">
        <v>198</v>
      </c>
      <c r="D1511" s="21" t="s">
        <v>1214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627"/>
      <c r="K1511" s="13"/>
    </row>
    <row r="1512" spans="1:11" ht="15" customHeight="1" x14ac:dyDescent="0.3">
      <c r="A1512" s="648"/>
      <c r="B1512" s="641"/>
      <c r="C1512" s="33"/>
      <c r="D1512" s="21" t="s">
        <v>1215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627"/>
      <c r="K1512" s="13"/>
    </row>
    <row r="1513" spans="1:11" ht="15" customHeight="1" x14ac:dyDescent="0.3">
      <c r="A1513" s="7" t="s">
        <v>1216</v>
      </c>
      <c r="B1513" s="7" t="s">
        <v>1217</v>
      </c>
      <c r="C1513" s="33">
        <v>285</v>
      </c>
      <c r="D1513" s="21" t="s">
        <v>1218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627"/>
      <c r="K1513" s="13"/>
    </row>
    <row r="1514" spans="1:11" ht="15" customHeight="1" x14ac:dyDescent="0.3">
      <c r="A1514" s="643" t="s">
        <v>1219</v>
      </c>
      <c r="B1514" s="639" t="s">
        <v>239</v>
      </c>
      <c r="C1514" s="33">
        <v>80</v>
      </c>
      <c r="D1514" s="21" t="s">
        <v>1220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 x14ac:dyDescent="0.3">
      <c r="A1515" s="643"/>
      <c r="B1515" s="640"/>
      <c r="C1515" s="33">
        <v>300</v>
      </c>
      <c r="D1515" s="21" t="s">
        <v>1221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 x14ac:dyDescent="0.3">
      <c r="A1516" s="643"/>
      <c r="B1516" s="641"/>
      <c r="C1516" s="33"/>
      <c r="D1516" s="21" t="s">
        <v>1222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627"/>
      <c r="K1516" s="13"/>
    </row>
    <row r="1517" spans="1:11" ht="15" customHeight="1" x14ac:dyDescent="0.3">
      <c r="A1517" s="643"/>
      <c r="B1517" s="7" t="s">
        <v>1223</v>
      </c>
      <c r="C1517" s="33">
        <v>130</v>
      </c>
      <c r="D1517" s="21" t="s">
        <v>1224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627"/>
      <c r="K1517" s="13"/>
    </row>
    <row r="1518" spans="1:11" ht="15" customHeight="1" x14ac:dyDescent="0.3">
      <c r="A1518" s="643"/>
      <c r="B1518" s="643" t="s">
        <v>254</v>
      </c>
      <c r="C1518" s="33">
        <v>120</v>
      </c>
      <c r="D1518" s="21" t="s">
        <v>1225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627"/>
      <c r="K1518" s="13"/>
    </row>
    <row r="1519" spans="1:11" ht="15" customHeight="1" x14ac:dyDescent="0.3">
      <c r="A1519" s="643"/>
      <c r="B1519" s="643"/>
      <c r="C1519" s="33">
        <v>300</v>
      </c>
      <c r="D1519" s="21" t="s">
        <v>1226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627"/>
      <c r="K1519" s="13"/>
    </row>
    <row r="1520" spans="1:11" ht="15" customHeight="1" x14ac:dyDescent="0.3">
      <c r="A1520" s="644" t="s">
        <v>1227</v>
      </c>
      <c r="B1520" s="643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627"/>
      <c r="K1520" s="13"/>
    </row>
    <row r="1521" spans="1:11" ht="15" customHeight="1" x14ac:dyDescent="0.3">
      <c r="A1521" s="644"/>
      <c r="B1521" s="643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627"/>
      <c r="K1521" s="13"/>
    </row>
    <row r="1522" spans="1:11" ht="15" customHeight="1" x14ac:dyDescent="0.3">
      <c r="A1522" s="644"/>
      <c r="B1522" s="643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627"/>
      <c r="K1522" s="13"/>
    </row>
    <row r="1523" spans="1:11" ht="15" customHeight="1" x14ac:dyDescent="0.3">
      <c r="A1523" s="644"/>
      <c r="B1523" s="643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627"/>
      <c r="K1523" s="13"/>
    </row>
    <row r="1524" spans="1:11" ht="15" customHeight="1" x14ac:dyDescent="0.3">
      <c r="A1524" s="643" t="s">
        <v>1228</v>
      </c>
      <c r="B1524" s="643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626">
        <v>130</v>
      </c>
      <c r="K1524" s="13"/>
    </row>
    <row r="1525" spans="1:11" ht="15" customHeight="1" x14ac:dyDescent="0.3">
      <c r="A1525" s="643"/>
      <c r="B1525" s="643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626">
        <v>160</v>
      </c>
      <c r="K1525" s="13"/>
    </row>
    <row r="1526" spans="1:11" ht="15" customHeight="1" x14ac:dyDescent="0.3">
      <c r="A1526" s="643"/>
      <c r="B1526" s="643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626">
        <v>190</v>
      </c>
      <c r="K1526" s="13"/>
    </row>
    <row r="1527" spans="1:11" ht="15" customHeight="1" x14ac:dyDescent="0.3">
      <c r="A1527" s="643"/>
      <c r="B1527" s="643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626">
        <v>220</v>
      </c>
      <c r="K1527" s="13"/>
    </row>
    <row r="1528" spans="1:11" ht="15" customHeight="1" x14ac:dyDescent="0.3">
      <c r="A1528" s="643"/>
      <c r="B1528" s="643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626">
        <v>240</v>
      </c>
      <c r="K1528" s="13"/>
    </row>
    <row r="1529" spans="1:11" ht="15" customHeight="1" x14ac:dyDescent="0.3">
      <c r="A1529" s="643"/>
      <c r="B1529" s="643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626">
        <v>290</v>
      </c>
      <c r="K1529" s="13"/>
    </row>
    <row r="1530" spans="1:11" ht="15" customHeight="1" x14ac:dyDescent="0.3">
      <c r="A1530" s="643"/>
      <c r="B1530" s="643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626">
        <v>330</v>
      </c>
      <c r="K1530" s="13"/>
    </row>
    <row r="1531" spans="1:11" ht="15" customHeight="1" x14ac:dyDescent="0.3">
      <c r="A1531" s="643"/>
      <c r="B1531" s="643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626">
        <v>130</v>
      </c>
      <c r="K1531" s="13"/>
    </row>
    <row r="1532" spans="1:11" ht="15" customHeight="1" x14ac:dyDescent="0.3">
      <c r="A1532" s="643"/>
      <c r="B1532" s="643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626">
        <v>160</v>
      </c>
      <c r="K1532" s="13"/>
    </row>
    <row r="1533" spans="1:11" ht="15" customHeight="1" x14ac:dyDescent="0.3">
      <c r="A1533" s="643"/>
      <c r="B1533" s="643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626">
        <v>190</v>
      </c>
      <c r="K1533" s="13"/>
    </row>
    <row r="1534" spans="1:11" ht="15" customHeight="1" x14ac:dyDescent="0.3">
      <c r="A1534" s="643"/>
      <c r="B1534" s="643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626">
        <v>220</v>
      </c>
      <c r="K1534" s="13"/>
    </row>
    <row r="1535" spans="1:11" ht="15" customHeight="1" x14ac:dyDescent="0.3">
      <c r="A1535" s="643"/>
      <c r="B1535" s="643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626">
        <v>240</v>
      </c>
      <c r="K1535" s="13"/>
    </row>
    <row r="1536" spans="1:11" ht="15" customHeight="1" x14ac:dyDescent="0.3">
      <c r="A1536" s="643"/>
      <c r="B1536" s="643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626">
        <v>290</v>
      </c>
      <c r="K1536" s="13"/>
    </row>
    <row r="1537" spans="1:11" ht="15" customHeight="1" x14ac:dyDescent="0.3">
      <c r="A1537" s="643"/>
      <c r="B1537" s="643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626">
        <v>330</v>
      </c>
      <c r="K1537" s="13"/>
    </row>
    <row r="1538" spans="1:11" ht="15" customHeight="1" x14ac:dyDescent="0.3">
      <c r="A1538" s="645" t="s">
        <v>1229</v>
      </c>
      <c r="B1538" s="639" t="s">
        <v>1230</v>
      </c>
      <c r="C1538" s="7"/>
      <c r="D1538" s="9" t="s">
        <v>1231</v>
      </c>
      <c r="E1538" s="3">
        <v>0</v>
      </c>
      <c r="G1538" s="8"/>
      <c r="H1538" s="11"/>
      <c r="I1538" s="12"/>
      <c r="J1538" s="627"/>
      <c r="K1538" s="13"/>
    </row>
    <row r="1539" spans="1:11" ht="15" customHeight="1" x14ac:dyDescent="0.3">
      <c r="A1539" s="647"/>
      <c r="B1539" s="640"/>
      <c r="C1539" s="7"/>
      <c r="D1539" s="9" t="s">
        <v>1232</v>
      </c>
      <c r="E1539" s="3">
        <v>0</v>
      </c>
      <c r="G1539" s="8"/>
      <c r="H1539" s="11"/>
      <c r="I1539" s="12"/>
      <c r="J1539" s="627"/>
      <c r="K1539" s="13"/>
    </row>
    <row r="1540" spans="1:11" ht="15" customHeight="1" x14ac:dyDescent="0.3">
      <c r="A1540" s="647"/>
      <c r="B1540" s="640"/>
      <c r="C1540" s="7"/>
      <c r="D1540" s="9" t="s">
        <v>1233</v>
      </c>
      <c r="E1540" s="3">
        <v>0</v>
      </c>
      <c r="G1540" s="8"/>
      <c r="H1540" s="11"/>
      <c r="I1540" s="12"/>
      <c r="J1540" s="627"/>
      <c r="K1540" s="13"/>
    </row>
    <row r="1541" spans="1:11" ht="15" customHeight="1" x14ac:dyDescent="0.3">
      <c r="A1541" s="647"/>
      <c r="B1541" s="640"/>
      <c r="C1541" s="33"/>
      <c r="D1541" s="21" t="s">
        <v>1234</v>
      </c>
      <c r="E1541" s="3">
        <v>0</v>
      </c>
      <c r="G1541" s="8"/>
      <c r="H1541" s="11"/>
      <c r="I1541" s="12"/>
      <c r="J1541" s="627"/>
      <c r="K1541" s="13"/>
    </row>
    <row r="1542" spans="1:11" ht="15" customHeight="1" x14ac:dyDescent="0.3">
      <c r="A1542" s="647"/>
      <c r="B1542" s="641"/>
      <c r="C1542" s="33"/>
      <c r="D1542" s="21" t="s">
        <v>1235</v>
      </c>
      <c r="E1542" s="3">
        <v>0</v>
      </c>
      <c r="G1542" s="8"/>
      <c r="H1542" s="11"/>
      <c r="I1542" s="12"/>
      <c r="J1542" s="627"/>
      <c r="K1542" s="13"/>
    </row>
    <row r="1543" spans="1:11" ht="15" customHeight="1" x14ac:dyDescent="0.3">
      <c r="A1543" s="647"/>
      <c r="B1543" s="639" t="s">
        <v>1236</v>
      </c>
      <c r="C1543" s="7"/>
      <c r="D1543" s="9" t="s">
        <v>1237</v>
      </c>
      <c r="E1543" s="3">
        <v>0</v>
      </c>
      <c r="G1543" s="8"/>
      <c r="H1543" s="11"/>
      <c r="I1543" s="12"/>
      <c r="J1543" s="627"/>
      <c r="K1543" s="13"/>
    </row>
    <row r="1544" spans="1:11" ht="15" customHeight="1" x14ac:dyDescent="0.3">
      <c r="A1544" s="647"/>
      <c r="B1544" s="640"/>
      <c r="C1544" s="7"/>
      <c r="D1544" s="9" t="s">
        <v>1238</v>
      </c>
      <c r="E1544" s="3">
        <v>0</v>
      </c>
      <c r="G1544" s="8"/>
      <c r="H1544" s="11"/>
      <c r="I1544" s="12"/>
      <c r="J1544" s="627"/>
      <c r="K1544" s="13"/>
    </row>
    <row r="1545" spans="1:11" ht="15" customHeight="1" x14ac:dyDescent="0.3">
      <c r="A1545" s="647"/>
      <c r="B1545" s="640"/>
      <c r="C1545" s="7"/>
      <c r="D1545" s="9" t="s">
        <v>1239</v>
      </c>
      <c r="E1545" s="3">
        <v>0</v>
      </c>
      <c r="G1545" s="8"/>
      <c r="H1545" s="11"/>
      <c r="I1545" s="12"/>
      <c r="J1545" s="627"/>
      <c r="K1545" s="13"/>
    </row>
    <row r="1546" spans="1:11" ht="15" customHeight="1" x14ac:dyDescent="0.3">
      <c r="A1546" s="647"/>
      <c r="B1546" s="641"/>
      <c r="C1546" s="33"/>
      <c r="D1546" s="21" t="s">
        <v>1240</v>
      </c>
      <c r="E1546" s="3">
        <v>0</v>
      </c>
      <c r="G1546" s="8"/>
      <c r="H1546" s="11"/>
      <c r="I1546" s="12"/>
      <c r="J1546" s="627"/>
      <c r="K1546" s="13"/>
    </row>
    <row r="1547" spans="1:11" ht="15" customHeight="1" x14ac:dyDescent="0.3">
      <c r="A1547" s="647"/>
      <c r="B1547" s="639" t="s">
        <v>1241</v>
      </c>
      <c r="C1547" s="7"/>
      <c r="D1547" s="9" t="s">
        <v>1242</v>
      </c>
      <c r="E1547" s="3">
        <v>0</v>
      </c>
      <c r="G1547" s="8"/>
      <c r="H1547" s="11"/>
      <c r="I1547" s="12"/>
      <c r="J1547" s="627"/>
      <c r="K1547" s="13"/>
    </row>
    <row r="1548" spans="1:11" ht="15" customHeight="1" x14ac:dyDescent="0.3">
      <c r="A1548" s="647"/>
      <c r="B1548" s="640"/>
      <c r="C1548" s="7"/>
      <c r="D1548" s="9" t="s">
        <v>1243</v>
      </c>
      <c r="E1548" s="3">
        <v>0</v>
      </c>
      <c r="G1548" s="8"/>
      <c r="H1548" s="11"/>
      <c r="I1548" s="12"/>
      <c r="J1548" s="627"/>
      <c r="K1548" s="13"/>
    </row>
    <row r="1549" spans="1:11" ht="15" customHeight="1" x14ac:dyDescent="0.3">
      <c r="A1549" s="647"/>
      <c r="B1549" s="640"/>
      <c r="C1549" s="7"/>
      <c r="D1549" s="9" t="s">
        <v>1244</v>
      </c>
      <c r="E1549" s="3">
        <v>0</v>
      </c>
      <c r="G1549" s="8"/>
      <c r="H1549" s="11"/>
      <c r="I1549" s="12"/>
      <c r="J1549" s="627"/>
      <c r="K1549" s="13"/>
    </row>
    <row r="1550" spans="1:11" ht="15" customHeight="1" x14ac:dyDescent="0.3">
      <c r="A1550" s="647"/>
      <c r="B1550" s="640"/>
      <c r="C1550" s="7"/>
      <c r="D1550" s="9" t="s">
        <v>1245</v>
      </c>
      <c r="E1550" s="3">
        <v>0</v>
      </c>
      <c r="G1550" s="8"/>
      <c r="H1550" s="11"/>
      <c r="I1550" s="12"/>
      <c r="J1550" s="627"/>
      <c r="K1550" s="13"/>
    </row>
    <row r="1551" spans="1:11" ht="15" customHeight="1" x14ac:dyDescent="0.3">
      <c r="A1551" s="647"/>
      <c r="B1551" s="641"/>
      <c r="C1551" s="33"/>
      <c r="D1551" s="21" t="s">
        <v>1246</v>
      </c>
      <c r="E1551" s="3">
        <v>0</v>
      </c>
      <c r="G1551" s="8"/>
      <c r="H1551" s="11"/>
      <c r="I1551" s="12"/>
      <c r="J1551" s="627"/>
      <c r="K1551" s="13"/>
    </row>
    <row r="1552" spans="1:11" ht="15" customHeight="1" x14ac:dyDescent="0.3">
      <c r="A1552" s="648"/>
      <c r="B1552" s="7"/>
      <c r="C1552" s="7"/>
      <c r="D1552" s="9" t="s">
        <v>1247</v>
      </c>
      <c r="E1552" s="3">
        <v>0</v>
      </c>
      <c r="G1552" s="8"/>
      <c r="H1552" s="11"/>
      <c r="I1552" s="12"/>
      <c r="J1552" s="627"/>
      <c r="K1552" s="13"/>
    </row>
    <row r="1553" spans="1:11" ht="15" customHeight="1" x14ac:dyDescent="0.3">
      <c r="A1553" s="639" t="s">
        <v>1248</v>
      </c>
      <c r="B1553" s="639" t="s">
        <v>216</v>
      </c>
      <c r="C1553" s="33">
        <v>157</v>
      </c>
      <c r="D1553" s="21" t="s">
        <v>1249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627"/>
      <c r="K1553" s="13"/>
    </row>
    <row r="1554" spans="1:11" ht="15" customHeight="1" x14ac:dyDescent="0.3">
      <c r="A1554" s="640"/>
      <c r="B1554" s="640"/>
      <c r="C1554" s="33"/>
      <c r="D1554" s="21" t="s">
        <v>1250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627"/>
      <c r="K1554" s="13"/>
    </row>
    <row r="1555" spans="1:11" ht="15" customHeight="1" x14ac:dyDescent="0.3">
      <c r="A1555" s="640"/>
      <c r="B1555" s="641"/>
      <c r="C1555" s="33">
        <v>186</v>
      </c>
      <c r="D1555" s="21" t="s">
        <v>1251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627"/>
      <c r="K1555" s="13"/>
    </row>
    <row r="1556" spans="1:11" ht="15" customHeight="1" x14ac:dyDescent="0.3">
      <c r="A1556" s="640"/>
      <c r="B1556" s="643" t="s">
        <v>387</v>
      </c>
      <c r="C1556" s="33">
        <v>120</v>
      </c>
      <c r="D1556" s="21" t="s">
        <v>1252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627"/>
      <c r="K1556" s="13"/>
    </row>
    <row r="1557" spans="1:11" ht="15" customHeight="1" x14ac:dyDescent="0.3">
      <c r="A1557" s="640"/>
      <c r="B1557" s="643"/>
      <c r="C1557" s="33">
        <v>157</v>
      </c>
      <c r="D1557" s="21" t="s">
        <v>1249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627"/>
      <c r="K1557" s="13"/>
    </row>
    <row r="1558" spans="1:11" ht="15" customHeight="1" x14ac:dyDescent="0.3">
      <c r="A1558" s="641"/>
      <c r="B1558" s="643"/>
      <c r="C1558" s="33">
        <v>186</v>
      </c>
      <c r="D1558" s="21" t="s">
        <v>1253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627"/>
      <c r="K1558" s="13"/>
    </row>
    <row r="1559" spans="1:11" s="1" customFormat="1" ht="15" customHeight="1" x14ac:dyDescent="0.3">
      <c r="A1559" s="643" t="s">
        <v>1254</v>
      </c>
      <c r="B1559" s="643" t="s">
        <v>1255</v>
      </c>
      <c r="C1559" s="31" t="s">
        <v>1256</v>
      </c>
      <c r="D1559" s="32" t="s">
        <v>1257</v>
      </c>
      <c r="E1559" s="1">
        <v>0</v>
      </c>
      <c r="G1559" s="8" t="s">
        <v>1256</v>
      </c>
      <c r="H1559" s="11"/>
      <c r="I1559" s="12"/>
      <c r="J1559" s="627"/>
      <c r="K1559" s="13"/>
    </row>
    <row r="1560" spans="1:11" s="1" customFormat="1" ht="15" customHeight="1" x14ac:dyDescent="0.3">
      <c r="A1560" s="643"/>
      <c r="B1560" s="643"/>
      <c r="C1560" s="31"/>
      <c r="D1560" s="32" t="s">
        <v>1258</v>
      </c>
      <c r="E1560" s="1">
        <v>0</v>
      </c>
      <c r="G1560" s="8"/>
      <c r="H1560" s="11"/>
      <c r="I1560" s="12"/>
      <c r="J1560" s="627"/>
      <c r="K1560" s="13"/>
    </row>
    <row r="1561" spans="1:11" s="1" customFormat="1" ht="15" customHeight="1" x14ac:dyDescent="0.3">
      <c r="A1561" s="643"/>
      <c r="B1561" s="643"/>
      <c r="C1561" s="31"/>
      <c r="D1561" s="32" t="s">
        <v>1259</v>
      </c>
      <c r="E1561" s="1">
        <v>0</v>
      </c>
      <c r="G1561" s="8"/>
      <c r="H1561" s="11"/>
      <c r="I1561" s="12"/>
      <c r="J1561" s="627"/>
      <c r="K1561" s="13"/>
    </row>
    <row r="1562" spans="1:11" ht="15" customHeight="1" x14ac:dyDescent="0.3">
      <c r="A1562" s="644" t="s">
        <v>1260</v>
      </c>
      <c r="B1562" s="643" t="s">
        <v>383</v>
      </c>
      <c r="C1562" s="33">
        <v>390</v>
      </c>
      <c r="D1562" s="21" t="s">
        <v>1261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627"/>
      <c r="K1562" s="13"/>
    </row>
    <row r="1563" spans="1:11" ht="15" customHeight="1" x14ac:dyDescent="0.3">
      <c r="A1563" s="644"/>
      <c r="B1563" s="643"/>
      <c r="C1563" s="33"/>
      <c r="D1563" s="21" t="s">
        <v>1262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 x14ac:dyDescent="0.3">
      <c r="A1564" s="644"/>
      <c r="B1564" s="643"/>
      <c r="C1564" s="33">
        <v>510</v>
      </c>
      <c r="D1564" s="21" t="s">
        <v>1263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 x14ac:dyDescent="0.3">
      <c r="A1565" s="644"/>
      <c r="B1565" s="643" t="s">
        <v>904</v>
      </c>
      <c r="C1565" s="33">
        <v>390</v>
      </c>
      <c r="D1565" s="21" t="s">
        <v>1264</v>
      </c>
      <c r="E1565" s="3">
        <v>0</v>
      </c>
      <c r="G1565" s="8">
        <v>390</v>
      </c>
      <c r="H1565" s="11"/>
      <c r="I1565" s="12"/>
      <c r="J1565" s="627"/>
      <c r="K1565" s="13"/>
    </row>
    <row r="1566" spans="1:11" ht="15" customHeight="1" x14ac:dyDescent="0.3">
      <c r="A1566" s="644"/>
      <c r="B1566" s="643"/>
      <c r="C1566" s="33"/>
      <c r="D1566" s="21" t="s">
        <v>1265</v>
      </c>
      <c r="E1566" s="3">
        <v>0</v>
      </c>
      <c r="G1566" s="8">
        <v>390</v>
      </c>
      <c r="H1566" s="11"/>
      <c r="I1566" s="12"/>
      <c r="J1566" s="627"/>
      <c r="K1566" s="13"/>
    </row>
    <row r="1567" spans="1:11" ht="15" customHeight="1" x14ac:dyDescent="0.3">
      <c r="A1567" s="644" t="s">
        <v>1266</v>
      </c>
      <c r="B1567" s="643" t="s">
        <v>30</v>
      </c>
      <c r="C1567" s="33">
        <v>209</v>
      </c>
      <c r="D1567" s="21" t="s">
        <v>1267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 x14ac:dyDescent="0.3">
      <c r="A1568" s="644"/>
      <c r="B1568" s="643"/>
      <c r="C1568" s="33">
        <v>256</v>
      </c>
      <c r="D1568" s="21" t="s">
        <v>1268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 x14ac:dyDescent="0.3">
      <c r="A1569" s="644"/>
      <c r="B1569" s="643"/>
      <c r="C1569" s="33">
        <v>349</v>
      </c>
      <c r="D1569" s="21" t="s">
        <v>1269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 x14ac:dyDescent="0.3">
      <c r="A1570" s="644"/>
      <c r="B1570" s="643"/>
      <c r="C1570" s="33">
        <v>407</v>
      </c>
      <c r="D1570" s="21" t="s">
        <v>1270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 x14ac:dyDescent="0.3">
      <c r="A1571" s="644" t="s">
        <v>1271</v>
      </c>
      <c r="B1571" s="643" t="s">
        <v>383</v>
      </c>
      <c r="C1571" s="7">
        <v>115</v>
      </c>
      <c r="D1571" s="9" t="s">
        <v>1272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 x14ac:dyDescent="0.3">
      <c r="A1572" s="644"/>
      <c r="B1572" s="643"/>
      <c r="C1572" s="7">
        <v>125</v>
      </c>
      <c r="D1572" s="9" t="s">
        <v>1273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627"/>
      <c r="K1572" s="13"/>
    </row>
    <row r="1573" spans="1:11" ht="15" customHeight="1" x14ac:dyDescent="0.3">
      <c r="A1573" s="644"/>
      <c r="B1573" s="643"/>
      <c r="C1573" s="7">
        <v>230</v>
      </c>
      <c r="D1573" s="9" t="s">
        <v>1274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 x14ac:dyDescent="0.3">
      <c r="A1574" s="644"/>
      <c r="B1574" s="643"/>
      <c r="C1574" s="7"/>
      <c r="D1574" s="9" t="s">
        <v>1275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 x14ac:dyDescent="0.3">
      <c r="A1575" s="644"/>
      <c r="B1575" s="643"/>
      <c r="C1575" s="7">
        <v>115</v>
      </c>
      <c r="D1575" s="9" t="s">
        <v>1276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 x14ac:dyDescent="0.3">
      <c r="A1576" s="644"/>
      <c r="B1576" s="643"/>
      <c r="C1576" s="7"/>
      <c r="D1576" s="9" t="s">
        <v>1277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 x14ac:dyDescent="0.3">
      <c r="A1577" s="644"/>
      <c r="B1577" s="643"/>
      <c r="C1577" s="7">
        <v>110</v>
      </c>
      <c r="D1577" s="9" t="s">
        <v>1278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627"/>
      <c r="K1577" s="13"/>
    </row>
    <row r="1578" spans="1:11" ht="15" customHeight="1" x14ac:dyDescent="0.3">
      <c r="A1578" s="644"/>
      <c r="B1578" s="643"/>
      <c r="C1578" s="7"/>
      <c r="D1578" s="9" t="s">
        <v>1279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627"/>
      <c r="K1578" s="13"/>
    </row>
    <row r="1579" spans="1:11" ht="15" customHeight="1" x14ac:dyDescent="0.3">
      <c r="A1579" s="644"/>
      <c r="B1579" s="643"/>
      <c r="C1579" s="33"/>
      <c r="D1579" s="21" t="s">
        <v>1280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627"/>
      <c r="K1579" s="13"/>
    </row>
    <row r="1580" spans="1:11" ht="15" customHeight="1" x14ac:dyDescent="0.3">
      <c r="A1580" s="15" t="s">
        <v>1281</v>
      </c>
      <c r="B1580" s="7" t="s">
        <v>1282</v>
      </c>
      <c r="C1580" s="33"/>
      <c r="D1580" s="21" t="s">
        <v>1283</v>
      </c>
      <c r="E1580" s="3" t="s">
        <v>4324</v>
      </c>
      <c r="G1580" s="8"/>
      <c r="H1580" s="11"/>
      <c r="I1580" s="12"/>
      <c r="J1580" s="627"/>
      <c r="K1580" s="13"/>
    </row>
    <row r="1581" spans="1:11" s="1" customFormat="1" ht="15" customHeight="1" x14ac:dyDescent="0.3">
      <c r="A1581" s="644" t="s">
        <v>1284</v>
      </c>
      <c r="B1581" s="643" t="s">
        <v>383</v>
      </c>
      <c r="C1581" s="7">
        <v>81.400000000000006</v>
      </c>
      <c r="D1581" s="9" t="s">
        <v>1285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626">
        <v>130</v>
      </c>
      <c r="K1581" s="13"/>
    </row>
    <row r="1582" spans="1:11" ht="15" customHeight="1" x14ac:dyDescent="0.3">
      <c r="A1582" s="644"/>
      <c r="B1582" s="643"/>
      <c r="C1582" s="7"/>
      <c r="D1582" s="9" t="s">
        <v>1286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626">
        <v>130</v>
      </c>
      <c r="K1582" s="13"/>
    </row>
    <row r="1583" spans="1:11" ht="15" customHeight="1" x14ac:dyDescent="0.3">
      <c r="A1583" s="644"/>
      <c r="B1583" s="643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 x14ac:dyDescent="0.3">
      <c r="A1584" s="644"/>
      <c r="B1584" s="643"/>
      <c r="C1584" s="7"/>
      <c r="D1584" s="9" t="s">
        <v>1287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 x14ac:dyDescent="0.3">
      <c r="A1585" s="644"/>
      <c r="B1585" s="643"/>
      <c r="C1585" s="7"/>
      <c r="D1585" s="9" t="s">
        <v>1288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 x14ac:dyDescent="0.3">
      <c r="A1586" s="644"/>
      <c r="B1586" s="643"/>
      <c r="C1586" s="7"/>
      <c r="D1586" s="9" t="s">
        <v>1289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 x14ac:dyDescent="0.3">
      <c r="A1587" s="644"/>
      <c r="B1587" s="643"/>
      <c r="C1587" s="7"/>
      <c r="D1587" s="9" t="s">
        <v>1290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J1587" s="626">
        <v>185</v>
      </c>
      <c r="K1587" s="13"/>
    </row>
    <row r="1588" spans="1:11" ht="15" customHeight="1" x14ac:dyDescent="0.3">
      <c r="A1588" s="644"/>
      <c r="B1588" s="643"/>
      <c r="C1588" s="7"/>
      <c r="D1588" s="9" t="s">
        <v>1291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626">
        <v>185</v>
      </c>
      <c r="K1588" s="13"/>
    </row>
    <row r="1589" spans="1:11" ht="15" customHeight="1" x14ac:dyDescent="0.3">
      <c r="A1589" s="644"/>
      <c r="B1589" s="643"/>
      <c r="C1589" s="7"/>
      <c r="D1589" s="9" t="s">
        <v>1292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626">
        <v>185</v>
      </c>
      <c r="K1589" s="13"/>
    </row>
    <row r="1590" spans="1:11" ht="15" customHeight="1" x14ac:dyDescent="0.3">
      <c r="A1590" s="644"/>
      <c r="B1590" s="643"/>
      <c r="C1590" s="7">
        <v>151</v>
      </c>
      <c r="D1590" s="9" t="s">
        <v>1285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626">
        <v>235</v>
      </c>
      <c r="K1590" s="13"/>
    </row>
    <row r="1591" spans="1:11" ht="15" customHeight="1" x14ac:dyDescent="0.3">
      <c r="A1591" s="644"/>
      <c r="B1591" s="643"/>
      <c r="C1591" s="7"/>
      <c r="D1591" s="9" t="s">
        <v>1286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626">
        <v>235</v>
      </c>
      <c r="K1591" s="13"/>
    </row>
    <row r="1592" spans="1:11" ht="15" customHeight="1" x14ac:dyDescent="0.3">
      <c r="A1592" s="644"/>
      <c r="B1592" s="643"/>
      <c r="C1592" s="7">
        <v>198</v>
      </c>
      <c r="D1592" s="9" t="s">
        <v>1285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626">
        <v>305</v>
      </c>
      <c r="K1592" s="13"/>
    </row>
    <row r="1593" spans="1:11" ht="15" customHeight="1" x14ac:dyDescent="0.3">
      <c r="A1593" s="644"/>
      <c r="B1593" s="643"/>
      <c r="C1593" s="7"/>
      <c r="D1593" s="9" t="s">
        <v>1286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626">
        <v>305</v>
      </c>
      <c r="K1593" s="13"/>
    </row>
    <row r="1594" spans="1:11" ht="15" customHeight="1" x14ac:dyDescent="0.3">
      <c r="A1594" s="644"/>
      <c r="B1594" s="643"/>
      <c r="C1594" s="7">
        <v>244</v>
      </c>
      <c r="D1594" s="9" t="s">
        <v>1293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 x14ac:dyDescent="0.3">
      <c r="A1595" s="644"/>
      <c r="B1595" s="643"/>
      <c r="C1595" s="7"/>
      <c r="D1595" s="9" t="s">
        <v>1294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 x14ac:dyDescent="0.3">
      <c r="A1596" s="644"/>
      <c r="B1596" s="643"/>
      <c r="C1596" s="7"/>
      <c r="D1596" s="9" t="s">
        <v>1295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 x14ac:dyDescent="0.3">
      <c r="A1597" s="644"/>
      <c r="B1597" s="643"/>
      <c r="C1597" s="7"/>
      <c r="D1597" s="9" t="s">
        <v>1296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626">
        <v>375</v>
      </c>
      <c r="K1597" s="13"/>
    </row>
    <row r="1598" spans="1:11" ht="15" customHeight="1" x14ac:dyDescent="0.3">
      <c r="A1598" s="644"/>
      <c r="B1598" s="643"/>
      <c r="C1598" s="7"/>
      <c r="D1598" s="9" t="s">
        <v>1297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626">
        <v>375</v>
      </c>
      <c r="K1598" s="13"/>
    </row>
    <row r="1599" spans="1:11" ht="15" customHeight="1" x14ac:dyDescent="0.3">
      <c r="A1599" s="644"/>
      <c r="B1599" s="643"/>
      <c r="C1599" s="7"/>
      <c r="D1599" s="9" t="s">
        <v>1286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626">
        <v>375</v>
      </c>
      <c r="K1599" s="13"/>
    </row>
    <row r="1600" spans="1:11" ht="15" customHeight="1" x14ac:dyDescent="0.3">
      <c r="A1600" s="644"/>
      <c r="B1600" s="643"/>
      <c r="C1600" s="7">
        <v>320</v>
      </c>
      <c r="D1600" s="9" t="s">
        <v>1285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626">
        <v>490</v>
      </c>
      <c r="K1600" s="13"/>
    </row>
    <row r="1601" spans="1:11" ht="15" customHeight="1" x14ac:dyDescent="0.3">
      <c r="A1601" s="644"/>
      <c r="B1601" s="643"/>
      <c r="C1601" s="7"/>
      <c r="D1601" s="9" t="s">
        <v>1286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626">
        <v>490</v>
      </c>
      <c r="K1601" s="13"/>
    </row>
    <row r="1602" spans="1:11" ht="15" customHeight="1" x14ac:dyDescent="0.3">
      <c r="A1602" s="7" t="s">
        <v>1298</v>
      </c>
      <c r="B1602" s="7" t="s">
        <v>30</v>
      </c>
      <c r="C1602" s="33"/>
      <c r="D1602" s="37" t="s">
        <v>1299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627">
        <v>110</v>
      </c>
      <c r="K1602" s="13"/>
    </row>
    <row r="1603" spans="1:11" ht="15" customHeight="1" x14ac:dyDescent="0.3">
      <c r="A1603" s="643" t="s">
        <v>1300</v>
      </c>
      <c r="B1603" s="643" t="s">
        <v>30</v>
      </c>
      <c r="C1603" s="33">
        <v>90</v>
      </c>
      <c r="D1603" s="37" t="s">
        <v>1301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 x14ac:dyDescent="0.3">
      <c r="A1604" s="643"/>
      <c r="B1604" s="643"/>
      <c r="C1604" s="33"/>
      <c r="D1604" s="37" t="s">
        <v>1302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 x14ac:dyDescent="0.3">
      <c r="A1605" s="643"/>
      <c r="B1605" s="643"/>
      <c r="C1605" s="33">
        <v>126</v>
      </c>
      <c r="D1605" s="37" t="s">
        <v>1303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627"/>
      <c r="K1605" s="13"/>
    </row>
    <row r="1606" spans="1:11" ht="15" customHeight="1" x14ac:dyDescent="0.3">
      <c r="A1606" s="643" t="s">
        <v>1304</v>
      </c>
      <c r="B1606" s="643" t="s">
        <v>25</v>
      </c>
      <c r="C1606" s="7">
        <v>128</v>
      </c>
      <c r="D1606" s="9" t="s">
        <v>1305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627"/>
      <c r="K1606" s="13"/>
    </row>
    <row r="1607" spans="1:11" ht="15" customHeight="1" x14ac:dyDescent="0.3">
      <c r="A1607" s="643"/>
      <c r="B1607" s="643"/>
      <c r="C1607" s="7"/>
      <c r="D1607" s="9" t="s">
        <v>1306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627"/>
      <c r="K1607" s="13"/>
    </row>
    <row r="1608" spans="1:11" ht="15" customHeight="1" x14ac:dyDescent="0.3">
      <c r="A1608" s="643" t="s">
        <v>1307</v>
      </c>
      <c r="B1608" s="643" t="s">
        <v>1308</v>
      </c>
      <c r="C1608" s="7">
        <v>110</v>
      </c>
      <c r="D1608" s="9" t="s">
        <v>1309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626">
        <v>143</v>
      </c>
      <c r="K1608" s="13"/>
    </row>
    <row r="1609" spans="1:11" ht="15" customHeight="1" x14ac:dyDescent="0.3">
      <c r="A1609" s="643"/>
      <c r="B1609" s="643"/>
      <c r="C1609" s="7"/>
      <c r="D1609" s="9" t="s">
        <v>1310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626">
        <v>175</v>
      </c>
      <c r="K1609" s="13"/>
    </row>
    <row r="1610" spans="1:11" ht="15" customHeight="1" x14ac:dyDescent="0.3">
      <c r="A1610" s="643"/>
      <c r="B1610" s="643"/>
      <c r="C1610" s="7">
        <v>100</v>
      </c>
      <c r="D1610" s="9" t="s">
        <v>1311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626">
        <v>140</v>
      </c>
      <c r="K1610" s="13"/>
    </row>
    <row r="1611" spans="1:11" ht="15" customHeight="1" x14ac:dyDescent="0.3">
      <c r="A1611" s="643"/>
      <c r="B1611" s="643"/>
      <c r="C1611" s="7"/>
      <c r="D1611" s="9" t="s">
        <v>1312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626">
        <v>140</v>
      </c>
      <c r="K1611" s="13"/>
    </row>
    <row r="1612" spans="1:11" ht="15" customHeight="1" x14ac:dyDescent="0.3">
      <c r="A1612" s="643"/>
      <c r="B1612" s="643" t="s">
        <v>254</v>
      </c>
      <c r="C1612" s="7">
        <v>120</v>
      </c>
      <c r="D1612" s="9" t="s">
        <v>1313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626">
        <v>160</v>
      </c>
      <c r="K1612" s="13"/>
    </row>
    <row r="1613" spans="1:11" ht="15" customHeight="1" x14ac:dyDescent="0.3">
      <c r="A1613" s="643"/>
      <c r="B1613" s="643"/>
      <c r="C1613" s="7"/>
      <c r="D1613" s="9" t="s">
        <v>1314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626">
        <v>170</v>
      </c>
      <c r="K1613" s="13"/>
    </row>
    <row r="1614" spans="1:11" ht="15" customHeight="1" x14ac:dyDescent="0.3">
      <c r="A1614" s="643"/>
      <c r="B1614" s="643"/>
      <c r="C1614" s="7">
        <v>250</v>
      </c>
      <c r="D1614" s="9" t="s">
        <v>1315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626">
        <v>330</v>
      </c>
      <c r="K1614" s="13"/>
    </row>
    <row r="1615" spans="1:11" ht="15" customHeight="1" x14ac:dyDescent="0.3">
      <c r="A1615" s="643"/>
      <c r="B1615" s="643"/>
      <c r="C1615" s="7"/>
      <c r="D1615" s="9" t="s">
        <v>1316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626">
        <v>280</v>
      </c>
      <c r="K1615" s="13"/>
    </row>
    <row r="1616" spans="1:11" ht="15" customHeight="1" x14ac:dyDescent="0.3">
      <c r="A1616" s="649" t="s">
        <v>1317</v>
      </c>
      <c r="B1616" s="658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631">
        <v>340</v>
      </c>
      <c r="K1616" s="13"/>
    </row>
    <row r="1617" spans="1:11" ht="15" customHeight="1" x14ac:dyDescent="0.3">
      <c r="A1617" s="650"/>
      <c r="B1617" s="658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 x14ac:dyDescent="0.3">
      <c r="A1618" s="650"/>
      <c r="B1618" s="658"/>
      <c r="C1618" s="69"/>
      <c r="D1618" s="9" t="s">
        <v>1318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631">
        <v>630</v>
      </c>
      <c r="K1618" s="13"/>
    </row>
    <row r="1619" spans="1:11" ht="15" customHeight="1" x14ac:dyDescent="0.3">
      <c r="A1619" s="650"/>
      <c r="B1619" s="658"/>
      <c r="C1619" s="69"/>
      <c r="D1619" s="9" t="s">
        <v>1319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631">
        <v>630</v>
      </c>
      <c r="K1619" s="13"/>
    </row>
    <row r="1620" spans="1:11" ht="15" customHeight="1" x14ac:dyDescent="0.3">
      <c r="A1620" s="650"/>
      <c r="B1620" s="658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631">
        <v>970</v>
      </c>
      <c r="K1620" s="13"/>
    </row>
    <row r="1621" spans="1:11" ht="15" customHeight="1" x14ac:dyDescent="0.3">
      <c r="A1621" s="650"/>
      <c r="B1621" s="658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631">
        <v>2000</v>
      </c>
      <c r="K1621" s="13"/>
    </row>
    <row r="1622" spans="1:11" ht="15" customHeight="1" x14ac:dyDescent="0.3">
      <c r="A1622" s="658" t="s">
        <v>1320</v>
      </c>
      <c r="B1622" s="646" t="s">
        <v>1321</v>
      </c>
      <c r="C1622" s="69">
        <v>30</v>
      </c>
      <c r="D1622" s="9" t="s">
        <v>1322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627"/>
      <c r="K1622" s="13"/>
    </row>
    <row r="1623" spans="1:11" ht="15" customHeight="1" x14ac:dyDescent="0.3">
      <c r="A1623" s="658"/>
      <c r="B1623" s="646"/>
      <c r="C1623" s="69">
        <v>50</v>
      </c>
      <c r="D1623" s="9" t="s">
        <v>1323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627"/>
      <c r="K1623" s="13"/>
    </row>
    <row r="1624" spans="1:11" ht="15" customHeight="1" x14ac:dyDescent="0.3">
      <c r="A1624" s="643" t="s">
        <v>1324</v>
      </c>
      <c r="B1624" s="15" t="s">
        <v>1325</v>
      </c>
      <c r="C1624" s="7"/>
      <c r="D1624" s="9" t="s">
        <v>1326</v>
      </c>
      <c r="E1624" s="3">
        <v>0</v>
      </c>
      <c r="G1624" s="8"/>
      <c r="H1624" s="11"/>
      <c r="I1624" s="12"/>
      <c r="J1624" s="627"/>
      <c r="K1624" s="13"/>
    </row>
    <row r="1625" spans="1:11" ht="15" customHeight="1" x14ac:dyDescent="0.3">
      <c r="A1625" s="643"/>
      <c r="B1625" s="7" t="s">
        <v>1327</v>
      </c>
      <c r="C1625" s="7"/>
      <c r="D1625" s="9" t="s">
        <v>1326</v>
      </c>
      <c r="E1625" s="3">
        <v>0</v>
      </c>
      <c r="G1625" s="8"/>
      <c r="H1625" s="11"/>
      <c r="I1625" s="12"/>
      <c r="J1625" s="627"/>
      <c r="K1625" s="13"/>
    </row>
    <row r="1626" spans="1:11" ht="15" customHeight="1" x14ac:dyDescent="0.3">
      <c r="A1626" s="643"/>
      <c r="B1626" s="7" t="s">
        <v>1325</v>
      </c>
      <c r="C1626" s="7"/>
      <c r="D1626" s="9" t="s">
        <v>1328</v>
      </c>
      <c r="E1626" s="3">
        <v>0</v>
      </c>
      <c r="G1626" s="8"/>
      <c r="H1626" s="11"/>
      <c r="I1626" s="12"/>
      <c r="J1626" s="627"/>
      <c r="K1626" s="13"/>
    </row>
    <row r="1627" spans="1:11" ht="15" customHeight="1" x14ac:dyDescent="0.3">
      <c r="A1627" s="645" t="s">
        <v>1329</v>
      </c>
      <c r="B1627" s="639" t="s">
        <v>1330</v>
      </c>
      <c r="C1627" s="20">
        <v>173</v>
      </c>
      <c r="D1627" s="21" t="s">
        <v>1331</v>
      </c>
      <c r="E1627" s="3">
        <v>0</v>
      </c>
      <c r="G1627" s="8"/>
      <c r="H1627" s="11"/>
      <c r="I1627" s="12"/>
      <c r="J1627" s="627"/>
      <c r="K1627" s="13"/>
    </row>
    <row r="1628" spans="1:11" ht="15" customHeight="1" x14ac:dyDescent="0.3">
      <c r="A1628" s="647"/>
      <c r="B1628" s="641"/>
      <c r="C1628" s="33"/>
      <c r="D1628" s="21" t="s">
        <v>1332</v>
      </c>
      <c r="E1628" s="3">
        <v>0</v>
      </c>
      <c r="G1628" s="8"/>
      <c r="H1628" s="11"/>
      <c r="I1628" s="12"/>
      <c r="J1628" s="627"/>
      <c r="K1628" s="13"/>
    </row>
    <row r="1629" spans="1:11" ht="15" customHeight="1" x14ac:dyDescent="0.3">
      <c r="A1629" s="648"/>
      <c r="B1629" s="24" t="s">
        <v>1333</v>
      </c>
      <c r="C1629" s="33"/>
      <c r="D1629" s="21" t="s">
        <v>1334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627"/>
      <c r="K1629" s="13"/>
    </row>
    <row r="1630" spans="1:11" ht="15" customHeight="1" x14ac:dyDescent="0.3">
      <c r="A1630" s="649" t="s">
        <v>1335</v>
      </c>
      <c r="B1630" s="639" t="s">
        <v>1336</v>
      </c>
      <c r="C1630" s="22">
        <v>200</v>
      </c>
      <c r="D1630" s="80" t="s">
        <v>1337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 x14ac:dyDescent="0.3">
      <c r="A1631" s="654"/>
      <c r="B1631" s="641"/>
      <c r="C1631" s="22">
        <v>275</v>
      </c>
      <c r="D1631" s="80" t="s">
        <v>1338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627"/>
      <c r="K1631" s="13"/>
    </row>
    <row r="1632" spans="1:11" ht="15" customHeight="1" x14ac:dyDescent="0.3">
      <c r="A1632" s="644" t="s">
        <v>1339</v>
      </c>
      <c r="B1632" s="643" t="s">
        <v>383</v>
      </c>
      <c r="C1632" s="7">
        <v>90</v>
      </c>
      <c r="D1632" s="9" t="s">
        <v>1340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626">
        <v>119</v>
      </c>
      <c r="K1632" s="13"/>
    </row>
    <row r="1633" spans="1:11" ht="15" customHeight="1" x14ac:dyDescent="0.3">
      <c r="A1633" s="644"/>
      <c r="B1633" s="643"/>
      <c r="C1633" s="7">
        <v>105</v>
      </c>
      <c r="D1633" s="9" t="s">
        <v>1340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626">
        <v>142</v>
      </c>
      <c r="K1633" s="13"/>
    </row>
    <row r="1634" spans="1:11" ht="15" customHeight="1" x14ac:dyDescent="0.3">
      <c r="A1634" s="644"/>
      <c r="B1634" s="643"/>
      <c r="C1634" s="7">
        <v>128</v>
      </c>
      <c r="D1634" s="9" t="s">
        <v>1340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626">
        <v>184</v>
      </c>
      <c r="K1634" s="13"/>
    </row>
    <row r="1635" spans="1:11" ht="15" customHeight="1" x14ac:dyDescent="0.3">
      <c r="A1635" s="644"/>
      <c r="B1635" s="643"/>
      <c r="C1635" s="7">
        <v>157</v>
      </c>
      <c r="D1635" s="9" t="s">
        <v>1340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626">
        <v>229</v>
      </c>
      <c r="K1635" s="13"/>
    </row>
    <row r="1636" spans="1:11" ht="15" customHeight="1" x14ac:dyDescent="0.3">
      <c r="A1636" s="644"/>
      <c r="B1636" s="643"/>
      <c r="C1636" s="7">
        <v>186</v>
      </c>
      <c r="D1636" s="9" t="s">
        <v>1340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626">
        <v>267</v>
      </c>
      <c r="K1636" s="13"/>
    </row>
    <row r="1637" spans="1:11" ht="15" customHeight="1" x14ac:dyDescent="0.3">
      <c r="A1637" s="644"/>
      <c r="B1637" s="643"/>
      <c r="C1637" s="7">
        <v>209</v>
      </c>
      <c r="D1637" s="9" t="s">
        <v>1340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626">
        <v>289</v>
      </c>
      <c r="K1637" s="13"/>
    </row>
    <row r="1638" spans="1:11" ht="15" customHeight="1" x14ac:dyDescent="0.3">
      <c r="A1638" s="644"/>
      <c r="B1638" s="643"/>
      <c r="C1638" s="7">
        <v>233</v>
      </c>
      <c r="D1638" s="9" t="s">
        <v>1340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626">
        <v>323</v>
      </c>
      <c r="K1638" s="13"/>
    </row>
    <row r="1639" spans="1:11" ht="15" customHeight="1" x14ac:dyDescent="0.3">
      <c r="A1639" s="644"/>
      <c r="B1639" s="643" t="s">
        <v>31</v>
      </c>
      <c r="C1639" s="7">
        <v>90</v>
      </c>
      <c r="D1639" s="9" t="s">
        <v>1341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626">
        <v>119</v>
      </c>
      <c r="K1639" s="13"/>
    </row>
    <row r="1640" spans="1:11" ht="15" customHeight="1" x14ac:dyDescent="0.3">
      <c r="A1640" s="644"/>
      <c r="B1640" s="643"/>
      <c r="C1640" s="7">
        <v>105</v>
      </c>
      <c r="D1640" s="9" t="s">
        <v>1341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626">
        <v>142</v>
      </c>
      <c r="K1640" s="13"/>
    </row>
    <row r="1641" spans="1:11" ht="15" customHeight="1" x14ac:dyDescent="0.3">
      <c r="A1641" s="644"/>
      <c r="B1641" s="643"/>
      <c r="C1641" s="7">
        <v>128</v>
      </c>
      <c r="D1641" s="9" t="s">
        <v>1341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626">
        <v>184</v>
      </c>
      <c r="K1641" s="13"/>
    </row>
    <row r="1642" spans="1:11" ht="15" customHeight="1" x14ac:dyDescent="0.3">
      <c r="A1642" s="644"/>
      <c r="B1642" s="643"/>
      <c r="C1642" s="7">
        <v>157</v>
      </c>
      <c r="D1642" s="9" t="s">
        <v>1341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626">
        <v>229</v>
      </c>
      <c r="K1642" s="13"/>
    </row>
    <row r="1643" spans="1:11" ht="15" customHeight="1" x14ac:dyDescent="0.3">
      <c r="A1643" s="644"/>
      <c r="B1643" s="643"/>
      <c r="C1643" s="7">
        <v>186</v>
      </c>
      <c r="D1643" s="9" t="s">
        <v>1341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626">
        <v>267</v>
      </c>
      <c r="K1643" s="13"/>
    </row>
    <row r="1644" spans="1:11" ht="15" customHeight="1" x14ac:dyDescent="0.3">
      <c r="A1644" s="644"/>
      <c r="B1644" s="643"/>
      <c r="C1644" s="7">
        <v>209</v>
      </c>
      <c r="D1644" s="9" t="s">
        <v>1341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626">
        <v>289</v>
      </c>
      <c r="K1644" s="13"/>
    </row>
    <row r="1645" spans="1:11" ht="15" customHeight="1" x14ac:dyDescent="0.3">
      <c r="A1645" s="644"/>
      <c r="B1645" s="643"/>
      <c r="C1645" s="7">
        <v>233</v>
      </c>
      <c r="D1645" s="9" t="s">
        <v>1341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626">
        <v>323</v>
      </c>
      <c r="K1645" s="13"/>
    </row>
    <row r="1646" spans="1:11" ht="15" customHeight="1" x14ac:dyDescent="0.3">
      <c r="A1646" s="15" t="s">
        <v>1342</v>
      </c>
      <c r="B1646" s="7" t="s">
        <v>1343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627"/>
      <c r="K1646" s="13"/>
    </row>
    <row r="1647" spans="1:11" ht="15" customHeight="1" x14ac:dyDescent="0.3">
      <c r="A1647" s="644" t="s">
        <v>1344</v>
      </c>
      <c r="B1647" s="639" t="s">
        <v>383</v>
      </c>
      <c r="C1647" s="7"/>
      <c r="D1647" s="9" t="s">
        <v>1345</v>
      </c>
      <c r="E1647" s="3">
        <v>1595000</v>
      </c>
      <c r="G1647" s="10" t="s">
        <v>1346</v>
      </c>
      <c r="H1647" s="11"/>
      <c r="I1647" s="12"/>
      <c r="J1647" s="626">
        <v>150</v>
      </c>
      <c r="K1647" s="13"/>
    </row>
    <row r="1648" spans="1:11" ht="15" customHeight="1" x14ac:dyDescent="0.3">
      <c r="A1648" s="644"/>
      <c r="B1648" s="641"/>
      <c r="C1648" s="33"/>
      <c r="D1648" s="21" t="s">
        <v>1347</v>
      </c>
      <c r="E1648" s="3">
        <v>615000</v>
      </c>
      <c r="G1648" s="7" t="s">
        <v>1348</v>
      </c>
      <c r="H1648" s="11"/>
      <c r="I1648" s="12"/>
      <c r="J1648" s="626">
        <v>150</v>
      </c>
      <c r="K1648" s="13"/>
    </row>
    <row r="1649" spans="1:11" ht="15" customHeight="1" x14ac:dyDescent="0.3">
      <c r="A1649" s="643"/>
      <c r="B1649" s="639" t="s">
        <v>30</v>
      </c>
      <c r="C1649" s="7"/>
      <c r="D1649" s="9" t="s">
        <v>1349</v>
      </c>
      <c r="E1649" s="3">
        <v>370000</v>
      </c>
      <c r="G1649" s="10" t="s">
        <v>1350</v>
      </c>
      <c r="H1649" s="11"/>
      <c r="I1649" s="12"/>
      <c r="J1649" s="626">
        <v>60</v>
      </c>
      <c r="K1649" s="13"/>
    </row>
    <row r="1650" spans="1:11" ht="15" customHeight="1" x14ac:dyDescent="0.3">
      <c r="A1650" s="643"/>
      <c r="B1650" s="640"/>
      <c r="C1650" s="7"/>
      <c r="D1650" s="9" t="s">
        <v>1349</v>
      </c>
      <c r="E1650" s="3">
        <v>395000</v>
      </c>
      <c r="G1650" s="10" t="s">
        <v>1351</v>
      </c>
      <c r="H1650" s="11"/>
      <c r="I1650" s="12"/>
      <c r="J1650" s="626">
        <v>80</v>
      </c>
      <c r="K1650" s="13"/>
    </row>
    <row r="1651" spans="1:11" ht="15" customHeight="1" x14ac:dyDescent="0.3">
      <c r="A1651" s="643"/>
      <c r="B1651" s="640"/>
      <c r="C1651" s="7"/>
      <c r="D1651" s="9" t="s">
        <v>1352</v>
      </c>
      <c r="E1651" s="3">
        <v>425000</v>
      </c>
      <c r="G1651" s="10" t="s">
        <v>1353</v>
      </c>
      <c r="H1651" s="11"/>
      <c r="I1651" s="12"/>
      <c r="J1651" s="626">
        <v>95</v>
      </c>
      <c r="K1651" s="13"/>
    </row>
    <row r="1652" spans="1:11" ht="15" customHeight="1" x14ac:dyDescent="0.3">
      <c r="A1652" s="643"/>
      <c r="B1652" s="640"/>
      <c r="C1652" s="7"/>
      <c r="D1652" s="9" t="s">
        <v>1354</v>
      </c>
      <c r="E1652" s="3">
        <v>475000</v>
      </c>
      <c r="G1652" s="10" t="s">
        <v>1355</v>
      </c>
      <c r="H1652" s="11"/>
      <c r="I1652" s="12"/>
      <c r="J1652" s="626">
        <v>110</v>
      </c>
      <c r="K1652" s="13"/>
    </row>
    <row r="1653" spans="1:11" ht="15" customHeight="1" x14ac:dyDescent="0.3">
      <c r="A1653" s="643"/>
      <c r="B1653" s="640"/>
      <c r="C1653" s="7"/>
      <c r="D1653" s="9" t="s">
        <v>1354</v>
      </c>
      <c r="E1653" s="3">
        <v>570000</v>
      </c>
      <c r="G1653" s="10" t="s">
        <v>1356</v>
      </c>
      <c r="H1653" s="11"/>
      <c r="I1653" s="12"/>
      <c r="J1653" s="626">
        <v>130</v>
      </c>
      <c r="K1653" s="13"/>
    </row>
    <row r="1654" spans="1:11" ht="15" customHeight="1" x14ac:dyDescent="0.3">
      <c r="A1654" s="643"/>
      <c r="B1654" s="640"/>
      <c r="C1654" s="7"/>
      <c r="D1654" s="9" t="s">
        <v>1354</v>
      </c>
      <c r="E1654" s="3">
        <v>655000</v>
      </c>
      <c r="G1654" s="10" t="s">
        <v>1346</v>
      </c>
      <c r="H1654" s="11"/>
      <c r="I1654" s="12"/>
      <c r="J1654" s="626">
        <v>150</v>
      </c>
      <c r="K1654" s="13"/>
    </row>
    <row r="1655" spans="1:11" ht="15" customHeight="1" x14ac:dyDescent="0.3">
      <c r="A1655" s="643"/>
      <c r="B1655" s="640"/>
      <c r="C1655" s="7"/>
      <c r="D1655" s="9" t="s">
        <v>1357</v>
      </c>
      <c r="E1655" s="3">
        <v>875000</v>
      </c>
      <c r="G1655" s="10" t="s">
        <v>1358</v>
      </c>
      <c r="H1655" s="11"/>
      <c r="I1655" s="12"/>
      <c r="J1655" s="626">
        <v>200</v>
      </c>
      <c r="K1655" s="13"/>
    </row>
    <row r="1656" spans="1:11" ht="15" customHeight="1" x14ac:dyDescent="0.3">
      <c r="A1656" s="643"/>
      <c r="B1656" s="640"/>
      <c r="C1656" s="7"/>
      <c r="D1656" s="9" t="s">
        <v>1359</v>
      </c>
      <c r="E1656" s="3">
        <v>890000</v>
      </c>
      <c r="G1656" s="10" t="s">
        <v>1358</v>
      </c>
      <c r="H1656" s="11"/>
      <c r="I1656" s="12"/>
      <c r="J1656" s="626">
        <v>200</v>
      </c>
      <c r="K1656" s="13"/>
    </row>
    <row r="1657" spans="1:11" ht="15" customHeight="1" x14ac:dyDescent="0.3">
      <c r="A1657" s="643"/>
      <c r="B1657" s="640"/>
      <c r="C1657" s="7"/>
      <c r="D1657" s="9" t="s">
        <v>1357</v>
      </c>
      <c r="E1657" s="3">
        <v>1085000</v>
      </c>
      <c r="G1657" s="10" t="s">
        <v>1360</v>
      </c>
      <c r="H1657" s="11"/>
      <c r="I1657" s="12"/>
      <c r="J1657" s="626">
        <v>250</v>
      </c>
      <c r="K1657" s="13"/>
    </row>
    <row r="1658" spans="1:11" ht="15" customHeight="1" x14ac:dyDescent="0.3">
      <c r="A1658" s="643"/>
      <c r="B1658" s="640"/>
      <c r="C1658" s="7"/>
      <c r="D1658" s="9" t="s">
        <v>1359</v>
      </c>
      <c r="E1658" s="3">
        <v>1100000</v>
      </c>
      <c r="G1658" s="10" t="s">
        <v>1360</v>
      </c>
      <c r="H1658" s="11"/>
      <c r="I1658" s="12"/>
      <c r="J1658" s="626">
        <v>250</v>
      </c>
      <c r="K1658" s="13"/>
    </row>
    <row r="1659" spans="1:11" ht="15" customHeight="1" x14ac:dyDescent="0.3">
      <c r="A1659" s="643"/>
      <c r="B1659" s="640"/>
      <c r="C1659" s="7"/>
      <c r="D1659" s="9" t="s">
        <v>1361</v>
      </c>
      <c r="E1659" s="3">
        <v>1400000</v>
      </c>
      <c r="G1659" s="10" t="s">
        <v>1362</v>
      </c>
      <c r="H1659" s="11"/>
      <c r="I1659" s="12"/>
      <c r="J1659" s="626">
        <v>300</v>
      </c>
      <c r="K1659" s="13"/>
    </row>
    <row r="1660" spans="1:11" ht="15" customHeight="1" x14ac:dyDescent="0.3">
      <c r="A1660" s="643"/>
      <c r="B1660" s="640"/>
      <c r="C1660" s="7"/>
      <c r="D1660" s="9" t="s">
        <v>1359</v>
      </c>
      <c r="E1660" s="3">
        <v>1415000</v>
      </c>
      <c r="G1660" s="10" t="s">
        <v>1362</v>
      </c>
      <c r="H1660" s="11"/>
      <c r="I1660" s="12"/>
      <c r="J1660" s="626">
        <v>300</v>
      </c>
      <c r="K1660" s="13"/>
    </row>
    <row r="1661" spans="1:11" ht="15" customHeight="1" x14ac:dyDescent="0.3">
      <c r="A1661" s="643"/>
      <c r="B1661" s="640"/>
      <c r="C1661" s="16"/>
      <c r="D1661" s="29" t="s">
        <v>1363</v>
      </c>
      <c r="E1661" s="3">
        <v>600000</v>
      </c>
      <c r="G1661" s="10" t="s">
        <v>1350</v>
      </c>
      <c r="H1661" s="11"/>
      <c r="I1661" s="12"/>
      <c r="J1661" s="626">
        <v>60</v>
      </c>
      <c r="K1661" s="13"/>
    </row>
    <row r="1662" spans="1:11" ht="15" customHeight="1" x14ac:dyDescent="0.3">
      <c r="A1662" s="643"/>
      <c r="B1662" s="640"/>
      <c r="C1662" s="16"/>
      <c r="D1662" s="29" t="s">
        <v>1363</v>
      </c>
      <c r="E1662" s="3">
        <v>700000</v>
      </c>
      <c r="G1662" s="10" t="s">
        <v>1364</v>
      </c>
      <c r="H1662" s="11"/>
      <c r="I1662" s="12"/>
      <c r="J1662" s="626">
        <v>90</v>
      </c>
      <c r="K1662" s="13"/>
    </row>
    <row r="1663" spans="1:11" ht="15" customHeight="1" x14ac:dyDescent="0.3">
      <c r="A1663" s="643"/>
      <c r="B1663" s="640"/>
      <c r="C1663" s="33"/>
      <c r="D1663" s="21" t="s">
        <v>1365</v>
      </c>
      <c r="E1663" s="3">
        <v>400000</v>
      </c>
      <c r="G1663" s="10" t="s">
        <v>1355</v>
      </c>
      <c r="H1663" s="11"/>
      <c r="I1663" s="12"/>
      <c r="J1663" s="626">
        <v>110</v>
      </c>
      <c r="K1663" s="13"/>
    </row>
    <row r="1664" spans="1:11" ht="15" customHeight="1" x14ac:dyDescent="0.3">
      <c r="A1664" s="643"/>
      <c r="B1664" s="641"/>
      <c r="C1664" s="33"/>
      <c r="D1664" s="21" t="s">
        <v>1365</v>
      </c>
      <c r="E1664" s="3">
        <v>485000</v>
      </c>
      <c r="G1664" s="10" t="s">
        <v>1356</v>
      </c>
      <c r="H1664" s="11"/>
      <c r="I1664" s="12"/>
      <c r="J1664" s="626">
        <v>130</v>
      </c>
      <c r="K1664" s="13"/>
    </row>
    <row r="1665" spans="1:11" ht="15" customHeight="1" x14ac:dyDescent="0.3">
      <c r="A1665" s="643"/>
      <c r="B1665" s="639" t="s">
        <v>384</v>
      </c>
      <c r="C1665" s="16"/>
      <c r="D1665" s="29" t="s">
        <v>1349</v>
      </c>
      <c r="E1665" s="3">
        <v>275000</v>
      </c>
      <c r="G1665" s="10" t="s">
        <v>1351</v>
      </c>
      <c r="H1665" s="11"/>
      <c r="I1665" s="12"/>
      <c r="J1665" s="626">
        <v>80</v>
      </c>
      <c r="K1665" s="13"/>
    </row>
    <row r="1666" spans="1:11" ht="15" customHeight="1" x14ac:dyDescent="0.3">
      <c r="A1666" s="643"/>
      <c r="B1666" s="640"/>
      <c r="C1666" s="16"/>
      <c r="D1666" s="29" t="s">
        <v>1366</v>
      </c>
      <c r="E1666" s="3">
        <v>295000</v>
      </c>
      <c r="G1666" s="10" t="s">
        <v>1353</v>
      </c>
      <c r="H1666" s="11"/>
      <c r="I1666" s="12"/>
      <c r="J1666" s="626">
        <v>95</v>
      </c>
      <c r="K1666" s="13"/>
    </row>
    <row r="1667" spans="1:11" ht="15" customHeight="1" x14ac:dyDescent="0.3">
      <c r="A1667" s="643"/>
      <c r="B1667" s="640"/>
      <c r="C1667" s="16"/>
      <c r="D1667" s="29" t="s">
        <v>1367</v>
      </c>
      <c r="E1667" s="3">
        <v>330000</v>
      </c>
      <c r="G1667" s="10" t="s">
        <v>1368</v>
      </c>
      <c r="H1667" s="11"/>
      <c r="I1667" s="12"/>
      <c r="J1667" s="626">
        <v>110</v>
      </c>
      <c r="K1667" s="13"/>
    </row>
    <row r="1668" spans="1:11" ht="15" customHeight="1" x14ac:dyDescent="0.3">
      <c r="A1668" s="643"/>
      <c r="B1668" s="640"/>
      <c r="C1668" s="16"/>
      <c r="D1668" s="29" t="s">
        <v>1366</v>
      </c>
      <c r="E1668" s="3">
        <v>395000</v>
      </c>
      <c r="G1668" s="10" t="s">
        <v>1356</v>
      </c>
      <c r="H1668" s="11"/>
      <c r="I1668" s="12"/>
      <c r="J1668" s="626">
        <v>130</v>
      </c>
      <c r="K1668" s="13"/>
    </row>
    <row r="1669" spans="1:11" ht="15" customHeight="1" x14ac:dyDescent="0.3">
      <c r="A1669" s="643"/>
      <c r="B1669" s="640"/>
      <c r="C1669" s="16"/>
      <c r="D1669" s="29" t="s">
        <v>1366</v>
      </c>
      <c r="E1669" s="3">
        <v>455000</v>
      </c>
      <c r="G1669" s="10" t="s">
        <v>1346</v>
      </c>
      <c r="H1669" s="11"/>
      <c r="I1669" s="12"/>
      <c r="J1669" s="626">
        <v>150</v>
      </c>
      <c r="K1669" s="13"/>
    </row>
    <row r="1670" spans="1:11" ht="15" customHeight="1" x14ac:dyDescent="0.3">
      <c r="A1670" s="643"/>
      <c r="B1670" s="640"/>
      <c r="C1670" s="16"/>
      <c r="D1670" s="29" t="s">
        <v>1366</v>
      </c>
      <c r="E1670" s="3">
        <v>615000</v>
      </c>
      <c r="G1670" s="10" t="s">
        <v>1358</v>
      </c>
      <c r="H1670" s="11"/>
      <c r="I1670" s="12"/>
      <c r="J1670" s="626">
        <v>200</v>
      </c>
      <c r="K1670" s="13"/>
    </row>
    <row r="1671" spans="1:11" ht="15" customHeight="1" x14ac:dyDescent="0.3">
      <c r="A1671" s="643"/>
      <c r="B1671" s="640"/>
      <c r="C1671" s="16"/>
      <c r="D1671" s="29" t="s">
        <v>1369</v>
      </c>
      <c r="E1671" s="3">
        <v>760000</v>
      </c>
      <c r="G1671" s="10" t="s">
        <v>1370</v>
      </c>
      <c r="H1671" s="11"/>
      <c r="I1671" s="12"/>
      <c r="J1671" s="626">
        <v>250</v>
      </c>
      <c r="K1671" s="13"/>
    </row>
    <row r="1672" spans="1:11" ht="15" customHeight="1" x14ac:dyDescent="0.3">
      <c r="A1672" s="643"/>
      <c r="B1672" s="641"/>
      <c r="C1672" s="16"/>
      <c r="D1672" s="29" t="s">
        <v>1371</v>
      </c>
      <c r="E1672" s="3">
        <v>985000</v>
      </c>
      <c r="G1672" s="10" t="s">
        <v>1372</v>
      </c>
      <c r="H1672" s="11"/>
      <c r="I1672" s="12"/>
      <c r="J1672" s="626">
        <v>300</v>
      </c>
      <c r="K1672" s="13"/>
    </row>
    <row r="1673" spans="1:11" ht="15" customHeight="1" x14ac:dyDescent="0.3">
      <c r="A1673" s="643"/>
      <c r="B1673" s="639" t="s">
        <v>31</v>
      </c>
      <c r="C1673" s="16"/>
      <c r="D1673" s="29" t="s">
        <v>1373</v>
      </c>
      <c r="E1673" s="3">
        <v>4410000</v>
      </c>
      <c r="G1673" s="10" t="s">
        <v>1374</v>
      </c>
      <c r="H1673" s="11"/>
      <c r="I1673" s="12"/>
      <c r="J1673" s="626">
        <v>320</v>
      </c>
      <c r="K1673" s="13"/>
    </row>
    <row r="1674" spans="1:11" ht="15" customHeight="1" x14ac:dyDescent="0.3">
      <c r="A1674" s="643"/>
      <c r="B1674" s="641"/>
      <c r="C1674" s="33"/>
      <c r="D1674" s="21" t="s">
        <v>1375</v>
      </c>
      <c r="E1674" s="3">
        <v>2560000</v>
      </c>
      <c r="G1674" s="10" t="s">
        <v>1376</v>
      </c>
      <c r="H1674" s="11"/>
      <c r="I1674" s="12"/>
      <c r="J1674" s="626">
        <v>165</v>
      </c>
      <c r="K1674" s="13"/>
    </row>
    <row r="1675" spans="1:11" ht="15" customHeight="1" x14ac:dyDescent="0.3">
      <c r="A1675" s="643"/>
      <c r="B1675" s="643" t="s">
        <v>1377</v>
      </c>
      <c r="C1675" s="16"/>
      <c r="D1675" s="29" t="s">
        <v>1378</v>
      </c>
      <c r="E1675" s="3">
        <v>0</v>
      </c>
      <c r="G1675" s="10" t="s">
        <v>1346</v>
      </c>
      <c r="H1675" s="11"/>
      <c r="I1675" s="12"/>
      <c r="J1675" s="626">
        <v>150</v>
      </c>
      <c r="K1675" s="13"/>
    </row>
    <row r="1676" spans="1:11" ht="15" customHeight="1" x14ac:dyDescent="0.3">
      <c r="A1676" s="643"/>
      <c r="B1676" s="643"/>
      <c r="C1676" s="16"/>
      <c r="D1676" s="29" t="s">
        <v>1378</v>
      </c>
      <c r="E1676" s="3">
        <v>0</v>
      </c>
      <c r="G1676" s="10" t="s">
        <v>1358</v>
      </c>
      <c r="H1676" s="11"/>
      <c r="I1676" s="12"/>
      <c r="J1676" s="626">
        <v>200</v>
      </c>
      <c r="K1676" s="13"/>
    </row>
    <row r="1677" spans="1:11" ht="15" customHeight="1" x14ac:dyDescent="0.3">
      <c r="A1677" s="643"/>
      <c r="B1677" s="643"/>
      <c r="C1677" s="16"/>
      <c r="D1677" s="29" t="s">
        <v>1378</v>
      </c>
      <c r="E1677" s="3">
        <v>0</v>
      </c>
      <c r="G1677" s="10" t="s">
        <v>1360</v>
      </c>
      <c r="H1677" s="11"/>
      <c r="I1677" s="12"/>
      <c r="J1677" s="626">
        <v>250</v>
      </c>
      <c r="K1677" s="13"/>
    </row>
    <row r="1678" spans="1:11" ht="15" customHeight="1" x14ac:dyDescent="0.3">
      <c r="A1678" s="643"/>
      <c r="B1678" s="643"/>
      <c r="C1678" s="16"/>
      <c r="D1678" s="29" t="s">
        <v>1378</v>
      </c>
      <c r="E1678" s="3">
        <v>0</v>
      </c>
      <c r="G1678" s="10" t="s">
        <v>1372</v>
      </c>
      <c r="H1678" s="11"/>
      <c r="I1678" s="12"/>
      <c r="J1678" s="626">
        <v>300</v>
      </c>
      <c r="K1678" s="13"/>
    </row>
    <row r="1679" spans="1:11" ht="15" customHeight="1" x14ac:dyDescent="0.3">
      <c r="A1679" s="643"/>
      <c r="B1679" s="643"/>
      <c r="C1679" s="7"/>
      <c r="D1679" s="9" t="s">
        <v>1379</v>
      </c>
      <c r="E1679" s="3">
        <v>0</v>
      </c>
      <c r="G1679" s="10" t="s">
        <v>1380</v>
      </c>
      <c r="H1679" s="11"/>
      <c r="I1679" s="12"/>
      <c r="J1679" s="626">
        <v>210</v>
      </c>
      <c r="K1679" s="13"/>
    </row>
    <row r="1680" spans="1:11" ht="15" customHeight="1" x14ac:dyDescent="0.3">
      <c r="A1680" s="643"/>
      <c r="B1680" s="659" t="s">
        <v>1381</v>
      </c>
      <c r="C1680" s="42"/>
      <c r="D1680" s="43" t="s">
        <v>1382</v>
      </c>
      <c r="E1680" s="3">
        <v>0</v>
      </c>
      <c r="G1680" s="81" t="s">
        <v>1346</v>
      </c>
      <c r="H1680" s="11"/>
      <c r="I1680" s="12"/>
      <c r="J1680" s="629">
        <v>150</v>
      </c>
      <c r="K1680" s="13"/>
    </row>
    <row r="1681" spans="1:11" ht="15" customHeight="1" x14ac:dyDescent="0.3">
      <c r="A1681" s="643"/>
      <c r="B1681" s="659"/>
      <c r="C1681" s="42"/>
      <c r="D1681" s="43" t="s">
        <v>1383</v>
      </c>
      <c r="E1681" s="3">
        <v>0</v>
      </c>
      <c r="G1681" s="81" t="s">
        <v>1358</v>
      </c>
      <c r="H1681" s="11"/>
      <c r="I1681" s="12"/>
      <c r="J1681" s="629">
        <v>200</v>
      </c>
      <c r="K1681" s="13"/>
    </row>
    <row r="1682" spans="1:11" ht="15" customHeight="1" x14ac:dyDescent="0.3">
      <c r="A1682" s="643"/>
      <c r="B1682" s="659"/>
      <c r="C1682" s="42"/>
      <c r="D1682" s="43" t="s">
        <v>1383</v>
      </c>
      <c r="E1682" s="3">
        <v>0</v>
      </c>
      <c r="G1682" s="81" t="s">
        <v>1360</v>
      </c>
      <c r="H1682" s="11"/>
      <c r="I1682" s="12"/>
      <c r="J1682" s="629">
        <v>250</v>
      </c>
      <c r="K1682" s="13"/>
    </row>
    <row r="1683" spans="1:11" ht="15" customHeight="1" x14ac:dyDescent="0.3">
      <c r="A1683" s="643"/>
      <c r="B1683" s="659"/>
      <c r="C1683" s="42"/>
      <c r="D1683" s="43" t="s">
        <v>1383</v>
      </c>
      <c r="E1683" s="3">
        <v>0</v>
      </c>
      <c r="G1683" s="81" t="s">
        <v>1362</v>
      </c>
      <c r="H1683" s="11"/>
      <c r="I1683" s="12"/>
      <c r="J1683" s="629">
        <v>300</v>
      </c>
      <c r="K1683" s="13"/>
    </row>
    <row r="1684" spans="1:11" ht="15" customHeight="1" x14ac:dyDescent="0.3">
      <c r="A1684" s="7" t="s">
        <v>1384</v>
      </c>
      <c r="B1684" s="7" t="s">
        <v>64</v>
      </c>
      <c r="C1684" s="33">
        <v>80</v>
      </c>
      <c r="D1684" s="21" t="s">
        <v>1385</v>
      </c>
      <c r="E1684" s="3">
        <v>0</v>
      </c>
      <c r="G1684" s="8">
        <v>80</v>
      </c>
      <c r="H1684" s="11"/>
      <c r="I1684" s="12"/>
      <c r="J1684" s="627"/>
      <c r="K1684" s="13"/>
    </row>
    <row r="1685" spans="1:11" ht="15" customHeight="1" x14ac:dyDescent="0.3">
      <c r="A1685" s="645" t="s">
        <v>1386</v>
      </c>
      <c r="B1685" s="639" t="s">
        <v>216</v>
      </c>
      <c r="C1685" s="7">
        <v>220</v>
      </c>
      <c r="D1685" s="9" t="s">
        <v>1387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626">
        <v>230</v>
      </c>
      <c r="K1685" s="13"/>
    </row>
    <row r="1686" spans="1:11" ht="15" customHeight="1" x14ac:dyDescent="0.3">
      <c r="A1686" s="647"/>
      <c r="B1686" s="640"/>
      <c r="C1686" s="7">
        <v>240</v>
      </c>
      <c r="D1686" s="9" t="s">
        <v>1387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626">
        <v>260</v>
      </c>
      <c r="K1686" s="13"/>
    </row>
    <row r="1687" spans="1:11" ht="15" customHeight="1" x14ac:dyDescent="0.3">
      <c r="A1687" s="647"/>
      <c r="B1687" s="640"/>
      <c r="C1687" s="7">
        <v>260</v>
      </c>
      <c r="D1687" s="9" t="s">
        <v>1387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626">
        <v>290</v>
      </c>
      <c r="K1687" s="13"/>
    </row>
    <row r="1688" spans="1:11" ht="15" customHeight="1" x14ac:dyDescent="0.3">
      <c r="A1688" s="647"/>
      <c r="B1688" s="640"/>
      <c r="C1688" s="7">
        <v>280</v>
      </c>
      <c r="D1688" s="9" t="s">
        <v>1387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626">
        <v>315</v>
      </c>
      <c r="K1688" s="13"/>
    </row>
    <row r="1689" spans="1:11" ht="15" customHeight="1" x14ac:dyDescent="0.3">
      <c r="A1689" s="647"/>
      <c r="B1689" s="640"/>
      <c r="C1689" s="7">
        <v>300</v>
      </c>
      <c r="D1689" s="9" t="s">
        <v>1387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626">
        <v>345</v>
      </c>
      <c r="K1689" s="13"/>
    </row>
    <row r="1690" spans="1:11" ht="15" customHeight="1" x14ac:dyDescent="0.3">
      <c r="A1690" s="647"/>
      <c r="B1690" s="640"/>
      <c r="C1690" s="7">
        <v>350</v>
      </c>
      <c r="D1690" s="9" t="s">
        <v>1387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626">
        <v>415</v>
      </c>
      <c r="K1690" s="13"/>
    </row>
    <row r="1691" spans="1:11" ht="15" customHeight="1" x14ac:dyDescent="0.3">
      <c r="A1691" s="647"/>
      <c r="B1691" s="640"/>
      <c r="C1691" s="7">
        <v>400</v>
      </c>
      <c r="D1691" s="9" t="s">
        <v>1387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626">
        <v>485</v>
      </c>
      <c r="K1691" s="13"/>
    </row>
    <row r="1692" spans="1:11" ht="15" customHeight="1" x14ac:dyDescent="0.3">
      <c r="A1692" s="647"/>
      <c r="B1692" s="639" t="s">
        <v>387</v>
      </c>
      <c r="C1692" s="7">
        <v>220</v>
      </c>
      <c r="D1692" s="9" t="s">
        <v>1387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626">
        <v>230</v>
      </c>
      <c r="K1692" s="13"/>
    </row>
    <row r="1693" spans="1:11" ht="15" customHeight="1" x14ac:dyDescent="0.3">
      <c r="A1693" s="647"/>
      <c r="B1693" s="640"/>
      <c r="C1693" s="7">
        <v>240</v>
      </c>
      <c r="D1693" s="9" t="s">
        <v>1387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626">
        <v>260</v>
      </c>
      <c r="K1693" s="13"/>
    </row>
    <row r="1694" spans="1:11" ht="15" customHeight="1" x14ac:dyDescent="0.3">
      <c r="A1694" s="647"/>
      <c r="B1694" s="640"/>
      <c r="C1694" s="7">
        <v>260</v>
      </c>
      <c r="D1694" s="9" t="s">
        <v>1387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626">
        <v>290</v>
      </c>
      <c r="K1694" s="13"/>
    </row>
    <row r="1695" spans="1:11" ht="15" customHeight="1" x14ac:dyDescent="0.3">
      <c r="A1695" s="647"/>
      <c r="B1695" s="640"/>
      <c r="C1695" s="7">
        <v>280</v>
      </c>
      <c r="D1695" s="9" t="s">
        <v>1387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626">
        <v>315</v>
      </c>
      <c r="K1695" s="13"/>
    </row>
    <row r="1696" spans="1:11" ht="15" customHeight="1" x14ac:dyDescent="0.3">
      <c r="A1696" s="647"/>
      <c r="B1696" s="640"/>
      <c r="C1696" s="7">
        <v>300</v>
      </c>
      <c r="D1696" s="9" t="s">
        <v>1387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626">
        <v>345</v>
      </c>
      <c r="K1696" s="13"/>
    </row>
    <row r="1697" spans="1:11" ht="15" customHeight="1" x14ac:dyDescent="0.3">
      <c r="A1697" s="647"/>
      <c r="B1697" s="640"/>
      <c r="C1697" s="7">
        <v>350</v>
      </c>
      <c r="D1697" s="9" t="s">
        <v>1387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626">
        <v>415</v>
      </c>
      <c r="K1697" s="13"/>
    </row>
    <row r="1698" spans="1:11" ht="15" customHeight="1" x14ac:dyDescent="0.3">
      <c r="A1698" s="647"/>
      <c r="B1698" s="641"/>
      <c r="C1698" s="33">
        <v>200</v>
      </c>
      <c r="D1698" s="21" t="s">
        <v>1387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626">
        <v>200</v>
      </c>
      <c r="K1698" s="13"/>
    </row>
    <row r="1699" spans="1:11" ht="15" customHeight="1" x14ac:dyDescent="0.3">
      <c r="A1699" s="647"/>
      <c r="B1699" s="643" t="s">
        <v>637</v>
      </c>
      <c r="C1699" s="7">
        <v>180</v>
      </c>
      <c r="D1699" s="9" t="s">
        <v>1388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626">
        <v>205</v>
      </c>
      <c r="K1699" s="13"/>
    </row>
    <row r="1700" spans="1:11" ht="15" customHeight="1" x14ac:dyDescent="0.3">
      <c r="A1700" s="647"/>
      <c r="B1700" s="643"/>
      <c r="C1700" s="7">
        <v>200</v>
      </c>
      <c r="D1700" s="9" t="s">
        <v>1388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626">
        <v>235</v>
      </c>
      <c r="K1700" s="13"/>
    </row>
    <row r="1701" spans="1:11" ht="15" customHeight="1" x14ac:dyDescent="0.3">
      <c r="A1701" s="647"/>
      <c r="B1701" s="643"/>
      <c r="C1701" s="7">
        <v>220</v>
      </c>
      <c r="D1701" s="9" t="s">
        <v>1388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626">
        <v>260</v>
      </c>
      <c r="K1701" s="13"/>
    </row>
    <row r="1702" spans="1:11" ht="15" customHeight="1" x14ac:dyDescent="0.3">
      <c r="A1702" s="647"/>
      <c r="B1702" s="643"/>
      <c r="C1702" s="7">
        <v>240</v>
      </c>
      <c r="D1702" s="9" t="s">
        <v>1388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626">
        <v>300</v>
      </c>
      <c r="K1702" s="13"/>
    </row>
    <row r="1703" spans="1:11" ht="15" customHeight="1" x14ac:dyDescent="0.3">
      <c r="A1703" s="647"/>
      <c r="B1703" s="643"/>
      <c r="C1703" s="7">
        <v>260</v>
      </c>
      <c r="D1703" s="9" t="s">
        <v>1388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626">
        <v>330</v>
      </c>
      <c r="K1703" s="13"/>
    </row>
    <row r="1704" spans="1:11" ht="15" customHeight="1" x14ac:dyDescent="0.3">
      <c r="A1704" s="647"/>
      <c r="B1704" s="643"/>
      <c r="C1704" s="7">
        <v>280</v>
      </c>
      <c r="D1704" s="9" t="s">
        <v>1388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626">
        <v>360</v>
      </c>
      <c r="K1704" s="13"/>
    </row>
    <row r="1705" spans="1:11" ht="15" customHeight="1" x14ac:dyDescent="0.3">
      <c r="A1705" s="647"/>
      <c r="B1705" s="643"/>
      <c r="C1705" s="7">
        <v>300</v>
      </c>
      <c r="D1705" s="9" t="s">
        <v>1388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626">
        <v>395</v>
      </c>
      <c r="K1705" s="13"/>
    </row>
    <row r="1706" spans="1:11" ht="15" customHeight="1" x14ac:dyDescent="0.3">
      <c r="A1706" s="647"/>
      <c r="B1706" s="643"/>
      <c r="C1706" s="7">
        <v>330</v>
      </c>
      <c r="D1706" s="9" t="s">
        <v>1388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626">
        <v>435</v>
      </c>
      <c r="K1706" s="13"/>
    </row>
    <row r="1707" spans="1:11" ht="15" customHeight="1" x14ac:dyDescent="0.3">
      <c r="A1707" s="647"/>
      <c r="B1707" s="643"/>
      <c r="C1707" s="7">
        <v>350</v>
      </c>
      <c r="D1707" s="9" t="s">
        <v>1388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626">
        <v>465</v>
      </c>
      <c r="K1707" s="13"/>
    </row>
    <row r="1708" spans="1:11" ht="15" customHeight="1" x14ac:dyDescent="0.3">
      <c r="A1708" s="647"/>
      <c r="B1708" s="643"/>
      <c r="C1708" s="7">
        <v>380</v>
      </c>
      <c r="D1708" s="9" t="s">
        <v>1388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626">
        <v>505</v>
      </c>
      <c r="K1708" s="13"/>
    </row>
    <row r="1709" spans="1:11" ht="15" customHeight="1" x14ac:dyDescent="0.3">
      <c r="A1709" s="647"/>
      <c r="B1709" s="643" t="s">
        <v>387</v>
      </c>
      <c r="C1709" s="7">
        <v>180</v>
      </c>
      <c r="D1709" s="9" t="s">
        <v>1388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626">
        <v>205</v>
      </c>
      <c r="K1709" s="13"/>
    </row>
    <row r="1710" spans="1:11" ht="15" customHeight="1" x14ac:dyDescent="0.3">
      <c r="A1710" s="647"/>
      <c r="B1710" s="643"/>
      <c r="C1710" s="7">
        <v>200</v>
      </c>
      <c r="D1710" s="9" t="s">
        <v>1388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626">
        <v>235</v>
      </c>
      <c r="K1710" s="13"/>
    </row>
    <row r="1711" spans="1:11" ht="15" customHeight="1" x14ac:dyDescent="0.3">
      <c r="A1711" s="647"/>
      <c r="B1711" s="643"/>
      <c r="C1711" s="7">
        <v>220</v>
      </c>
      <c r="D1711" s="9" t="s">
        <v>1388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626">
        <v>260</v>
      </c>
      <c r="K1711" s="13"/>
    </row>
    <row r="1712" spans="1:11" ht="15" customHeight="1" x14ac:dyDescent="0.3">
      <c r="A1712" s="647"/>
      <c r="B1712" s="643"/>
      <c r="C1712" s="7">
        <v>240</v>
      </c>
      <c r="D1712" s="9" t="s">
        <v>1388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626">
        <v>300</v>
      </c>
      <c r="K1712" s="13"/>
    </row>
    <row r="1713" spans="1:11" ht="15" customHeight="1" x14ac:dyDescent="0.3">
      <c r="A1713" s="647"/>
      <c r="B1713" s="643"/>
      <c r="C1713" s="7">
        <v>260</v>
      </c>
      <c r="D1713" s="9" t="s">
        <v>1388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626">
        <v>330</v>
      </c>
      <c r="K1713" s="13"/>
    </row>
    <row r="1714" spans="1:11" ht="15" customHeight="1" x14ac:dyDescent="0.3">
      <c r="A1714" s="647"/>
      <c r="B1714" s="643"/>
      <c r="C1714" s="7">
        <v>280</v>
      </c>
      <c r="D1714" s="9" t="s">
        <v>1388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626">
        <v>360</v>
      </c>
      <c r="K1714" s="13"/>
    </row>
    <row r="1715" spans="1:11" ht="15" customHeight="1" x14ac:dyDescent="0.3">
      <c r="A1715" s="647"/>
      <c r="B1715" s="643"/>
      <c r="C1715" s="7">
        <v>300</v>
      </c>
      <c r="D1715" s="9" t="s">
        <v>1388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626">
        <v>395</v>
      </c>
      <c r="K1715" s="13"/>
    </row>
    <row r="1716" spans="1:11" ht="15" customHeight="1" x14ac:dyDescent="0.3">
      <c r="A1716" s="647"/>
      <c r="B1716" s="643"/>
      <c r="C1716" s="7">
        <v>330</v>
      </c>
      <c r="D1716" s="9" t="s">
        <v>1388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626">
        <v>435</v>
      </c>
      <c r="K1716" s="13"/>
    </row>
    <row r="1717" spans="1:11" ht="15" customHeight="1" x14ac:dyDescent="0.3">
      <c r="A1717" s="647"/>
      <c r="B1717" s="643"/>
      <c r="C1717" s="7">
        <v>350</v>
      </c>
      <c r="D1717" s="9" t="s">
        <v>1388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626">
        <v>465</v>
      </c>
      <c r="K1717" s="13"/>
    </row>
    <row r="1718" spans="1:11" ht="15" customHeight="1" x14ac:dyDescent="0.3">
      <c r="A1718" s="647"/>
      <c r="B1718" s="639" t="s">
        <v>216</v>
      </c>
      <c r="C1718" s="33">
        <v>270</v>
      </c>
      <c r="D1718" s="21" t="s">
        <v>1389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626">
        <v>310</v>
      </c>
      <c r="K1718" s="13"/>
    </row>
    <row r="1719" spans="1:11" ht="15" customHeight="1" x14ac:dyDescent="0.3">
      <c r="A1719" s="647"/>
      <c r="B1719" s="641"/>
      <c r="C1719" s="33">
        <v>290</v>
      </c>
      <c r="D1719" s="21" t="s">
        <v>1389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626">
        <v>340</v>
      </c>
      <c r="K1719" s="13"/>
    </row>
    <row r="1720" spans="1:11" ht="15" customHeight="1" x14ac:dyDescent="0.3">
      <c r="A1720" s="647"/>
      <c r="B1720" s="643" t="s">
        <v>387</v>
      </c>
      <c r="C1720" s="33">
        <v>250</v>
      </c>
      <c r="D1720" s="21" t="s">
        <v>1389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626">
        <v>285</v>
      </c>
      <c r="K1720" s="13"/>
    </row>
    <row r="1721" spans="1:11" ht="15" customHeight="1" x14ac:dyDescent="0.3">
      <c r="A1721" s="647"/>
      <c r="B1721" s="643"/>
      <c r="C1721" s="33">
        <v>270</v>
      </c>
      <c r="D1721" s="21" t="s">
        <v>1389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626">
        <v>310</v>
      </c>
      <c r="K1721" s="13"/>
    </row>
    <row r="1722" spans="1:11" ht="15" customHeight="1" x14ac:dyDescent="0.3">
      <c r="A1722" s="647"/>
      <c r="B1722" s="639" t="s">
        <v>644</v>
      </c>
      <c r="C1722" s="20">
        <v>270</v>
      </c>
      <c r="D1722" s="73" t="s">
        <v>1390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 x14ac:dyDescent="0.3">
      <c r="A1723" s="647"/>
      <c r="B1723" s="641"/>
      <c r="C1723" s="33">
        <v>300</v>
      </c>
      <c r="D1723" s="73" t="s">
        <v>1390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627"/>
      <c r="K1723" s="13"/>
    </row>
    <row r="1724" spans="1:11" ht="15" customHeight="1" x14ac:dyDescent="0.3">
      <c r="A1724" s="645" t="s">
        <v>1391</v>
      </c>
      <c r="B1724" s="639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626">
        <v>600</v>
      </c>
      <c r="K1724" s="13"/>
    </row>
    <row r="1725" spans="1:11" ht="15" customHeight="1" x14ac:dyDescent="0.3">
      <c r="A1725" s="647"/>
      <c r="B1725" s="640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626">
        <v>660</v>
      </c>
      <c r="K1725" s="13"/>
    </row>
    <row r="1726" spans="1:11" ht="15" customHeight="1" x14ac:dyDescent="0.3">
      <c r="A1726" s="647"/>
      <c r="B1726" s="640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626">
        <v>720</v>
      </c>
      <c r="K1726" s="13"/>
    </row>
    <row r="1727" spans="1:11" ht="15" customHeight="1" x14ac:dyDescent="0.3">
      <c r="A1727" s="647"/>
      <c r="B1727" s="640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626">
        <v>870</v>
      </c>
      <c r="K1727" s="13"/>
    </row>
    <row r="1728" spans="1:11" ht="15" customHeight="1" x14ac:dyDescent="0.3">
      <c r="A1728" s="648"/>
      <c r="B1728" s="641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626">
        <v>1010</v>
      </c>
      <c r="K1728" s="13"/>
    </row>
    <row r="1729" spans="1:11" ht="15" customHeight="1" x14ac:dyDescent="0.3">
      <c r="A1729" s="644" t="s">
        <v>1392</v>
      </c>
      <c r="B1729" s="643" t="s">
        <v>216</v>
      </c>
      <c r="C1729" s="16">
        <v>120</v>
      </c>
      <c r="D1729" s="29" t="s">
        <v>1393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626">
        <v>138</v>
      </c>
      <c r="K1729" s="13"/>
    </row>
    <row r="1730" spans="1:11" ht="15" customHeight="1" x14ac:dyDescent="0.3">
      <c r="A1730" s="644"/>
      <c r="B1730" s="643"/>
      <c r="C1730" s="16">
        <v>145</v>
      </c>
      <c r="D1730" s="29" t="s">
        <v>1394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626">
        <v>173</v>
      </c>
      <c r="K1730" s="13"/>
    </row>
    <row r="1731" spans="1:11" ht="15" customHeight="1" x14ac:dyDescent="0.3">
      <c r="A1731" s="644"/>
      <c r="B1731" s="643"/>
      <c r="C1731" s="16">
        <v>200</v>
      </c>
      <c r="D1731" s="29" t="s">
        <v>1395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626">
        <v>250</v>
      </c>
      <c r="K1731" s="13"/>
    </row>
    <row r="1732" spans="1:11" ht="15" customHeight="1" x14ac:dyDescent="0.3">
      <c r="A1732" s="644"/>
      <c r="B1732" s="643"/>
      <c r="C1732" s="7">
        <v>260</v>
      </c>
      <c r="D1732" s="9" t="s">
        <v>1396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626">
        <v>335</v>
      </c>
      <c r="K1732" s="13"/>
    </row>
    <row r="1733" spans="1:11" ht="15" customHeight="1" x14ac:dyDescent="0.3">
      <c r="A1733" s="644"/>
      <c r="B1733" s="643"/>
      <c r="C1733" s="7">
        <v>360</v>
      </c>
      <c r="D1733" s="9" t="s">
        <v>1397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626">
        <v>430</v>
      </c>
      <c r="K1733" s="13"/>
    </row>
    <row r="1734" spans="1:11" ht="15" customHeight="1" x14ac:dyDescent="0.3">
      <c r="A1734" s="645" t="s">
        <v>1398</v>
      </c>
      <c r="B1734" s="639" t="s">
        <v>1399</v>
      </c>
      <c r="C1734" s="7">
        <v>80</v>
      </c>
      <c r="D1734" s="9" t="s">
        <v>1400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 x14ac:dyDescent="0.3">
      <c r="A1735" s="647"/>
      <c r="B1735" s="640"/>
      <c r="C1735" s="7">
        <v>120</v>
      </c>
      <c r="D1735" s="9" t="s">
        <v>1400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 x14ac:dyDescent="0.3">
      <c r="A1736" s="647"/>
      <c r="B1736" s="640"/>
      <c r="C1736" s="7">
        <v>150</v>
      </c>
      <c r="D1736" s="9" t="s">
        <v>1400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 x14ac:dyDescent="0.3">
      <c r="A1737" s="647"/>
      <c r="B1737" s="640"/>
      <c r="C1737" s="16">
        <v>200</v>
      </c>
      <c r="D1737" s="9" t="s">
        <v>1400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 x14ac:dyDescent="0.3">
      <c r="A1738" s="647"/>
      <c r="B1738" s="640"/>
      <c r="C1738" s="16">
        <v>250</v>
      </c>
      <c r="D1738" s="9" t="s">
        <v>1400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 x14ac:dyDescent="0.3">
      <c r="A1739" s="647"/>
      <c r="B1739" s="640"/>
      <c r="C1739" s="16">
        <v>185</v>
      </c>
      <c r="D1739" s="29" t="s">
        <v>1401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 x14ac:dyDescent="0.3">
      <c r="A1740" s="647"/>
      <c r="B1740" s="640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 x14ac:dyDescent="0.3">
      <c r="A1741" s="647"/>
      <c r="B1741" s="640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 x14ac:dyDescent="0.3">
      <c r="A1742" s="647"/>
      <c r="B1742" s="640"/>
      <c r="C1742" s="16">
        <v>80</v>
      </c>
      <c r="D1742" s="29" t="s">
        <v>1402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 x14ac:dyDescent="0.3">
      <c r="A1743" s="647"/>
      <c r="B1743" s="640"/>
      <c r="C1743" s="16">
        <v>110</v>
      </c>
      <c r="D1743" s="29" t="s">
        <v>1402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627"/>
      <c r="K1743" s="13"/>
    </row>
    <row r="1744" spans="1:11" ht="15" customHeight="1" x14ac:dyDescent="0.3">
      <c r="A1744" s="647"/>
      <c r="B1744" s="641"/>
      <c r="C1744" s="33">
        <v>210</v>
      </c>
      <c r="D1744" s="21" t="s">
        <v>1403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627"/>
      <c r="K1744" s="13"/>
    </row>
    <row r="1745" spans="1:11" ht="15" customHeight="1" x14ac:dyDescent="0.3">
      <c r="A1745" s="647"/>
      <c r="B1745" s="643" t="s">
        <v>1404</v>
      </c>
      <c r="C1745" s="16">
        <v>80</v>
      </c>
      <c r="D1745" s="29" t="s">
        <v>1402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627"/>
      <c r="K1745" s="13"/>
    </row>
    <row r="1746" spans="1:11" ht="15" customHeight="1" x14ac:dyDescent="0.3">
      <c r="A1746" s="647"/>
      <c r="B1746" s="643"/>
      <c r="C1746" s="16"/>
      <c r="D1746" s="29" t="s">
        <v>1405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627"/>
      <c r="K1746" s="13"/>
    </row>
    <row r="1747" spans="1:11" ht="15" customHeight="1" x14ac:dyDescent="0.3">
      <c r="A1747" s="647"/>
      <c r="B1747" s="639" t="s">
        <v>31</v>
      </c>
      <c r="C1747" s="16">
        <v>160</v>
      </c>
      <c r="D1747" s="29" t="s">
        <v>1406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 x14ac:dyDescent="0.3">
      <c r="A1748" s="647"/>
      <c r="B1748" s="640"/>
      <c r="C1748" s="16">
        <v>240</v>
      </c>
      <c r="D1748" s="29" t="s">
        <v>1406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627"/>
      <c r="K1748" s="13"/>
    </row>
    <row r="1749" spans="1:11" ht="15" customHeight="1" x14ac:dyDescent="0.3">
      <c r="A1749" s="647"/>
      <c r="B1749" s="641"/>
      <c r="C1749" s="33">
        <v>100</v>
      </c>
      <c r="D1749" s="21" t="s">
        <v>1406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627"/>
      <c r="K1749" s="13"/>
    </row>
    <row r="1750" spans="1:11" ht="15" customHeight="1" x14ac:dyDescent="0.3">
      <c r="A1750" s="647"/>
      <c r="B1750" s="643" t="s">
        <v>359</v>
      </c>
      <c r="C1750" s="33" t="s">
        <v>1407</v>
      </c>
      <c r="D1750" s="21" t="s">
        <v>1408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 x14ac:dyDescent="0.3">
      <c r="A1751" s="647"/>
      <c r="B1751" s="643"/>
      <c r="C1751" s="33">
        <v>52</v>
      </c>
      <c r="D1751" s="21" t="s">
        <v>1409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 x14ac:dyDescent="0.3">
      <c r="A1752" s="647"/>
      <c r="B1752" s="643"/>
      <c r="C1752" s="33">
        <v>52</v>
      </c>
      <c r="D1752" s="21" t="s">
        <v>1410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 x14ac:dyDescent="0.3">
      <c r="A1753" s="647"/>
      <c r="B1753" s="643"/>
      <c r="C1753" s="33">
        <v>28</v>
      </c>
      <c r="D1753" s="21" t="s">
        <v>1411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 x14ac:dyDescent="0.3">
      <c r="A1754" s="647"/>
      <c r="B1754" s="643"/>
      <c r="C1754" s="33"/>
      <c r="D1754" s="21" t="s">
        <v>1412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627"/>
      <c r="K1754" s="13"/>
    </row>
    <row r="1755" spans="1:11" ht="15" customHeight="1" x14ac:dyDescent="0.3">
      <c r="A1755" s="647"/>
      <c r="B1755" s="643"/>
      <c r="C1755" s="33">
        <v>52</v>
      </c>
      <c r="D1755" s="21" t="s">
        <v>1413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627"/>
      <c r="K1755" s="13"/>
    </row>
    <row r="1756" spans="1:11" ht="15" customHeight="1" x14ac:dyDescent="0.3">
      <c r="A1756" s="647"/>
      <c r="B1756" s="643" t="s">
        <v>1414</v>
      </c>
      <c r="C1756" s="33">
        <v>40</v>
      </c>
      <c r="D1756" s="21" t="s">
        <v>1415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627"/>
      <c r="K1756" s="13"/>
    </row>
    <row r="1757" spans="1:11" ht="15" customHeight="1" x14ac:dyDescent="0.3">
      <c r="A1757" s="647"/>
      <c r="B1757" s="643"/>
      <c r="C1757" s="33">
        <v>50</v>
      </c>
      <c r="D1757" s="21" t="s">
        <v>1416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627"/>
      <c r="K1757" s="13"/>
    </row>
    <row r="1758" spans="1:11" ht="15" customHeight="1" x14ac:dyDescent="0.3">
      <c r="A1758" s="645" t="s">
        <v>1417</v>
      </c>
      <c r="B1758" s="7" t="s">
        <v>1325</v>
      </c>
      <c r="C1758" s="16">
        <v>80</v>
      </c>
      <c r="D1758" s="29" t="s">
        <v>1418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 x14ac:dyDescent="0.3">
      <c r="A1759" s="640"/>
      <c r="B1759" s="639" t="s">
        <v>64</v>
      </c>
      <c r="C1759" s="16">
        <v>110</v>
      </c>
      <c r="D1759" s="29" t="s">
        <v>1419</v>
      </c>
      <c r="E1759" s="3">
        <v>0</v>
      </c>
      <c r="G1759" s="8">
        <v>110</v>
      </c>
      <c r="H1759" s="11"/>
      <c r="I1759" s="12"/>
      <c r="J1759" s="627"/>
      <c r="K1759" s="13"/>
    </row>
    <row r="1760" spans="1:11" ht="15" customHeight="1" x14ac:dyDescent="0.3">
      <c r="A1760" s="640"/>
      <c r="B1760" s="640"/>
      <c r="C1760" s="16">
        <v>80</v>
      </c>
      <c r="D1760" s="29" t="s">
        <v>1418</v>
      </c>
      <c r="E1760" s="3">
        <v>0</v>
      </c>
      <c r="G1760" s="8">
        <v>80</v>
      </c>
      <c r="H1760" s="11"/>
      <c r="I1760" s="12"/>
      <c r="J1760" s="627"/>
      <c r="K1760" s="13"/>
    </row>
    <row r="1761" spans="1:11" ht="15" customHeight="1" x14ac:dyDescent="0.3">
      <c r="A1761" s="640"/>
      <c r="B1761" s="640"/>
      <c r="C1761" s="16"/>
      <c r="D1761" s="29" t="s">
        <v>1420</v>
      </c>
      <c r="E1761" s="3">
        <v>0</v>
      </c>
      <c r="G1761" s="8"/>
      <c r="H1761" s="11"/>
      <c r="I1761" s="12"/>
      <c r="J1761" s="627"/>
      <c r="K1761" s="13"/>
    </row>
    <row r="1762" spans="1:11" ht="15" customHeight="1" x14ac:dyDescent="0.3">
      <c r="A1762" s="641"/>
      <c r="B1762" s="641"/>
      <c r="C1762" s="20">
        <v>77</v>
      </c>
      <c r="D1762" s="21" t="s">
        <v>1419</v>
      </c>
      <c r="E1762" s="3">
        <v>0</v>
      </c>
      <c r="G1762" s="8"/>
      <c r="H1762" s="11"/>
      <c r="I1762" s="12"/>
      <c r="J1762" s="627"/>
      <c r="K1762" s="13"/>
    </row>
    <row r="1763" spans="1:11" ht="15" customHeight="1" x14ac:dyDescent="0.3">
      <c r="A1763" s="645" t="s">
        <v>1421</v>
      </c>
      <c r="B1763" s="639" t="s">
        <v>1325</v>
      </c>
      <c r="C1763" s="16">
        <v>85</v>
      </c>
      <c r="D1763" s="29" t="s">
        <v>1422</v>
      </c>
      <c r="E1763" s="3">
        <v>0</v>
      </c>
      <c r="G1763" s="8"/>
      <c r="H1763" s="11"/>
      <c r="I1763" s="12"/>
      <c r="J1763" s="627"/>
      <c r="K1763" s="13"/>
    </row>
    <row r="1764" spans="1:11" ht="15" customHeight="1" x14ac:dyDescent="0.3">
      <c r="A1764" s="640"/>
      <c r="B1764" s="641"/>
      <c r="C1764" s="16">
        <v>110</v>
      </c>
      <c r="D1764" s="29" t="s">
        <v>1423</v>
      </c>
      <c r="E1764" s="3">
        <v>0</v>
      </c>
      <c r="G1764" s="8"/>
      <c r="H1764" s="11"/>
      <c r="I1764" s="12"/>
      <c r="J1764" s="627"/>
      <c r="K1764" s="13"/>
    </row>
    <row r="1765" spans="1:11" ht="15" customHeight="1" x14ac:dyDescent="0.3">
      <c r="A1765" s="640"/>
      <c r="B1765" s="639" t="s">
        <v>64</v>
      </c>
      <c r="C1765" s="16">
        <v>85</v>
      </c>
      <c r="D1765" s="29" t="s">
        <v>1424</v>
      </c>
      <c r="E1765" s="3">
        <v>0</v>
      </c>
      <c r="G1765" s="8"/>
      <c r="H1765" s="11"/>
      <c r="I1765" s="12"/>
      <c r="J1765" s="627"/>
      <c r="K1765" s="13"/>
    </row>
    <row r="1766" spans="1:11" ht="15" customHeight="1" x14ac:dyDescent="0.3">
      <c r="A1766" s="641"/>
      <c r="B1766" s="641"/>
      <c r="C1766" s="16">
        <v>110</v>
      </c>
      <c r="D1766" s="29" t="s">
        <v>1423</v>
      </c>
      <c r="E1766" s="3">
        <v>0</v>
      </c>
      <c r="G1766" s="8"/>
      <c r="H1766" s="11"/>
      <c r="I1766" s="12"/>
      <c r="J1766" s="627"/>
      <c r="K1766" s="13"/>
    </row>
    <row r="1767" spans="1:11" ht="15" customHeight="1" x14ac:dyDescent="0.3">
      <c r="A1767" s="645" t="s">
        <v>1425</v>
      </c>
      <c r="B1767" s="643" t="s">
        <v>216</v>
      </c>
      <c r="C1767" s="7">
        <v>120</v>
      </c>
      <c r="D1767" s="9" t="s">
        <v>1426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 x14ac:dyDescent="0.3">
      <c r="A1768" s="647"/>
      <c r="B1768" s="643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 x14ac:dyDescent="0.3">
      <c r="A1769" s="647"/>
      <c r="B1769" s="643"/>
      <c r="C1769" s="20"/>
      <c r="D1769" s="21" t="s">
        <v>1427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 x14ac:dyDescent="0.3">
      <c r="A1770" s="647"/>
      <c r="B1770" s="643"/>
      <c r="C1770" s="7">
        <v>170</v>
      </c>
      <c r="D1770" s="9" t="s">
        <v>1428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 x14ac:dyDescent="0.3">
      <c r="A1771" s="647"/>
      <c r="B1771" s="643"/>
      <c r="C1771" s="14"/>
      <c r="D1771" s="9" t="s">
        <v>1429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 x14ac:dyDescent="0.3">
      <c r="A1772" s="647"/>
      <c r="B1772" s="643"/>
      <c r="C1772" s="14">
        <v>240</v>
      </c>
      <c r="D1772" s="9" t="s">
        <v>1430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627"/>
      <c r="K1772" s="13"/>
    </row>
    <row r="1773" spans="1:11" ht="15" customHeight="1" x14ac:dyDescent="0.3">
      <c r="A1773" s="647"/>
      <c r="B1773" s="643"/>
      <c r="C1773" s="20"/>
      <c r="D1773" s="21" t="s">
        <v>1431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627"/>
      <c r="K1773" s="13"/>
    </row>
    <row r="1774" spans="1:11" ht="15" customHeight="1" x14ac:dyDescent="0.3">
      <c r="A1774" s="647"/>
      <c r="B1774" s="643" t="s">
        <v>1432</v>
      </c>
      <c r="C1774" s="7">
        <v>240</v>
      </c>
      <c r="D1774" s="9" t="s">
        <v>1433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 x14ac:dyDescent="0.3">
      <c r="A1775" s="647"/>
      <c r="B1775" s="643"/>
      <c r="C1775" s="7"/>
      <c r="D1775" s="9" t="s">
        <v>1434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627"/>
      <c r="K1775" s="13"/>
    </row>
    <row r="1776" spans="1:11" ht="15" customHeight="1" x14ac:dyDescent="0.3">
      <c r="A1776" s="648"/>
      <c r="B1776" s="643"/>
      <c r="C1776" s="33"/>
      <c r="D1776" s="21" t="s">
        <v>1435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627"/>
      <c r="K1776" s="13"/>
    </row>
    <row r="1777" spans="1:11" ht="15" customHeight="1" x14ac:dyDescent="0.3">
      <c r="A1777" s="644" t="s">
        <v>1436</v>
      </c>
      <c r="B1777" s="639" t="s">
        <v>637</v>
      </c>
      <c r="C1777" s="22">
        <v>81.400000000000006</v>
      </c>
      <c r="D1777" s="32" t="s">
        <v>1437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 x14ac:dyDescent="0.3">
      <c r="A1778" s="644"/>
      <c r="B1778" s="640"/>
      <c r="C1778" s="31"/>
      <c r="D1778" s="32" t="s">
        <v>1438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 x14ac:dyDescent="0.3">
      <c r="A1779" s="644"/>
      <c r="B1779" s="640"/>
      <c r="C1779" s="31"/>
      <c r="D1779" s="32" t="s">
        <v>1439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 x14ac:dyDescent="0.3">
      <c r="A1780" s="644"/>
      <c r="B1780" s="641"/>
      <c r="C1780" s="31"/>
      <c r="D1780" s="32" t="s">
        <v>1440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 x14ac:dyDescent="0.3">
      <c r="A1781" s="23" t="s">
        <v>1441</v>
      </c>
      <c r="B1781" s="7" t="s">
        <v>216</v>
      </c>
      <c r="C1781" s="31">
        <v>300</v>
      </c>
      <c r="D1781" s="32" t="s">
        <v>1442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 x14ac:dyDescent="0.3">
      <c r="A1782" s="643" t="s">
        <v>1443</v>
      </c>
      <c r="B1782" s="643" t="s">
        <v>216</v>
      </c>
      <c r="C1782" s="7">
        <v>220</v>
      </c>
      <c r="D1782" s="9" t="s">
        <v>1444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 x14ac:dyDescent="0.3">
      <c r="A1783" s="643"/>
      <c r="B1783" s="643"/>
      <c r="C1783" s="7"/>
      <c r="D1783" s="9" t="s">
        <v>1445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 x14ac:dyDescent="0.3">
      <c r="A1784" s="643"/>
      <c r="B1784" s="643"/>
      <c r="C1784" s="7"/>
      <c r="D1784" s="9" t="s">
        <v>1446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 x14ac:dyDescent="0.3">
      <c r="A1785" s="643"/>
      <c r="B1785" s="643"/>
      <c r="C1785" s="7"/>
      <c r="D1785" s="9" t="s">
        <v>1447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 x14ac:dyDescent="0.3">
      <c r="A1786" s="643"/>
      <c r="B1786" s="643"/>
      <c r="C1786" s="7">
        <v>320</v>
      </c>
      <c r="D1786" s="9" t="s">
        <v>1448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627"/>
      <c r="K1786" s="13"/>
    </row>
    <row r="1787" spans="1:11" ht="15" customHeight="1" x14ac:dyDescent="0.3">
      <c r="A1787" s="643"/>
      <c r="B1787" s="643"/>
      <c r="C1787" s="7"/>
      <c r="D1787" s="9" t="s">
        <v>1449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627"/>
      <c r="K1787" s="13"/>
    </row>
    <row r="1788" spans="1:11" ht="15" customHeight="1" x14ac:dyDescent="0.3">
      <c r="A1788" s="644" t="s">
        <v>1450</v>
      </c>
      <c r="B1788" s="643" t="s">
        <v>1451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 x14ac:dyDescent="0.3">
      <c r="A1789" s="644"/>
      <c r="B1789" s="643"/>
      <c r="C1789" s="33"/>
      <c r="D1789" s="21" t="s">
        <v>1452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627"/>
      <c r="K1789" s="13"/>
    </row>
    <row r="1790" spans="1:11" ht="15" customHeight="1" x14ac:dyDescent="0.3">
      <c r="A1790" s="644"/>
      <c r="B1790" s="643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627"/>
      <c r="K1790" s="13"/>
    </row>
    <row r="1791" spans="1:11" ht="15" customHeight="1" x14ac:dyDescent="0.3">
      <c r="A1791" s="644"/>
      <c r="B1791" s="643"/>
      <c r="C1791" s="33"/>
      <c r="D1791" s="21" t="s">
        <v>1452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627"/>
      <c r="K1791" s="13"/>
    </row>
    <row r="1792" spans="1:11" ht="15" customHeight="1" x14ac:dyDescent="0.3">
      <c r="A1792" s="644" t="s">
        <v>1453</v>
      </c>
      <c r="B1792" s="643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626">
        <v>134</v>
      </c>
      <c r="K1792" s="13"/>
    </row>
    <row r="1793" spans="1:11" ht="15" customHeight="1" x14ac:dyDescent="0.3">
      <c r="A1793" s="644"/>
      <c r="B1793" s="643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626">
        <v>149</v>
      </c>
      <c r="K1793" s="13"/>
    </row>
    <row r="1794" spans="1:11" ht="15" customHeight="1" x14ac:dyDescent="0.3">
      <c r="A1794" s="644"/>
      <c r="B1794" s="643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626">
        <v>188</v>
      </c>
      <c r="K1794" s="13"/>
    </row>
    <row r="1795" spans="1:11" ht="15" customHeight="1" x14ac:dyDescent="0.3">
      <c r="A1795" s="644"/>
      <c r="B1795" s="643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626">
        <v>248</v>
      </c>
      <c r="K1795" s="13"/>
    </row>
    <row r="1796" spans="1:11" ht="15" customHeight="1" x14ac:dyDescent="0.3">
      <c r="A1796" s="644"/>
      <c r="B1796" s="643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626">
        <v>317</v>
      </c>
      <c r="K1796" s="13"/>
    </row>
    <row r="1797" spans="1:11" ht="15" customHeight="1" x14ac:dyDescent="0.3">
      <c r="A1797" s="644"/>
      <c r="B1797" s="644" t="s">
        <v>384</v>
      </c>
      <c r="C1797" s="33">
        <v>105</v>
      </c>
      <c r="D1797" s="21" t="s">
        <v>1454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626">
        <v>134</v>
      </c>
      <c r="K1797" s="13"/>
    </row>
    <row r="1798" spans="1:11" ht="15" customHeight="1" x14ac:dyDescent="0.3">
      <c r="A1798" s="644"/>
      <c r="B1798" s="644"/>
      <c r="C1798" s="33">
        <v>128</v>
      </c>
      <c r="D1798" s="21" t="s">
        <v>1454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626">
        <v>149</v>
      </c>
      <c r="K1798" s="13"/>
    </row>
    <row r="1799" spans="1:11" ht="15" customHeight="1" x14ac:dyDescent="0.3">
      <c r="A1799" s="644"/>
      <c r="B1799" s="644"/>
      <c r="C1799" s="33">
        <v>157</v>
      </c>
      <c r="D1799" s="21" t="s">
        <v>1454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626">
        <v>188</v>
      </c>
      <c r="K1799" s="13"/>
    </row>
    <row r="1800" spans="1:11" ht="15" customHeight="1" x14ac:dyDescent="0.3">
      <c r="A1800" s="644"/>
      <c r="B1800" s="644"/>
      <c r="C1800" s="33">
        <v>203</v>
      </c>
      <c r="D1800" s="21" t="s">
        <v>1454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626">
        <v>248</v>
      </c>
      <c r="K1800" s="13"/>
    </row>
    <row r="1801" spans="1:11" ht="15" customHeight="1" x14ac:dyDescent="0.3">
      <c r="A1801" s="644"/>
      <c r="B1801" s="644"/>
      <c r="C1801" s="33">
        <v>250</v>
      </c>
      <c r="D1801" s="21" t="s">
        <v>1455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626">
        <v>317</v>
      </c>
      <c r="K1801" s="13"/>
    </row>
    <row r="1802" spans="1:11" ht="15" customHeight="1" x14ac:dyDescent="0.3">
      <c r="A1802" s="644" t="s">
        <v>1456</v>
      </c>
      <c r="B1802" s="643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627"/>
      <c r="K1802" s="13"/>
    </row>
    <row r="1803" spans="1:11" ht="15" customHeight="1" x14ac:dyDescent="0.3">
      <c r="A1803" s="644"/>
      <c r="B1803" s="643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627"/>
      <c r="K1803" s="13"/>
    </row>
    <row r="1804" spans="1:11" ht="15" customHeight="1" x14ac:dyDescent="0.3">
      <c r="A1804" s="644"/>
      <c r="B1804" s="644" t="s">
        <v>384</v>
      </c>
      <c r="C1804" s="33">
        <v>105</v>
      </c>
      <c r="D1804" s="21" t="s">
        <v>1454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627"/>
      <c r="K1804" s="13"/>
    </row>
    <row r="1805" spans="1:11" ht="15" customHeight="1" x14ac:dyDescent="0.3">
      <c r="A1805" s="644"/>
      <c r="B1805" s="644"/>
      <c r="C1805" s="33">
        <v>128</v>
      </c>
      <c r="D1805" s="21" t="s">
        <v>1457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627"/>
      <c r="K1805" s="13"/>
    </row>
    <row r="1806" spans="1:11" ht="15" customHeight="1" x14ac:dyDescent="0.3">
      <c r="A1806" s="644"/>
      <c r="B1806" s="644"/>
      <c r="C1806" s="33">
        <v>157</v>
      </c>
      <c r="D1806" s="21" t="s">
        <v>1455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627"/>
      <c r="K1806" s="13"/>
    </row>
    <row r="1807" spans="1:11" ht="15" customHeight="1" x14ac:dyDescent="0.3">
      <c r="A1807" s="645" t="s">
        <v>1458</v>
      </c>
      <c r="B1807" s="18" t="s">
        <v>1459</v>
      </c>
      <c r="C1807" s="14">
        <v>90</v>
      </c>
      <c r="D1807" s="9" t="s">
        <v>1460</v>
      </c>
      <c r="E1807" s="3">
        <v>0</v>
      </c>
      <c r="G1807" s="8"/>
      <c r="H1807" s="11"/>
      <c r="I1807" s="12"/>
      <c r="J1807" s="627"/>
      <c r="K1807" s="13"/>
    </row>
    <row r="1808" spans="1:11" ht="15" customHeight="1" x14ac:dyDescent="0.3">
      <c r="A1808" s="647"/>
      <c r="B1808" s="639" t="s">
        <v>1461</v>
      </c>
      <c r="C1808" s="7">
        <v>140</v>
      </c>
      <c r="D1808" s="9" t="s">
        <v>1462</v>
      </c>
      <c r="E1808" s="3">
        <v>0</v>
      </c>
      <c r="G1808" s="8"/>
      <c r="H1808" s="11"/>
      <c r="I1808" s="12"/>
      <c r="J1808" s="627"/>
      <c r="K1808" s="13"/>
    </row>
    <row r="1809" spans="1:11" ht="15" customHeight="1" x14ac:dyDescent="0.3">
      <c r="A1809" s="647"/>
      <c r="B1809" s="640"/>
      <c r="C1809" s="7"/>
      <c r="D1809" s="9" t="s">
        <v>1463</v>
      </c>
      <c r="E1809" s="3">
        <v>0</v>
      </c>
      <c r="G1809" s="8"/>
      <c r="H1809" s="11"/>
      <c r="I1809" s="12"/>
      <c r="J1809" s="627"/>
      <c r="K1809" s="13"/>
    </row>
    <row r="1810" spans="1:11" ht="15" customHeight="1" x14ac:dyDescent="0.3">
      <c r="A1810" s="647"/>
      <c r="B1810" s="640"/>
      <c r="C1810" s="7">
        <v>180</v>
      </c>
      <c r="D1810" s="9" t="s">
        <v>1464</v>
      </c>
      <c r="E1810" s="3">
        <v>0</v>
      </c>
      <c r="G1810" s="8"/>
      <c r="H1810" s="11"/>
      <c r="I1810" s="12"/>
      <c r="J1810" s="627"/>
      <c r="K1810" s="13"/>
    </row>
    <row r="1811" spans="1:11" ht="15" customHeight="1" x14ac:dyDescent="0.3">
      <c r="A1811" s="647"/>
      <c r="B1811" s="640"/>
      <c r="C1811" s="7"/>
      <c r="D1811" s="9" t="s">
        <v>1465</v>
      </c>
      <c r="E1811" s="3">
        <v>0</v>
      </c>
      <c r="G1811" s="8"/>
      <c r="H1811" s="11"/>
      <c r="I1811" s="12"/>
      <c r="J1811" s="627"/>
      <c r="K1811" s="13"/>
    </row>
    <row r="1812" spans="1:11" ht="15" customHeight="1" x14ac:dyDescent="0.3">
      <c r="A1812" s="643" t="s">
        <v>1466</v>
      </c>
      <c r="B1812" s="643" t="s">
        <v>25</v>
      </c>
      <c r="C1812" s="20">
        <v>116</v>
      </c>
      <c r="D1812" s="21" t="s">
        <v>1467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 x14ac:dyDescent="0.3">
      <c r="A1813" s="643"/>
      <c r="B1813" s="643"/>
      <c r="C1813" s="33"/>
      <c r="D1813" s="21" t="s">
        <v>1468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 x14ac:dyDescent="0.3">
      <c r="A1814" s="643"/>
      <c r="B1814" s="643"/>
      <c r="C1814" s="33">
        <v>151</v>
      </c>
      <c r="D1814" s="21" t="s">
        <v>1469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 x14ac:dyDescent="0.3">
      <c r="A1815" s="643"/>
      <c r="B1815" s="643"/>
      <c r="C1815" s="33"/>
      <c r="D1815" s="21" t="s">
        <v>1470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 x14ac:dyDescent="0.3">
      <c r="A1816" s="643"/>
      <c r="B1816" s="643"/>
      <c r="C1816" s="33"/>
      <c r="D1816" s="21" t="s">
        <v>1471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 x14ac:dyDescent="0.3">
      <c r="A1817" s="643"/>
      <c r="B1817" s="643"/>
      <c r="C1817" s="33">
        <v>233</v>
      </c>
      <c r="D1817" s="21" t="s">
        <v>1472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 x14ac:dyDescent="0.3">
      <c r="A1818" s="643"/>
      <c r="B1818" s="643"/>
      <c r="C1818" s="33"/>
      <c r="D1818" s="21" t="s">
        <v>1473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627"/>
      <c r="K1818" s="13"/>
    </row>
    <row r="1819" spans="1:11" ht="15" customHeight="1" x14ac:dyDescent="0.3">
      <c r="A1819" s="643"/>
      <c r="B1819" s="643"/>
      <c r="C1819" s="33"/>
      <c r="D1819" s="21" t="s">
        <v>1471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627"/>
      <c r="K1819" s="13"/>
    </row>
    <row r="1820" spans="1:11" s="35" customFormat="1" ht="15" customHeight="1" x14ac:dyDescent="0.3">
      <c r="A1820" s="644" t="s">
        <v>1474</v>
      </c>
      <c r="B1820" s="643" t="s">
        <v>1475</v>
      </c>
      <c r="C1820" s="7" t="s">
        <v>1476</v>
      </c>
      <c r="D1820" s="9" t="s">
        <v>1477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 x14ac:dyDescent="0.3">
      <c r="A1821" s="644"/>
      <c r="B1821" s="643"/>
      <c r="C1821" s="7"/>
      <c r="D1821" s="9" t="s">
        <v>1478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 x14ac:dyDescent="0.3">
      <c r="A1822" s="644"/>
      <c r="B1822" s="643"/>
      <c r="C1822" s="7"/>
      <c r="D1822" s="9" t="s">
        <v>1479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626">
        <v>350</v>
      </c>
      <c r="K1822" s="13"/>
    </row>
    <row r="1823" spans="1:11" s="35" customFormat="1" ht="15" customHeight="1" x14ac:dyDescent="0.3">
      <c r="A1823" s="644"/>
      <c r="B1823" s="639" t="s">
        <v>1480</v>
      </c>
      <c r="C1823" s="7" t="s">
        <v>1481</v>
      </c>
      <c r="D1823" s="9" t="s">
        <v>1482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 x14ac:dyDescent="0.3">
      <c r="A1824" s="644"/>
      <c r="B1824" s="641"/>
      <c r="C1824" s="7"/>
      <c r="D1824" s="9" t="s">
        <v>1483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626">
        <v>400</v>
      </c>
      <c r="K1824" s="13"/>
    </row>
    <row r="1825" spans="1:12" s="35" customFormat="1" ht="15" customHeight="1" x14ac:dyDescent="0.3">
      <c r="A1825" s="644"/>
      <c r="B1825" s="643" t="s">
        <v>263</v>
      </c>
      <c r="C1825" s="33" t="s">
        <v>1476</v>
      </c>
      <c r="D1825" s="21" t="s">
        <v>1477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 x14ac:dyDescent="0.3">
      <c r="A1826" s="644"/>
      <c r="B1826" s="643"/>
      <c r="C1826" s="33"/>
      <c r="D1826" s="21" t="s">
        <v>1478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 x14ac:dyDescent="0.3">
      <c r="A1827" s="644"/>
      <c r="B1827" s="643"/>
      <c r="C1827" s="33"/>
      <c r="D1827" s="21" t="s">
        <v>1479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626">
        <v>350</v>
      </c>
      <c r="K1827" s="13"/>
    </row>
    <row r="1828" spans="1:12" s="35" customFormat="1" ht="15" customHeight="1" x14ac:dyDescent="0.3">
      <c r="A1828" s="644"/>
      <c r="B1828" s="643" t="s">
        <v>1484</v>
      </c>
      <c r="C1828" s="33" t="s">
        <v>1481</v>
      </c>
      <c r="D1828" s="21" t="s">
        <v>1482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s="35" customFormat="1" ht="15" customHeight="1" x14ac:dyDescent="0.3">
      <c r="A1829" s="644"/>
      <c r="B1829" s="643"/>
      <c r="C1829" s="33"/>
      <c r="D1829" s="21" t="s">
        <v>1483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626">
        <v>400</v>
      </c>
      <c r="K1829" s="13"/>
    </row>
    <row r="1830" spans="1:12" ht="15" customHeight="1" x14ac:dyDescent="0.3">
      <c r="A1830" s="645" t="s">
        <v>1485</v>
      </c>
      <c r="B1830" s="639" t="s">
        <v>221</v>
      </c>
      <c r="C1830" s="14">
        <v>128</v>
      </c>
      <c r="D1830" s="9" t="s">
        <v>1486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 x14ac:dyDescent="0.3">
      <c r="A1831" s="647"/>
      <c r="B1831" s="640"/>
      <c r="C1831" s="7"/>
      <c r="D1831" s="9" t="s">
        <v>1487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 x14ac:dyDescent="0.3">
      <c r="A1832" s="647"/>
      <c r="B1832" s="640"/>
      <c r="C1832" s="7">
        <v>178</v>
      </c>
      <c r="D1832" s="9" t="s">
        <v>1488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 x14ac:dyDescent="0.3">
      <c r="A1833" s="647"/>
      <c r="B1833" s="640"/>
      <c r="C1833" s="7"/>
      <c r="D1833" s="9" t="s">
        <v>1489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627"/>
      <c r="K1833" s="13"/>
      <c r="L1833" s="25"/>
    </row>
    <row r="1834" spans="1:12" ht="15" customHeight="1" x14ac:dyDescent="0.3">
      <c r="A1834" s="647"/>
      <c r="B1834" s="640"/>
      <c r="C1834" s="33"/>
      <c r="D1834" s="21" t="s">
        <v>1490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 x14ac:dyDescent="0.3">
      <c r="A1835" s="647"/>
      <c r="B1835" s="640"/>
      <c r="C1835" s="33"/>
      <c r="D1835" s="21" t="s">
        <v>1491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627"/>
      <c r="K1835" s="13"/>
    </row>
    <row r="1836" spans="1:12" ht="15" customHeight="1" x14ac:dyDescent="0.3">
      <c r="A1836" s="647"/>
      <c r="B1836" s="640"/>
      <c r="C1836" s="30">
        <v>244</v>
      </c>
      <c r="D1836" s="29" t="s">
        <v>1492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 x14ac:dyDescent="0.3">
      <c r="A1837" s="647"/>
      <c r="B1837" s="640"/>
      <c r="C1837" s="14">
        <v>279</v>
      </c>
      <c r="D1837" s="9" t="s">
        <v>1486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 x14ac:dyDescent="0.3">
      <c r="A1838" s="647"/>
      <c r="B1838" s="640"/>
      <c r="C1838" s="7"/>
      <c r="D1838" s="9" t="s">
        <v>1487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 x14ac:dyDescent="0.3">
      <c r="A1839" s="647"/>
      <c r="B1839" s="641"/>
      <c r="C1839" s="30">
        <v>407</v>
      </c>
      <c r="D1839" s="29" t="s">
        <v>1493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 x14ac:dyDescent="0.3">
      <c r="A1840" s="647"/>
      <c r="B1840" s="24" t="s">
        <v>1494</v>
      </c>
      <c r="C1840" s="30">
        <v>320</v>
      </c>
      <c r="D1840" s="29" t="s">
        <v>1495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627"/>
      <c r="K1840" s="13"/>
      <c r="L1840" s="25"/>
    </row>
    <row r="1841" spans="1:11" ht="15" customHeight="1" x14ac:dyDescent="0.3">
      <c r="A1841" s="647"/>
      <c r="B1841" s="643" t="s">
        <v>1496</v>
      </c>
      <c r="C1841" s="7">
        <v>178</v>
      </c>
      <c r="D1841" s="9" t="s">
        <v>1497</v>
      </c>
      <c r="E1841" s="3">
        <v>0</v>
      </c>
      <c r="G1841" s="8"/>
      <c r="H1841" s="11"/>
      <c r="I1841" s="12"/>
      <c r="J1841" s="627"/>
      <c r="K1841" s="13"/>
    </row>
    <row r="1842" spans="1:11" ht="15" customHeight="1" x14ac:dyDescent="0.3">
      <c r="A1842" s="647"/>
      <c r="B1842" s="643"/>
      <c r="C1842" s="7"/>
      <c r="D1842" s="9" t="s">
        <v>1498</v>
      </c>
      <c r="E1842" s="3">
        <v>0</v>
      </c>
      <c r="G1842" s="8"/>
      <c r="H1842" s="11"/>
      <c r="I1842" s="12"/>
      <c r="J1842" s="627"/>
      <c r="K1842" s="13"/>
    </row>
    <row r="1843" spans="1:11" ht="15" customHeight="1" x14ac:dyDescent="0.3">
      <c r="A1843" s="647"/>
      <c r="B1843" s="19" t="s">
        <v>397</v>
      </c>
      <c r="C1843" s="14">
        <v>178</v>
      </c>
      <c r="D1843" s="9" t="s">
        <v>1499</v>
      </c>
      <c r="E1843" s="3">
        <v>0</v>
      </c>
      <c r="G1843" s="8"/>
      <c r="H1843" s="11"/>
      <c r="I1843" s="12"/>
      <c r="J1843" s="627"/>
      <c r="K1843" s="13"/>
    </row>
    <row r="1844" spans="1:11" ht="15" customHeight="1" x14ac:dyDescent="0.3">
      <c r="A1844" s="647"/>
      <c r="B1844" s="643" t="s">
        <v>1500</v>
      </c>
      <c r="C1844" s="7">
        <v>178</v>
      </c>
      <c r="D1844" s="9" t="s">
        <v>1501</v>
      </c>
      <c r="E1844" s="3">
        <v>0</v>
      </c>
      <c r="G1844" s="8"/>
      <c r="H1844" s="11"/>
      <c r="I1844" s="12"/>
      <c r="J1844" s="627"/>
      <c r="K1844" s="13"/>
    </row>
    <row r="1845" spans="1:11" ht="15" customHeight="1" x14ac:dyDescent="0.3">
      <c r="A1845" s="647"/>
      <c r="B1845" s="643"/>
      <c r="C1845" s="7"/>
      <c r="D1845" s="9" t="s">
        <v>1502</v>
      </c>
      <c r="E1845" s="3">
        <v>0</v>
      </c>
      <c r="G1845" s="8"/>
      <c r="H1845" s="11"/>
      <c r="I1845" s="12"/>
      <c r="J1845" s="627"/>
      <c r="K1845" s="13"/>
    </row>
    <row r="1846" spans="1:11" ht="15" customHeight="1" x14ac:dyDescent="0.3">
      <c r="A1846" s="647"/>
      <c r="B1846" s="643"/>
      <c r="C1846" s="7"/>
      <c r="D1846" s="9" t="s">
        <v>1497</v>
      </c>
      <c r="E1846" s="3">
        <v>0</v>
      </c>
      <c r="G1846" s="8"/>
      <c r="H1846" s="11"/>
      <c r="I1846" s="12"/>
      <c r="J1846" s="627"/>
      <c r="K1846" s="13"/>
    </row>
    <row r="1847" spans="1:11" ht="15" customHeight="1" x14ac:dyDescent="0.3">
      <c r="A1847" s="648"/>
      <c r="B1847" s="643"/>
      <c r="C1847" s="7"/>
      <c r="D1847" s="9" t="s">
        <v>1498</v>
      </c>
      <c r="E1847" s="3">
        <v>0</v>
      </c>
      <c r="G1847" s="8"/>
      <c r="H1847" s="11"/>
      <c r="I1847" s="12"/>
      <c r="J1847" s="627"/>
      <c r="K1847" s="13"/>
    </row>
    <row r="1848" spans="1:11" ht="15" customHeight="1" x14ac:dyDescent="0.3">
      <c r="A1848" s="7" t="s">
        <v>1503</v>
      </c>
      <c r="B1848" s="7" t="s">
        <v>1504</v>
      </c>
      <c r="C1848" s="33">
        <v>465</v>
      </c>
      <c r="D1848" s="21" t="s">
        <v>1505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627"/>
      <c r="K1848" s="13"/>
    </row>
    <row r="1849" spans="1:11" ht="15" customHeight="1" x14ac:dyDescent="0.3">
      <c r="A1849" s="639" t="s">
        <v>1506</v>
      </c>
      <c r="B1849" s="639" t="s">
        <v>1507</v>
      </c>
      <c r="C1849" s="7">
        <v>120</v>
      </c>
      <c r="D1849" s="9" t="s">
        <v>1508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 x14ac:dyDescent="0.3">
      <c r="A1850" s="640"/>
      <c r="B1850" s="640"/>
      <c r="C1850" s="7"/>
      <c r="D1850" s="9" t="s">
        <v>1509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 x14ac:dyDescent="0.3">
      <c r="A1851" s="640"/>
      <c r="B1851" s="640"/>
      <c r="C1851" s="7"/>
      <c r="D1851" s="9" t="s">
        <v>1510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 x14ac:dyDescent="0.3">
      <c r="A1852" s="640"/>
      <c r="B1852" s="640"/>
      <c r="C1852" s="7">
        <v>180</v>
      </c>
      <c r="D1852" s="9" t="s">
        <v>1508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 x14ac:dyDescent="0.3">
      <c r="A1853" s="640"/>
      <c r="B1853" s="640"/>
      <c r="C1853" s="7"/>
      <c r="D1853" s="9" t="s">
        <v>1511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 x14ac:dyDescent="0.3">
      <c r="A1854" s="640"/>
      <c r="B1854" s="640"/>
      <c r="C1854" s="7"/>
      <c r="D1854" s="9" t="s">
        <v>1512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627"/>
      <c r="K1854" s="13"/>
    </row>
    <row r="1855" spans="1:11" ht="15" customHeight="1" x14ac:dyDescent="0.3">
      <c r="A1855" s="644" t="s">
        <v>1513</v>
      </c>
      <c r="B1855" s="644" t="s">
        <v>1514</v>
      </c>
      <c r="C1855" s="16">
        <v>200</v>
      </c>
      <c r="D1855" s="29" t="s">
        <v>1515</v>
      </c>
      <c r="E1855" s="3">
        <v>0</v>
      </c>
      <c r="G1855" s="8"/>
      <c r="H1855" s="11"/>
      <c r="I1855" s="12"/>
      <c r="J1855" s="627"/>
      <c r="K1855" s="13"/>
    </row>
    <row r="1856" spans="1:11" ht="15" customHeight="1" x14ac:dyDescent="0.3">
      <c r="A1856" s="643"/>
      <c r="B1856" s="643"/>
      <c r="C1856" s="16">
        <v>157</v>
      </c>
      <c r="D1856" s="29" t="s">
        <v>1516</v>
      </c>
      <c r="E1856" s="3">
        <v>0</v>
      </c>
      <c r="G1856" s="8"/>
      <c r="H1856" s="11"/>
      <c r="I1856" s="12"/>
      <c r="J1856" s="627"/>
      <c r="K1856" s="13"/>
    </row>
    <row r="1857" spans="1:11" ht="15" customHeight="1" x14ac:dyDescent="0.3">
      <c r="A1857" s="643"/>
      <c r="B1857" s="643"/>
      <c r="C1857" s="16">
        <v>209</v>
      </c>
      <c r="D1857" s="29" t="s">
        <v>1517</v>
      </c>
      <c r="E1857" s="3">
        <v>0</v>
      </c>
      <c r="G1857" s="8"/>
      <c r="H1857" s="11"/>
      <c r="I1857" s="12"/>
      <c r="J1857" s="627"/>
      <c r="K1857" s="13"/>
    </row>
    <row r="1858" spans="1:11" ht="15" customHeight="1" x14ac:dyDescent="0.3">
      <c r="A1858" s="643"/>
      <c r="B1858" s="643"/>
      <c r="C1858" s="16">
        <v>250</v>
      </c>
      <c r="D1858" s="29" t="s">
        <v>1518</v>
      </c>
      <c r="E1858" s="3">
        <v>0</v>
      </c>
      <c r="G1858" s="8"/>
      <c r="H1858" s="11"/>
      <c r="I1858" s="12"/>
      <c r="J1858" s="627"/>
      <c r="K1858" s="13"/>
    </row>
    <row r="1859" spans="1:11" ht="15" customHeight="1" x14ac:dyDescent="0.3">
      <c r="A1859" s="643"/>
      <c r="B1859" s="643"/>
      <c r="C1859" s="16">
        <v>190</v>
      </c>
      <c r="D1859" s="29" t="s">
        <v>1519</v>
      </c>
      <c r="E1859" s="3">
        <v>0</v>
      </c>
      <c r="G1859" s="8"/>
      <c r="H1859" s="11"/>
      <c r="I1859" s="12"/>
      <c r="J1859" s="627"/>
      <c r="K1859" s="13"/>
    </row>
    <row r="1860" spans="1:11" ht="15" customHeight="1" x14ac:dyDescent="0.3">
      <c r="A1860" s="643"/>
      <c r="B1860" s="643"/>
      <c r="C1860" s="16">
        <v>250</v>
      </c>
      <c r="D1860" s="29" t="s">
        <v>1520</v>
      </c>
      <c r="E1860" s="3">
        <v>0</v>
      </c>
      <c r="G1860" s="8"/>
      <c r="H1860" s="11"/>
      <c r="I1860" s="12"/>
      <c r="J1860" s="627"/>
      <c r="K1860" s="13"/>
    </row>
    <row r="1861" spans="1:11" ht="15" customHeight="1" x14ac:dyDescent="0.3">
      <c r="A1861" s="643"/>
      <c r="B1861" s="643"/>
      <c r="C1861" s="16">
        <v>186</v>
      </c>
      <c r="D1861" s="29" t="s">
        <v>1521</v>
      </c>
      <c r="E1861" s="3">
        <v>0</v>
      </c>
      <c r="G1861" s="8"/>
      <c r="H1861" s="11"/>
      <c r="I1861" s="12"/>
      <c r="J1861" s="627"/>
      <c r="K1861" s="13"/>
    </row>
    <row r="1862" spans="1:11" ht="15" customHeight="1" x14ac:dyDescent="0.3">
      <c r="A1862" s="643"/>
      <c r="B1862" s="643"/>
      <c r="C1862" s="16">
        <v>178</v>
      </c>
      <c r="D1862" s="29" t="s">
        <v>1522</v>
      </c>
      <c r="E1862" s="3">
        <v>0</v>
      </c>
      <c r="G1862" s="8"/>
      <c r="H1862" s="11"/>
      <c r="I1862" s="12"/>
      <c r="J1862" s="627"/>
      <c r="K1862" s="13"/>
    </row>
    <row r="1863" spans="1:11" ht="15" customHeight="1" x14ac:dyDescent="0.3">
      <c r="A1863" s="643"/>
      <c r="B1863" s="643"/>
      <c r="C1863" s="16">
        <v>151</v>
      </c>
      <c r="D1863" s="29" t="s">
        <v>1523</v>
      </c>
      <c r="E1863" s="3">
        <v>0</v>
      </c>
      <c r="G1863" s="8"/>
      <c r="H1863" s="11"/>
      <c r="I1863" s="12"/>
      <c r="J1863" s="627"/>
      <c r="K1863" s="13"/>
    </row>
    <row r="1864" spans="1:11" ht="15" customHeight="1" x14ac:dyDescent="0.3">
      <c r="A1864" s="643"/>
      <c r="B1864" s="643"/>
      <c r="C1864" s="16">
        <v>204</v>
      </c>
      <c r="D1864" s="29" t="s">
        <v>1524</v>
      </c>
      <c r="E1864" s="3">
        <v>0</v>
      </c>
      <c r="G1864" s="8"/>
      <c r="H1864" s="11"/>
      <c r="I1864" s="12"/>
      <c r="J1864" s="627"/>
      <c r="K1864" s="13"/>
    </row>
    <row r="1865" spans="1:11" ht="15" customHeight="1" x14ac:dyDescent="0.3">
      <c r="A1865" s="643"/>
      <c r="B1865" s="643"/>
      <c r="C1865" s="16">
        <v>185</v>
      </c>
      <c r="D1865" s="29" t="s">
        <v>1525</v>
      </c>
      <c r="E1865" s="3">
        <v>0</v>
      </c>
      <c r="G1865" s="8"/>
      <c r="H1865" s="11"/>
      <c r="I1865" s="12"/>
      <c r="J1865" s="627"/>
      <c r="K1865" s="13"/>
    </row>
    <row r="1866" spans="1:11" ht="15" customHeight="1" x14ac:dyDescent="0.3">
      <c r="A1866" s="643"/>
      <c r="B1866" s="643"/>
      <c r="C1866" s="16">
        <v>225</v>
      </c>
      <c r="D1866" s="29" t="s">
        <v>1526</v>
      </c>
      <c r="E1866" s="3">
        <v>0</v>
      </c>
      <c r="G1866" s="8"/>
      <c r="H1866" s="11"/>
      <c r="I1866" s="12"/>
      <c r="J1866" s="627"/>
      <c r="K1866" s="13"/>
    </row>
    <row r="1867" spans="1:11" ht="15" customHeight="1" x14ac:dyDescent="0.3">
      <c r="A1867" s="643"/>
      <c r="B1867" s="643"/>
      <c r="C1867" s="16">
        <v>230</v>
      </c>
      <c r="D1867" s="29" t="s">
        <v>1527</v>
      </c>
      <c r="E1867" s="3">
        <v>0</v>
      </c>
      <c r="G1867" s="8"/>
      <c r="H1867" s="11"/>
      <c r="I1867" s="12"/>
      <c r="J1867" s="627"/>
      <c r="K1867" s="13"/>
    </row>
    <row r="1868" spans="1:11" ht="15" customHeight="1" x14ac:dyDescent="0.3">
      <c r="A1868" s="643"/>
      <c r="B1868" s="644" t="s">
        <v>1528</v>
      </c>
      <c r="C1868" s="16">
        <v>200</v>
      </c>
      <c r="D1868" s="29" t="s">
        <v>1515</v>
      </c>
      <c r="E1868" s="3">
        <v>0</v>
      </c>
      <c r="G1868" s="8"/>
      <c r="H1868" s="11"/>
      <c r="I1868" s="12"/>
      <c r="J1868" s="627"/>
      <c r="K1868" s="13"/>
    </row>
    <row r="1869" spans="1:11" ht="15" customHeight="1" x14ac:dyDescent="0.3">
      <c r="A1869" s="643"/>
      <c r="B1869" s="643"/>
      <c r="C1869" s="16">
        <v>157</v>
      </c>
      <c r="D1869" s="29" t="s">
        <v>1516</v>
      </c>
      <c r="E1869" s="3">
        <v>0</v>
      </c>
      <c r="G1869" s="8"/>
      <c r="H1869" s="11"/>
      <c r="I1869" s="12"/>
      <c r="J1869" s="627"/>
      <c r="K1869" s="13"/>
    </row>
    <row r="1870" spans="1:11" ht="15" customHeight="1" x14ac:dyDescent="0.3">
      <c r="A1870" s="643"/>
      <c r="B1870" s="643"/>
      <c r="C1870" s="16">
        <v>209</v>
      </c>
      <c r="D1870" s="29" t="s">
        <v>1517</v>
      </c>
      <c r="E1870" s="3">
        <v>0</v>
      </c>
      <c r="G1870" s="8"/>
      <c r="H1870" s="11"/>
      <c r="I1870" s="12"/>
      <c r="J1870" s="627"/>
      <c r="K1870" s="13"/>
    </row>
    <row r="1871" spans="1:11" ht="15" customHeight="1" x14ac:dyDescent="0.3">
      <c r="A1871" s="643"/>
      <c r="B1871" s="643"/>
      <c r="C1871" s="16">
        <v>250</v>
      </c>
      <c r="D1871" s="29" t="s">
        <v>1518</v>
      </c>
      <c r="E1871" s="3">
        <v>0</v>
      </c>
      <c r="G1871" s="8"/>
      <c r="H1871" s="11"/>
      <c r="I1871" s="12"/>
      <c r="J1871" s="627"/>
      <c r="K1871" s="13"/>
    </row>
    <row r="1872" spans="1:11" ht="15" customHeight="1" x14ac:dyDescent="0.3">
      <c r="A1872" s="643"/>
      <c r="B1872" s="643"/>
      <c r="C1872" s="16">
        <v>190</v>
      </c>
      <c r="D1872" s="29" t="s">
        <v>1519</v>
      </c>
      <c r="E1872" s="3">
        <v>0</v>
      </c>
      <c r="G1872" s="8"/>
      <c r="H1872" s="11"/>
      <c r="I1872" s="12"/>
      <c r="J1872" s="627"/>
      <c r="K1872" s="13"/>
    </row>
    <row r="1873" spans="1:11" ht="15" customHeight="1" x14ac:dyDescent="0.3">
      <c r="A1873" s="643"/>
      <c r="B1873" s="643"/>
      <c r="C1873" s="16">
        <v>250</v>
      </c>
      <c r="D1873" s="29" t="s">
        <v>1520</v>
      </c>
      <c r="E1873" s="3">
        <v>0</v>
      </c>
      <c r="G1873" s="8"/>
      <c r="H1873" s="11"/>
      <c r="I1873" s="12"/>
      <c r="J1873" s="627"/>
      <c r="K1873" s="13"/>
    </row>
    <row r="1874" spans="1:11" ht="15" customHeight="1" x14ac:dyDescent="0.3">
      <c r="A1874" s="643"/>
      <c r="B1874" s="643"/>
      <c r="C1874" s="16">
        <v>186</v>
      </c>
      <c r="D1874" s="29" t="s">
        <v>1521</v>
      </c>
      <c r="E1874" s="3">
        <v>0</v>
      </c>
      <c r="G1874" s="8"/>
      <c r="H1874" s="11"/>
      <c r="I1874" s="12"/>
      <c r="J1874" s="627"/>
      <c r="K1874" s="13"/>
    </row>
    <row r="1875" spans="1:11" ht="15" customHeight="1" x14ac:dyDescent="0.3">
      <c r="A1875" s="643"/>
      <c r="B1875" s="643"/>
      <c r="C1875" s="16">
        <v>178</v>
      </c>
      <c r="D1875" s="29" t="s">
        <v>1522</v>
      </c>
      <c r="E1875" s="3">
        <v>0</v>
      </c>
      <c r="G1875" s="8"/>
      <c r="H1875" s="11"/>
      <c r="I1875" s="12"/>
      <c r="J1875" s="627"/>
      <c r="K1875" s="13"/>
    </row>
    <row r="1876" spans="1:11" ht="15" customHeight="1" x14ac:dyDescent="0.3">
      <c r="A1876" s="643"/>
      <c r="B1876" s="643"/>
      <c r="C1876" s="16">
        <v>151</v>
      </c>
      <c r="D1876" s="29" t="s">
        <v>1523</v>
      </c>
      <c r="E1876" s="3">
        <v>0</v>
      </c>
      <c r="G1876" s="8"/>
      <c r="H1876" s="11"/>
      <c r="I1876" s="12"/>
      <c r="J1876" s="627"/>
      <c r="K1876" s="13"/>
    </row>
    <row r="1877" spans="1:11" ht="15" customHeight="1" x14ac:dyDescent="0.3">
      <c r="A1877" s="643"/>
      <c r="B1877" s="643"/>
      <c r="C1877" s="16">
        <v>204</v>
      </c>
      <c r="D1877" s="29" t="s">
        <v>1524</v>
      </c>
      <c r="E1877" s="3">
        <v>0</v>
      </c>
      <c r="G1877" s="8"/>
      <c r="H1877" s="11"/>
      <c r="I1877" s="12"/>
      <c r="J1877" s="627"/>
      <c r="K1877" s="13"/>
    </row>
    <row r="1878" spans="1:11" ht="15" customHeight="1" x14ac:dyDescent="0.3">
      <c r="A1878" s="643"/>
      <c r="B1878" s="643"/>
      <c r="C1878" s="16">
        <v>185</v>
      </c>
      <c r="D1878" s="29" t="s">
        <v>1525</v>
      </c>
      <c r="E1878" s="3">
        <v>0</v>
      </c>
      <c r="G1878" s="8"/>
      <c r="H1878" s="11"/>
      <c r="I1878" s="12"/>
      <c r="J1878" s="627"/>
      <c r="K1878" s="13"/>
    </row>
    <row r="1879" spans="1:11" ht="15" customHeight="1" x14ac:dyDescent="0.3">
      <c r="A1879" s="643"/>
      <c r="B1879" s="643"/>
      <c r="C1879" s="16">
        <v>225</v>
      </c>
      <c r="D1879" s="29" t="s">
        <v>1526</v>
      </c>
      <c r="E1879" s="3">
        <v>0</v>
      </c>
      <c r="G1879" s="8"/>
      <c r="H1879" s="11"/>
      <c r="I1879" s="12"/>
      <c r="J1879" s="627"/>
      <c r="K1879" s="13"/>
    </row>
    <row r="1880" spans="1:11" ht="15" customHeight="1" x14ac:dyDescent="0.3">
      <c r="A1880" s="643"/>
      <c r="B1880" s="643"/>
      <c r="C1880" s="16">
        <v>230</v>
      </c>
      <c r="D1880" s="29" t="s">
        <v>1527</v>
      </c>
      <c r="E1880" s="3">
        <v>0</v>
      </c>
      <c r="G1880" s="8"/>
      <c r="H1880" s="11"/>
      <c r="I1880" s="12"/>
      <c r="J1880" s="627"/>
      <c r="K1880" s="13"/>
    </row>
    <row r="1881" spans="1:11" ht="15" customHeight="1" x14ac:dyDescent="0.3">
      <c r="A1881" s="649" t="s">
        <v>1529</v>
      </c>
      <c r="B1881" s="646" t="s">
        <v>216</v>
      </c>
      <c r="C1881" s="72">
        <v>120</v>
      </c>
      <c r="D1881" s="21" t="s">
        <v>1530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 x14ac:dyDescent="0.3">
      <c r="A1882" s="650"/>
      <c r="B1882" s="646"/>
      <c r="C1882" s="72">
        <v>270</v>
      </c>
      <c r="D1882" s="21" t="s">
        <v>1531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 x14ac:dyDescent="0.3">
      <c r="A1883" s="650"/>
      <c r="B1883" s="646"/>
      <c r="C1883" s="72"/>
      <c r="D1883" s="21" t="s">
        <v>1532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 x14ac:dyDescent="0.3">
      <c r="A1884" s="650"/>
      <c r="B1884" s="646"/>
      <c r="C1884" s="72"/>
      <c r="D1884" s="21" t="s">
        <v>1533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627"/>
      <c r="K1884" s="13"/>
    </row>
    <row r="1885" spans="1:11" ht="15" customHeight="1" x14ac:dyDescent="0.3">
      <c r="A1885" s="650"/>
      <c r="B1885" s="646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627"/>
      <c r="K1885" s="13"/>
    </row>
    <row r="1886" spans="1:11" ht="15" customHeight="1" x14ac:dyDescent="0.3">
      <c r="A1886" s="650"/>
      <c r="B1886" s="646"/>
      <c r="C1886" s="72">
        <v>270</v>
      </c>
      <c r="D1886" s="21" t="s">
        <v>1534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627"/>
      <c r="K1886" s="13"/>
    </row>
    <row r="1887" spans="1:11" ht="15" customHeight="1" x14ac:dyDescent="0.3">
      <c r="A1887" s="650"/>
      <c r="B1887" s="646"/>
      <c r="C1887" s="72"/>
      <c r="D1887" s="21" t="s">
        <v>1535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627"/>
      <c r="K1887" s="13"/>
    </row>
    <row r="1888" spans="1:11" ht="15" customHeight="1" x14ac:dyDescent="0.3">
      <c r="A1888" s="651"/>
      <c r="B1888" s="646"/>
      <c r="C1888" s="72"/>
      <c r="D1888" s="21" t="s">
        <v>1536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627"/>
      <c r="K1888" s="13"/>
    </row>
    <row r="1889" spans="1:11" s="1" customFormat="1" ht="15" customHeight="1" x14ac:dyDescent="0.3">
      <c r="A1889" s="644" t="s">
        <v>1537</v>
      </c>
      <c r="B1889" s="643" t="s">
        <v>216</v>
      </c>
      <c r="C1889" s="7">
        <v>60</v>
      </c>
      <c r="D1889" s="9" t="s">
        <v>1538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 x14ac:dyDescent="0.3">
      <c r="A1890" s="644"/>
      <c r="B1890" s="643"/>
      <c r="C1890" s="7">
        <v>70</v>
      </c>
      <c r="D1890" s="9" t="s">
        <v>1538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 x14ac:dyDescent="0.3">
      <c r="A1891" s="644"/>
      <c r="B1891" s="643"/>
      <c r="C1891" s="7">
        <v>80</v>
      </c>
      <c r="D1891" s="9" t="s">
        <v>1538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 x14ac:dyDescent="0.3">
      <c r="A1892" s="644"/>
      <c r="B1892" s="643"/>
      <c r="C1892" s="7">
        <v>90</v>
      </c>
      <c r="D1892" s="9" t="s">
        <v>1538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 x14ac:dyDescent="0.3">
      <c r="A1893" s="644"/>
      <c r="B1893" s="643"/>
      <c r="C1893" s="7">
        <v>100</v>
      </c>
      <c r="D1893" s="9" t="s">
        <v>1538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 x14ac:dyDescent="0.3">
      <c r="A1894" s="644"/>
      <c r="B1894" s="643"/>
      <c r="C1894" s="7">
        <v>110</v>
      </c>
      <c r="D1894" s="9" t="s">
        <v>1538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 x14ac:dyDescent="0.3">
      <c r="A1895" s="644"/>
      <c r="B1895" s="643"/>
      <c r="C1895" s="7">
        <v>130</v>
      </c>
      <c r="D1895" s="9" t="s">
        <v>1538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 x14ac:dyDescent="0.3">
      <c r="A1896" s="644"/>
      <c r="B1896" s="643"/>
      <c r="C1896" s="7">
        <v>150</v>
      </c>
      <c r="D1896" s="9" t="s">
        <v>1538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 x14ac:dyDescent="0.3">
      <c r="A1897" s="644"/>
      <c r="B1897" s="643"/>
      <c r="C1897" s="7">
        <v>170</v>
      </c>
      <c r="D1897" s="9" t="s">
        <v>1538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 x14ac:dyDescent="0.3">
      <c r="A1898" s="644"/>
      <c r="B1898" s="643"/>
      <c r="C1898" s="7">
        <v>200</v>
      </c>
      <c r="D1898" s="9" t="s">
        <v>1538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 x14ac:dyDescent="0.3">
      <c r="A1899" s="644"/>
      <c r="B1899" s="643"/>
      <c r="C1899" s="7">
        <v>220</v>
      </c>
      <c r="D1899" s="9" t="s">
        <v>1538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 x14ac:dyDescent="0.3">
      <c r="A1900" s="644"/>
      <c r="B1900" s="643" t="s">
        <v>25</v>
      </c>
      <c r="C1900" s="7">
        <v>60</v>
      </c>
      <c r="D1900" s="9" t="s">
        <v>1539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 x14ac:dyDescent="0.3">
      <c r="A1901" s="644"/>
      <c r="B1901" s="643"/>
      <c r="C1901" s="7">
        <v>70</v>
      </c>
      <c r="D1901" s="9" t="s">
        <v>1539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 x14ac:dyDescent="0.3">
      <c r="A1902" s="644"/>
      <c r="B1902" s="643"/>
      <c r="C1902" s="7">
        <v>80</v>
      </c>
      <c r="D1902" s="9" t="s">
        <v>1539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 x14ac:dyDescent="0.3">
      <c r="A1903" s="644"/>
      <c r="B1903" s="643"/>
      <c r="C1903" s="7">
        <v>90</v>
      </c>
      <c r="D1903" s="9" t="s">
        <v>1539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 x14ac:dyDescent="0.3">
      <c r="A1904" s="644"/>
      <c r="B1904" s="643"/>
      <c r="C1904" s="7">
        <v>100</v>
      </c>
      <c r="D1904" s="9" t="s">
        <v>1539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 x14ac:dyDescent="0.3">
      <c r="A1905" s="644"/>
      <c r="B1905" s="643"/>
      <c r="C1905" s="7">
        <v>110</v>
      </c>
      <c r="D1905" s="9" t="s">
        <v>1539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 x14ac:dyDescent="0.3">
      <c r="A1906" s="644"/>
      <c r="B1906" s="643"/>
      <c r="C1906" s="7">
        <v>130</v>
      </c>
      <c r="D1906" s="9" t="s">
        <v>1539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 x14ac:dyDescent="0.3">
      <c r="A1907" s="644"/>
      <c r="B1907" s="643"/>
      <c r="C1907" s="7">
        <v>150</v>
      </c>
      <c r="D1907" s="9" t="s">
        <v>1539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 x14ac:dyDescent="0.3">
      <c r="A1908" s="644"/>
      <c r="B1908" s="643"/>
      <c r="C1908" s="7">
        <v>170</v>
      </c>
      <c r="D1908" s="9" t="s">
        <v>1539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 x14ac:dyDescent="0.3">
      <c r="A1909" s="644"/>
      <c r="B1909" s="643"/>
      <c r="C1909" s="7">
        <v>200</v>
      </c>
      <c r="D1909" s="9" t="s">
        <v>1539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627"/>
      <c r="K1909" s="13"/>
    </row>
    <row r="1910" spans="1:11" s="1" customFormat="1" ht="15" customHeight="1" x14ac:dyDescent="0.3">
      <c r="A1910" s="644"/>
      <c r="B1910" s="643"/>
      <c r="C1910" s="7">
        <v>220</v>
      </c>
      <c r="D1910" s="9" t="s">
        <v>1539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627"/>
      <c r="K1910" s="13"/>
    </row>
    <row r="1911" spans="1:11" ht="15" customHeight="1" x14ac:dyDescent="0.3">
      <c r="A1911" s="7" t="s">
        <v>1540</v>
      </c>
      <c r="B1911" s="7" t="s">
        <v>1541</v>
      </c>
      <c r="C1911" s="33">
        <v>120</v>
      </c>
      <c r="D1911" s="21" t="s">
        <v>1542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627"/>
      <c r="K1911" s="13"/>
    </row>
    <row r="1912" spans="1:11" ht="15" customHeight="1" x14ac:dyDescent="0.3">
      <c r="A1912" s="7" t="s">
        <v>1543</v>
      </c>
      <c r="B1912" s="7" t="s">
        <v>383</v>
      </c>
      <c r="C1912" s="33">
        <v>233</v>
      </c>
      <c r="D1912" s="21" t="s">
        <v>1544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627"/>
      <c r="K1912" s="13"/>
    </row>
    <row r="1913" spans="1:11" ht="15" customHeight="1" x14ac:dyDescent="0.3">
      <c r="A1913" s="644" t="s">
        <v>1545</v>
      </c>
      <c r="B1913" s="643" t="s">
        <v>768</v>
      </c>
      <c r="C1913" s="33">
        <v>120</v>
      </c>
      <c r="D1913" s="21" t="s">
        <v>1546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 x14ac:dyDescent="0.3">
      <c r="A1914" s="644"/>
      <c r="B1914" s="643"/>
      <c r="C1914" s="33"/>
      <c r="D1914" s="21" t="s">
        <v>1547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 x14ac:dyDescent="0.3">
      <c r="A1915" s="644"/>
      <c r="B1915" s="643"/>
      <c r="C1915" s="33"/>
      <c r="D1915" s="21" t="s">
        <v>1548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 x14ac:dyDescent="0.3">
      <c r="A1916" s="644"/>
      <c r="B1916" s="643"/>
      <c r="C1916" s="33">
        <v>300</v>
      </c>
      <c r="D1916" s="21" t="s">
        <v>1549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 x14ac:dyDescent="0.3">
      <c r="A1917" s="644"/>
      <c r="B1917" s="643"/>
      <c r="C1917" s="33"/>
      <c r="D1917" s="21" t="s">
        <v>1550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 x14ac:dyDescent="0.3">
      <c r="A1918" s="644"/>
      <c r="B1918" s="643"/>
      <c r="C1918" s="33"/>
      <c r="D1918" s="21" t="s">
        <v>1551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627"/>
      <c r="K1918" s="13"/>
    </row>
    <row r="1919" spans="1:11" ht="15" customHeight="1" x14ac:dyDescent="0.3">
      <c r="A1919" s="649" t="s">
        <v>1552</v>
      </c>
      <c r="B1919" s="646" t="s">
        <v>216</v>
      </c>
      <c r="C1919" s="72">
        <v>120</v>
      </c>
      <c r="D1919" s="21" t="s">
        <v>1553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 x14ac:dyDescent="0.3">
      <c r="A1920" s="650"/>
      <c r="B1920" s="646"/>
      <c r="C1920" s="72"/>
      <c r="D1920" s="21" t="s">
        <v>1554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 x14ac:dyDescent="0.3">
      <c r="A1921" s="650"/>
      <c r="B1921" s="646"/>
      <c r="C1921" s="72">
        <v>300</v>
      </c>
      <c r="D1921" s="21" t="s">
        <v>1555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 x14ac:dyDescent="0.3">
      <c r="A1922" s="650"/>
      <c r="B1922" s="646"/>
      <c r="C1922" s="72"/>
      <c r="D1922" s="21" t="s">
        <v>1556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 x14ac:dyDescent="0.3">
      <c r="A1923" s="650"/>
      <c r="B1923" s="646"/>
      <c r="C1923" s="72"/>
      <c r="D1923" s="21" t="s">
        <v>1557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627"/>
      <c r="K1923" s="13"/>
    </row>
    <row r="1924" spans="1:11" ht="15" customHeight="1" x14ac:dyDescent="0.3">
      <c r="A1924" s="650"/>
      <c r="B1924" s="646" t="s">
        <v>686</v>
      </c>
      <c r="C1924" s="72">
        <v>120</v>
      </c>
      <c r="D1924" s="21" t="s">
        <v>1558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 x14ac:dyDescent="0.3">
      <c r="A1925" s="650"/>
      <c r="B1925" s="646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 x14ac:dyDescent="0.3">
      <c r="A1926" s="650"/>
      <c r="B1926" s="646"/>
      <c r="C1926" s="72"/>
      <c r="D1926" s="21" t="s">
        <v>1559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 x14ac:dyDescent="0.3">
      <c r="A1927" s="651"/>
      <c r="B1927" s="646"/>
      <c r="C1927" s="72"/>
      <c r="D1927" s="21" t="s">
        <v>1560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627"/>
      <c r="K1927" s="13"/>
    </row>
    <row r="1928" spans="1:11" ht="15" customHeight="1" x14ac:dyDescent="0.3">
      <c r="A1928" s="658" t="s">
        <v>1561</v>
      </c>
      <c r="B1928" s="646" t="s">
        <v>1562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 x14ac:dyDescent="0.3">
      <c r="A1929" s="658"/>
      <c r="B1929" s="646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ht="15" customHeight="1" x14ac:dyDescent="0.3">
      <c r="A1930" s="658"/>
      <c r="B1930" s="646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627"/>
      <c r="K1930" s="13"/>
    </row>
    <row r="1931" spans="1:11" s="1" customFormat="1" ht="15" customHeight="1" x14ac:dyDescent="0.3">
      <c r="A1931" s="644" t="s">
        <v>1563</v>
      </c>
      <c r="B1931" s="643" t="s">
        <v>387</v>
      </c>
      <c r="C1931" s="7" t="s">
        <v>1564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626">
        <v>600</v>
      </c>
      <c r="K1931" s="13"/>
    </row>
    <row r="1932" spans="1:11" ht="15" customHeight="1" x14ac:dyDescent="0.3">
      <c r="A1932" s="644"/>
      <c r="B1932" s="643"/>
      <c r="C1932" s="83" t="s">
        <v>1565</v>
      </c>
      <c r="D1932" s="9" t="s">
        <v>1566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632">
        <v>800</v>
      </c>
      <c r="K1932" s="13"/>
    </row>
    <row r="1933" spans="1:11" ht="15" customHeight="1" x14ac:dyDescent="0.3">
      <c r="A1933" s="644"/>
      <c r="B1933" s="643"/>
      <c r="C1933" s="83" t="s">
        <v>1567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632">
        <v>1000</v>
      </c>
      <c r="K1933" s="13"/>
    </row>
    <row r="1934" spans="1:11" ht="15" customHeight="1" x14ac:dyDescent="0.3">
      <c r="A1934" s="644"/>
      <c r="B1934" s="643"/>
      <c r="C1934" s="7" t="s">
        <v>1568</v>
      </c>
      <c r="D1934" s="9" t="s">
        <v>1569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626">
        <v>600</v>
      </c>
      <c r="K1934" s="13"/>
    </row>
    <row r="1935" spans="1:11" ht="15" customHeight="1" x14ac:dyDescent="0.3">
      <c r="A1935" s="644"/>
      <c r="B1935" s="643"/>
      <c r="C1935" s="7">
        <v>490</v>
      </c>
      <c r="D1935" s="9" t="s">
        <v>1569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626">
        <v>800</v>
      </c>
      <c r="K1935" s="13"/>
    </row>
    <row r="1936" spans="1:11" ht="15" customHeight="1" x14ac:dyDescent="0.3">
      <c r="A1936" s="644"/>
      <c r="B1936" s="643"/>
      <c r="C1936" s="7">
        <v>600</v>
      </c>
      <c r="D1936" s="9" t="s">
        <v>1569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626">
        <v>1000</v>
      </c>
      <c r="K1936" s="13"/>
    </row>
    <row r="1937" spans="1:11" ht="15" customHeight="1" x14ac:dyDescent="0.3">
      <c r="A1937" s="644" t="s">
        <v>1570</v>
      </c>
      <c r="B1937" s="643" t="s">
        <v>221</v>
      </c>
      <c r="C1937" s="16">
        <v>111</v>
      </c>
      <c r="D1937" s="29" t="s">
        <v>1571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 x14ac:dyDescent="0.3">
      <c r="A1938" s="644"/>
      <c r="B1938" s="643"/>
      <c r="C1938" s="16"/>
      <c r="D1938" s="29" t="s">
        <v>1572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 x14ac:dyDescent="0.3">
      <c r="A1939" s="644"/>
      <c r="B1939" s="643"/>
      <c r="C1939" s="16"/>
      <c r="D1939" s="29" t="s">
        <v>1573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 x14ac:dyDescent="0.3">
      <c r="A1940" s="644"/>
      <c r="B1940" s="643"/>
      <c r="C1940" s="16">
        <v>204</v>
      </c>
      <c r="D1940" s="29" t="s">
        <v>1574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 x14ac:dyDescent="0.3">
      <c r="A1941" s="644"/>
      <c r="B1941" s="643"/>
      <c r="C1941" s="16"/>
      <c r="D1941" s="29" t="s">
        <v>1575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 x14ac:dyDescent="0.3">
      <c r="A1942" s="645" t="s">
        <v>1576</v>
      </c>
      <c r="B1942" s="644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 x14ac:dyDescent="0.3">
      <c r="A1943" s="647"/>
      <c r="B1943" s="644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 x14ac:dyDescent="0.3">
      <c r="A1944" s="647"/>
      <c r="B1944" s="644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 x14ac:dyDescent="0.3">
      <c r="A1945" s="647"/>
      <c r="B1945" s="644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 x14ac:dyDescent="0.3">
      <c r="A1946" s="647"/>
      <c r="B1946" s="644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627"/>
      <c r="K1946" s="13"/>
    </row>
    <row r="1947" spans="1:11" ht="15" customHeight="1" x14ac:dyDescent="0.3">
      <c r="A1947" s="647"/>
      <c r="B1947" s="15" t="s">
        <v>1577</v>
      </c>
      <c r="C1947" s="20">
        <v>125</v>
      </c>
      <c r="D1947" s="21" t="s">
        <v>1578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627"/>
      <c r="K1947" s="13"/>
    </row>
    <row r="1948" spans="1:11" ht="15" customHeight="1" x14ac:dyDescent="0.3">
      <c r="A1948" s="647"/>
      <c r="B1948" s="15" t="s">
        <v>637</v>
      </c>
      <c r="C1948" s="20">
        <v>170</v>
      </c>
      <c r="D1948" s="21" t="s">
        <v>1578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 x14ac:dyDescent="0.3">
      <c r="A1949" s="647"/>
      <c r="B1949" s="15" t="s">
        <v>1579</v>
      </c>
      <c r="C1949" s="20">
        <v>250</v>
      </c>
      <c r="D1949" s="21" t="s">
        <v>1578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627"/>
      <c r="K1949" s="13"/>
    </row>
    <row r="1950" spans="1:11" ht="15" customHeight="1" x14ac:dyDescent="0.3">
      <c r="A1950" s="648"/>
      <c r="B1950" s="15" t="s">
        <v>637</v>
      </c>
      <c r="C1950" s="20">
        <v>150</v>
      </c>
      <c r="D1950" s="21" t="s">
        <v>1580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627"/>
      <c r="K1950" s="13"/>
    </row>
    <row r="1951" spans="1:11" ht="15" customHeight="1" x14ac:dyDescent="0.3">
      <c r="A1951" s="644" t="s">
        <v>1581</v>
      </c>
      <c r="B1951" s="643" t="s">
        <v>1451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627"/>
      <c r="K1951" s="13"/>
    </row>
    <row r="1952" spans="1:11" ht="15" customHeight="1" x14ac:dyDescent="0.3">
      <c r="A1952" s="644"/>
      <c r="B1952" s="643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627"/>
      <c r="K1952" s="13"/>
    </row>
    <row r="1953" spans="1:11" ht="15" customHeight="1" x14ac:dyDescent="0.3">
      <c r="A1953" s="655" t="s">
        <v>1582</v>
      </c>
      <c r="B1953" s="646" t="s">
        <v>216</v>
      </c>
      <c r="C1953" s="69">
        <v>120</v>
      </c>
      <c r="D1953" s="9" t="s">
        <v>1583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 x14ac:dyDescent="0.3">
      <c r="A1954" s="656"/>
      <c r="B1954" s="646"/>
      <c r="C1954" s="69"/>
      <c r="D1954" s="9" t="s">
        <v>1584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 x14ac:dyDescent="0.3">
      <c r="A1955" s="656"/>
      <c r="B1955" s="646"/>
      <c r="C1955" s="69"/>
      <c r="D1955" s="9" t="s">
        <v>1585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 x14ac:dyDescent="0.3">
      <c r="A1956" s="656"/>
      <c r="B1956" s="646"/>
      <c r="C1956" s="84"/>
      <c r="D1956" s="29" t="s">
        <v>1586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 x14ac:dyDescent="0.3">
      <c r="A1957" s="656"/>
      <c r="B1957" s="646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 x14ac:dyDescent="0.3">
      <c r="A1958" s="656"/>
      <c r="B1958" s="646"/>
      <c r="C1958" s="69">
        <v>250</v>
      </c>
      <c r="D1958" s="9" t="s">
        <v>1587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 x14ac:dyDescent="0.3">
      <c r="A1959" s="656"/>
      <c r="B1959" s="646"/>
      <c r="C1959" s="69"/>
      <c r="D1959" s="9" t="s">
        <v>1588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 x14ac:dyDescent="0.3">
      <c r="A1960" s="656"/>
      <c r="B1960" s="646"/>
      <c r="C1960" s="69"/>
      <c r="D1960" s="9" t="s">
        <v>1589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 x14ac:dyDescent="0.3">
      <c r="A1961" s="656"/>
      <c r="B1961" s="646"/>
      <c r="C1961" s="84"/>
      <c r="D1961" s="29" t="s">
        <v>1590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 x14ac:dyDescent="0.3">
      <c r="A1962" s="656"/>
      <c r="B1962" s="646"/>
      <c r="C1962" s="69">
        <v>350</v>
      </c>
      <c r="D1962" s="9" t="s">
        <v>1591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 x14ac:dyDescent="0.3">
      <c r="A1963" s="656"/>
      <c r="B1963" s="646"/>
      <c r="C1963" s="69"/>
      <c r="D1963" s="9" t="s">
        <v>1592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 x14ac:dyDescent="0.3">
      <c r="A1964" s="656"/>
      <c r="B1964" s="646"/>
      <c r="C1964" s="69"/>
      <c r="D1964" s="9" t="s">
        <v>1593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627"/>
      <c r="K1964" s="13"/>
    </row>
    <row r="1965" spans="1:11" ht="15" customHeight="1" x14ac:dyDescent="0.3">
      <c r="A1965" s="656"/>
      <c r="B1965" s="646"/>
      <c r="C1965" s="84"/>
      <c r="D1965" s="29" t="s">
        <v>1594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627"/>
      <c r="K1965" s="13"/>
    </row>
    <row r="1966" spans="1:11" ht="15" customHeight="1" x14ac:dyDescent="0.3">
      <c r="A1966" s="656"/>
      <c r="B1966" s="646" t="s">
        <v>1595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 x14ac:dyDescent="0.3">
      <c r="A1967" s="656"/>
      <c r="B1967" s="646"/>
      <c r="C1967" s="72"/>
      <c r="D1967" s="21" t="s">
        <v>1596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 x14ac:dyDescent="0.3">
      <c r="A1968" s="656"/>
      <c r="B1968" s="646"/>
      <c r="C1968" s="72"/>
      <c r="D1968" s="21" t="s">
        <v>1585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 x14ac:dyDescent="0.3">
      <c r="A1969" s="656"/>
      <c r="B1969" s="646"/>
      <c r="C1969" s="72"/>
      <c r="D1969" s="21" t="s">
        <v>1586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 x14ac:dyDescent="0.3">
      <c r="A1970" s="656"/>
      <c r="B1970" s="646"/>
      <c r="C1970" s="72">
        <v>250</v>
      </c>
      <c r="D1970" s="21" t="s">
        <v>1597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 x14ac:dyDescent="0.3">
      <c r="A1971" s="656"/>
      <c r="B1971" s="646"/>
      <c r="C1971" s="72">
        <v>350</v>
      </c>
      <c r="D1971" s="21" t="s">
        <v>1598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 x14ac:dyDescent="0.3">
      <c r="A1972" s="656"/>
      <c r="B1972" s="646"/>
      <c r="C1972" s="72"/>
      <c r="D1972" s="21" t="s">
        <v>1593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627"/>
      <c r="K1972" s="13"/>
    </row>
    <row r="1973" spans="1:11" ht="15" customHeight="1" x14ac:dyDescent="0.3">
      <c r="A1973" s="657"/>
      <c r="B1973" s="646"/>
      <c r="C1973" s="72"/>
      <c r="D1973" s="21" t="s">
        <v>1594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627"/>
      <c r="K1973" s="13"/>
    </row>
    <row r="1974" spans="1:11" ht="15" customHeight="1" x14ac:dyDescent="0.3">
      <c r="A1974" s="646" t="s">
        <v>1599</v>
      </c>
      <c r="B1974" s="646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627"/>
      <c r="K1974" s="13"/>
    </row>
    <row r="1975" spans="1:11" ht="15" customHeight="1" x14ac:dyDescent="0.3">
      <c r="A1975" s="646"/>
      <c r="B1975" s="646"/>
      <c r="C1975" s="72">
        <v>250</v>
      </c>
      <c r="D1975" s="21" t="s">
        <v>1600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627"/>
      <c r="K1975" s="13"/>
    </row>
    <row r="1976" spans="1:11" ht="15" customHeight="1" x14ac:dyDescent="0.3">
      <c r="A1976" s="649" t="s">
        <v>1601</v>
      </c>
      <c r="B1976" s="646" t="s">
        <v>263</v>
      </c>
      <c r="C1976" s="84">
        <v>120</v>
      </c>
      <c r="D1976" s="29" t="s">
        <v>1602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 x14ac:dyDescent="0.3">
      <c r="A1977" s="650"/>
      <c r="B1977" s="646"/>
      <c r="C1977" s="84"/>
      <c r="D1977" s="29" t="s">
        <v>1603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 x14ac:dyDescent="0.3">
      <c r="A1978" s="650"/>
      <c r="B1978" s="646"/>
      <c r="C1978" s="84"/>
      <c r="D1978" s="29" t="s">
        <v>1604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 x14ac:dyDescent="0.3">
      <c r="A1979" s="650"/>
      <c r="B1979" s="646"/>
      <c r="C1979" s="84"/>
      <c r="D1979" s="29" t="s">
        <v>1605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 x14ac:dyDescent="0.3">
      <c r="A1980" s="650"/>
      <c r="B1980" s="646"/>
      <c r="C1980" s="84"/>
      <c r="D1980" s="29" t="s">
        <v>1606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 x14ac:dyDescent="0.3">
      <c r="A1981" s="650"/>
      <c r="B1981" s="646"/>
      <c r="C1981" s="84"/>
      <c r="D1981" s="29" t="s">
        <v>1607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 x14ac:dyDescent="0.3">
      <c r="A1982" s="650"/>
      <c r="B1982" s="646"/>
      <c r="C1982" s="84">
        <v>270</v>
      </c>
      <c r="D1982" s="29" t="s">
        <v>1602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 x14ac:dyDescent="0.3">
      <c r="A1983" s="650"/>
      <c r="B1983" s="646"/>
      <c r="C1983" s="84"/>
      <c r="D1983" s="29" t="s">
        <v>1608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 x14ac:dyDescent="0.3">
      <c r="A1984" s="650"/>
      <c r="B1984" s="646"/>
      <c r="C1984" s="84"/>
      <c r="D1984" s="29" t="s">
        <v>1609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 x14ac:dyDescent="0.3">
      <c r="A1985" s="650"/>
      <c r="B1985" s="646"/>
      <c r="C1985" s="84"/>
      <c r="D1985" s="29" t="s">
        <v>1610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 x14ac:dyDescent="0.3">
      <c r="A1986" s="650"/>
      <c r="B1986" s="646"/>
      <c r="C1986" s="84"/>
      <c r="D1986" s="29" t="s">
        <v>1611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 x14ac:dyDescent="0.3">
      <c r="A1987" s="650"/>
      <c r="B1987" s="646"/>
      <c r="C1987" s="84"/>
      <c r="D1987" s="29" t="s">
        <v>1612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 x14ac:dyDescent="0.3">
      <c r="A1988" s="650"/>
      <c r="B1988" s="646"/>
      <c r="C1988" s="84">
        <v>350</v>
      </c>
      <c r="D1988" s="29" t="s">
        <v>1602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 x14ac:dyDescent="0.3">
      <c r="A1989" s="650"/>
      <c r="B1989" s="646"/>
      <c r="C1989" s="84"/>
      <c r="D1989" s="29" t="s">
        <v>1608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 x14ac:dyDescent="0.3">
      <c r="A1990" s="650"/>
      <c r="B1990" s="646"/>
      <c r="C1990" s="84"/>
      <c r="D1990" s="29" t="s">
        <v>1609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 x14ac:dyDescent="0.3">
      <c r="A1991" s="650"/>
      <c r="B1991" s="646"/>
      <c r="C1991" s="84"/>
      <c r="D1991" s="29" t="s">
        <v>1610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 x14ac:dyDescent="0.3">
      <c r="A1992" s="650"/>
      <c r="B1992" s="646"/>
      <c r="C1992" s="84"/>
      <c r="D1992" s="29" t="s">
        <v>1611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627"/>
      <c r="K1992" s="13"/>
    </row>
    <row r="1993" spans="1:11" ht="15" customHeight="1" x14ac:dyDescent="0.3">
      <c r="A1993" s="650"/>
      <c r="B1993" s="646"/>
      <c r="C1993" s="84"/>
      <c r="D1993" s="29" t="s">
        <v>1612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627"/>
      <c r="K1993" s="13"/>
    </row>
    <row r="1994" spans="1:11" ht="15" customHeight="1" x14ac:dyDescent="0.3">
      <c r="A1994" s="650"/>
      <c r="B1994" s="652" t="s">
        <v>644</v>
      </c>
      <c r="C1994" s="69">
        <v>120</v>
      </c>
      <c r="D1994" s="9" t="s">
        <v>1613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 x14ac:dyDescent="0.3">
      <c r="A1995" s="650"/>
      <c r="B1995" s="653"/>
      <c r="C1995" s="69">
        <v>270</v>
      </c>
      <c r="D1995" s="9" t="s">
        <v>1614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 x14ac:dyDescent="0.3">
      <c r="A1996" s="650"/>
      <c r="B1996" s="653"/>
      <c r="C1996" s="69"/>
      <c r="D1996" s="9" t="s">
        <v>1613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 x14ac:dyDescent="0.3">
      <c r="A1997" s="650"/>
      <c r="B1997" s="653"/>
      <c r="C1997" s="69">
        <v>350</v>
      </c>
      <c r="D1997" s="9" t="s">
        <v>1614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627"/>
      <c r="K1997" s="13"/>
    </row>
    <row r="1998" spans="1:11" ht="15" customHeight="1" x14ac:dyDescent="0.3">
      <c r="A1998" s="651"/>
      <c r="B1998" s="654"/>
      <c r="C1998" s="69"/>
      <c r="D1998" s="9" t="s">
        <v>1613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627"/>
      <c r="K1998" s="13"/>
    </row>
    <row r="1999" spans="1:11" ht="15" customHeight="1" x14ac:dyDescent="0.3">
      <c r="A1999" s="639" t="s">
        <v>1615</v>
      </c>
      <c r="B1999" s="639" t="s">
        <v>216</v>
      </c>
      <c r="C1999" s="30">
        <v>203</v>
      </c>
      <c r="D1999" s="29" t="s">
        <v>1616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626">
        <v>236</v>
      </c>
      <c r="K1999" s="13"/>
    </row>
    <row r="2000" spans="1:11" ht="15" customHeight="1" x14ac:dyDescent="0.3">
      <c r="A2000" s="640"/>
      <c r="B2000" s="640"/>
      <c r="C2000" s="30">
        <v>302</v>
      </c>
      <c r="D2000" s="29" t="s">
        <v>1617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626">
        <v>361</v>
      </c>
      <c r="K2000" s="13"/>
    </row>
    <row r="2001" spans="1:11" ht="15" customHeight="1" x14ac:dyDescent="0.3">
      <c r="A2001" s="640"/>
      <c r="B2001" s="640"/>
      <c r="C2001" s="30">
        <v>349</v>
      </c>
      <c r="D2001" s="29" t="s">
        <v>1618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626">
        <v>418</v>
      </c>
      <c r="K2001" s="13"/>
    </row>
    <row r="2002" spans="1:11" ht="15" customHeight="1" x14ac:dyDescent="0.3">
      <c r="A2002" s="640"/>
      <c r="B2002" s="640"/>
      <c r="C2002" s="30">
        <v>407</v>
      </c>
      <c r="D2002" s="29" t="s">
        <v>1619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626">
        <v>492</v>
      </c>
      <c r="K2002" s="13"/>
    </row>
    <row r="2003" spans="1:11" ht="15" customHeight="1" x14ac:dyDescent="0.3">
      <c r="A2003" s="640"/>
      <c r="B2003" s="640"/>
      <c r="C2003" s="30">
        <v>465</v>
      </c>
      <c r="D2003" s="29" t="s">
        <v>1620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626">
        <v>564</v>
      </c>
      <c r="K2003" s="13"/>
    </row>
    <row r="2004" spans="1:11" ht="15" customHeight="1" x14ac:dyDescent="0.3">
      <c r="A2004" s="640"/>
      <c r="B2004" s="640"/>
      <c r="C2004" s="20">
        <v>203</v>
      </c>
      <c r="D2004" s="21" t="s">
        <v>1574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626">
        <v>236</v>
      </c>
      <c r="K2004" s="13"/>
    </row>
    <row r="2005" spans="1:11" ht="15" customHeight="1" x14ac:dyDescent="0.3">
      <c r="A2005" s="640"/>
      <c r="B2005" s="640"/>
      <c r="C2005" s="33">
        <v>302</v>
      </c>
      <c r="D2005" s="21" t="s">
        <v>1621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626">
        <v>361</v>
      </c>
      <c r="K2005" s="13"/>
    </row>
    <row r="2006" spans="1:11" ht="15" customHeight="1" x14ac:dyDescent="0.3">
      <c r="A2006" s="640"/>
      <c r="B2006" s="640"/>
      <c r="C2006" s="33"/>
      <c r="D2006" s="21" t="s">
        <v>1622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626">
        <v>361</v>
      </c>
      <c r="K2006" s="13"/>
    </row>
    <row r="2007" spans="1:11" ht="15" customHeight="1" x14ac:dyDescent="0.3">
      <c r="A2007" s="640"/>
      <c r="B2007" s="640"/>
      <c r="C2007" s="33">
        <v>349</v>
      </c>
      <c r="D2007" s="21" t="s">
        <v>1623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626">
        <v>418</v>
      </c>
      <c r="K2007" s="13"/>
    </row>
    <row r="2008" spans="1:11" ht="15" customHeight="1" x14ac:dyDescent="0.3">
      <c r="A2008" s="641"/>
      <c r="B2008" s="641"/>
      <c r="C2008" s="33">
        <v>465</v>
      </c>
      <c r="D2008" s="21" t="s">
        <v>1624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626">
        <v>564</v>
      </c>
      <c r="K2008" s="13"/>
    </row>
    <row r="2009" spans="1:11" ht="15" customHeight="1" x14ac:dyDescent="0.3">
      <c r="A2009" s="645" t="s">
        <v>1625</v>
      </c>
      <c r="B2009" s="639" t="s">
        <v>644</v>
      </c>
      <c r="C2009" s="33">
        <v>100</v>
      </c>
      <c r="D2009" s="21" t="s">
        <v>1626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627"/>
      <c r="K2009" s="13"/>
    </row>
    <row r="2010" spans="1:11" ht="15" customHeight="1" x14ac:dyDescent="0.3">
      <c r="A2010" s="648"/>
      <c r="B2010" s="641"/>
      <c r="C2010" s="33">
        <v>120</v>
      </c>
      <c r="D2010" s="21" t="s">
        <v>1626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627"/>
      <c r="K2010" s="13"/>
    </row>
    <row r="2011" spans="1:11" ht="15" customHeight="1" x14ac:dyDescent="0.3">
      <c r="A2011" s="15" t="s">
        <v>1627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627"/>
      <c r="K2011" s="13"/>
    </row>
    <row r="2012" spans="1:11" ht="15" customHeight="1" x14ac:dyDescent="0.3">
      <c r="A2012" s="644" t="s">
        <v>1628</v>
      </c>
      <c r="B2012" s="643" t="s">
        <v>1629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627"/>
      <c r="K2012" s="13"/>
    </row>
    <row r="2013" spans="1:11" ht="15" customHeight="1" x14ac:dyDescent="0.3">
      <c r="A2013" s="644"/>
      <c r="B2013" s="643"/>
      <c r="C2013" s="33"/>
      <c r="D2013" s="21" t="s">
        <v>1630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 x14ac:dyDescent="0.3">
      <c r="A2014" s="645" t="s">
        <v>1631</v>
      </c>
      <c r="B2014" s="639" t="s">
        <v>383</v>
      </c>
      <c r="C2014" s="33">
        <v>140</v>
      </c>
      <c r="D2014" s="21" t="s">
        <v>1632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627"/>
      <c r="K2014" s="13"/>
    </row>
    <row r="2015" spans="1:11" ht="15" customHeight="1" x14ac:dyDescent="0.3">
      <c r="A2015" s="647"/>
      <c r="B2015" s="640"/>
      <c r="C2015" s="33"/>
      <c r="D2015" s="21" t="s">
        <v>1633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 x14ac:dyDescent="0.3">
      <c r="A2016" s="647"/>
      <c r="B2016" s="640"/>
      <c r="C2016" s="33"/>
      <c r="D2016" s="21" t="s">
        <v>1634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 x14ac:dyDescent="0.3">
      <c r="A2017" s="647"/>
      <c r="B2017" s="640"/>
      <c r="C2017" s="33"/>
      <c r="D2017" s="21" t="s">
        <v>1635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 x14ac:dyDescent="0.3">
      <c r="A2018" s="647"/>
      <c r="B2018" s="643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627"/>
      <c r="K2018" s="13"/>
    </row>
    <row r="2019" spans="1:11" ht="15" customHeight="1" x14ac:dyDescent="0.3">
      <c r="A2019" s="648"/>
      <c r="B2019" s="643"/>
      <c r="C2019" s="33"/>
      <c r="D2019" s="21"/>
      <c r="E2019" s="3">
        <v>0</v>
      </c>
      <c r="G2019" s="8"/>
      <c r="H2019" s="11"/>
      <c r="I2019" s="12"/>
      <c r="J2019" s="627"/>
      <c r="K2019" s="13"/>
    </row>
    <row r="2020" spans="1:11" ht="15" customHeight="1" x14ac:dyDescent="0.3">
      <c r="A2020" s="644" t="s">
        <v>1636</v>
      </c>
      <c r="B2020" s="643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627">
        <v>110</v>
      </c>
      <c r="K2020" s="13"/>
    </row>
    <row r="2021" spans="1:11" ht="15" customHeight="1" x14ac:dyDescent="0.3">
      <c r="A2021" s="644"/>
      <c r="B2021" s="643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627">
        <v>150</v>
      </c>
      <c r="K2021" s="13"/>
    </row>
    <row r="2022" spans="1:11" ht="15" customHeight="1" x14ac:dyDescent="0.3">
      <c r="A2022" s="645" t="s">
        <v>1637</v>
      </c>
      <c r="B2022" s="639" t="s">
        <v>25</v>
      </c>
      <c r="C2022" s="7">
        <v>116</v>
      </c>
      <c r="D2022" s="9" t="s">
        <v>1638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627"/>
      <c r="K2022" s="13"/>
    </row>
    <row r="2023" spans="1:11" ht="15" customHeight="1" x14ac:dyDescent="0.3">
      <c r="A2023" s="647"/>
      <c r="B2023" s="640"/>
      <c r="C2023" s="7"/>
      <c r="D2023" s="9" t="s">
        <v>1639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 x14ac:dyDescent="0.3">
      <c r="A2024" s="647"/>
      <c r="B2024" s="640"/>
      <c r="C2024" s="7"/>
      <c r="D2024" s="9" t="s">
        <v>1640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 x14ac:dyDescent="0.3">
      <c r="A2025" s="647"/>
      <c r="B2025" s="640"/>
      <c r="C2025" s="33"/>
      <c r="D2025" s="21" t="s">
        <v>1641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 x14ac:dyDescent="0.3">
      <c r="A2026" s="647"/>
      <c r="B2026" s="640"/>
      <c r="C2026" s="33"/>
      <c r="D2026" s="21" t="s">
        <v>1642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 x14ac:dyDescent="0.3">
      <c r="A2027" s="647"/>
      <c r="B2027" s="640"/>
      <c r="C2027" s="33"/>
      <c r="D2027" s="21" t="s">
        <v>1643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 x14ac:dyDescent="0.3">
      <c r="A2028" s="647"/>
      <c r="B2028" s="640"/>
      <c r="C2028" s="33"/>
      <c r="D2028" s="21" t="s">
        <v>1644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 x14ac:dyDescent="0.3">
      <c r="A2029" s="647"/>
      <c r="B2029" s="640"/>
      <c r="C2029" s="33"/>
      <c r="D2029" s="21" t="s">
        <v>1645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 x14ac:dyDescent="0.3">
      <c r="A2030" s="648"/>
      <c r="B2030" s="641"/>
      <c r="C2030" s="20">
        <v>151</v>
      </c>
      <c r="D2030" s="21" t="s">
        <v>1646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 x14ac:dyDescent="0.3">
      <c r="A2031" s="643" t="s">
        <v>1647</v>
      </c>
      <c r="B2031" s="643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 x14ac:dyDescent="0.3">
      <c r="A2032" s="643"/>
      <c r="B2032" s="643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 x14ac:dyDescent="0.3">
      <c r="A2033" s="643"/>
      <c r="B2033" s="643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627"/>
      <c r="K2033" s="13"/>
    </row>
    <row r="2034" spans="1:11" ht="15" customHeight="1" x14ac:dyDescent="0.3">
      <c r="A2034" s="643"/>
      <c r="B2034" s="643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 x14ac:dyDescent="0.3">
      <c r="A2035" s="639" t="s">
        <v>1648</v>
      </c>
      <c r="B2035" s="7" t="s">
        <v>1649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 x14ac:dyDescent="0.3">
      <c r="A2036" s="641"/>
      <c r="B2036" s="7" t="s">
        <v>1650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 x14ac:dyDescent="0.3">
      <c r="A2037" s="644" t="s">
        <v>1651</v>
      </c>
      <c r="B2037" s="643" t="s">
        <v>221</v>
      </c>
      <c r="C2037" s="33">
        <v>79.599999999999994</v>
      </c>
      <c r="D2037" s="21" t="s">
        <v>1652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 x14ac:dyDescent="0.3">
      <c r="A2038" s="644"/>
      <c r="B2038" s="643"/>
      <c r="C2038" s="33"/>
      <c r="D2038" s="21" t="s">
        <v>1653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 x14ac:dyDescent="0.3">
      <c r="A2039" s="644"/>
      <c r="B2039" s="643"/>
      <c r="C2039" s="33"/>
      <c r="D2039" s="21" t="s">
        <v>1654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 x14ac:dyDescent="0.3">
      <c r="A2040" s="644"/>
      <c r="B2040" s="643"/>
      <c r="C2040" s="33">
        <v>120</v>
      </c>
      <c r="D2040" s="21" t="s">
        <v>1655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 x14ac:dyDescent="0.3">
      <c r="A2041" s="639" t="s">
        <v>1656</v>
      </c>
      <c r="B2041" s="639" t="s">
        <v>221</v>
      </c>
      <c r="C2041" s="33">
        <v>52</v>
      </c>
      <c r="D2041" s="21" t="s">
        <v>1657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627"/>
      <c r="K2041" s="13"/>
    </row>
    <row r="2042" spans="1:11" ht="15" customHeight="1" x14ac:dyDescent="0.3">
      <c r="A2042" s="641"/>
      <c r="B2042" s="641"/>
      <c r="C2042" s="33">
        <v>52</v>
      </c>
      <c r="D2042" s="21" t="s">
        <v>1658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627"/>
      <c r="K2042" s="13"/>
    </row>
    <row r="2043" spans="1:11" s="1" customFormat="1" ht="15" customHeight="1" x14ac:dyDescent="0.3">
      <c r="A2043" s="644" t="s">
        <v>1659</v>
      </c>
      <c r="B2043" s="643" t="s">
        <v>221</v>
      </c>
      <c r="C2043" s="7">
        <v>105</v>
      </c>
      <c r="D2043" s="9" t="s">
        <v>1660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627"/>
      <c r="K2043" s="13"/>
    </row>
    <row r="2044" spans="1:11" s="1" customFormat="1" ht="15" customHeight="1" x14ac:dyDescent="0.3">
      <c r="A2044" s="643"/>
      <c r="B2044" s="643"/>
      <c r="C2044" s="7"/>
      <c r="D2044" s="9" t="s">
        <v>1661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 x14ac:dyDescent="0.3">
      <c r="A2045" s="643"/>
      <c r="B2045" s="643"/>
      <c r="C2045" s="7"/>
      <c r="D2045" s="9" t="s">
        <v>1662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 x14ac:dyDescent="0.3">
      <c r="A2046" s="643"/>
      <c r="B2046" s="643"/>
      <c r="C2046" s="7">
        <v>186</v>
      </c>
      <c r="D2046" s="9" t="s">
        <v>1660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 x14ac:dyDescent="0.3">
      <c r="A2047" s="643"/>
      <c r="B2047" s="643"/>
      <c r="C2047" s="7"/>
      <c r="D2047" s="9" t="s">
        <v>1661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627"/>
      <c r="K2047" s="13"/>
    </row>
    <row r="2048" spans="1:11" s="1" customFormat="1" ht="15" customHeight="1" x14ac:dyDescent="0.3">
      <c r="A2048" s="643"/>
      <c r="B2048" s="643"/>
      <c r="C2048" s="7"/>
      <c r="D2048" s="9" t="s">
        <v>1662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627"/>
      <c r="K2048" s="13"/>
    </row>
    <row r="2049" spans="1:11" ht="15" customHeight="1" x14ac:dyDescent="0.3">
      <c r="A2049" s="643" t="s">
        <v>1663</v>
      </c>
      <c r="B2049" s="643" t="s">
        <v>1664</v>
      </c>
      <c r="C2049" s="33">
        <v>120</v>
      </c>
      <c r="D2049" s="21" t="s">
        <v>1252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627"/>
      <c r="K2049" s="13"/>
    </row>
    <row r="2050" spans="1:11" ht="15" customHeight="1" x14ac:dyDescent="0.3">
      <c r="A2050" s="643"/>
      <c r="B2050" s="643"/>
      <c r="C2050" s="33">
        <v>290</v>
      </c>
      <c r="D2050" s="21" t="s">
        <v>1665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627"/>
      <c r="K2050" s="13"/>
    </row>
    <row r="2051" spans="1:11" ht="15" customHeight="1" x14ac:dyDescent="0.3">
      <c r="A2051" s="643"/>
      <c r="B2051" s="643"/>
      <c r="C2051" s="33"/>
      <c r="D2051" s="21" t="s">
        <v>1666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627"/>
      <c r="K2051" s="13"/>
    </row>
    <row r="2052" spans="1:11" s="1" customFormat="1" ht="15" customHeight="1" x14ac:dyDescent="0.3">
      <c r="A2052" s="643" t="s">
        <v>1667</v>
      </c>
      <c r="B2052" s="643" t="s">
        <v>1668</v>
      </c>
      <c r="C2052" s="7">
        <v>120</v>
      </c>
      <c r="D2052" s="9" t="s">
        <v>1669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627"/>
      <c r="K2052" s="13"/>
    </row>
    <row r="2053" spans="1:11" s="1" customFormat="1" ht="15" customHeight="1" x14ac:dyDescent="0.3">
      <c r="A2053" s="643"/>
      <c r="B2053" s="643"/>
      <c r="C2053" s="7"/>
      <c r="D2053" s="9" t="s">
        <v>1670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627"/>
      <c r="K2053" s="13"/>
    </row>
    <row r="2054" spans="1:11" s="1" customFormat="1" ht="15" customHeight="1" x14ac:dyDescent="0.3">
      <c r="A2054" s="643"/>
      <c r="B2054" s="643"/>
      <c r="C2054" s="7"/>
      <c r="D2054" s="9" t="s">
        <v>1671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627"/>
      <c r="K2054" s="13"/>
    </row>
    <row r="2055" spans="1:11" s="1" customFormat="1" ht="15" customHeight="1" x14ac:dyDescent="0.3">
      <c r="A2055" s="643"/>
      <c r="B2055" s="643"/>
      <c r="C2055" s="7"/>
      <c r="D2055" s="9" t="s">
        <v>1672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627"/>
      <c r="K2055" s="13"/>
    </row>
    <row r="2056" spans="1:11" s="1" customFormat="1" ht="15" customHeight="1" x14ac:dyDescent="0.3">
      <c r="A2056" s="643"/>
      <c r="B2056" s="643"/>
      <c r="C2056" s="7"/>
      <c r="D2056" s="9" t="s">
        <v>1673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627"/>
      <c r="K2056" s="13"/>
    </row>
    <row r="2057" spans="1:11" s="1" customFormat="1" ht="15" customHeight="1" x14ac:dyDescent="0.3">
      <c r="A2057" s="643"/>
      <c r="B2057" s="643"/>
      <c r="C2057" s="7"/>
      <c r="D2057" s="9" t="s">
        <v>1674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627"/>
      <c r="K2057" s="13"/>
    </row>
    <row r="2058" spans="1:11" s="1" customFormat="1" ht="15" customHeight="1" x14ac:dyDescent="0.3">
      <c r="A2058" s="643"/>
      <c r="B2058" s="643"/>
      <c r="C2058" s="7"/>
      <c r="D2058" s="9" t="s">
        <v>1675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627"/>
      <c r="K2058" s="13"/>
    </row>
    <row r="2059" spans="1:11" s="1" customFormat="1" ht="15" customHeight="1" x14ac:dyDescent="0.3">
      <c r="A2059" s="643"/>
      <c r="B2059" s="643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627"/>
      <c r="K2059" s="13"/>
    </row>
    <row r="2060" spans="1:11" s="1" customFormat="1" ht="15" customHeight="1" x14ac:dyDescent="0.3">
      <c r="A2060" s="643"/>
      <c r="B2060" s="643"/>
      <c r="C2060" s="7"/>
      <c r="D2060" s="9" t="s">
        <v>1676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 x14ac:dyDescent="0.3">
      <c r="A2061" s="643"/>
      <c r="B2061" s="643"/>
      <c r="C2061" s="7"/>
      <c r="D2061" s="9" t="s">
        <v>1677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 x14ac:dyDescent="0.3">
      <c r="A2062" s="643"/>
      <c r="B2062" s="643"/>
      <c r="C2062" s="7"/>
      <c r="D2062" s="9" t="s">
        <v>1678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627"/>
      <c r="K2062" s="13"/>
    </row>
    <row r="2063" spans="1:11" ht="15" customHeight="1" x14ac:dyDescent="0.3">
      <c r="A2063" s="643"/>
      <c r="B2063" s="643" t="s">
        <v>562</v>
      </c>
      <c r="C2063" s="7">
        <v>120</v>
      </c>
      <c r="D2063" s="9" t="s">
        <v>1679</v>
      </c>
      <c r="E2063" s="3">
        <v>0</v>
      </c>
      <c r="G2063" s="8">
        <v>120</v>
      </c>
      <c r="H2063" s="11"/>
      <c r="I2063" s="12"/>
      <c r="J2063" s="627"/>
      <c r="K2063" s="13"/>
    </row>
    <row r="2064" spans="1:11" ht="15" customHeight="1" x14ac:dyDescent="0.3">
      <c r="A2064" s="643"/>
      <c r="B2064" s="643"/>
      <c r="C2064" s="7"/>
      <c r="D2064" s="9" t="s">
        <v>1680</v>
      </c>
      <c r="E2064" s="3">
        <v>0</v>
      </c>
      <c r="G2064" s="8"/>
      <c r="H2064" s="11"/>
      <c r="I2064" s="12"/>
      <c r="J2064" s="627"/>
      <c r="K2064" s="13"/>
    </row>
    <row r="2065" spans="1:11" ht="15" customHeight="1" x14ac:dyDescent="0.3">
      <c r="A2065" s="644" t="s">
        <v>1681</v>
      </c>
      <c r="B2065" s="643" t="s">
        <v>1682</v>
      </c>
      <c r="C2065" s="33">
        <v>17</v>
      </c>
      <c r="D2065" s="21" t="s">
        <v>1683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627"/>
      <c r="K2065" s="13"/>
    </row>
    <row r="2066" spans="1:11" ht="15" customHeight="1" x14ac:dyDescent="0.3">
      <c r="A2066" s="644"/>
      <c r="B2066" s="643"/>
      <c r="C2066" s="33"/>
      <c r="D2066" s="21" t="s">
        <v>1684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627"/>
      <c r="K2066" s="13"/>
    </row>
    <row r="2067" spans="1:11" ht="15" customHeight="1" x14ac:dyDescent="0.3">
      <c r="A2067" s="644"/>
      <c r="B2067" s="639" t="s">
        <v>637</v>
      </c>
      <c r="C2067" s="20">
        <v>30</v>
      </c>
      <c r="D2067" s="21" t="s">
        <v>1685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627"/>
      <c r="K2067" s="13"/>
    </row>
    <row r="2068" spans="1:11" ht="15" customHeight="1" x14ac:dyDescent="0.3">
      <c r="A2068" s="644"/>
      <c r="B2068" s="641"/>
      <c r="C2068" s="20">
        <v>32</v>
      </c>
      <c r="D2068" s="21" t="s">
        <v>1686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627"/>
      <c r="K2068" s="13"/>
    </row>
    <row r="2069" spans="1:11" ht="15" customHeight="1" x14ac:dyDescent="0.3">
      <c r="A2069" s="644"/>
      <c r="B2069" s="643" t="s">
        <v>1687</v>
      </c>
      <c r="C2069" s="33">
        <v>25</v>
      </c>
      <c r="D2069" s="21" t="s">
        <v>1688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627"/>
      <c r="K2069" s="13"/>
    </row>
    <row r="2070" spans="1:11" ht="15" customHeight="1" x14ac:dyDescent="0.3">
      <c r="A2070" s="644"/>
      <c r="B2070" s="643"/>
      <c r="C2070" s="33"/>
      <c r="D2070" s="21" t="s">
        <v>1689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627"/>
      <c r="K2070" s="13"/>
    </row>
    <row r="2071" spans="1:11" ht="15" customHeight="1" x14ac:dyDescent="0.3">
      <c r="A2071" s="644"/>
      <c r="B2071" s="643"/>
      <c r="C2071" s="33"/>
      <c r="D2071" s="21" t="s">
        <v>1690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627"/>
      <c r="K2071" s="13"/>
    </row>
    <row r="2072" spans="1:11" ht="15" customHeight="1" x14ac:dyDescent="0.3">
      <c r="A2072" s="644"/>
      <c r="B2072" s="643" t="s">
        <v>31</v>
      </c>
      <c r="C2072" s="33">
        <v>19</v>
      </c>
      <c r="D2072" s="21" t="s">
        <v>1691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627"/>
      <c r="K2072" s="13"/>
    </row>
    <row r="2073" spans="1:11" ht="15" customHeight="1" x14ac:dyDescent="0.3">
      <c r="A2073" s="644"/>
      <c r="B2073" s="643"/>
      <c r="C2073" s="33"/>
      <c r="D2073" s="21" t="s">
        <v>1692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627"/>
      <c r="K2073" s="13"/>
    </row>
    <row r="2074" spans="1:11" ht="15" customHeight="1" x14ac:dyDescent="0.3">
      <c r="A2074" s="644"/>
      <c r="B2074" s="639" t="s">
        <v>1693</v>
      </c>
      <c r="C2074" s="20">
        <v>20</v>
      </c>
      <c r="D2074" s="21" t="s">
        <v>1694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627"/>
      <c r="K2074" s="13"/>
    </row>
    <row r="2075" spans="1:11" ht="15" customHeight="1" x14ac:dyDescent="0.3">
      <c r="A2075" s="644"/>
      <c r="B2075" s="641"/>
      <c r="C2075" s="33"/>
      <c r="D2075" s="21" t="s">
        <v>1695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627"/>
      <c r="K2075" s="13"/>
    </row>
    <row r="2076" spans="1:11" ht="15" customHeight="1" x14ac:dyDescent="0.3">
      <c r="A2076" s="642" t="s">
        <v>1696</v>
      </c>
      <c r="B2076" s="644" t="s">
        <v>221</v>
      </c>
      <c r="C2076" s="7">
        <v>116</v>
      </c>
      <c r="D2076" s="9" t="s">
        <v>1697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 x14ac:dyDescent="0.3">
      <c r="A2077" s="642"/>
      <c r="B2077" s="644"/>
      <c r="C2077" s="7"/>
      <c r="D2077" s="9" t="s">
        <v>1698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627"/>
      <c r="K2077" s="13"/>
    </row>
    <row r="2078" spans="1:11" ht="15" customHeight="1" x14ac:dyDescent="0.3">
      <c r="A2078" s="642"/>
      <c r="B2078" s="644"/>
      <c r="C2078" s="7"/>
      <c r="D2078" s="9" t="s">
        <v>1699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627"/>
      <c r="K2078" s="13"/>
    </row>
    <row r="2079" spans="1:11" ht="15" customHeight="1" x14ac:dyDescent="0.3">
      <c r="A2079" s="642"/>
      <c r="B2079" s="644"/>
      <c r="C2079" s="7"/>
      <c r="D2079" s="9" t="s">
        <v>1700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627"/>
      <c r="K2079" s="13"/>
    </row>
    <row r="2080" spans="1:11" ht="15" customHeight="1" x14ac:dyDescent="0.3">
      <c r="A2080" s="642"/>
      <c r="B2080" s="644"/>
      <c r="C2080" s="7"/>
      <c r="D2080" s="9" t="s">
        <v>1701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627"/>
      <c r="K2080" s="13"/>
    </row>
    <row r="2081" spans="1:11" ht="15" customHeight="1" x14ac:dyDescent="0.3">
      <c r="A2081" s="642"/>
      <c r="B2081" s="644"/>
      <c r="C2081" s="7"/>
      <c r="D2081" s="9" t="s">
        <v>1702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627"/>
      <c r="K2081" s="13"/>
    </row>
    <row r="2082" spans="1:11" ht="15" customHeight="1" x14ac:dyDescent="0.3">
      <c r="A2082" s="642"/>
      <c r="B2082" s="644"/>
      <c r="C2082" s="7"/>
      <c r="D2082" s="9" t="s">
        <v>1703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627"/>
      <c r="K2082" s="13"/>
    </row>
    <row r="2083" spans="1:11" ht="15" customHeight="1" x14ac:dyDescent="0.3">
      <c r="A2083" s="642"/>
      <c r="B2083" s="644"/>
      <c r="C2083" s="7">
        <v>198</v>
      </c>
      <c r="D2083" s="9" t="s">
        <v>1697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627"/>
      <c r="K2083" s="13"/>
    </row>
    <row r="2084" spans="1:11" ht="15" customHeight="1" x14ac:dyDescent="0.3">
      <c r="A2084" s="642"/>
      <c r="B2084" s="644"/>
      <c r="C2084" s="7"/>
      <c r="D2084" s="9" t="s">
        <v>1698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 x14ac:dyDescent="0.3">
      <c r="A2085" s="642"/>
      <c r="B2085" s="644"/>
      <c r="C2085" s="7"/>
      <c r="D2085" s="9" t="s">
        <v>1699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 x14ac:dyDescent="0.3">
      <c r="A2086" s="642"/>
      <c r="B2086" s="644"/>
      <c r="C2086" s="7"/>
      <c r="D2086" s="9" t="s">
        <v>1700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 x14ac:dyDescent="0.3">
      <c r="A2087" s="642"/>
      <c r="B2087" s="644"/>
      <c r="C2087" s="7"/>
      <c r="D2087" s="9" t="s">
        <v>1701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 x14ac:dyDescent="0.3">
      <c r="A2088" s="642"/>
      <c r="B2088" s="644"/>
      <c r="C2088" s="7"/>
      <c r="D2088" s="9" t="s">
        <v>1702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 x14ac:dyDescent="0.3">
      <c r="A2089" s="642"/>
      <c r="B2089" s="644"/>
      <c r="C2089" s="7"/>
      <c r="D2089" s="9" t="s">
        <v>1703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 x14ac:dyDescent="0.3">
      <c r="A2090" s="642"/>
      <c r="B2090" s="644"/>
      <c r="C2090" s="7">
        <v>244</v>
      </c>
      <c r="D2090" s="9" t="s">
        <v>1697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 x14ac:dyDescent="0.3">
      <c r="A2091" s="642"/>
      <c r="B2091" s="644"/>
      <c r="C2091" s="7"/>
      <c r="D2091" s="9" t="s">
        <v>1704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 x14ac:dyDescent="0.3">
      <c r="A2092" s="642"/>
      <c r="B2092" s="644"/>
      <c r="C2092" s="7"/>
      <c r="D2092" s="9" t="s">
        <v>1705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 x14ac:dyDescent="0.3">
      <c r="A2093" s="642"/>
      <c r="B2093" s="644"/>
      <c r="C2093" s="7"/>
      <c r="D2093" s="9" t="s">
        <v>1706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 x14ac:dyDescent="0.3">
      <c r="A2094" s="642"/>
      <c r="B2094" s="644"/>
      <c r="C2094" s="7"/>
      <c r="D2094" s="9" t="s">
        <v>1707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 x14ac:dyDescent="0.3">
      <c r="A2095" s="642"/>
      <c r="B2095" s="644"/>
      <c r="C2095" s="16">
        <v>291</v>
      </c>
      <c r="D2095" s="29" t="s">
        <v>1697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 x14ac:dyDescent="0.3">
      <c r="A2096" s="643" t="s">
        <v>1708</v>
      </c>
      <c r="B2096" s="643" t="s">
        <v>25</v>
      </c>
      <c r="C2096" s="14">
        <v>110</v>
      </c>
      <c r="D2096" s="9" t="s">
        <v>1709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 x14ac:dyDescent="0.3">
      <c r="A2097" s="643"/>
      <c r="B2097" s="643"/>
      <c r="C2097" s="7"/>
      <c r="D2097" s="9" t="s">
        <v>1710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 x14ac:dyDescent="0.3">
      <c r="A2098" s="643"/>
      <c r="B2098" s="643"/>
      <c r="C2098" s="7"/>
      <c r="D2098" s="9" t="s">
        <v>1711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 x14ac:dyDescent="0.3">
      <c r="A2099" s="643"/>
      <c r="B2099" s="643"/>
      <c r="C2099" s="33"/>
      <c r="D2099" s="21" t="s">
        <v>1712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 x14ac:dyDescent="0.3">
      <c r="A2100" s="643"/>
      <c r="B2100" s="643"/>
      <c r="C2100" s="33"/>
      <c r="D2100" s="21" t="s">
        <v>1713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 x14ac:dyDescent="0.3">
      <c r="A2101" s="643"/>
      <c r="B2101" s="643"/>
      <c r="C2101" s="33"/>
      <c r="D2101" s="21" t="s">
        <v>1714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 x14ac:dyDescent="0.3">
      <c r="A2102" s="644" t="s">
        <v>1715</v>
      </c>
      <c r="B2102" s="643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 x14ac:dyDescent="0.3">
      <c r="A2103" s="644"/>
      <c r="B2103" s="643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 x14ac:dyDescent="0.3">
      <c r="A2104" s="644"/>
      <c r="B2104" s="643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 x14ac:dyDescent="0.3">
      <c r="A2105" s="644" t="s">
        <v>1716</v>
      </c>
      <c r="B2105" s="643" t="s">
        <v>1</v>
      </c>
      <c r="C2105" s="7">
        <v>227</v>
      </c>
      <c r="D2105" s="36" t="s">
        <v>1717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627"/>
      <c r="K2105" s="13"/>
    </row>
    <row r="2106" spans="1:11" ht="15" customHeight="1" x14ac:dyDescent="0.3">
      <c r="A2106" s="644"/>
      <c r="B2106" s="643"/>
      <c r="C2106" s="7"/>
      <c r="D2106" s="36" t="s">
        <v>1718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627"/>
      <c r="K2106" s="13"/>
    </row>
    <row r="2107" spans="1:11" ht="15" customHeight="1" x14ac:dyDescent="0.3">
      <c r="A2107" s="644"/>
      <c r="B2107" s="643"/>
      <c r="C2107" s="7"/>
      <c r="D2107" s="36" t="s">
        <v>1719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627"/>
      <c r="K2107" s="13"/>
    </row>
    <row r="2108" spans="1:11" ht="15" customHeight="1" x14ac:dyDescent="0.3">
      <c r="A2108" s="644"/>
      <c r="B2108" s="643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627"/>
      <c r="K2108" s="13"/>
    </row>
    <row r="2109" spans="1:11" ht="15" customHeight="1" x14ac:dyDescent="0.3">
      <c r="A2109" s="644"/>
      <c r="B2109" s="643"/>
      <c r="C2109" s="33"/>
      <c r="D2109" s="21" t="s">
        <v>1720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627"/>
      <c r="K2109" s="13"/>
    </row>
    <row r="2110" spans="1:11" ht="15" customHeight="1" x14ac:dyDescent="0.3">
      <c r="A2110" s="644"/>
      <c r="B2110" s="643"/>
      <c r="C2110" s="33"/>
      <c r="D2110" s="21" t="s">
        <v>1721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627"/>
      <c r="K2110" s="13"/>
    </row>
    <row r="2111" spans="1:11" ht="15" customHeight="1" x14ac:dyDescent="0.3">
      <c r="A2111" s="644"/>
      <c r="B2111" s="643"/>
      <c r="C2111" s="33"/>
      <c r="D2111" s="21" t="s">
        <v>1722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627"/>
      <c r="K2111" s="13"/>
    </row>
    <row r="2112" spans="1:11" ht="15" customHeight="1" x14ac:dyDescent="0.3">
      <c r="A2112" s="644"/>
      <c r="B2112" s="643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 x14ac:dyDescent="0.3">
      <c r="A2113" s="644"/>
      <c r="B2113" s="643"/>
      <c r="C2113" s="7"/>
      <c r="D2113" s="9" t="s">
        <v>1723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 x14ac:dyDescent="0.3">
      <c r="A2114" s="644" t="s">
        <v>1724</v>
      </c>
      <c r="B2114" s="643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627"/>
      <c r="K2114" s="13"/>
    </row>
    <row r="2115" spans="1:11" ht="15" customHeight="1" x14ac:dyDescent="0.3">
      <c r="A2115" s="644"/>
      <c r="B2115" s="643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627"/>
      <c r="K2115" s="13"/>
    </row>
    <row r="2116" spans="1:11" ht="15" customHeight="1" x14ac:dyDescent="0.3">
      <c r="A2116" s="644"/>
      <c r="B2116" s="643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627"/>
      <c r="K2116" s="13"/>
    </row>
    <row r="2117" spans="1:11" ht="15" customHeight="1" x14ac:dyDescent="0.3">
      <c r="A2117" s="644"/>
      <c r="B2117" s="643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627"/>
      <c r="K2117" s="13"/>
    </row>
    <row r="2118" spans="1:11" ht="15" customHeight="1" x14ac:dyDescent="0.3">
      <c r="A2118" s="644"/>
      <c r="B2118" s="643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627"/>
      <c r="K2118" s="13"/>
    </row>
    <row r="2119" spans="1:11" ht="15" customHeight="1" x14ac:dyDescent="0.3">
      <c r="A2119" s="644"/>
      <c r="B2119" s="643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627"/>
      <c r="K2119" s="13"/>
    </row>
    <row r="2120" spans="1:11" ht="15" customHeight="1" x14ac:dyDescent="0.3">
      <c r="A2120" s="644" t="s">
        <v>1725</v>
      </c>
      <c r="B2120" s="7" t="s">
        <v>904</v>
      </c>
      <c r="C2120" s="14">
        <v>390</v>
      </c>
      <c r="D2120" s="9" t="s">
        <v>1726</v>
      </c>
      <c r="E2120" s="3">
        <v>0</v>
      </c>
      <c r="G2120" s="8">
        <v>390</v>
      </c>
      <c r="H2120" s="11"/>
      <c r="I2120" s="12"/>
      <c r="J2120" s="627"/>
      <c r="K2120" s="13"/>
    </row>
    <row r="2121" spans="1:11" ht="15" customHeight="1" x14ac:dyDescent="0.3">
      <c r="A2121" s="644"/>
      <c r="B2121" s="7" t="s">
        <v>219</v>
      </c>
      <c r="C2121" s="7">
        <v>280</v>
      </c>
      <c r="D2121" s="9" t="s">
        <v>1727</v>
      </c>
      <c r="E2121" s="3">
        <v>0</v>
      </c>
      <c r="G2121" s="8">
        <v>280</v>
      </c>
      <c r="H2121" s="11"/>
      <c r="I2121" s="12"/>
      <c r="J2121" s="627"/>
      <c r="K2121" s="13"/>
    </row>
    <row r="2122" spans="1:11" ht="15" customHeight="1" x14ac:dyDescent="0.3">
      <c r="A2122" s="645" t="s">
        <v>1728</v>
      </c>
      <c r="B2122" s="639" t="s">
        <v>20</v>
      </c>
      <c r="C2122" s="14">
        <v>100</v>
      </c>
      <c r="D2122" s="36" t="s">
        <v>1729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627">
        <v>138</v>
      </c>
      <c r="K2122" s="13"/>
    </row>
    <row r="2123" spans="1:11" ht="15" customHeight="1" x14ac:dyDescent="0.3">
      <c r="A2123" s="647"/>
      <c r="B2123" s="641"/>
      <c r="C2123" s="14">
        <v>120</v>
      </c>
      <c r="D2123" s="36" t="s">
        <v>1729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627">
        <v>164</v>
      </c>
      <c r="K2123" s="13"/>
    </row>
    <row r="2124" spans="1:11" ht="15" customHeight="1" x14ac:dyDescent="0.3">
      <c r="A2124" s="647"/>
      <c r="B2124" s="639" t="s">
        <v>216</v>
      </c>
      <c r="C2124" s="7">
        <v>120</v>
      </c>
      <c r="D2124" s="36" t="s">
        <v>1730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627">
        <v>145</v>
      </c>
      <c r="K2124" s="13"/>
    </row>
    <row r="2125" spans="1:11" ht="15" customHeight="1" x14ac:dyDescent="0.3">
      <c r="A2125" s="647"/>
      <c r="B2125" s="640"/>
      <c r="C2125" s="7">
        <v>80</v>
      </c>
      <c r="D2125" s="36" t="s">
        <v>1731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 x14ac:dyDescent="0.3">
      <c r="A2126" s="648"/>
      <c r="B2126" s="641"/>
      <c r="C2126" s="7">
        <v>120</v>
      </c>
      <c r="D2126" s="36" t="s">
        <v>1732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627"/>
      <c r="K2126" s="13"/>
    </row>
    <row r="2127" spans="1:11" ht="15" customHeight="1" x14ac:dyDescent="0.3">
      <c r="A2127" s="645" t="s">
        <v>1733</v>
      </c>
      <c r="B2127" s="639" t="s">
        <v>1734</v>
      </c>
      <c r="C2127" s="7">
        <v>128</v>
      </c>
      <c r="D2127" s="9" t="s">
        <v>1735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627"/>
      <c r="K2127" s="13"/>
    </row>
    <row r="2128" spans="1:11" ht="15" customHeight="1" x14ac:dyDescent="0.3">
      <c r="A2128" s="647"/>
      <c r="B2128" s="640"/>
      <c r="C2128" s="7">
        <v>110</v>
      </c>
      <c r="D2128" s="9" t="s">
        <v>1736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627"/>
      <c r="K2128" s="13"/>
    </row>
    <row r="2129" spans="1:11" ht="15" customHeight="1" x14ac:dyDescent="0.3">
      <c r="A2129" s="647"/>
      <c r="B2129" s="640"/>
      <c r="C2129" s="7">
        <v>120</v>
      </c>
      <c r="D2129" s="9" t="s">
        <v>1737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627"/>
      <c r="K2129" s="13"/>
    </row>
    <row r="2130" spans="1:11" ht="15" customHeight="1" x14ac:dyDescent="0.3">
      <c r="A2130" s="647"/>
      <c r="B2130" s="640"/>
      <c r="C2130" s="7">
        <v>205</v>
      </c>
      <c r="D2130" s="9" t="s">
        <v>1738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627"/>
      <c r="K2130" s="13"/>
    </row>
    <row r="2131" spans="1:11" ht="15" customHeight="1" x14ac:dyDescent="0.3">
      <c r="A2131" s="647"/>
      <c r="B2131" s="640"/>
      <c r="C2131" s="7">
        <v>250</v>
      </c>
      <c r="D2131" s="9" t="s">
        <v>1738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627"/>
      <c r="K2131" s="13"/>
    </row>
    <row r="2132" spans="1:11" ht="15" customHeight="1" x14ac:dyDescent="0.3">
      <c r="A2132" s="647"/>
      <c r="B2132" s="640"/>
      <c r="C2132" s="7">
        <v>300</v>
      </c>
      <c r="D2132" s="9" t="s">
        <v>1739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627"/>
      <c r="K2132" s="13"/>
    </row>
    <row r="2133" spans="1:11" ht="15" customHeight="1" x14ac:dyDescent="0.3">
      <c r="A2133" s="643" t="s">
        <v>1740</v>
      </c>
      <c r="B2133" s="643" t="s">
        <v>25</v>
      </c>
      <c r="C2133" s="7">
        <v>120</v>
      </c>
      <c r="D2133" s="9" t="s">
        <v>1741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627"/>
      <c r="K2133" s="13"/>
    </row>
    <row r="2134" spans="1:11" ht="15" customHeight="1" x14ac:dyDescent="0.3">
      <c r="A2134" s="643"/>
      <c r="B2134" s="643"/>
      <c r="C2134" s="7"/>
      <c r="D2134" s="9" t="s">
        <v>1742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627"/>
      <c r="K2134" s="13"/>
    </row>
    <row r="2135" spans="1:11" ht="15" customHeight="1" x14ac:dyDescent="0.3">
      <c r="A2135" s="643"/>
      <c r="B2135" s="643"/>
      <c r="C2135" s="7">
        <v>157</v>
      </c>
      <c r="D2135" s="9" t="s">
        <v>1743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627"/>
      <c r="K2135" s="13"/>
    </row>
    <row r="2136" spans="1:11" ht="15" customHeight="1" x14ac:dyDescent="0.3">
      <c r="A2136" s="643"/>
      <c r="B2136" s="643"/>
      <c r="C2136" s="7"/>
      <c r="D2136" s="9" t="s">
        <v>1744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627"/>
      <c r="K2136" s="13"/>
    </row>
    <row r="2137" spans="1:11" ht="15" customHeight="1" x14ac:dyDescent="0.3">
      <c r="A2137" s="643" t="s">
        <v>1745</v>
      </c>
      <c r="B2137" s="643" t="s">
        <v>25</v>
      </c>
      <c r="C2137" s="7">
        <v>120</v>
      </c>
      <c r="D2137" s="9" t="s">
        <v>1746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627"/>
      <c r="K2137" s="13"/>
    </row>
    <row r="2138" spans="1:11" ht="15" customHeight="1" x14ac:dyDescent="0.3">
      <c r="A2138" s="643"/>
      <c r="B2138" s="643"/>
      <c r="C2138" s="7"/>
      <c r="D2138" s="9" t="s">
        <v>1747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627"/>
      <c r="K2138" s="13"/>
    </row>
    <row r="2139" spans="1:11" ht="15" customHeight="1" x14ac:dyDescent="0.3">
      <c r="A2139" s="643"/>
      <c r="B2139" s="643"/>
      <c r="C2139" s="33"/>
      <c r="D2139" s="21" t="s">
        <v>1748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 x14ac:dyDescent="0.3">
      <c r="A2140" s="644" t="s">
        <v>1749</v>
      </c>
      <c r="B2140" s="639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 x14ac:dyDescent="0.3">
      <c r="A2141" s="644"/>
      <c r="B2141" s="640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 x14ac:dyDescent="0.3">
      <c r="A2142" s="644"/>
      <c r="B2142" s="640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 x14ac:dyDescent="0.3">
      <c r="A2143" s="644"/>
      <c r="B2143" s="641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 x14ac:dyDescent="0.3">
      <c r="A2144" s="644" t="s">
        <v>1750</v>
      </c>
      <c r="B2144" s="639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 x14ac:dyDescent="0.3">
      <c r="A2145" s="644"/>
      <c r="B2145" s="640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 x14ac:dyDescent="0.3">
      <c r="A2146" s="644"/>
      <c r="B2146" s="640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 x14ac:dyDescent="0.3">
      <c r="A2147" s="644"/>
      <c r="B2147" s="641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 x14ac:dyDescent="0.3">
      <c r="A2148" s="646" t="s">
        <v>1751</v>
      </c>
      <c r="B2148" s="646" t="s">
        <v>1752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631">
        <v>127</v>
      </c>
      <c r="K2148" s="13"/>
    </row>
    <row r="2149" spans="1:11" ht="15" customHeight="1" x14ac:dyDescent="0.3">
      <c r="A2149" s="646"/>
      <c r="B2149" s="646"/>
      <c r="C2149" s="30" t="s">
        <v>1753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626">
        <v>157</v>
      </c>
      <c r="K2149" s="13"/>
    </row>
    <row r="2150" spans="1:11" ht="15" customHeight="1" x14ac:dyDescent="0.3">
      <c r="A2150" s="646"/>
      <c r="B2150" s="646" t="s">
        <v>1754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631">
        <v>127</v>
      </c>
      <c r="K2150" s="13"/>
    </row>
    <row r="2151" spans="1:11" ht="15" customHeight="1" x14ac:dyDescent="0.3">
      <c r="A2151" s="646"/>
      <c r="B2151" s="646"/>
      <c r="C2151" s="30" t="s">
        <v>1753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626">
        <v>157</v>
      </c>
      <c r="K2151" s="13"/>
    </row>
    <row r="2152" spans="1:11" ht="15" customHeight="1" x14ac:dyDescent="0.3">
      <c r="A2152" s="646" t="s">
        <v>1755</v>
      </c>
      <c r="B2152" s="646" t="s">
        <v>25</v>
      </c>
      <c r="C2152" s="7">
        <v>105</v>
      </c>
      <c r="D2152" s="9" t="s">
        <v>1756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 x14ac:dyDescent="0.3">
      <c r="A2153" s="646"/>
      <c r="B2153" s="646"/>
      <c r="C2153" s="7"/>
      <c r="D2153" s="9" t="s">
        <v>1757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 x14ac:dyDescent="0.3">
      <c r="A2154" s="646"/>
      <c r="B2154" s="646"/>
      <c r="C2154" s="7">
        <v>157</v>
      </c>
      <c r="D2154" s="9" t="s">
        <v>1756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627"/>
      <c r="K2154" s="13"/>
    </row>
    <row r="2155" spans="1:11" ht="15" customHeight="1" x14ac:dyDescent="0.3">
      <c r="A2155" s="646"/>
      <c r="B2155" s="646"/>
      <c r="C2155" s="7"/>
      <c r="D2155" s="9" t="s">
        <v>1757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627"/>
      <c r="K2155" s="13"/>
    </row>
    <row r="2156" spans="1:11" ht="15" customHeight="1" x14ac:dyDescent="0.3">
      <c r="A2156" s="646"/>
      <c r="B2156" s="646"/>
      <c r="C2156" s="69">
        <v>209</v>
      </c>
      <c r="D2156" s="9" t="s">
        <v>1758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627"/>
      <c r="K2156" s="13"/>
    </row>
    <row r="2157" spans="1:11" ht="15" customHeight="1" x14ac:dyDescent="0.3">
      <c r="A2157" s="646"/>
      <c r="B2157" s="646"/>
      <c r="C2157" s="69"/>
      <c r="D2157" s="9" t="s">
        <v>1759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627"/>
      <c r="K2157" s="13"/>
    </row>
    <row r="2158" spans="1:11" ht="15" customHeight="1" x14ac:dyDescent="0.3">
      <c r="A2158" s="646"/>
      <c r="B2158" s="646"/>
      <c r="C2158" s="69"/>
      <c r="D2158" s="9" t="s">
        <v>1760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 x14ac:dyDescent="0.3">
      <c r="A2159" s="646"/>
      <c r="B2159" s="646"/>
      <c r="C2159" s="69"/>
      <c r="D2159" s="9" t="s">
        <v>1761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 x14ac:dyDescent="0.3">
      <c r="A2160" s="646"/>
      <c r="B2160" s="646"/>
      <c r="C2160" s="7">
        <v>233</v>
      </c>
      <c r="D2160" s="9" t="s">
        <v>1756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 x14ac:dyDescent="0.3">
      <c r="A2161" s="646"/>
      <c r="B2161" s="646"/>
      <c r="C2161" s="7"/>
      <c r="D2161" s="9" t="s">
        <v>1757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 x14ac:dyDescent="0.3">
      <c r="A2162" s="646"/>
      <c r="B2162" s="646"/>
      <c r="C2162" s="69">
        <v>256</v>
      </c>
      <c r="D2162" s="9" t="s">
        <v>1758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 x14ac:dyDescent="0.3">
      <c r="A2163" s="646"/>
      <c r="B2163" s="646"/>
      <c r="C2163" s="69"/>
      <c r="D2163" s="9" t="s">
        <v>1759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 x14ac:dyDescent="0.3">
      <c r="A2164" s="646"/>
      <c r="B2164" s="646"/>
      <c r="C2164" s="69"/>
      <c r="D2164" s="9" t="s">
        <v>1760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 x14ac:dyDescent="0.3">
      <c r="A2165" s="646"/>
      <c r="B2165" s="646"/>
      <c r="C2165" s="69"/>
      <c r="D2165" s="9" t="s">
        <v>1761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 x14ac:dyDescent="0.3">
      <c r="A2166" s="646"/>
      <c r="B2166" s="646"/>
      <c r="C2166" s="69">
        <v>419</v>
      </c>
      <c r="D2166" s="9" t="s">
        <v>1756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 x14ac:dyDescent="0.3">
      <c r="A2167" s="645" t="s">
        <v>1762</v>
      </c>
      <c r="B2167" s="639" t="s">
        <v>1595</v>
      </c>
      <c r="C2167" s="14">
        <v>120</v>
      </c>
      <c r="D2167" s="9" t="s">
        <v>1763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627"/>
      <c r="K2167" s="13"/>
    </row>
    <row r="2168" spans="1:11" ht="15" customHeight="1" x14ac:dyDescent="0.3">
      <c r="A2168" s="647"/>
      <c r="B2168" s="640"/>
      <c r="C2168" s="14"/>
      <c r="D2168" s="9" t="s">
        <v>1764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627"/>
      <c r="K2168" s="13"/>
    </row>
    <row r="2169" spans="1:11" ht="15" customHeight="1" x14ac:dyDescent="0.3">
      <c r="A2169" s="647"/>
      <c r="B2169" s="640"/>
      <c r="C2169" s="7"/>
      <c r="D2169" s="9" t="s">
        <v>1765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627"/>
      <c r="K2169" s="13"/>
    </row>
    <row r="2170" spans="1:11" ht="15" customHeight="1" x14ac:dyDescent="0.3">
      <c r="A2170" s="647"/>
      <c r="B2170" s="640"/>
      <c r="C2170" s="14">
        <v>240</v>
      </c>
      <c r="D2170" s="9" t="s">
        <v>1766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627"/>
      <c r="K2170" s="13"/>
    </row>
    <row r="2171" spans="1:11" ht="15" customHeight="1" x14ac:dyDescent="0.3">
      <c r="A2171" s="647"/>
      <c r="B2171" s="640"/>
      <c r="C2171" s="14"/>
      <c r="D2171" s="9" t="s">
        <v>1767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627"/>
      <c r="K2171" s="13"/>
    </row>
    <row r="2172" spans="1:11" ht="15" customHeight="1" x14ac:dyDescent="0.3">
      <c r="A2172" s="647"/>
      <c r="B2172" s="640"/>
      <c r="C2172" s="7"/>
      <c r="D2172" s="9" t="s">
        <v>1768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627"/>
      <c r="K2172" s="13"/>
    </row>
    <row r="2173" spans="1:11" ht="15" customHeight="1" x14ac:dyDescent="0.3">
      <c r="A2173" s="647"/>
      <c r="B2173" s="640"/>
      <c r="C2173" s="7">
        <v>330</v>
      </c>
      <c r="D2173" s="9" t="s">
        <v>1769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 x14ac:dyDescent="0.3">
      <c r="A2174" s="647"/>
      <c r="B2174" s="640"/>
      <c r="C2174" s="7"/>
      <c r="D2174" s="9" t="s">
        <v>1770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 x14ac:dyDescent="0.3">
      <c r="A2175" s="647"/>
      <c r="B2175" s="640"/>
      <c r="C2175" s="7"/>
      <c r="D2175" s="9" t="s">
        <v>1771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 x14ac:dyDescent="0.3">
      <c r="A2176" s="647"/>
      <c r="B2176" s="640"/>
      <c r="C2176" s="33"/>
      <c r="D2176" s="21" t="s">
        <v>1772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 x14ac:dyDescent="0.3">
      <c r="A2177" s="647"/>
      <c r="B2177" s="640"/>
      <c r="C2177" s="33"/>
      <c r="D2177" s="21" t="s">
        <v>1773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 x14ac:dyDescent="0.3">
      <c r="A2178" s="647"/>
      <c r="B2178" s="640"/>
      <c r="C2178" s="7">
        <v>120</v>
      </c>
      <c r="D2178" s="9" t="s">
        <v>1774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 x14ac:dyDescent="0.3">
      <c r="A2179" s="647"/>
      <c r="B2179" s="640"/>
      <c r="C2179" s="7">
        <v>240</v>
      </c>
      <c r="D2179" s="9" t="s">
        <v>1775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 x14ac:dyDescent="0.3">
      <c r="A2180" s="648"/>
      <c r="B2180" s="641"/>
      <c r="C2180" s="7">
        <v>330</v>
      </c>
      <c r="D2180" s="9" t="s">
        <v>1776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 x14ac:dyDescent="0.3">
      <c r="A2181" s="643" t="s">
        <v>1777</v>
      </c>
      <c r="B2181" s="643" t="s">
        <v>1778</v>
      </c>
      <c r="C2181" s="7">
        <v>112</v>
      </c>
      <c r="D2181" s="9" t="s">
        <v>1779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627"/>
      <c r="K2181" s="13"/>
    </row>
    <row r="2182" spans="1:11" ht="15" customHeight="1" x14ac:dyDescent="0.3">
      <c r="A2182" s="643"/>
      <c r="B2182" s="643"/>
      <c r="C2182" s="7"/>
      <c r="D2182" s="9" t="s">
        <v>1780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627"/>
      <c r="K2182" s="13"/>
    </row>
    <row r="2183" spans="1:11" ht="15" customHeight="1" x14ac:dyDescent="0.3">
      <c r="A2183" s="643"/>
      <c r="B2183" s="643"/>
      <c r="C2183" s="33"/>
      <c r="D2183" s="21" t="s">
        <v>1781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627"/>
      <c r="K2183" s="13"/>
    </row>
    <row r="2184" spans="1:11" ht="15" customHeight="1" x14ac:dyDescent="0.3">
      <c r="A2184" s="643"/>
      <c r="B2184" s="643"/>
      <c r="C2184" s="7">
        <v>253</v>
      </c>
      <c r="D2184" s="9" t="s">
        <v>1782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627"/>
      <c r="K2184" s="13"/>
    </row>
    <row r="2185" spans="1:11" ht="15" customHeight="1" x14ac:dyDescent="0.3">
      <c r="A2185" s="643"/>
      <c r="B2185" s="643"/>
      <c r="C2185" s="7"/>
      <c r="D2185" s="9" t="s">
        <v>1783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627"/>
      <c r="K2185" s="13"/>
    </row>
    <row r="2186" spans="1:11" ht="15" customHeight="1" x14ac:dyDescent="0.3">
      <c r="A2186" s="644" t="s">
        <v>1784</v>
      </c>
      <c r="B2186" s="643" t="s">
        <v>216</v>
      </c>
      <c r="C2186" s="7">
        <v>130</v>
      </c>
      <c r="D2186" s="9" t="s">
        <v>1756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627"/>
      <c r="K2186" s="13"/>
    </row>
    <row r="2187" spans="1:11" ht="15" customHeight="1" x14ac:dyDescent="0.3">
      <c r="A2187" s="644"/>
      <c r="B2187" s="643"/>
      <c r="C2187" s="7"/>
      <c r="D2187" s="9" t="s">
        <v>1757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627"/>
      <c r="K2187" s="13"/>
    </row>
    <row r="2188" spans="1:11" ht="15" customHeight="1" x14ac:dyDescent="0.3">
      <c r="A2188" s="644"/>
      <c r="B2188" s="643"/>
      <c r="C2188" s="7">
        <v>240</v>
      </c>
      <c r="D2188" s="9" t="s">
        <v>1756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627"/>
      <c r="K2188" s="13"/>
    </row>
    <row r="2189" spans="1:11" ht="15" customHeight="1" x14ac:dyDescent="0.3">
      <c r="A2189" s="644"/>
      <c r="B2189" s="643"/>
      <c r="C2189" s="7"/>
      <c r="D2189" s="9" t="s">
        <v>1757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627"/>
      <c r="K2189" s="13"/>
    </row>
    <row r="2190" spans="1:11" ht="15" customHeight="1" x14ac:dyDescent="0.3">
      <c r="A2190" s="644"/>
      <c r="B2190" s="643"/>
      <c r="C2190" s="7">
        <v>350</v>
      </c>
      <c r="D2190" s="9" t="s">
        <v>1756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627"/>
      <c r="K2190" s="13"/>
    </row>
    <row r="2191" spans="1:11" ht="15" customHeight="1" x14ac:dyDescent="0.3">
      <c r="A2191" s="644"/>
      <c r="B2191" s="643"/>
      <c r="C2191" s="7"/>
      <c r="D2191" s="9" t="s">
        <v>1757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 x14ac:dyDescent="0.3">
      <c r="A2192" s="644"/>
      <c r="B2192" s="643" t="s">
        <v>1595</v>
      </c>
      <c r="C2192" s="7">
        <v>130</v>
      </c>
      <c r="D2192" s="9" t="s">
        <v>1785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627"/>
      <c r="K2192" s="13"/>
    </row>
    <row r="2193" spans="1:11" ht="15" customHeight="1" x14ac:dyDescent="0.3">
      <c r="A2193" s="644"/>
      <c r="B2193" s="643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627"/>
      <c r="K2193" s="13"/>
    </row>
    <row r="2194" spans="1:11" ht="15" customHeight="1" x14ac:dyDescent="0.3">
      <c r="A2194" s="644"/>
      <c r="B2194" s="643"/>
      <c r="C2194" s="33"/>
      <c r="D2194" s="21" t="s">
        <v>1786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627"/>
      <c r="K2194" s="13"/>
    </row>
    <row r="2195" spans="1:11" ht="15" customHeight="1" x14ac:dyDescent="0.3">
      <c r="A2195" s="644"/>
      <c r="B2195" s="643"/>
      <c r="C2195" s="7">
        <v>240</v>
      </c>
      <c r="D2195" s="9" t="s">
        <v>1785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627"/>
      <c r="K2195" s="13"/>
    </row>
    <row r="2196" spans="1:11" ht="15" customHeight="1" x14ac:dyDescent="0.3">
      <c r="A2196" s="644"/>
      <c r="B2196" s="643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627"/>
      <c r="K2196" s="13"/>
    </row>
    <row r="2197" spans="1:11" ht="15" customHeight="1" x14ac:dyDescent="0.3">
      <c r="A2197" s="644"/>
      <c r="B2197" s="643"/>
      <c r="C2197" s="33"/>
      <c r="D2197" s="21" t="s">
        <v>1786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627"/>
      <c r="K2197" s="13"/>
    </row>
    <row r="2198" spans="1:11" ht="15" customHeight="1" x14ac:dyDescent="0.3">
      <c r="A2198" s="644"/>
      <c r="B2198" s="643"/>
      <c r="C2198" s="7">
        <v>350</v>
      </c>
      <c r="D2198" s="9" t="s">
        <v>1785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 x14ac:dyDescent="0.3">
      <c r="A2199" s="644"/>
      <c r="B2199" s="643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 x14ac:dyDescent="0.3">
      <c r="A2200" s="644"/>
      <c r="B2200" s="643"/>
      <c r="C2200" s="33"/>
      <c r="D2200" s="21" t="s">
        <v>1786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 x14ac:dyDescent="0.3">
      <c r="A2201" s="7" t="s">
        <v>1787</v>
      </c>
      <c r="B2201" s="7" t="s">
        <v>1788</v>
      </c>
      <c r="C2201" s="31">
        <v>80</v>
      </c>
      <c r="D2201" s="32" t="s">
        <v>1789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627"/>
      <c r="K2201" s="13"/>
    </row>
    <row r="2202" spans="1:11" ht="15" customHeight="1" x14ac:dyDescent="0.3">
      <c r="A2202" s="645" t="s">
        <v>1790</v>
      </c>
      <c r="B2202" s="639" t="s">
        <v>1791</v>
      </c>
      <c r="C2202" s="14">
        <v>62</v>
      </c>
      <c r="D2202" s="9" t="s">
        <v>1792</v>
      </c>
      <c r="G2202" s="8"/>
      <c r="H2202" s="11">
        <f>1.092*1000</f>
        <v>1092</v>
      </c>
      <c r="I2202" s="12" t="e">
        <f>ROUNDDOWN(#REF!/H2202,-1)</f>
        <v>#REF!</v>
      </c>
      <c r="J2202" s="626">
        <v>190</v>
      </c>
      <c r="K2202" s="13"/>
    </row>
    <row r="2203" spans="1:11" ht="15" customHeight="1" x14ac:dyDescent="0.3">
      <c r="A2203" s="640"/>
      <c r="B2203" s="640"/>
      <c r="C2203" s="14">
        <v>71</v>
      </c>
      <c r="D2203" s="9" t="s">
        <v>1793</v>
      </c>
      <c r="G2203" s="8"/>
      <c r="H2203" s="11">
        <f>1.092*1000</f>
        <v>1092</v>
      </c>
      <c r="I2203" s="12" t="e">
        <f>ROUNDDOWN(#REF!/H2203,-1)</f>
        <v>#REF!</v>
      </c>
      <c r="J2203" s="626">
        <v>220</v>
      </c>
      <c r="K2203" s="13"/>
    </row>
    <row r="2204" spans="1:11" ht="15" customHeight="1" x14ac:dyDescent="0.3">
      <c r="A2204" s="640"/>
      <c r="B2204" s="641"/>
      <c r="C2204" s="14">
        <v>111</v>
      </c>
      <c r="D2204" s="9" t="s">
        <v>1794</v>
      </c>
      <c r="G2204" s="8"/>
      <c r="H2204" s="11">
        <f>1.092*1000</f>
        <v>1092</v>
      </c>
      <c r="I2204" s="12" t="e">
        <f>ROUNDDOWN(#REF!/H2204,-1)</f>
        <v>#REF!</v>
      </c>
      <c r="J2204" s="626">
        <v>290</v>
      </c>
      <c r="K2204" s="13"/>
    </row>
    <row r="2205" spans="1:11" ht="15" customHeight="1" x14ac:dyDescent="0.3">
      <c r="A2205" s="640"/>
      <c r="B2205" s="639" t="s">
        <v>1795</v>
      </c>
      <c r="C2205" s="14">
        <v>52</v>
      </c>
      <c r="D2205" s="9" t="s">
        <v>1796</v>
      </c>
      <c r="G2205" s="8"/>
      <c r="H2205" s="11">
        <f>1.55*1000</f>
        <v>1550</v>
      </c>
      <c r="I2205" s="12" t="e">
        <f>ROUNDDOWN(#REF!/H2205,-1)</f>
        <v>#REF!</v>
      </c>
      <c r="J2205" s="626">
        <v>155</v>
      </c>
      <c r="K2205" s="13"/>
    </row>
    <row r="2206" spans="1:11" ht="15" customHeight="1" x14ac:dyDescent="0.3">
      <c r="A2206" s="640"/>
      <c r="B2206" s="641"/>
      <c r="C2206" s="20">
        <v>60</v>
      </c>
      <c r="D2206" s="21" t="s">
        <v>1797</v>
      </c>
      <c r="G2206" s="8"/>
      <c r="H2206" s="11">
        <f>1.55*1000</f>
        <v>1550</v>
      </c>
      <c r="I2206" s="12" t="e">
        <f>ROUNDDOWN(#REF!/H2206,-1)</f>
        <v>#REF!</v>
      </c>
      <c r="J2206" s="626">
        <v>190</v>
      </c>
    </row>
    <row r="2207" spans="1:11" ht="15" customHeight="1" x14ac:dyDescent="0.3">
      <c r="A2207" s="640"/>
      <c r="B2207" s="639" t="s">
        <v>1798</v>
      </c>
      <c r="C2207" s="14">
        <v>62</v>
      </c>
      <c r="D2207" s="9" t="s">
        <v>1792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626">
        <v>190</v>
      </c>
      <c r="K2207" s="13"/>
    </row>
    <row r="2208" spans="1:11" ht="15" customHeight="1" x14ac:dyDescent="0.3">
      <c r="A2208" s="640"/>
      <c r="B2208" s="640"/>
      <c r="C2208" s="14">
        <v>71</v>
      </c>
      <c r="D2208" s="9" t="s">
        <v>1793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626">
        <v>220</v>
      </c>
      <c r="K2208" s="13"/>
    </row>
    <row r="2209" spans="1:11" ht="15" customHeight="1" x14ac:dyDescent="0.3">
      <c r="A2209" s="640"/>
      <c r="B2209" s="641"/>
      <c r="C2209" s="14">
        <v>111</v>
      </c>
      <c r="D2209" s="9" t="s">
        <v>1794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626">
        <v>290</v>
      </c>
      <c r="K2209" s="13"/>
    </row>
    <row r="2210" spans="1:11" ht="15" customHeight="1" x14ac:dyDescent="0.3">
      <c r="A2210" s="640"/>
      <c r="B2210" s="639" t="s">
        <v>1799</v>
      </c>
      <c r="C2210" s="14">
        <v>52</v>
      </c>
      <c r="D2210" s="9" t="s">
        <v>1796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626">
        <v>155</v>
      </c>
      <c r="K2210" s="13"/>
    </row>
    <row r="2211" spans="1:11" ht="15" customHeight="1" x14ac:dyDescent="0.3">
      <c r="A2211" s="641"/>
      <c r="B2211" s="641"/>
      <c r="C2211" s="20">
        <v>60</v>
      </c>
      <c r="D2211" s="21" t="s">
        <v>1797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626">
        <v>190</v>
      </c>
      <c r="K2211" s="13"/>
    </row>
    <row r="2212" spans="1:11" ht="15" customHeight="1" x14ac:dyDescent="0.3">
      <c r="A2212" s="644" t="s">
        <v>1800</v>
      </c>
      <c r="B2212" s="643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627"/>
      <c r="K2212" s="13"/>
    </row>
    <row r="2213" spans="1:11" ht="15" customHeight="1" x14ac:dyDescent="0.3">
      <c r="A2213" s="644"/>
      <c r="B2213" s="643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626">
        <v>105</v>
      </c>
      <c r="K2213" s="13"/>
    </row>
    <row r="2214" spans="1:11" ht="15" customHeight="1" x14ac:dyDescent="0.3">
      <c r="A2214" s="644"/>
      <c r="B2214" s="643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626">
        <v>128</v>
      </c>
      <c r="K2214" s="13"/>
    </row>
    <row r="2215" spans="1:11" ht="15" customHeight="1" x14ac:dyDescent="0.3">
      <c r="A2215" s="644"/>
      <c r="B2215" s="643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626">
        <v>154</v>
      </c>
      <c r="K2215" s="13"/>
    </row>
    <row r="2216" spans="1:11" ht="15" customHeight="1" x14ac:dyDescent="0.3">
      <c r="A2216" s="644"/>
      <c r="B2216" s="643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626">
        <v>193</v>
      </c>
      <c r="K2216" s="13"/>
    </row>
    <row r="2217" spans="1:11" ht="15" customHeight="1" x14ac:dyDescent="0.3">
      <c r="A2217" s="644"/>
      <c r="B2217" s="7" t="s">
        <v>1801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626">
        <v>105</v>
      </c>
      <c r="K2217" s="13"/>
    </row>
    <row r="2218" spans="1:11" ht="15" customHeight="1" x14ac:dyDescent="0.3">
      <c r="A2218" s="644"/>
      <c r="B2218" s="7" t="s">
        <v>1802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626">
        <v>128</v>
      </c>
      <c r="K2218" s="13"/>
    </row>
    <row r="2219" spans="1:11" ht="15" customHeight="1" x14ac:dyDescent="0.3">
      <c r="A2219" s="644"/>
      <c r="B2219" s="7" t="s">
        <v>1803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626">
        <v>154</v>
      </c>
      <c r="K2219" s="13"/>
    </row>
    <row r="2220" spans="1:11" ht="15" customHeight="1" x14ac:dyDescent="0.3">
      <c r="A2220" s="644"/>
      <c r="B2220" s="7" t="s">
        <v>1804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626">
        <v>193</v>
      </c>
      <c r="K2220" s="13"/>
    </row>
    <row r="2221" spans="1:11" ht="15" customHeight="1" x14ac:dyDescent="0.3">
      <c r="A2221" s="643" t="s">
        <v>1805</v>
      </c>
      <c r="B2221" s="643" t="s">
        <v>1806</v>
      </c>
      <c r="C2221" s="33">
        <v>125</v>
      </c>
      <c r="D2221" s="37" t="s">
        <v>1807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627"/>
      <c r="K2221" s="13"/>
    </row>
    <row r="2222" spans="1:11" ht="15" customHeight="1" x14ac:dyDescent="0.3">
      <c r="A2222" s="643"/>
      <c r="B2222" s="643"/>
      <c r="C2222" s="20">
        <v>224</v>
      </c>
      <c r="D2222" s="37" t="s">
        <v>1808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627"/>
      <c r="K2222" s="13"/>
    </row>
    <row r="2223" spans="1:11" ht="15" customHeight="1" x14ac:dyDescent="0.3">
      <c r="A2223" s="643"/>
      <c r="B2223" s="7" t="s">
        <v>1809</v>
      </c>
      <c r="C2223" s="33">
        <v>350</v>
      </c>
      <c r="D2223" s="37" t="s">
        <v>1810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627"/>
      <c r="K2223" s="13"/>
    </row>
    <row r="2224" spans="1:11" ht="15" customHeight="1" x14ac:dyDescent="0.3">
      <c r="A2224" s="643"/>
      <c r="B2224" s="7" t="s">
        <v>1811</v>
      </c>
      <c r="C2224" s="33">
        <v>300</v>
      </c>
      <c r="D2224" s="37" t="s">
        <v>1812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627"/>
      <c r="K2224" s="13"/>
    </row>
    <row r="2225" spans="1:11" ht="15" customHeight="1" x14ac:dyDescent="0.3">
      <c r="A2225" s="643"/>
      <c r="B2225" s="7" t="s">
        <v>1813</v>
      </c>
      <c r="C2225" s="33">
        <v>300</v>
      </c>
      <c r="D2225" s="37" t="s">
        <v>1814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627"/>
      <c r="K2225" s="13"/>
    </row>
    <row r="2226" spans="1:11" s="1" customFormat="1" ht="15" customHeight="1" x14ac:dyDescent="0.3">
      <c r="A2226" s="636" t="s">
        <v>1815</v>
      </c>
      <c r="B2226" s="639" t="s">
        <v>375</v>
      </c>
      <c r="C2226" s="7">
        <v>120</v>
      </c>
      <c r="D2226" s="9" t="s">
        <v>1816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627"/>
      <c r="K2226" s="13"/>
    </row>
    <row r="2227" spans="1:11" s="1" customFormat="1" ht="15" customHeight="1" x14ac:dyDescent="0.3">
      <c r="A2227" s="637"/>
      <c r="B2227" s="640"/>
      <c r="C2227" s="7">
        <v>200</v>
      </c>
      <c r="D2227" s="9" t="s">
        <v>1816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627"/>
      <c r="K2227" s="13"/>
    </row>
    <row r="2228" spans="1:11" s="1" customFormat="1" ht="15" customHeight="1" x14ac:dyDescent="0.3">
      <c r="A2228" s="637"/>
      <c r="B2228" s="640"/>
      <c r="C2228" s="7">
        <v>250</v>
      </c>
      <c r="D2228" s="9" t="s">
        <v>1816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627"/>
      <c r="K2228" s="13"/>
    </row>
    <row r="2229" spans="1:11" s="1" customFormat="1" ht="15" customHeight="1" x14ac:dyDescent="0.3">
      <c r="A2229" s="637"/>
      <c r="B2229" s="640"/>
      <c r="C2229" s="7">
        <v>300</v>
      </c>
      <c r="D2229" s="9" t="s">
        <v>1816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627"/>
      <c r="K2229" s="13"/>
    </row>
    <row r="2230" spans="1:11" s="1" customFormat="1" ht="15" customHeight="1" x14ac:dyDescent="0.3">
      <c r="A2230" s="637"/>
      <c r="B2230" s="640"/>
      <c r="C2230" s="7">
        <v>350</v>
      </c>
      <c r="D2230" s="9" t="s">
        <v>1816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627"/>
      <c r="K2230" s="13"/>
    </row>
    <row r="2231" spans="1:11" s="1" customFormat="1" ht="15" customHeight="1" x14ac:dyDescent="0.3">
      <c r="A2231" s="637"/>
      <c r="B2231" s="640"/>
      <c r="C2231" s="7">
        <v>400</v>
      </c>
      <c r="D2231" s="9" t="s">
        <v>1816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627"/>
      <c r="K2231" s="13"/>
    </row>
    <row r="2232" spans="1:11" s="1" customFormat="1" ht="15" customHeight="1" x14ac:dyDescent="0.3">
      <c r="A2232" s="637"/>
      <c r="B2232" s="640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 x14ac:dyDescent="0.3">
      <c r="A2233" s="637"/>
      <c r="B2233" s="640"/>
      <c r="C2233" s="7">
        <v>500</v>
      </c>
      <c r="D2233" s="9" t="s">
        <v>1816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 x14ac:dyDescent="0.3">
      <c r="A2234" s="637"/>
      <c r="B2234" s="640"/>
      <c r="C2234" s="7">
        <v>700</v>
      </c>
      <c r="D2234" s="9" t="s">
        <v>1816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 x14ac:dyDescent="0.3">
      <c r="A2235" s="637"/>
      <c r="B2235" s="641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 x14ac:dyDescent="0.3">
      <c r="A2236" s="638"/>
      <c r="B2236" s="69" t="s">
        <v>1817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627"/>
      <c r="K2236" s="13"/>
    </row>
    <row r="2237" spans="1:11" ht="15" customHeight="1" x14ac:dyDescent="0.3">
      <c r="A2237" s="642" t="s">
        <v>1818</v>
      </c>
      <c r="B2237" s="643" t="s">
        <v>562</v>
      </c>
      <c r="C2237" s="7">
        <v>200</v>
      </c>
      <c r="D2237" s="9" t="s">
        <v>1819</v>
      </c>
      <c r="E2237" s="3">
        <v>0</v>
      </c>
      <c r="G2237" s="8"/>
      <c r="H2237" s="11"/>
      <c r="I2237" s="12"/>
      <c r="J2237" s="627"/>
      <c r="K2237" s="13"/>
    </row>
    <row r="2238" spans="1:11" ht="15" customHeight="1" x14ac:dyDescent="0.3">
      <c r="A2238" s="642"/>
      <c r="B2238" s="643"/>
      <c r="C2238" s="7">
        <v>300</v>
      </c>
      <c r="D2238" s="9" t="s">
        <v>1820</v>
      </c>
      <c r="E2238" s="3">
        <v>0</v>
      </c>
      <c r="G2238" s="8"/>
      <c r="H2238" s="11"/>
      <c r="I2238" s="12"/>
      <c r="J2238" s="627"/>
      <c r="K2238" s="13"/>
    </row>
    <row r="2239" spans="1:11" ht="15" customHeight="1" x14ac:dyDescent="0.3">
      <c r="A2239" s="642"/>
      <c r="B2239" s="643"/>
      <c r="C2239" s="7">
        <v>400</v>
      </c>
      <c r="D2239" s="9" t="s">
        <v>1821</v>
      </c>
      <c r="E2239" s="3">
        <v>0</v>
      </c>
      <c r="G2239" s="8"/>
      <c r="H2239" s="11"/>
      <c r="I2239" s="12"/>
      <c r="J2239" s="627"/>
      <c r="K2239" s="13"/>
    </row>
    <row r="2240" spans="1:11" ht="15" customHeight="1" x14ac:dyDescent="0.3">
      <c r="A2240" s="642"/>
      <c r="B2240" s="643"/>
      <c r="C2240" s="7">
        <v>200</v>
      </c>
      <c r="D2240" s="9" t="s">
        <v>1822</v>
      </c>
      <c r="E2240" s="3">
        <v>0</v>
      </c>
      <c r="G2240" s="8"/>
      <c r="H2240" s="11"/>
      <c r="I2240" s="12"/>
      <c r="J2240" s="627"/>
      <c r="K2240" s="13"/>
    </row>
    <row r="2241" spans="1:11" ht="15" customHeight="1" x14ac:dyDescent="0.3">
      <c r="A2241" s="642"/>
      <c r="B2241" s="643"/>
      <c r="C2241" s="7">
        <v>300</v>
      </c>
      <c r="D2241" s="9" t="s">
        <v>1823</v>
      </c>
      <c r="E2241" s="3">
        <v>0</v>
      </c>
      <c r="G2241" s="8"/>
      <c r="H2241" s="11"/>
      <c r="I2241" s="12"/>
      <c r="J2241" s="627"/>
      <c r="K2241" s="13"/>
    </row>
    <row r="2242" spans="1:11" ht="15" customHeight="1" x14ac:dyDescent="0.3">
      <c r="A2242" s="642"/>
      <c r="B2242" s="643"/>
      <c r="C2242" s="7">
        <v>440</v>
      </c>
      <c r="D2242" s="9" t="s">
        <v>1824</v>
      </c>
      <c r="E2242" s="3">
        <v>0</v>
      </c>
      <c r="G2242" s="8"/>
      <c r="H2242" s="11"/>
      <c r="I2242" s="12"/>
      <c r="J2242" s="627"/>
      <c r="K2242" s="13"/>
    </row>
    <row r="2243" spans="1:11" ht="15" customHeight="1" x14ac:dyDescent="0.3">
      <c r="A2243" s="642"/>
      <c r="B2243" s="643"/>
      <c r="C2243" s="7">
        <v>80</v>
      </c>
      <c r="D2243" s="11" t="s">
        <v>1825</v>
      </c>
      <c r="E2243" s="3">
        <v>0</v>
      </c>
      <c r="G2243" s="8"/>
      <c r="H2243" s="11"/>
      <c r="I2243" s="12"/>
      <c r="J2243" s="627"/>
      <c r="K2243" s="13"/>
    </row>
    <row r="2244" spans="1:11" ht="15" customHeight="1" x14ac:dyDescent="0.3">
      <c r="A2244" s="642"/>
      <c r="B2244" s="643"/>
      <c r="C2244" s="30">
        <v>120</v>
      </c>
      <c r="D2244" s="29" t="s">
        <v>1826</v>
      </c>
      <c r="E2244" s="3">
        <v>0</v>
      </c>
      <c r="G2244" s="8"/>
      <c r="H2244" s="11"/>
      <c r="I2244" s="12"/>
      <c r="J2244" s="627"/>
      <c r="K2244" s="13"/>
    </row>
    <row r="2245" spans="1:11" ht="15" customHeight="1" x14ac:dyDescent="0.3">
      <c r="A2245" s="642"/>
      <c r="B2245" s="643" t="s">
        <v>1142</v>
      </c>
      <c r="C2245" s="7">
        <v>200</v>
      </c>
      <c r="D2245" s="9" t="s">
        <v>1819</v>
      </c>
      <c r="E2245" s="3">
        <v>0</v>
      </c>
      <c r="G2245" s="8">
        <v>200</v>
      </c>
      <c r="H2245" s="11"/>
      <c r="I2245" s="12"/>
      <c r="J2245" s="627"/>
      <c r="K2245" s="13"/>
    </row>
    <row r="2246" spans="1:11" ht="15" customHeight="1" x14ac:dyDescent="0.3">
      <c r="A2246" s="642"/>
      <c r="B2246" s="643"/>
      <c r="C2246" s="7">
        <v>300</v>
      </c>
      <c r="D2246" s="9" t="s">
        <v>1820</v>
      </c>
      <c r="E2246" s="3">
        <v>0</v>
      </c>
      <c r="G2246" s="8">
        <v>300</v>
      </c>
      <c r="H2246" s="11"/>
      <c r="I2246" s="12"/>
      <c r="J2246" s="627"/>
      <c r="K2246" s="13"/>
    </row>
    <row r="2247" spans="1:11" ht="15" customHeight="1" x14ac:dyDescent="0.3">
      <c r="A2247" s="642"/>
      <c r="B2247" s="643"/>
      <c r="C2247" s="7">
        <v>400</v>
      </c>
      <c r="D2247" s="9" t="s">
        <v>1821</v>
      </c>
      <c r="E2247" s="3">
        <v>0</v>
      </c>
      <c r="G2247" s="8">
        <v>400</v>
      </c>
      <c r="H2247" s="11"/>
      <c r="I2247" s="12"/>
      <c r="J2247" s="627"/>
      <c r="K2247" s="13"/>
    </row>
    <row r="2248" spans="1:11" ht="15" customHeight="1" x14ac:dyDescent="0.3">
      <c r="A2248" s="642"/>
      <c r="B2248" s="643"/>
      <c r="C2248" s="7">
        <v>120</v>
      </c>
      <c r="D2248" s="9" t="s">
        <v>1827</v>
      </c>
      <c r="E2248" s="3">
        <v>0</v>
      </c>
      <c r="G2248" s="8">
        <v>120</v>
      </c>
      <c r="H2248" s="12"/>
      <c r="I2248" s="12"/>
      <c r="J2248" s="627"/>
      <c r="K2248" s="13"/>
    </row>
    <row r="2249" spans="1:11" ht="15" customHeight="1" x14ac:dyDescent="0.3">
      <c r="A2249" s="642"/>
      <c r="B2249" s="643"/>
      <c r="C2249" s="69">
        <v>200</v>
      </c>
      <c r="D2249" s="9" t="s">
        <v>1822</v>
      </c>
      <c r="E2249" s="3">
        <v>0</v>
      </c>
      <c r="G2249" s="70">
        <v>205</v>
      </c>
      <c r="H2249" s="11"/>
      <c r="I2249" s="12"/>
      <c r="J2249" s="627"/>
      <c r="K2249" s="13"/>
    </row>
    <row r="2250" spans="1:11" ht="15" customHeight="1" x14ac:dyDescent="0.3">
      <c r="A2250" s="642"/>
      <c r="B2250" s="643"/>
      <c r="C2250" s="69">
        <v>300</v>
      </c>
      <c r="D2250" s="9" t="s">
        <v>1823</v>
      </c>
      <c r="E2250" s="3">
        <v>0</v>
      </c>
      <c r="G2250" s="70">
        <v>300</v>
      </c>
      <c r="H2250" s="11"/>
      <c r="I2250" s="12"/>
      <c r="J2250" s="627"/>
      <c r="K2250" s="13"/>
    </row>
    <row r="2251" spans="1:11" ht="15" customHeight="1" x14ac:dyDescent="0.3">
      <c r="A2251" s="642"/>
      <c r="B2251" s="643"/>
      <c r="C2251" s="69">
        <v>440</v>
      </c>
      <c r="D2251" s="9" t="s">
        <v>1824</v>
      </c>
      <c r="E2251" s="3">
        <v>0</v>
      </c>
      <c r="G2251" s="70">
        <v>440</v>
      </c>
      <c r="H2251" s="11"/>
      <c r="I2251" s="12"/>
      <c r="J2251" s="627"/>
      <c r="K2251" s="13"/>
    </row>
    <row r="2252" spans="1:11" ht="15" customHeight="1" x14ac:dyDescent="0.3">
      <c r="A2252" s="642"/>
      <c r="B2252" s="643"/>
      <c r="C2252" s="69">
        <v>80</v>
      </c>
      <c r="D2252" s="11" t="s">
        <v>1825</v>
      </c>
      <c r="E2252" s="3">
        <v>0</v>
      </c>
      <c r="G2252" s="70">
        <v>80</v>
      </c>
      <c r="H2252" s="11"/>
      <c r="I2252" s="12"/>
      <c r="J2252" s="627"/>
      <c r="K2252" s="13"/>
    </row>
    <row r="2253" spans="1:11" ht="15" customHeight="1" x14ac:dyDescent="0.3">
      <c r="A2253" s="642"/>
      <c r="B2253" s="643"/>
      <c r="C2253" s="69">
        <v>220</v>
      </c>
      <c r="D2253" s="11" t="s">
        <v>1828</v>
      </c>
      <c r="E2253" s="3">
        <v>0</v>
      </c>
      <c r="G2253" s="70">
        <v>220</v>
      </c>
      <c r="H2253" s="11"/>
      <c r="I2253" s="12"/>
      <c r="J2253" s="627"/>
      <c r="K2253" s="13"/>
    </row>
    <row r="2254" spans="1:11" ht="15" customHeight="1" x14ac:dyDescent="0.3">
      <c r="A2254" s="642"/>
      <c r="B2254" s="643"/>
      <c r="C2254" s="69"/>
      <c r="D2254" s="11" t="s">
        <v>1829</v>
      </c>
      <c r="E2254" s="3">
        <v>0</v>
      </c>
      <c r="G2254" s="70" t="s">
        <v>1830</v>
      </c>
      <c r="H2254" s="11"/>
      <c r="I2254" s="12"/>
      <c r="J2254" s="627">
        <v>90</v>
      </c>
      <c r="K2254" s="13"/>
    </row>
    <row r="2255" spans="1:11" ht="15" customHeight="1" x14ac:dyDescent="0.3">
      <c r="A2255" s="642"/>
      <c r="B2255" s="643"/>
      <c r="C2255" s="69">
        <v>190</v>
      </c>
      <c r="D2255" s="11" t="s">
        <v>1831</v>
      </c>
      <c r="E2255" s="3">
        <v>0</v>
      </c>
      <c r="G2255" s="70">
        <v>190</v>
      </c>
      <c r="H2255" s="11"/>
      <c r="I2255" s="12"/>
      <c r="J2255" s="627"/>
      <c r="K2255" s="13"/>
    </row>
    <row r="2256" spans="1:11" ht="15" customHeight="1" x14ac:dyDescent="0.3">
      <c r="A2256" s="642"/>
      <c r="B2256" s="643"/>
      <c r="C2256" s="69">
        <v>220</v>
      </c>
      <c r="D2256" s="11" t="s">
        <v>1832</v>
      </c>
      <c r="E2256" s="3">
        <v>0</v>
      </c>
      <c r="G2256" s="70">
        <v>220</v>
      </c>
      <c r="H2256" s="11"/>
      <c r="I2256" s="12"/>
      <c r="J2256" s="627"/>
      <c r="K2256" s="13"/>
    </row>
    <row r="2257" spans="1:11" ht="15" customHeight="1" x14ac:dyDescent="0.3">
      <c r="A2257" s="642"/>
      <c r="B2257" s="643"/>
      <c r="C2257" s="69">
        <v>250</v>
      </c>
      <c r="D2257" s="11" t="s">
        <v>1833</v>
      </c>
      <c r="E2257" s="3">
        <v>0</v>
      </c>
      <c r="G2257" s="70">
        <v>250</v>
      </c>
      <c r="H2257" s="11"/>
      <c r="I2257" s="12"/>
      <c r="J2257" s="627"/>
      <c r="K2257" s="13"/>
    </row>
    <row r="2258" spans="1:11" ht="15" customHeight="1" x14ac:dyDescent="0.3">
      <c r="A2258" s="642"/>
      <c r="B2258" s="643"/>
      <c r="C2258" s="69">
        <v>220</v>
      </c>
      <c r="D2258" s="11" t="s">
        <v>1834</v>
      </c>
      <c r="E2258" s="3">
        <v>0</v>
      </c>
      <c r="G2258" s="70">
        <v>220</v>
      </c>
      <c r="H2258" s="11"/>
      <c r="I2258" s="12"/>
      <c r="J2258" s="627"/>
      <c r="K2258" s="13"/>
    </row>
    <row r="2259" spans="1:11" ht="15" customHeight="1" x14ac:dyDescent="0.3">
      <c r="A2259" s="642"/>
      <c r="B2259" s="643"/>
      <c r="C2259" s="69">
        <v>300</v>
      </c>
      <c r="D2259" s="11" t="s">
        <v>1835</v>
      </c>
      <c r="E2259" s="3">
        <v>0</v>
      </c>
      <c r="G2259" s="70">
        <v>300</v>
      </c>
      <c r="H2259" s="11"/>
      <c r="I2259" s="12"/>
      <c r="J2259" s="627"/>
      <c r="K2259" s="13"/>
    </row>
    <row r="2260" spans="1:11" ht="15" customHeight="1" x14ac:dyDescent="0.3">
      <c r="A2260" s="642"/>
      <c r="B2260" s="643"/>
      <c r="C2260" s="69">
        <v>300</v>
      </c>
      <c r="D2260" s="11" t="s">
        <v>1836</v>
      </c>
      <c r="E2260" s="3">
        <v>0</v>
      </c>
      <c r="G2260" s="70">
        <v>300</v>
      </c>
      <c r="H2260" s="11"/>
      <c r="I2260" s="12"/>
      <c r="J2260" s="627"/>
      <c r="K2260" s="13"/>
    </row>
    <row r="2261" spans="1:11" ht="15" customHeight="1" x14ac:dyDescent="0.3">
      <c r="A2261" s="642"/>
      <c r="B2261" s="643"/>
      <c r="C2261" s="69">
        <v>260</v>
      </c>
      <c r="D2261" s="11" t="s">
        <v>1837</v>
      </c>
      <c r="E2261" s="3">
        <v>0</v>
      </c>
      <c r="G2261" s="70">
        <v>260</v>
      </c>
      <c r="H2261" s="11"/>
      <c r="I2261" s="12"/>
      <c r="J2261" s="627"/>
      <c r="K2261" s="13"/>
    </row>
    <row r="2262" spans="1:11" ht="15" customHeight="1" x14ac:dyDescent="0.3">
      <c r="A2262" s="642"/>
      <c r="B2262" s="643"/>
      <c r="C2262" s="69">
        <v>300</v>
      </c>
      <c r="D2262" s="11" t="s">
        <v>1838</v>
      </c>
      <c r="E2262" s="3">
        <v>0</v>
      </c>
      <c r="G2262" s="70">
        <v>300</v>
      </c>
      <c r="H2262" s="11"/>
      <c r="I2262" s="12"/>
      <c r="J2262" s="627"/>
      <c r="K2262" s="13"/>
    </row>
    <row r="2263" spans="1:11" ht="15" customHeight="1" x14ac:dyDescent="0.3">
      <c r="A2263" s="642"/>
      <c r="B2263" s="643"/>
      <c r="C2263" s="69">
        <v>380</v>
      </c>
      <c r="D2263" s="11" t="s">
        <v>1839</v>
      </c>
      <c r="E2263" s="3">
        <v>0</v>
      </c>
      <c r="G2263" s="70">
        <v>380</v>
      </c>
      <c r="H2263" s="11"/>
      <c r="I2263" s="12"/>
      <c r="J2263" s="627"/>
      <c r="K2263" s="13"/>
    </row>
    <row r="2264" spans="1:11" ht="15" customHeight="1" x14ac:dyDescent="0.3">
      <c r="A2264" s="642"/>
      <c r="B2264" s="643"/>
      <c r="C2264" s="69">
        <v>450</v>
      </c>
      <c r="D2264" s="11" t="s">
        <v>1840</v>
      </c>
      <c r="E2264" s="3">
        <v>0</v>
      </c>
      <c r="G2264" s="70">
        <v>450</v>
      </c>
      <c r="H2264" s="11"/>
      <c r="I2264" s="12"/>
      <c r="J2264" s="627"/>
      <c r="K2264" s="13"/>
    </row>
    <row r="2265" spans="1:11" ht="15" customHeight="1" x14ac:dyDescent="0.3">
      <c r="A2265" s="642"/>
      <c r="B2265" s="643"/>
      <c r="C2265" s="69">
        <v>330</v>
      </c>
      <c r="D2265" s="11" t="s">
        <v>1841</v>
      </c>
      <c r="E2265" s="3">
        <v>0</v>
      </c>
      <c r="G2265" s="70">
        <v>330</v>
      </c>
      <c r="H2265" s="11"/>
      <c r="I2265" s="12"/>
      <c r="J2265" s="627"/>
      <c r="K2265" s="13"/>
    </row>
    <row r="2266" spans="1:11" ht="15" customHeight="1" x14ac:dyDescent="0.3">
      <c r="A2266" s="642"/>
      <c r="B2266" s="643"/>
      <c r="C2266" s="69">
        <v>516</v>
      </c>
      <c r="D2266" s="11" t="s">
        <v>1842</v>
      </c>
      <c r="E2266" s="3">
        <v>0</v>
      </c>
      <c r="G2266" s="70">
        <v>516</v>
      </c>
      <c r="H2266" s="11"/>
      <c r="I2266" s="12"/>
      <c r="J2266" s="627"/>
      <c r="K2266" s="13"/>
    </row>
    <row r="2267" spans="1:11" ht="15" customHeight="1" x14ac:dyDescent="0.3">
      <c r="A2267" s="642"/>
      <c r="B2267" s="643"/>
      <c r="C2267" s="69">
        <v>396</v>
      </c>
      <c r="D2267" s="11" t="s">
        <v>1843</v>
      </c>
      <c r="E2267" s="3">
        <v>0</v>
      </c>
      <c r="G2267" s="70">
        <v>396</v>
      </c>
      <c r="H2267" s="11"/>
      <c r="I2267" s="12"/>
      <c r="J2267" s="627"/>
      <c r="K2267" s="13"/>
    </row>
    <row r="2268" spans="1:11" ht="15" customHeight="1" x14ac:dyDescent="0.3">
      <c r="A2268" s="642"/>
      <c r="B2268" s="643"/>
      <c r="C2268" s="69">
        <v>700</v>
      </c>
      <c r="D2268" s="11" t="s">
        <v>1844</v>
      </c>
      <c r="E2268" s="3">
        <v>0</v>
      </c>
      <c r="G2268" s="70" t="s">
        <v>1845</v>
      </c>
      <c r="H2268" s="11"/>
      <c r="I2268" s="12"/>
      <c r="J2268" s="631">
        <v>1000</v>
      </c>
      <c r="K2268" s="13"/>
    </row>
    <row r="2269" spans="1:11" ht="15" customHeight="1" x14ac:dyDescent="0.3">
      <c r="A2269" s="642"/>
      <c r="B2269" s="643"/>
      <c r="C2269" s="69">
        <v>1350</v>
      </c>
      <c r="D2269" s="11" t="s">
        <v>1846</v>
      </c>
      <c r="E2269" s="3">
        <v>0</v>
      </c>
      <c r="G2269" s="70" t="s">
        <v>1847</v>
      </c>
      <c r="H2269" s="11"/>
      <c r="I2269" s="12"/>
      <c r="J2269" s="631">
        <v>2000</v>
      </c>
      <c r="K2269" s="13"/>
    </row>
    <row r="2270" spans="1:11" ht="15" customHeight="1" x14ac:dyDescent="0.3">
      <c r="A2270" s="642"/>
      <c r="B2270" s="643"/>
      <c r="C2270" s="69">
        <v>2150</v>
      </c>
      <c r="D2270" s="11" t="s">
        <v>1848</v>
      </c>
      <c r="E2270" s="3">
        <v>0</v>
      </c>
      <c r="G2270" s="70" t="s">
        <v>1849</v>
      </c>
      <c r="H2270" s="11"/>
      <c r="I2270" s="12"/>
      <c r="J2270" s="631">
        <v>3000</v>
      </c>
      <c r="K2270" s="13"/>
    </row>
    <row r="2271" spans="1:11" ht="15" customHeight="1" x14ac:dyDescent="0.3">
      <c r="A2271" s="642"/>
      <c r="B2271" s="643"/>
      <c r="C2271" s="69">
        <v>700</v>
      </c>
      <c r="D2271" s="11" t="s">
        <v>1850</v>
      </c>
      <c r="E2271" s="3">
        <v>0</v>
      </c>
      <c r="G2271" s="70" t="s">
        <v>1845</v>
      </c>
      <c r="H2271" s="11"/>
      <c r="I2271" s="12"/>
      <c r="J2271" s="631">
        <v>1000</v>
      </c>
      <c r="K2271" s="13"/>
    </row>
    <row r="2272" spans="1:11" ht="15" customHeight="1" x14ac:dyDescent="0.3">
      <c r="A2272" s="642"/>
      <c r="B2272" s="643"/>
      <c r="C2272" s="69">
        <v>1350</v>
      </c>
      <c r="D2272" s="11" t="s">
        <v>1851</v>
      </c>
      <c r="E2272" s="3">
        <v>0</v>
      </c>
      <c r="G2272" s="70" t="s">
        <v>1847</v>
      </c>
      <c r="H2272" s="11"/>
      <c r="I2272" s="12"/>
      <c r="J2272" s="631">
        <v>2000</v>
      </c>
      <c r="K2272" s="13"/>
    </row>
    <row r="2273" spans="1:11" ht="15" customHeight="1" x14ac:dyDescent="0.3">
      <c r="A2273" s="642"/>
      <c r="B2273" s="643"/>
      <c r="C2273" s="69">
        <v>2150</v>
      </c>
      <c r="D2273" s="11" t="s">
        <v>1852</v>
      </c>
      <c r="E2273" s="3">
        <v>0</v>
      </c>
      <c r="G2273" s="70" t="s">
        <v>1849</v>
      </c>
      <c r="H2273" s="11"/>
      <c r="I2273" s="12"/>
      <c r="J2273" s="631">
        <v>3000</v>
      </c>
      <c r="K2273" s="13"/>
    </row>
    <row r="2274" spans="1:11" ht="15" customHeight="1" x14ac:dyDescent="0.3">
      <c r="A2274" s="642"/>
      <c r="B2274" s="643"/>
      <c r="C2274" s="30">
        <v>120</v>
      </c>
      <c r="D2274" s="29" t="s">
        <v>1853</v>
      </c>
      <c r="E2274" s="3">
        <v>0</v>
      </c>
      <c r="G2274" s="70" t="s">
        <v>1845</v>
      </c>
      <c r="H2274" s="11"/>
      <c r="I2274" s="12"/>
      <c r="J2274" s="627"/>
      <c r="K2274" s="13"/>
    </row>
    <row r="2275" spans="1:11" ht="15" customHeight="1" x14ac:dyDescent="0.3">
      <c r="A2275" s="642"/>
      <c r="B2275" s="7" t="s">
        <v>1854</v>
      </c>
      <c r="C2275" s="84">
        <v>120</v>
      </c>
      <c r="D2275" s="29" t="s">
        <v>1826</v>
      </c>
      <c r="E2275" s="3">
        <v>0</v>
      </c>
      <c r="G2275" s="70" t="s">
        <v>1849</v>
      </c>
      <c r="H2275" s="11"/>
      <c r="I2275" s="12"/>
      <c r="J2275" s="627"/>
      <c r="K2275" s="13"/>
    </row>
    <row r="2276" spans="1:11" ht="12.95" customHeight="1" x14ac:dyDescent="0.3">
      <c r="A2276" s="1"/>
      <c r="B2276" s="1"/>
      <c r="C2276" s="85"/>
      <c r="D2276" s="3"/>
      <c r="G2276" s="86"/>
    </row>
    <row r="2277" spans="1:11" ht="12.95" customHeight="1" x14ac:dyDescent="0.3">
      <c r="A2277" s="1"/>
      <c r="B2277" s="1"/>
      <c r="C2277" s="85"/>
      <c r="D2277" s="3"/>
      <c r="G2277" s="86"/>
    </row>
    <row r="2278" spans="1:11" ht="12.95" customHeight="1" x14ac:dyDescent="0.3">
      <c r="A2278" s="1"/>
      <c r="B2278" s="1"/>
      <c r="C2278" s="85"/>
      <c r="D2278" s="3"/>
      <c r="G2278" s="86"/>
    </row>
    <row r="2279" spans="1:11" ht="12.95" customHeight="1" x14ac:dyDescent="0.3">
      <c r="A2279" s="1"/>
      <c r="B2279" s="1"/>
      <c r="C2279" s="85"/>
      <c r="D2279" s="3"/>
      <c r="G2279" s="86"/>
    </row>
    <row r="2280" spans="1:11" ht="12.95" customHeight="1" x14ac:dyDescent="0.3">
      <c r="A2280" s="1"/>
      <c r="B2280" s="1"/>
      <c r="C2280" s="85"/>
      <c r="D2280" s="3"/>
      <c r="G2280" s="86"/>
    </row>
    <row r="2281" spans="1:11" ht="12.95" customHeight="1" x14ac:dyDescent="0.3">
      <c r="A2281" s="1"/>
      <c r="B2281" s="1"/>
      <c r="C2281" s="85"/>
      <c r="D2281" s="3"/>
      <c r="G2281" s="86"/>
    </row>
    <row r="2282" spans="1:11" ht="12.95" customHeight="1" x14ac:dyDescent="0.3">
      <c r="A2282" s="1"/>
      <c r="B2282" s="1"/>
      <c r="C2282" s="85"/>
      <c r="D2282" s="3"/>
      <c r="G2282" s="86"/>
    </row>
    <row r="2283" spans="1:11" ht="12.95" customHeight="1" x14ac:dyDescent="0.3">
      <c r="A2283" s="1"/>
      <c r="B2283" s="1"/>
      <c r="C2283" s="85"/>
      <c r="D2283" s="3"/>
      <c r="G2283" s="86"/>
    </row>
    <row r="2284" spans="1:11" ht="12.95" customHeight="1" x14ac:dyDescent="0.3">
      <c r="A2284" s="1"/>
      <c r="B2284" s="1"/>
      <c r="C2284" s="85"/>
      <c r="D2284" s="3"/>
      <c r="G2284" s="86"/>
    </row>
  </sheetData>
  <mergeCells count="626"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zoomScale="130" zoomScaleNormal="100" zoomScaleSheetLayoutView="130" workbookViewId="0">
      <selection activeCell="A2434" sqref="A2434:A2465"/>
    </sheetView>
  </sheetViews>
  <sheetFormatPr defaultColWidth="10" defaultRowHeight="15" customHeight="1" x14ac:dyDescent="0.2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7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89" t="s">
        <v>4371</v>
      </c>
      <c r="G1" s="586" t="s">
        <v>4746</v>
      </c>
    </row>
    <row r="2" spans="1:7" ht="15" customHeight="1" x14ac:dyDescent="0.2">
      <c r="A2" s="685" t="s">
        <v>1856</v>
      </c>
      <c r="B2" s="90" t="s">
        <v>1857</v>
      </c>
      <c r="C2" s="91" t="s">
        <v>1858</v>
      </c>
      <c r="D2" s="92" t="s">
        <v>1859</v>
      </c>
      <c r="E2" s="89">
        <v>140000</v>
      </c>
    </row>
    <row r="3" spans="1:7" ht="15" customHeight="1" x14ac:dyDescent="0.2">
      <c r="A3" s="685" t="str">
        <f t="shared" ref="A3:A22" si="0">A2</f>
        <v xml:space="preserve">가르다
(GAR) </v>
      </c>
      <c r="B3" s="90" t="s">
        <v>1857</v>
      </c>
      <c r="C3" s="91" t="s">
        <v>1860</v>
      </c>
      <c r="D3" s="92"/>
      <c r="E3" s="89">
        <v>150000</v>
      </c>
    </row>
    <row r="4" spans="1:7" ht="15" customHeight="1" x14ac:dyDescent="0.2">
      <c r="A4" s="685" t="str">
        <f t="shared" si="0"/>
        <v xml:space="preserve">가르다
(GAR) </v>
      </c>
      <c r="B4" s="90" t="s">
        <v>1857</v>
      </c>
      <c r="C4" s="91">
        <v>115</v>
      </c>
      <c r="D4" s="93"/>
      <c r="E4" s="89">
        <v>255000</v>
      </c>
    </row>
    <row r="5" spans="1:7" ht="15" customHeight="1" x14ac:dyDescent="0.2">
      <c r="A5" s="685" t="str">
        <f t="shared" si="0"/>
        <v xml:space="preserve">가르다
(GAR) </v>
      </c>
      <c r="B5" s="90" t="s">
        <v>1857</v>
      </c>
      <c r="C5" s="91" t="s">
        <v>1861</v>
      </c>
      <c r="D5" s="92"/>
      <c r="E5" s="89">
        <v>259000</v>
      </c>
    </row>
    <row r="6" spans="1:7" ht="15" customHeight="1" x14ac:dyDescent="0.2">
      <c r="A6" s="685" t="str">
        <f t="shared" si="0"/>
        <v xml:space="preserve">가르다
(GAR) </v>
      </c>
      <c r="B6" s="90" t="s">
        <v>1857</v>
      </c>
      <c r="C6" s="91" t="s">
        <v>1862</v>
      </c>
      <c r="D6" s="92"/>
      <c r="E6" s="89">
        <v>286000</v>
      </c>
    </row>
    <row r="7" spans="1:7" ht="15" customHeight="1" x14ac:dyDescent="0.2">
      <c r="A7" s="685" t="str">
        <f t="shared" si="0"/>
        <v xml:space="preserve">가르다
(GAR) </v>
      </c>
      <c r="B7" s="90" t="s">
        <v>1857</v>
      </c>
      <c r="C7" s="91" t="s">
        <v>1863</v>
      </c>
      <c r="D7" s="92"/>
      <c r="E7" s="89">
        <v>381000</v>
      </c>
    </row>
    <row r="8" spans="1:7" ht="15" customHeight="1" x14ac:dyDescent="0.2">
      <c r="A8" s="685" t="str">
        <f t="shared" si="0"/>
        <v xml:space="preserve">가르다
(GAR) </v>
      </c>
      <c r="B8" s="90" t="s">
        <v>1857</v>
      </c>
      <c r="C8" s="91" t="s">
        <v>1864</v>
      </c>
      <c r="D8" s="92"/>
      <c r="E8" s="89">
        <v>495000</v>
      </c>
    </row>
    <row r="9" spans="1:7" ht="15" customHeight="1" x14ac:dyDescent="0.2">
      <c r="A9" s="685" t="str">
        <f t="shared" si="0"/>
        <v xml:space="preserve">가르다
(GAR) </v>
      </c>
      <c r="B9" s="95" t="s">
        <v>1865</v>
      </c>
      <c r="C9" s="96" t="s">
        <v>1858</v>
      </c>
      <c r="D9" s="97" t="s">
        <v>1859</v>
      </c>
      <c r="E9" s="89">
        <v>100000</v>
      </c>
    </row>
    <row r="10" spans="1:7" ht="15" customHeight="1" x14ac:dyDescent="0.2">
      <c r="A10" s="685" t="str">
        <f t="shared" si="0"/>
        <v xml:space="preserve">가르다
(GAR) </v>
      </c>
      <c r="B10" s="95" t="s">
        <v>1865</v>
      </c>
      <c r="C10" s="91" t="s">
        <v>1860</v>
      </c>
      <c r="D10" s="92"/>
      <c r="E10" s="89">
        <v>105000</v>
      </c>
    </row>
    <row r="11" spans="1:7" ht="15" customHeight="1" x14ac:dyDescent="0.2">
      <c r="A11" s="685" t="str">
        <f t="shared" si="0"/>
        <v xml:space="preserve">가르다
(GAR) </v>
      </c>
      <c r="B11" s="95" t="s">
        <v>1865</v>
      </c>
      <c r="C11" s="91">
        <v>115</v>
      </c>
      <c r="D11" s="93"/>
      <c r="E11" s="89">
        <v>175000</v>
      </c>
    </row>
    <row r="12" spans="1:7" ht="15" customHeight="1" x14ac:dyDescent="0.2">
      <c r="A12" s="685" t="str">
        <f t="shared" si="0"/>
        <v xml:space="preserve">가르다
(GAR) </v>
      </c>
      <c r="B12" s="95" t="s">
        <v>1865</v>
      </c>
      <c r="C12" s="91" t="s">
        <v>1861</v>
      </c>
      <c r="D12" s="92"/>
      <c r="E12" s="89">
        <v>180000</v>
      </c>
    </row>
    <row r="13" spans="1:7" ht="15" customHeight="1" x14ac:dyDescent="0.2">
      <c r="A13" s="685" t="str">
        <f t="shared" si="0"/>
        <v xml:space="preserve">가르다
(GAR) </v>
      </c>
      <c r="B13" s="95" t="s">
        <v>1865</v>
      </c>
      <c r="C13" s="91" t="s">
        <v>1862</v>
      </c>
      <c r="D13" s="92"/>
      <c r="E13" s="89">
        <v>200000</v>
      </c>
    </row>
    <row r="14" spans="1:7" ht="15" customHeight="1" x14ac:dyDescent="0.2">
      <c r="A14" s="685" t="str">
        <f t="shared" si="0"/>
        <v xml:space="preserve">가르다
(GAR) </v>
      </c>
      <c r="B14" s="95" t="s">
        <v>1865</v>
      </c>
      <c r="C14" s="91">
        <v>200</v>
      </c>
      <c r="D14" s="98"/>
      <c r="E14" s="89">
        <v>305000</v>
      </c>
    </row>
    <row r="15" spans="1:7" ht="15" customHeight="1" x14ac:dyDescent="0.2">
      <c r="A15" s="685" t="str">
        <f t="shared" si="0"/>
        <v xml:space="preserve">가르다
(GAR) </v>
      </c>
      <c r="B15" s="95" t="s">
        <v>1865</v>
      </c>
      <c r="C15" s="91" t="s">
        <v>1864</v>
      </c>
      <c r="D15" s="92"/>
      <c r="E15" s="89">
        <v>345000</v>
      </c>
    </row>
    <row r="16" spans="1:7" ht="15" customHeight="1" x14ac:dyDescent="0.2">
      <c r="A16" s="685" t="str">
        <f t="shared" si="0"/>
        <v xml:space="preserve">가르다
(GAR) </v>
      </c>
      <c r="B16" s="95" t="s">
        <v>1866</v>
      </c>
      <c r="C16" s="96">
        <v>115</v>
      </c>
      <c r="D16" s="97" t="s">
        <v>1867</v>
      </c>
      <c r="E16" s="89">
        <v>60000</v>
      </c>
    </row>
    <row r="17" spans="1:5" ht="15" customHeight="1" x14ac:dyDescent="0.2">
      <c r="A17" s="685" t="str">
        <f t="shared" si="0"/>
        <v xml:space="preserve">가르다
(GAR) </v>
      </c>
      <c r="B17" s="95" t="s">
        <v>1866</v>
      </c>
      <c r="C17" s="91">
        <v>135</v>
      </c>
      <c r="D17" s="92" t="s">
        <v>1868</v>
      </c>
      <c r="E17" s="89">
        <v>75000</v>
      </c>
    </row>
    <row r="18" spans="1:5" ht="15" customHeight="1" x14ac:dyDescent="0.2">
      <c r="A18" s="685" t="str">
        <f t="shared" si="0"/>
        <v xml:space="preserve">가르다
(GAR) </v>
      </c>
      <c r="B18" s="95" t="s">
        <v>1866</v>
      </c>
      <c r="C18" s="91">
        <v>150</v>
      </c>
      <c r="D18" s="92" t="s">
        <v>1868</v>
      </c>
      <c r="E18" s="89">
        <v>80000</v>
      </c>
    </row>
    <row r="19" spans="1:5" ht="15" customHeight="1" x14ac:dyDescent="0.2">
      <c r="A19" s="685" t="str">
        <f t="shared" si="0"/>
        <v xml:space="preserve">가르다
(GAR) </v>
      </c>
      <c r="B19" s="95" t="s">
        <v>1866</v>
      </c>
      <c r="C19" s="91">
        <v>200</v>
      </c>
      <c r="D19" s="92" t="s">
        <v>1868</v>
      </c>
      <c r="E19" s="89">
        <v>105000</v>
      </c>
    </row>
    <row r="20" spans="1:5" ht="15" customHeight="1" x14ac:dyDescent="0.2">
      <c r="A20" s="685" t="str">
        <f t="shared" si="0"/>
        <v xml:space="preserve">가르다
(GAR) </v>
      </c>
      <c r="B20" s="95" t="s">
        <v>1866</v>
      </c>
      <c r="C20" s="99">
        <v>250</v>
      </c>
      <c r="D20" s="100"/>
      <c r="E20" s="89">
        <v>140000</v>
      </c>
    </row>
    <row r="21" spans="1:5" ht="15" customHeight="1" x14ac:dyDescent="0.2">
      <c r="A21" s="685" t="str">
        <f t="shared" si="0"/>
        <v xml:space="preserve">가르다
(GAR) </v>
      </c>
      <c r="B21" s="90" t="s">
        <v>1869</v>
      </c>
      <c r="C21" s="91">
        <v>200</v>
      </c>
      <c r="D21" s="92" t="s">
        <v>1867</v>
      </c>
      <c r="E21" s="89">
        <v>55000</v>
      </c>
    </row>
    <row r="22" spans="1:5" ht="15" customHeight="1" x14ac:dyDescent="0.2">
      <c r="A22" s="779" t="str">
        <f t="shared" si="0"/>
        <v xml:space="preserve">가르다
(GAR) </v>
      </c>
      <c r="B22" s="101" t="s">
        <v>1870</v>
      </c>
      <c r="C22" s="91">
        <v>250</v>
      </c>
      <c r="D22" s="92"/>
      <c r="E22" s="89">
        <v>72500</v>
      </c>
    </row>
    <row r="23" spans="1:5" ht="15" customHeight="1" x14ac:dyDescent="0.2">
      <c r="A23" s="780" t="s">
        <v>1871</v>
      </c>
      <c r="B23" s="102" t="s">
        <v>1872</v>
      </c>
      <c r="C23" s="103">
        <v>310</v>
      </c>
      <c r="D23" s="104" t="s">
        <v>1873</v>
      </c>
      <c r="E23" s="89">
        <v>2100000</v>
      </c>
    </row>
    <row r="24" spans="1:5" ht="15" customHeight="1" x14ac:dyDescent="0.2">
      <c r="A24" s="780" t="str">
        <f>A23</f>
        <v xml:space="preserve">갈라파고스
(GALA)                           12/1 부터 적용 </v>
      </c>
      <c r="B24" s="102" t="s">
        <v>1872</v>
      </c>
      <c r="C24" s="91">
        <v>310</v>
      </c>
      <c r="D24" s="98" t="s">
        <v>1874</v>
      </c>
      <c r="E24" s="89">
        <v>2050000</v>
      </c>
    </row>
    <row r="25" spans="1:5" ht="15" customHeight="1" x14ac:dyDescent="0.2">
      <c r="A25" s="780" t="str">
        <f>A24</f>
        <v xml:space="preserve">갈라파고스
(GALA)                           12/1 부터 적용 </v>
      </c>
      <c r="B25" s="102" t="s">
        <v>1872</v>
      </c>
      <c r="C25" s="99">
        <v>310</v>
      </c>
      <c r="D25" s="105" t="s">
        <v>1875</v>
      </c>
      <c r="E25" s="89">
        <v>2375000</v>
      </c>
    </row>
    <row r="26" spans="1:5" ht="15" customHeight="1" x14ac:dyDescent="0.2">
      <c r="A26" s="780" t="str">
        <f>A25</f>
        <v xml:space="preserve">갈라파고스
(GALA)                           12/1 부터 적용 </v>
      </c>
      <c r="B26" s="102" t="s">
        <v>1872</v>
      </c>
      <c r="C26" s="91">
        <v>300</v>
      </c>
      <c r="D26" s="98" t="s">
        <v>1876</v>
      </c>
      <c r="E26" s="89">
        <v>1350000</v>
      </c>
    </row>
    <row r="27" spans="1:5" ht="15" customHeight="1" x14ac:dyDescent="0.2">
      <c r="A27" s="780" t="str">
        <f>A26</f>
        <v xml:space="preserve">갈라파고스
(GALA)                           12/1 부터 적용 </v>
      </c>
      <c r="B27" s="102" t="s">
        <v>1872</v>
      </c>
      <c r="C27" s="91">
        <v>300</v>
      </c>
      <c r="D27" s="98" t="s">
        <v>1875</v>
      </c>
      <c r="E27" s="89">
        <v>1375000</v>
      </c>
    </row>
    <row r="28" spans="1:5" ht="15" customHeight="1" x14ac:dyDescent="0.2">
      <c r="A28" s="780" t="str">
        <f>A27</f>
        <v xml:space="preserve">갈라파고스
(GALA)                           12/1 부터 적용 </v>
      </c>
      <c r="B28" s="102" t="s">
        <v>1872</v>
      </c>
      <c r="C28" s="106">
        <v>300</v>
      </c>
      <c r="D28" s="107" t="s">
        <v>1877</v>
      </c>
      <c r="E28" s="89">
        <v>1645000</v>
      </c>
    </row>
    <row r="29" spans="1:5" ht="15" customHeight="1" x14ac:dyDescent="0.2">
      <c r="A29" s="688" t="s">
        <v>1878</v>
      </c>
      <c r="B29" s="90" t="s">
        <v>1879</v>
      </c>
      <c r="C29" s="108">
        <v>115</v>
      </c>
      <c r="D29" s="98" t="s">
        <v>1859</v>
      </c>
      <c r="E29" s="89">
        <v>174000</v>
      </c>
    </row>
    <row r="30" spans="1:5" ht="15" customHeight="1" x14ac:dyDescent="0.2">
      <c r="A30" s="688" t="str">
        <f t="shared" ref="A30:A41" si="1">A29</f>
        <v>그라시아
(GRA)</v>
      </c>
      <c r="B30" s="90" t="s">
        <v>1879</v>
      </c>
      <c r="C30" s="91" t="s">
        <v>1861</v>
      </c>
      <c r="D30" s="92" t="s">
        <v>1868</v>
      </c>
      <c r="E30" s="89">
        <v>190000</v>
      </c>
    </row>
    <row r="31" spans="1:5" ht="15" customHeight="1" x14ac:dyDescent="0.2">
      <c r="A31" s="688" t="str">
        <f t="shared" si="1"/>
        <v>그라시아
(GRA)</v>
      </c>
      <c r="B31" s="90" t="s">
        <v>1879</v>
      </c>
      <c r="C31" s="91" t="s">
        <v>1862</v>
      </c>
      <c r="D31" s="92"/>
      <c r="E31" s="89">
        <v>210000</v>
      </c>
    </row>
    <row r="32" spans="1:5" ht="15" customHeight="1" x14ac:dyDescent="0.2">
      <c r="A32" s="688" t="str">
        <f t="shared" si="1"/>
        <v>그라시아
(GRA)</v>
      </c>
      <c r="B32" s="90" t="s">
        <v>1879</v>
      </c>
      <c r="C32" s="91">
        <v>170</v>
      </c>
      <c r="D32" s="98"/>
      <c r="E32" s="89">
        <v>259000</v>
      </c>
    </row>
    <row r="33" spans="1:5" ht="15" customHeight="1" x14ac:dyDescent="0.2">
      <c r="A33" s="688" t="str">
        <f t="shared" si="1"/>
        <v>그라시아
(GRA)</v>
      </c>
      <c r="B33" s="90" t="s">
        <v>1879</v>
      </c>
      <c r="C33" s="91">
        <v>200</v>
      </c>
      <c r="D33" s="98"/>
      <c r="E33" s="89">
        <v>303000</v>
      </c>
    </row>
    <row r="34" spans="1:5" ht="15" customHeight="1" x14ac:dyDescent="0.2">
      <c r="A34" s="688" t="str">
        <f t="shared" si="1"/>
        <v>그라시아
(GRA)</v>
      </c>
      <c r="B34" s="90" t="s">
        <v>1879</v>
      </c>
      <c r="C34" s="91">
        <v>250</v>
      </c>
      <c r="D34" s="98"/>
      <c r="E34" s="89">
        <v>380000</v>
      </c>
    </row>
    <row r="35" spans="1:5" ht="15" customHeight="1" x14ac:dyDescent="0.2">
      <c r="A35" s="688" t="str">
        <f t="shared" si="1"/>
        <v>그라시아
(GRA)</v>
      </c>
      <c r="B35" s="95" t="s">
        <v>1857</v>
      </c>
      <c r="C35" s="96" t="s">
        <v>1861</v>
      </c>
      <c r="D35" s="109" t="s">
        <v>1859</v>
      </c>
      <c r="E35" s="89">
        <v>190000</v>
      </c>
    </row>
    <row r="36" spans="1:5" ht="15" customHeight="1" x14ac:dyDescent="0.2">
      <c r="A36" s="688" t="str">
        <f t="shared" si="1"/>
        <v>그라시아
(GRA)</v>
      </c>
      <c r="B36" s="95" t="s">
        <v>1865</v>
      </c>
      <c r="C36" s="96">
        <v>115</v>
      </c>
      <c r="D36" s="109" t="s">
        <v>1859</v>
      </c>
      <c r="E36" s="89">
        <v>112000</v>
      </c>
    </row>
    <row r="37" spans="1:5" ht="15" customHeight="1" x14ac:dyDescent="0.2">
      <c r="A37" s="688" t="str">
        <f t="shared" si="1"/>
        <v>그라시아
(GRA)</v>
      </c>
      <c r="B37" s="95" t="s">
        <v>1865</v>
      </c>
      <c r="C37" s="91">
        <v>135</v>
      </c>
      <c r="D37" s="98"/>
      <c r="E37" s="89">
        <v>132000</v>
      </c>
    </row>
    <row r="38" spans="1:5" ht="15" customHeight="1" x14ac:dyDescent="0.2">
      <c r="A38" s="688" t="str">
        <f t="shared" si="1"/>
        <v>그라시아
(GRA)</v>
      </c>
      <c r="B38" s="95" t="s">
        <v>1865</v>
      </c>
      <c r="C38" s="91">
        <v>150</v>
      </c>
      <c r="D38" s="98"/>
      <c r="E38" s="89">
        <v>147000</v>
      </c>
    </row>
    <row r="39" spans="1:5" ht="15" customHeight="1" x14ac:dyDescent="0.2">
      <c r="A39" s="688" t="str">
        <f t="shared" si="1"/>
        <v>그라시아
(GRA)</v>
      </c>
      <c r="B39" s="95" t="s">
        <v>1865</v>
      </c>
      <c r="C39" s="91">
        <v>170</v>
      </c>
      <c r="D39" s="98"/>
      <c r="E39" s="89">
        <v>167000</v>
      </c>
    </row>
    <row r="40" spans="1:5" ht="15" customHeight="1" x14ac:dyDescent="0.2">
      <c r="A40" s="688" t="str">
        <f t="shared" si="1"/>
        <v>그라시아
(GRA)</v>
      </c>
      <c r="B40" s="95" t="s">
        <v>1865</v>
      </c>
      <c r="C40" s="91">
        <v>200</v>
      </c>
      <c r="D40" s="98"/>
      <c r="E40" s="89">
        <v>195000</v>
      </c>
    </row>
    <row r="41" spans="1:5" ht="15" customHeight="1" x14ac:dyDescent="0.2">
      <c r="A41" s="688" t="str">
        <f t="shared" si="1"/>
        <v>그라시아
(GRA)</v>
      </c>
      <c r="B41" s="95" t="s">
        <v>1865</v>
      </c>
      <c r="C41" s="111">
        <v>250</v>
      </c>
      <c r="D41" s="112"/>
      <c r="E41" s="89">
        <v>245000</v>
      </c>
    </row>
    <row r="42" spans="1:5" ht="15" customHeight="1" x14ac:dyDescent="0.2">
      <c r="A42" s="774" t="s">
        <v>1880</v>
      </c>
      <c r="B42" s="102" t="s">
        <v>1881</v>
      </c>
      <c r="C42" s="103">
        <v>300</v>
      </c>
      <c r="D42" s="104" t="s">
        <v>1882</v>
      </c>
      <c r="E42" s="89">
        <v>1125000</v>
      </c>
    </row>
    <row r="43" spans="1:5" ht="15" customHeight="1" x14ac:dyDescent="0.2">
      <c r="A43" s="774" t="str">
        <f>A42</f>
        <v>구몬드3
(G3)</v>
      </c>
      <c r="B43" s="102" t="s">
        <v>1881</v>
      </c>
      <c r="C43" s="91"/>
      <c r="D43" s="98" t="s">
        <v>1883</v>
      </c>
      <c r="E43" s="89">
        <v>1290000</v>
      </c>
    </row>
    <row r="44" spans="1:5" ht="15" customHeight="1" x14ac:dyDescent="0.2">
      <c r="A44" s="774" t="str">
        <f>A43</f>
        <v>구몬드3
(G3)</v>
      </c>
      <c r="B44" s="102" t="s">
        <v>1881</v>
      </c>
      <c r="C44" s="99"/>
      <c r="D44" s="105" t="s">
        <v>1884</v>
      </c>
      <c r="E44" s="89">
        <v>1800000</v>
      </c>
    </row>
    <row r="45" spans="1:5" ht="15" customHeight="1" x14ac:dyDescent="0.2">
      <c r="A45" s="774" t="str">
        <f>A44</f>
        <v>구몬드3
(G3)</v>
      </c>
      <c r="B45" s="102" t="s">
        <v>1881</v>
      </c>
      <c r="C45" s="96">
        <v>310</v>
      </c>
      <c r="D45" s="109" t="s">
        <v>1885</v>
      </c>
      <c r="E45" s="89">
        <v>1875000</v>
      </c>
    </row>
    <row r="46" spans="1:5" ht="15" customHeight="1" x14ac:dyDescent="0.2">
      <c r="A46" s="774" t="s">
        <v>1886</v>
      </c>
      <c r="B46" s="102" t="s">
        <v>1887</v>
      </c>
      <c r="C46" s="103">
        <v>110</v>
      </c>
      <c r="D46" s="104" t="s">
        <v>1888</v>
      </c>
      <c r="E46" s="89">
        <v>775000</v>
      </c>
    </row>
    <row r="47" spans="1:5" ht="15" customHeight="1" x14ac:dyDescent="0.2">
      <c r="A47" s="685" t="str">
        <f t="shared" ref="A47:A55" si="2">A46</f>
        <v>구몬드 골드
(GG)</v>
      </c>
      <c r="B47" s="102" t="s">
        <v>1887</v>
      </c>
      <c r="C47" s="91"/>
      <c r="D47" s="98" t="s">
        <v>1889</v>
      </c>
      <c r="E47" s="89">
        <v>1150000</v>
      </c>
    </row>
    <row r="48" spans="1:5" ht="15" customHeight="1" x14ac:dyDescent="0.2">
      <c r="A48" s="685" t="str">
        <f t="shared" si="2"/>
        <v>구몬드 골드
(GG)</v>
      </c>
      <c r="B48" s="102" t="s">
        <v>1887</v>
      </c>
      <c r="C48" s="91" t="s">
        <v>1868</v>
      </c>
      <c r="D48" s="98" t="s">
        <v>1890</v>
      </c>
      <c r="E48" s="89">
        <v>1390000</v>
      </c>
    </row>
    <row r="49" spans="1:5" ht="15" customHeight="1" x14ac:dyDescent="0.2">
      <c r="A49" s="685" t="str">
        <f t="shared" si="2"/>
        <v>구몬드 골드
(GG)</v>
      </c>
      <c r="B49" s="102" t="s">
        <v>1887</v>
      </c>
      <c r="C49" s="99"/>
      <c r="D49" s="105" t="s">
        <v>1891</v>
      </c>
      <c r="E49" s="89">
        <v>1465000</v>
      </c>
    </row>
    <row r="50" spans="1:5" ht="15" customHeight="1" x14ac:dyDescent="0.2">
      <c r="A50" s="685" t="str">
        <f t="shared" si="2"/>
        <v>구몬드 골드
(GG)</v>
      </c>
      <c r="B50" s="102" t="s">
        <v>1887</v>
      </c>
      <c r="C50" s="113">
        <v>210</v>
      </c>
      <c r="D50" s="114" t="s">
        <v>1892</v>
      </c>
      <c r="E50" s="89">
        <v>2570000</v>
      </c>
    </row>
    <row r="51" spans="1:5" ht="15" customHeight="1" x14ac:dyDescent="0.2">
      <c r="A51" s="685" t="str">
        <f t="shared" si="2"/>
        <v>구몬드 골드
(GG)</v>
      </c>
      <c r="B51" s="102" t="s">
        <v>1887</v>
      </c>
      <c r="C51" s="91">
        <v>310</v>
      </c>
      <c r="D51" s="98" t="s">
        <v>1893</v>
      </c>
      <c r="E51" s="89">
        <v>1825000</v>
      </c>
    </row>
    <row r="52" spans="1:5" ht="15" customHeight="1" x14ac:dyDescent="0.2">
      <c r="A52" s="685" t="str">
        <f t="shared" si="2"/>
        <v>구몬드 골드
(GG)</v>
      </c>
      <c r="B52" s="102" t="s">
        <v>1887</v>
      </c>
      <c r="C52" s="91"/>
      <c r="D52" s="98" t="s">
        <v>1894</v>
      </c>
      <c r="E52" s="89">
        <v>2700000</v>
      </c>
    </row>
    <row r="53" spans="1:5" ht="15" customHeight="1" x14ac:dyDescent="0.2">
      <c r="A53" s="685" t="str">
        <f t="shared" si="2"/>
        <v>구몬드 골드
(GG)</v>
      </c>
      <c r="B53" s="102" t="s">
        <v>1887</v>
      </c>
      <c r="C53" s="91"/>
      <c r="D53" s="98" t="s">
        <v>1895</v>
      </c>
      <c r="E53" s="89">
        <v>3300000</v>
      </c>
    </row>
    <row r="54" spans="1:5" ht="15" customHeight="1" x14ac:dyDescent="0.2">
      <c r="A54" s="685" t="str">
        <f t="shared" si="2"/>
        <v>구몬드 골드
(GG)</v>
      </c>
      <c r="B54" s="102" t="s">
        <v>1887</v>
      </c>
      <c r="C54" s="91"/>
      <c r="D54" s="98" t="s">
        <v>1896</v>
      </c>
      <c r="E54" s="89">
        <v>3450000</v>
      </c>
    </row>
    <row r="55" spans="1:5" ht="15" customHeight="1" x14ac:dyDescent="0.2">
      <c r="A55" s="688" t="str">
        <f t="shared" si="2"/>
        <v>구몬드 골드
(GG)</v>
      </c>
      <c r="B55" s="102" t="s">
        <v>1887</v>
      </c>
      <c r="C55" s="106"/>
      <c r="D55" s="115" t="s">
        <v>1897</v>
      </c>
      <c r="E55" s="89">
        <v>2965000</v>
      </c>
    </row>
    <row r="56" spans="1:5" ht="15" customHeight="1" x14ac:dyDescent="0.2">
      <c r="A56" s="774" t="s">
        <v>1898</v>
      </c>
      <c r="B56" s="102" t="s">
        <v>1899</v>
      </c>
      <c r="C56" s="103">
        <v>130</v>
      </c>
      <c r="D56" s="104" t="s">
        <v>1900</v>
      </c>
      <c r="E56" s="89">
        <v>1310000</v>
      </c>
    </row>
    <row r="57" spans="1:5" ht="15" customHeight="1" x14ac:dyDescent="0.2">
      <c r="A57" s="685" t="str">
        <f t="shared" ref="A57:A66" si="3">A56</f>
        <v>구몬드 스페셜
(GMS)</v>
      </c>
      <c r="B57" s="102" t="s">
        <v>1899</v>
      </c>
      <c r="C57" s="99"/>
      <c r="D57" s="105" t="s">
        <v>1901</v>
      </c>
      <c r="E57" s="89">
        <v>1365000</v>
      </c>
    </row>
    <row r="58" spans="1:5" ht="15" customHeight="1" x14ac:dyDescent="0.2">
      <c r="A58" s="685" t="str">
        <f t="shared" si="3"/>
        <v>구몬드 스페셜
(GMS)</v>
      </c>
      <c r="B58" s="102" t="s">
        <v>1899</v>
      </c>
      <c r="C58" s="96">
        <v>120</v>
      </c>
      <c r="D58" s="109" t="s">
        <v>1902</v>
      </c>
      <c r="E58" s="89">
        <v>590000</v>
      </c>
    </row>
    <row r="59" spans="1:5" ht="15" customHeight="1" x14ac:dyDescent="0.2">
      <c r="A59" s="685" t="str">
        <f t="shared" si="3"/>
        <v>구몬드 스페셜
(GMS)</v>
      </c>
      <c r="B59" s="102" t="s">
        <v>1899</v>
      </c>
      <c r="C59" s="91"/>
      <c r="D59" s="98" t="s">
        <v>1903</v>
      </c>
      <c r="E59" s="89">
        <v>700000</v>
      </c>
    </row>
    <row r="60" spans="1:5" ht="15" customHeight="1" x14ac:dyDescent="0.2">
      <c r="A60" s="685" t="str">
        <f t="shared" si="3"/>
        <v>구몬드 스페셜
(GMS)</v>
      </c>
      <c r="B60" s="102" t="s">
        <v>1899</v>
      </c>
      <c r="C60" s="99"/>
      <c r="D60" s="105" t="s">
        <v>1904</v>
      </c>
      <c r="E60" s="89">
        <v>825000</v>
      </c>
    </row>
    <row r="61" spans="1:5" ht="15" customHeight="1" x14ac:dyDescent="0.2">
      <c r="A61" s="685" t="str">
        <f t="shared" si="3"/>
        <v>구몬드 스페셜
(GMS)</v>
      </c>
      <c r="B61" s="102" t="s">
        <v>1899</v>
      </c>
      <c r="C61" s="91">
        <v>130</v>
      </c>
      <c r="D61" s="98" t="s">
        <v>1905</v>
      </c>
      <c r="E61" s="89">
        <v>1240000</v>
      </c>
    </row>
    <row r="62" spans="1:5" ht="15" customHeight="1" x14ac:dyDescent="0.2">
      <c r="A62" s="685" t="str">
        <f t="shared" si="3"/>
        <v>구몬드 스페셜
(GMS)</v>
      </c>
      <c r="B62" s="102" t="s">
        <v>1899</v>
      </c>
      <c r="C62" s="91"/>
      <c r="D62" s="98" t="s">
        <v>1906</v>
      </c>
      <c r="E62" s="89">
        <v>1520000</v>
      </c>
    </row>
    <row r="63" spans="1:5" ht="15" customHeight="1" x14ac:dyDescent="0.2">
      <c r="A63" s="685" t="str">
        <f t="shared" si="3"/>
        <v>구몬드 스페셜
(GMS)</v>
      </c>
      <c r="B63" s="102" t="s">
        <v>1899</v>
      </c>
      <c r="C63" s="91"/>
      <c r="D63" s="98" t="s">
        <v>1907</v>
      </c>
      <c r="E63" s="89">
        <v>1860000</v>
      </c>
    </row>
    <row r="64" spans="1:5" ht="15" customHeight="1" x14ac:dyDescent="0.2">
      <c r="A64" s="685" t="str">
        <f t="shared" si="3"/>
        <v>구몬드 스페셜
(GMS)</v>
      </c>
      <c r="B64" s="102" t="s">
        <v>1899</v>
      </c>
      <c r="C64" s="91"/>
      <c r="D64" s="98" t="s">
        <v>1908</v>
      </c>
      <c r="E64" s="89">
        <v>1540000</v>
      </c>
    </row>
    <row r="65" spans="1:5" ht="15" customHeight="1" x14ac:dyDescent="0.2">
      <c r="A65" s="685" t="str">
        <f t="shared" si="3"/>
        <v>구몬드 스페셜
(GMS)</v>
      </c>
      <c r="B65" s="102" t="s">
        <v>1899</v>
      </c>
      <c r="C65" s="91"/>
      <c r="D65" s="98" t="s">
        <v>1909</v>
      </c>
      <c r="E65" s="89">
        <v>1710000</v>
      </c>
    </row>
    <row r="66" spans="1:5" ht="15" customHeight="1" x14ac:dyDescent="0.2">
      <c r="A66" s="688" t="str">
        <f t="shared" si="3"/>
        <v>구몬드 스페셜
(GMS)</v>
      </c>
      <c r="B66" s="102" t="s">
        <v>1899</v>
      </c>
      <c r="C66" s="106"/>
      <c r="D66" s="107" t="s">
        <v>1910</v>
      </c>
      <c r="E66" s="89">
        <v>1575000</v>
      </c>
    </row>
    <row r="67" spans="1:5" ht="15" customHeight="1" x14ac:dyDescent="0.2">
      <c r="A67" s="781" t="s">
        <v>1911</v>
      </c>
      <c r="B67" s="116" t="s">
        <v>1912</v>
      </c>
      <c r="C67" s="103">
        <v>120</v>
      </c>
      <c r="D67" s="117" t="s">
        <v>1913</v>
      </c>
      <c r="E67" s="89">
        <v>215000</v>
      </c>
    </row>
    <row r="68" spans="1:5" ht="15" customHeight="1" x14ac:dyDescent="0.2">
      <c r="A68" s="686" t="str">
        <f t="shared" ref="A68:A76" si="4">A67</f>
        <v>그래피카
(PGP)</v>
      </c>
      <c r="B68" s="116" t="s">
        <v>1912</v>
      </c>
      <c r="C68" s="91">
        <v>240</v>
      </c>
      <c r="D68" s="119" t="s">
        <v>1914</v>
      </c>
      <c r="E68" s="89">
        <v>490000</v>
      </c>
    </row>
    <row r="69" spans="1:5" ht="15" customHeight="1" x14ac:dyDescent="0.2">
      <c r="A69" s="686" t="str">
        <f t="shared" si="4"/>
        <v>그래피카
(PGP)</v>
      </c>
      <c r="B69" s="120" t="s">
        <v>1912</v>
      </c>
      <c r="C69" s="121">
        <v>120</v>
      </c>
      <c r="D69" s="122" t="s">
        <v>1915</v>
      </c>
      <c r="E69" s="89">
        <v>215000</v>
      </c>
    </row>
    <row r="70" spans="1:5" ht="15" customHeight="1" x14ac:dyDescent="0.2">
      <c r="A70" s="686" t="str">
        <f t="shared" si="4"/>
        <v>그래피카
(PGP)</v>
      </c>
      <c r="B70" s="120" t="s">
        <v>1912</v>
      </c>
      <c r="C70" s="91">
        <v>150</v>
      </c>
      <c r="D70" s="119" t="s">
        <v>1916</v>
      </c>
      <c r="E70" s="89">
        <v>270000</v>
      </c>
    </row>
    <row r="71" spans="1:5" ht="15" customHeight="1" x14ac:dyDescent="0.2">
      <c r="A71" s="686" t="str">
        <f t="shared" si="4"/>
        <v>그래피카
(PGP)</v>
      </c>
      <c r="B71" s="120" t="s">
        <v>1912</v>
      </c>
      <c r="C71" s="91">
        <v>240</v>
      </c>
      <c r="D71" s="119" t="s">
        <v>1917</v>
      </c>
      <c r="E71" s="89">
        <v>490000</v>
      </c>
    </row>
    <row r="72" spans="1:5" ht="15" customHeight="1" x14ac:dyDescent="0.2">
      <c r="A72" s="686" t="str">
        <f t="shared" si="4"/>
        <v>그래피카
(PGP)</v>
      </c>
      <c r="B72" s="120" t="s">
        <v>1912</v>
      </c>
      <c r="C72" s="91">
        <v>300</v>
      </c>
      <c r="D72" s="119" t="s">
        <v>1918</v>
      </c>
      <c r="E72" s="89">
        <v>610000</v>
      </c>
    </row>
    <row r="73" spans="1:5" ht="15" customHeight="1" x14ac:dyDescent="0.2">
      <c r="A73" s="686" t="str">
        <f t="shared" si="4"/>
        <v>그래피카
(PGP)</v>
      </c>
      <c r="B73" s="120" t="s">
        <v>1912</v>
      </c>
      <c r="C73" s="121">
        <v>120</v>
      </c>
      <c r="D73" s="122" t="s">
        <v>1919</v>
      </c>
      <c r="E73" s="89">
        <v>215000</v>
      </c>
    </row>
    <row r="74" spans="1:5" ht="15" customHeight="1" x14ac:dyDescent="0.2">
      <c r="A74" s="686" t="str">
        <f t="shared" si="4"/>
        <v>그래피카
(PGP)</v>
      </c>
      <c r="B74" s="120" t="s">
        <v>1912</v>
      </c>
      <c r="C74" s="91">
        <v>240</v>
      </c>
      <c r="D74" s="119" t="s">
        <v>1920</v>
      </c>
      <c r="E74" s="89">
        <v>490000</v>
      </c>
    </row>
    <row r="75" spans="1:5" ht="15" customHeight="1" x14ac:dyDescent="0.2">
      <c r="A75" s="686" t="str">
        <f t="shared" si="4"/>
        <v>그래피카
(PGP)</v>
      </c>
      <c r="B75" s="120" t="s">
        <v>1921</v>
      </c>
      <c r="C75" s="121">
        <v>90</v>
      </c>
      <c r="D75" s="122" t="s">
        <v>1922</v>
      </c>
      <c r="E75" s="89">
        <v>113000</v>
      </c>
    </row>
    <row r="76" spans="1:5" ht="15" customHeight="1" x14ac:dyDescent="0.2">
      <c r="A76" s="707" t="str">
        <f t="shared" si="4"/>
        <v>그래피카
(PGP)</v>
      </c>
      <c r="B76" s="120" t="s">
        <v>1921</v>
      </c>
      <c r="C76" s="111">
        <v>90</v>
      </c>
      <c r="D76" s="124" t="s">
        <v>1923</v>
      </c>
      <c r="E76" s="89">
        <v>113000</v>
      </c>
    </row>
    <row r="77" spans="1:5" ht="15" customHeight="1" x14ac:dyDescent="0.2">
      <c r="A77" s="782" t="s">
        <v>1924</v>
      </c>
      <c r="B77" s="90" t="s">
        <v>1925</v>
      </c>
      <c r="C77" s="99">
        <v>190</v>
      </c>
      <c r="D77" s="100" t="s">
        <v>1926</v>
      </c>
      <c r="E77" s="89">
        <v>340000</v>
      </c>
    </row>
    <row r="78" spans="1:5" ht="15" customHeight="1" x14ac:dyDescent="0.2">
      <c r="A78" s="783" t="str">
        <f>A77</f>
        <v>네뚜노
(NE)PM용</v>
      </c>
      <c r="B78" s="90" t="s">
        <v>1925</v>
      </c>
      <c r="C78" s="91">
        <v>280</v>
      </c>
      <c r="D78" s="98" t="s">
        <v>1927</v>
      </c>
      <c r="E78" s="89">
        <v>590000</v>
      </c>
    </row>
    <row r="79" spans="1:5" ht="15" customHeight="1" x14ac:dyDescent="0.2">
      <c r="A79" s="783" t="str">
        <f>A78</f>
        <v>네뚜노
(NE)PM용</v>
      </c>
      <c r="B79" s="90" t="s">
        <v>1925</v>
      </c>
      <c r="C79" s="91"/>
      <c r="D79" s="98" t="s">
        <v>1928</v>
      </c>
      <c r="E79" s="89">
        <v>675000</v>
      </c>
    </row>
    <row r="80" spans="1:5" ht="15" customHeight="1" x14ac:dyDescent="0.2">
      <c r="A80" s="783" t="str">
        <f>A79</f>
        <v>네뚜노
(NE)PM용</v>
      </c>
      <c r="B80" s="90" t="s">
        <v>1925</v>
      </c>
      <c r="C80" s="99"/>
      <c r="D80" s="105" t="s">
        <v>1929</v>
      </c>
      <c r="E80" s="89">
        <v>720000</v>
      </c>
    </row>
    <row r="81" spans="1:5" ht="15" customHeight="1" x14ac:dyDescent="0.2">
      <c r="A81" s="783" t="str">
        <f>A80</f>
        <v>네뚜노
(NE)PM용</v>
      </c>
      <c r="B81" s="90" t="s">
        <v>1925</v>
      </c>
      <c r="C81" s="91">
        <v>360</v>
      </c>
      <c r="D81" s="98" t="s">
        <v>1930</v>
      </c>
      <c r="E81" s="89">
        <v>865000</v>
      </c>
    </row>
    <row r="82" spans="1:5" ht="15" customHeight="1" x14ac:dyDescent="0.2">
      <c r="A82" s="784" t="str">
        <f>A81</f>
        <v>네뚜노
(NE)PM용</v>
      </c>
      <c r="B82" s="90" t="s">
        <v>1925</v>
      </c>
      <c r="C82" s="106"/>
      <c r="D82" s="107" t="s">
        <v>1931</v>
      </c>
      <c r="E82" s="89">
        <v>930000</v>
      </c>
    </row>
    <row r="83" spans="1:5" ht="15" customHeight="1" x14ac:dyDescent="0.2">
      <c r="A83" s="774" t="s">
        <v>1932</v>
      </c>
      <c r="B83" s="125" t="s">
        <v>1933</v>
      </c>
      <c r="C83" s="91">
        <v>110</v>
      </c>
      <c r="D83" s="98" t="s">
        <v>1934</v>
      </c>
    </row>
    <row r="84" spans="1:5" ht="15" customHeight="1" x14ac:dyDescent="0.2">
      <c r="A84" s="685" t="str">
        <f t="shared" ref="A84:A91" si="5">A83</f>
        <v>뉴에코블랙
(NEBL)
재생펄프 40% 
재고한정</v>
      </c>
      <c r="B84" s="90" t="s">
        <v>1936</v>
      </c>
      <c r="C84" s="96">
        <v>110</v>
      </c>
      <c r="D84" s="109" t="s">
        <v>1934</v>
      </c>
      <c r="E84" s="89">
        <v>225000</v>
      </c>
    </row>
    <row r="85" spans="1:5" ht="15" customHeight="1" x14ac:dyDescent="0.2">
      <c r="A85" s="685" t="str">
        <f t="shared" si="5"/>
        <v>뉴에코블랙
(NEBL)
재생펄프 40% 
재고한정</v>
      </c>
      <c r="B85" s="90" t="s">
        <v>1936</v>
      </c>
      <c r="C85" s="91">
        <v>150</v>
      </c>
      <c r="D85" s="98" t="s">
        <v>1937</v>
      </c>
      <c r="E85" s="89">
        <v>265000</v>
      </c>
    </row>
    <row r="86" spans="1:5" ht="15" customHeight="1" x14ac:dyDescent="0.2">
      <c r="A86" s="685" t="e">
        <f>#REF!</f>
        <v>#REF!</v>
      </c>
      <c r="B86" s="90" t="s">
        <v>1936</v>
      </c>
      <c r="C86" s="91">
        <v>300</v>
      </c>
      <c r="D86" s="98" t="s">
        <v>1937</v>
      </c>
      <c r="E86" s="89">
        <v>490000</v>
      </c>
    </row>
    <row r="87" spans="1:5" ht="15" customHeight="1" x14ac:dyDescent="0.2">
      <c r="A87" s="685" t="e">
        <f t="shared" si="5"/>
        <v>#REF!</v>
      </c>
      <c r="B87" s="90" t="s">
        <v>1936</v>
      </c>
      <c r="C87" s="91">
        <v>350</v>
      </c>
      <c r="D87" s="98" t="s">
        <v>1937</v>
      </c>
      <c r="E87" s="89">
        <v>570000</v>
      </c>
    </row>
    <row r="88" spans="1:5" ht="15" customHeight="1" x14ac:dyDescent="0.2">
      <c r="A88" s="685" t="e">
        <f t="shared" si="5"/>
        <v>#REF!</v>
      </c>
      <c r="B88" s="90" t="s">
        <v>1936</v>
      </c>
      <c r="C88" s="91">
        <v>400</v>
      </c>
      <c r="D88" s="98" t="s">
        <v>1937</v>
      </c>
      <c r="E88" s="89">
        <v>650000</v>
      </c>
    </row>
    <row r="89" spans="1:5" ht="15" customHeight="1" x14ac:dyDescent="0.2">
      <c r="A89" s="685" t="e">
        <f t="shared" si="5"/>
        <v>#REF!</v>
      </c>
      <c r="B89" s="90" t="s">
        <v>1936</v>
      </c>
      <c r="C89" s="91">
        <v>500</v>
      </c>
      <c r="D89" s="98" t="s">
        <v>1937</v>
      </c>
      <c r="E89" s="89">
        <v>975000</v>
      </c>
    </row>
    <row r="90" spans="1:5" ht="15" customHeight="1" x14ac:dyDescent="0.2">
      <c r="A90" s="685" t="e">
        <f t="shared" si="5"/>
        <v>#REF!</v>
      </c>
      <c r="B90" s="90" t="s">
        <v>1936</v>
      </c>
      <c r="C90" s="99" t="s">
        <v>1938</v>
      </c>
      <c r="D90" s="105" t="s">
        <v>1939</v>
      </c>
      <c r="E90" s="89">
        <v>1510000</v>
      </c>
    </row>
    <row r="91" spans="1:5" ht="15" customHeight="1" x14ac:dyDescent="0.2">
      <c r="A91" s="688" t="e">
        <f t="shared" si="5"/>
        <v>#REF!</v>
      </c>
      <c r="B91" s="101" t="s">
        <v>1940</v>
      </c>
      <c r="C91" s="106" t="s">
        <v>1941</v>
      </c>
      <c r="D91" s="107" t="s">
        <v>1942</v>
      </c>
      <c r="E91" s="89" t="s">
        <v>2008</v>
      </c>
    </row>
    <row r="92" spans="1:5" ht="15" customHeight="1" x14ac:dyDescent="0.2">
      <c r="A92" s="685" t="s">
        <v>1943</v>
      </c>
      <c r="B92" s="90" t="s">
        <v>1936</v>
      </c>
      <c r="C92" s="91">
        <v>120</v>
      </c>
      <c r="D92" s="98" t="s">
        <v>1934</v>
      </c>
      <c r="E92" s="89">
        <v>245000</v>
      </c>
    </row>
    <row r="93" spans="1:5" ht="15" customHeight="1" x14ac:dyDescent="0.2">
      <c r="A93" s="685" t="s">
        <v>1944</v>
      </c>
      <c r="B93" s="90" t="s">
        <v>1936</v>
      </c>
      <c r="C93" s="91">
        <v>150</v>
      </c>
      <c r="D93" s="98"/>
      <c r="E93" s="89">
        <v>305000</v>
      </c>
    </row>
    <row r="94" spans="1:5" ht="15" customHeight="1" x14ac:dyDescent="0.2">
      <c r="A94" s="685" t="s">
        <v>1945</v>
      </c>
      <c r="B94" s="90" t="s">
        <v>1936</v>
      </c>
      <c r="C94" s="91">
        <v>200</v>
      </c>
      <c r="D94" s="98"/>
      <c r="E94" s="89">
        <v>360000</v>
      </c>
    </row>
    <row r="95" spans="1:5" ht="15" customHeight="1" x14ac:dyDescent="0.2">
      <c r="A95" s="685" t="s">
        <v>1946</v>
      </c>
      <c r="B95" s="90" t="s">
        <v>1936</v>
      </c>
      <c r="C95" s="91">
        <v>250</v>
      </c>
      <c r="D95" s="98"/>
      <c r="E95" s="89">
        <v>450000</v>
      </c>
    </row>
    <row r="96" spans="1:5" ht="15" customHeight="1" x14ac:dyDescent="0.2">
      <c r="A96" s="685" t="s">
        <v>1947</v>
      </c>
      <c r="B96" s="90" t="s">
        <v>1936</v>
      </c>
      <c r="C96" s="91">
        <v>300</v>
      </c>
      <c r="D96" s="98"/>
      <c r="E96" s="89">
        <v>540000</v>
      </c>
    </row>
    <row r="97" spans="1:5" ht="15" customHeight="1" x14ac:dyDescent="0.2">
      <c r="A97" s="685" t="s">
        <v>1948</v>
      </c>
      <c r="B97" s="90" t="s">
        <v>1936</v>
      </c>
      <c r="C97" s="91">
        <v>350</v>
      </c>
      <c r="D97" s="98"/>
      <c r="E97" s="89">
        <v>625000</v>
      </c>
    </row>
    <row r="98" spans="1:5" ht="15" customHeight="1" x14ac:dyDescent="0.2">
      <c r="A98" s="685" t="s">
        <v>1949</v>
      </c>
      <c r="B98" s="90" t="s">
        <v>1936</v>
      </c>
      <c r="C98" s="91">
        <v>400</v>
      </c>
      <c r="D98" s="98"/>
      <c r="E98" s="89">
        <v>715000</v>
      </c>
    </row>
    <row r="99" spans="1:5" ht="15" customHeight="1" x14ac:dyDescent="0.2">
      <c r="A99" s="685" t="s">
        <v>1950</v>
      </c>
      <c r="B99" s="90" t="s">
        <v>1936</v>
      </c>
      <c r="C99" s="91">
        <v>500</v>
      </c>
      <c r="D99" s="98" t="s">
        <v>1951</v>
      </c>
      <c r="E99" s="89">
        <v>1085000</v>
      </c>
    </row>
    <row r="100" spans="1:5" ht="15" customHeight="1" x14ac:dyDescent="0.2">
      <c r="A100" s="685" t="s">
        <v>1952</v>
      </c>
      <c r="B100" s="90" t="s">
        <v>1936</v>
      </c>
      <c r="C100" s="99">
        <v>710</v>
      </c>
      <c r="D100" s="105" t="s">
        <v>1953</v>
      </c>
      <c r="E100" s="89">
        <v>1550000</v>
      </c>
    </row>
    <row r="101" spans="1:5" ht="15" customHeight="1" x14ac:dyDescent="0.2">
      <c r="A101" s="688" t="s">
        <v>1954</v>
      </c>
      <c r="B101" s="101" t="s">
        <v>1940</v>
      </c>
      <c r="C101" s="106" t="s">
        <v>1941</v>
      </c>
      <c r="D101" s="126" t="s">
        <v>1942</v>
      </c>
      <c r="E101" s="89" t="s">
        <v>2008</v>
      </c>
    </row>
    <row r="102" spans="1:5" ht="15" customHeight="1" x14ac:dyDescent="0.2">
      <c r="A102" s="778" t="s">
        <v>1955</v>
      </c>
      <c r="B102" s="102" t="s">
        <v>1936</v>
      </c>
      <c r="C102" s="103">
        <v>110</v>
      </c>
      <c r="D102" s="88" t="s">
        <v>1956</v>
      </c>
      <c r="E102" s="89">
        <v>300000</v>
      </c>
    </row>
    <row r="103" spans="1:5" ht="15" customHeight="1" x14ac:dyDescent="0.2">
      <c r="A103" s="680"/>
      <c r="B103" s="102" t="s">
        <v>1936</v>
      </c>
      <c r="C103" s="91">
        <v>180</v>
      </c>
      <c r="D103" s="88" t="s">
        <v>1957</v>
      </c>
      <c r="E103" s="89">
        <v>490000</v>
      </c>
    </row>
    <row r="104" spans="1:5" ht="15" customHeight="1" x14ac:dyDescent="0.2">
      <c r="A104" s="680"/>
      <c r="B104" s="102" t="s">
        <v>1936</v>
      </c>
      <c r="C104" s="91">
        <v>220</v>
      </c>
      <c r="D104" s="88" t="s">
        <v>1958</v>
      </c>
      <c r="E104" s="89">
        <v>600000</v>
      </c>
    </row>
    <row r="105" spans="1:5" ht="15" customHeight="1" x14ac:dyDescent="0.2">
      <c r="A105" s="680"/>
      <c r="B105" s="102" t="s">
        <v>1936</v>
      </c>
      <c r="C105" s="91">
        <v>300</v>
      </c>
      <c r="D105" s="88" t="s">
        <v>1959</v>
      </c>
      <c r="E105" s="89">
        <v>815000</v>
      </c>
    </row>
    <row r="106" spans="1:5" ht="15" customHeight="1" x14ac:dyDescent="0.2">
      <c r="A106" s="680"/>
      <c r="B106" s="102" t="s">
        <v>1936</v>
      </c>
      <c r="C106" s="91">
        <v>350</v>
      </c>
      <c r="D106" s="88" t="s">
        <v>1960</v>
      </c>
      <c r="E106" s="89">
        <v>955000</v>
      </c>
    </row>
    <row r="107" spans="1:5" ht="15" customHeight="1" x14ac:dyDescent="0.2">
      <c r="A107" s="680"/>
      <c r="B107" s="102" t="s">
        <v>1936</v>
      </c>
      <c r="C107" s="91">
        <v>400</v>
      </c>
      <c r="D107" s="88" t="s">
        <v>1961</v>
      </c>
      <c r="E107" s="89">
        <v>1090000</v>
      </c>
    </row>
    <row r="108" spans="1:5" ht="15" customHeight="1" x14ac:dyDescent="0.2">
      <c r="A108" s="680"/>
      <c r="B108" s="102" t="s">
        <v>1936</v>
      </c>
      <c r="C108" s="121">
        <v>120</v>
      </c>
      <c r="D108" s="127" t="s">
        <v>1962</v>
      </c>
      <c r="E108" s="89">
        <v>210000</v>
      </c>
    </row>
    <row r="109" spans="1:5" ht="15" customHeight="1" x14ac:dyDescent="0.2">
      <c r="A109" s="680"/>
      <c r="B109" s="102" t="s">
        <v>1936</v>
      </c>
      <c r="C109" s="91">
        <v>180</v>
      </c>
      <c r="D109" s="88" t="s">
        <v>1963</v>
      </c>
      <c r="E109" s="89">
        <v>300000</v>
      </c>
    </row>
    <row r="110" spans="1:5" ht="15" customHeight="1" x14ac:dyDescent="0.2">
      <c r="A110" s="680"/>
      <c r="B110" s="102" t="s">
        <v>1936</v>
      </c>
      <c r="C110" s="91">
        <v>250</v>
      </c>
      <c r="D110" s="88" t="s">
        <v>1964</v>
      </c>
      <c r="E110" s="89">
        <v>420000</v>
      </c>
    </row>
    <row r="111" spans="1:5" ht="15" customHeight="1" x14ac:dyDescent="0.2">
      <c r="A111" s="680"/>
      <c r="B111" s="102" t="s">
        <v>1936</v>
      </c>
      <c r="C111" s="91">
        <v>300</v>
      </c>
      <c r="D111" s="88" t="s">
        <v>1965</v>
      </c>
      <c r="E111" s="89">
        <v>500000</v>
      </c>
    </row>
    <row r="112" spans="1:5" ht="15" customHeight="1" x14ac:dyDescent="0.2">
      <c r="A112" s="680"/>
      <c r="B112" s="102" t="s">
        <v>1936</v>
      </c>
      <c r="C112" s="91">
        <v>350</v>
      </c>
      <c r="D112" s="88" t="s">
        <v>1966</v>
      </c>
      <c r="E112" s="89">
        <v>585000</v>
      </c>
    </row>
    <row r="113" spans="1:5" ht="15" customHeight="1" x14ac:dyDescent="0.2">
      <c r="A113" s="680"/>
      <c r="B113" s="102" t="s">
        <v>1936</v>
      </c>
      <c r="C113" s="91">
        <v>400</v>
      </c>
      <c r="D113" s="88" t="s">
        <v>1967</v>
      </c>
      <c r="E113" s="89">
        <v>670000</v>
      </c>
    </row>
    <row r="114" spans="1:5" ht="15" customHeight="1" x14ac:dyDescent="0.2">
      <c r="A114" s="680"/>
      <c r="B114" s="102" t="s">
        <v>1936</v>
      </c>
      <c r="C114" s="96">
        <v>120</v>
      </c>
      <c r="D114" s="128" t="s">
        <v>1968</v>
      </c>
      <c r="E114" s="89">
        <v>175000</v>
      </c>
    </row>
    <row r="115" spans="1:5" ht="15" customHeight="1" x14ac:dyDescent="0.2">
      <c r="A115" s="680"/>
      <c r="B115" s="102" t="s">
        <v>1936</v>
      </c>
      <c r="C115" s="91">
        <v>250</v>
      </c>
      <c r="D115" s="88" t="s">
        <v>1969</v>
      </c>
      <c r="E115" s="89">
        <v>350000</v>
      </c>
    </row>
    <row r="116" spans="1:5" ht="15" customHeight="1" x14ac:dyDescent="0.2">
      <c r="A116" s="680"/>
      <c r="B116" s="102" t="s">
        <v>1936</v>
      </c>
      <c r="C116" s="91">
        <v>300</v>
      </c>
      <c r="D116" s="88" t="s">
        <v>1970</v>
      </c>
      <c r="E116" s="89">
        <v>420000</v>
      </c>
    </row>
    <row r="117" spans="1:5" ht="15" customHeight="1" x14ac:dyDescent="0.2">
      <c r="A117" s="680"/>
      <c r="B117" s="102" t="s">
        <v>1936</v>
      </c>
      <c r="C117" s="91">
        <v>350</v>
      </c>
      <c r="D117" s="88" t="s">
        <v>1971</v>
      </c>
      <c r="E117" s="89">
        <v>490000</v>
      </c>
    </row>
    <row r="118" spans="1:5" ht="15" customHeight="1" x14ac:dyDescent="0.2">
      <c r="A118" s="773"/>
      <c r="B118" s="102" t="s">
        <v>1936</v>
      </c>
      <c r="C118" s="111">
        <v>400</v>
      </c>
      <c r="D118" s="126" t="s">
        <v>1972</v>
      </c>
      <c r="E118" s="89">
        <v>560000</v>
      </c>
    </row>
    <row r="119" spans="1:5" ht="15" customHeight="1" x14ac:dyDescent="0.2">
      <c r="A119" s="679" t="s">
        <v>1973</v>
      </c>
      <c r="B119" s="90" t="s">
        <v>1974</v>
      </c>
      <c r="C119" s="91">
        <v>120</v>
      </c>
      <c r="D119" s="88" t="s">
        <v>1975</v>
      </c>
      <c r="E119" s="89">
        <v>380000</v>
      </c>
    </row>
    <row r="120" spans="1:5" ht="15" customHeight="1" x14ac:dyDescent="0.2">
      <c r="A120" s="680"/>
      <c r="B120" s="90" t="s">
        <v>1974</v>
      </c>
      <c r="C120" s="91"/>
      <c r="D120" s="88" t="s">
        <v>1976</v>
      </c>
      <c r="E120" s="89">
        <v>405000</v>
      </c>
    </row>
    <row r="121" spans="1:5" ht="15" customHeight="1" x14ac:dyDescent="0.2">
      <c r="A121" s="680"/>
      <c r="B121" s="90" t="s">
        <v>1974</v>
      </c>
      <c r="C121" s="96">
        <v>230</v>
      </c>
      <c r="D121" s="128" t="s">
        <v>1977</v>
      </c>
      <c r="E121" s="89">
        <v>670000</v>
      </c>
    </row>
    <row r="122" spans="1:5" ht="15" customHeight="1" x14ac:dyDescent="0.2">
      <c r="A122" s="680"/>
      <c r="B122" s="90" t="s">
        <v>1974</v>
      </c>
      <c r="C122" s="99"/>
      <c r="D122" s="129" t="s">
        <v>1978</v>
      </c>
      <c r="E122" s="89">
        <v>720000</v>
      </c>
    </row>
    <row r="123" spans="1:5" ht="15" customHeight="1" x14ac:dyDescent="0.2">
      <c r="A123" s="680"/>
      <c r="B123" s="90" t="s">
        <v>1974</v>
      </c>
      <c r="C123" s="91">
        <v>230</v>
      </c>
      <c r="D123" s="88" t="s">
        <v>1979</v>
      </c>
      <c r="E123" s="89">
        <v>885000</v>
      </c>
    </row>
    <row r="124" spans="1:5" ht="15" customHeight="1" x14ac:dyDescent="0.2">
      <c r="A124" s="680"/>
      <c r="B124" s="90" t="s">
        <v>1974</v>
      </c>
      <c r="C124" s="91"/>
      <c r="D124" s="88" t="s">
        <v>1980</v>
      </c>
      <c r="E124" s="89">
        <v>935000</v>
      </c>
    </row>
    <row r="125" spans="1:5" ht="15" customHeight="1" x14ac:dyDescent="0.2">
      <c r="A125" s="680"/>
      <c r="B125" s="90" t="s">
        <v>1974</v>
      </c>
      <c r="C125" s="96">
        <v>350</v>
      </c>
      <c r="D125" s="128" t="s">
        <v>1981</v>
      </c>
      <c r="E125" s="89">
        <v>1345000</v>
      </c>
    </row>
    <row r="126" spans="1:5" ht="15" customHeight="1" x14ac:dyDescent="0.2">
      <c r="A126" s="680"/>
      <c r="B126" s="90" t="s">
        <v>1974</v>
      </c>
      <c r="C126" s="91"/>
      <c r="D126" s="88" t="s">
        <v>1982</v>
      </c>
      <c r="E126" s="89">
        <v>1420000</v>
      </c>
    </row>
    <row r="127" spans="1:5" ht="15" customHeight="1" x14ac:dyDescent="0.2">
      <c r="A127" s="680"/>
      <c r="B127" s="90" t="s">
        <v>1974</v>
      </c>
      <c r="C127" s="99"/>
      <c r="D127" s="129" t="s">
        <v>1983</v>
      </c>
      <c r="E127" s="89">
        <v>1420000</v>
      </c>
    </row>
    <row r="128" spans="1:5" ht="15" customHeight="1" x14ac:dyDescent="0.2">
      <c r="A128" s="680"/>
      <c r="B128" s="90" t="s">
        <v>1974</v>
      </c>
      <c r="C128" s="91">
        <v>120</v>
      </c>
      <c r="D128" s="88" t="s">
        <v>1984</v>
      </c>
      <c r="E128" s="89">
        <v>405000</v>
      </c>
    </row>
    <row r="129" spans="1:5" ht="15" customHeight="1" x14ac:dyDescent="0.2">
      <c r="A129" s="680"/>
      <c r="B129" s="90" t="s">
        <v>1974</v>
      </c>
      <c r="C129" s="91">
        <v>150</v>
      </c>
      <c r="D129" s="88" t="s">
        <v>1985</v>
      </c>
      <c r="E129" s="89">
        <v>505000</v>
      </c>
    </row>
    <row r="130" spans="1:5" ht="15" customHeight="1" x14ac:dyDescent="0.2">
      <c r="A130" s="680"/>
      <c r="B130" s="90" t="s">
        <v>1974</v>
      </c>
      <c r="C130" s="91">
        <v>230</v>
      </c>
      <c r="D130" s="88" t="s">
        <v>1986</v>
      </c>
      <c r="E130" s="89">
        <v>935000</v>
      </c>
    </row>
    <row r="131" spans="1:5" ht="15" customHeight="1" x14ac:dyDescent="0.2">
      <c r="A131" s="680"/>
      <c r="B131" s="90" t="s">
        <v>1974</v>
      </c>
      <c r="C131" s="91">
        <v>300</v>
      </c>
      <c r="D131" s="88" t="s">
        <v>1987</v>
      </c>
      <c r="E131" s="89">
        <v>1220000</v>
      </c>
    </row>
    <row r="132" spans="1:5" ht="15" customHeight="1" x14ac:dyDescent="0.2">
      <c r="A132" s="680"/>
      <c r="B132" s="90" t="s">
        <v>1974</v>
      </c>
      <c r="C132" s="91">
        <v>350</v>
      </c>
      <c r="D132" s="88" t="s">
        <v>1988</v>
      </c>
      <c r="E132" s="89">
        <v>1420000</v>
      </c>
    </row>
    <row r="133" spans="1:5" ht="15" customHeight="1" x14ac:dyDescent="0.2">
      <c r="A133" s="680"/>
      <c r="B133" s="90" t="s">
        <v>1974</v>
      </c>
      <c r="C133" s="96">
        <v>120</v>
      </c>
      <c r="D133" s="128" t="s">
        <v>1989</v>
      </c>
      <c r="E133" s="89">
        <v>340000</v>
      </c>
    </row>
    <row r="134" spans="1:5" ht="15" customHeight="1" x14ac:dyDescent="0.2">
      <c r="A134" s="680"/>
      <c r="B134" s="90" t="s">
        <v>1974</v>
      </c>
      <c r="C134" s="91">
        <v>250</v>
      </c>
      <c r="D134" s="88" t="s">
        <v>1990</v>
      </c>
      <c r="E134" s="89">
        <v>650000</v>
      </c>
    </row>
    <row r="135" spans="1:5" ht="15" customHeight="1" x14ac:dyDescent="0.2">
      <c r="A135" s="680"/>
      <c r="B135" s="90" t="s">
        <v>1974</v>
      </c>
      <c r="C135" s="91">
        <v>300</v>
      </c>
      <c r="D135" s="88" t="s">
        <v>1991</v>
      </c>
      <c r="E135" s="89">
        <v>780000</v>
      </c>
    </row>
    <row r="136" spans="1:5" ht="15" customHeight="1" x14ac:dyDescent="0.2">
      <c r="A136" s="773"/>
      <c r="B136" s="90" t="s">
        <v>1974</v>
      </c>
      <c r="C136" s="111">
        <v>350</v>
      </c>
      <c r="D136" s="130" t="s">
        <v>1992</v>
      </c>
      <c r="E136" s="89">
        <v>910000</v>
      </c>
    </row>
    <row r="137" spans="1:5" ht="15" customHeight="1" x14ac:dyDescent="0.2">
      <c r="A137" s="679" t="s">
        <v>1993</v>
      </c>
      <c r="B137" s="131" t="s">
        <v>1879</v>
      </c>
      <c r="C137" s="132">
        <v>90</v>
      </c>
      <c r="D137" s="133" t="s">
        <v>1994</v>
      </c>
      <c r="E137" s="89">
        <v>92000</v>
      </c>
    </row>
    <row r="138" spans="1:5" ht="15" customHeight="1" x14ac:dyDescent="0.2">
      <c r="A138" s="680"/>
      <c r="B138" s="131" t="s">
        <v>1879</v>
      </c>
      <c r="C138" s="91">
        <v>110</v>
      </c>
      <c r="D138" s="135"/>
      <c r="E138" s="89">
        <v>108000</v>
      </c>
    </row>
    <row r="139" spans="1:5" ht="15" customHeight="1" x14ac:dyDescent="0.2">
      <c r="A139" s="680"/>
      <c r="B139" s="131" t="s">
        <v>1879</v>
      </c>
      <c r="C139" s="91" t="s">
        <v>1995</v>
      </c>
      <c r="D139" s="136" t="s">
        <v>1937</v>
      </c>
      <c r="E139" s="89">
        <v>110000</v>
      </c>
    </row>
    <row r="140" spans="1:5" ht="15" customHeight="1" x14ac:dyDescent="0.2">
      <c r="A140" s="680"/>
      <c r="B140" s="131" t="s">
        <v>1879</v>
      </c>
      <c r="C140" s="91">
        <v>161</v>
      </c>
      <c r="D140" s="88"/>
      <c r="E140" s="89">
        <v>158000</v>
      </c>
    </row>
    <row r="141" spans="1:5" ht="15" customHeight="1" x14ac:dyDescent="0.2">
      <c r="A141" s="680"/>
      <c r="B141" s="131" t="s">
        <v>1879</v>
      </c>
      <c r="C141" s="91">
        <v>175</v>
      </c>
      <c r="D141" s="88"/>
      <c r="E141" s="89">
        <v>170000</v>
      </c>
    </row>
    <row r="142" spans="1:5" ht="15" customHeight="1" x14ac:dyDescent="0.2">
      <c r="A142" s="680"/>
      <c r="B142" s="131" t="s">
        <v>1879</v>
      </c>
      <c r="C142" s="91">
        <v>200</v>
      </c>
      <c r="D142" s="88"/>
      <c r="E142" s="89">
        <v>195000</v>
      </c>
    </row>
    <row r="143" spans="1:5" ht="15" customHeight="1" x14ac:dyDescent="0.2">
      <c r="A143" s="680"/>
      <c r="B143" s="131" t="s">
        <v>1879</v>
      </c>
      <c r="C143" s="91" t="s">
        <v>1996</v>
      </c>
      <c r="D143" s="136" t="s">
        <v>1937</v>
      </c>
      <c r="E143" s="89">
        <v>175000</v>
      </c>
    </row>
    <row r="144" spans="1:5" ht="15" customHeight="1" x14ac:dyDescent="0.2">
      <c r="A144" s="680"/>
      <c r="B144" s="131" t="s">
        <v>1879</v>
      </c>
      <c r="C144" s="91">
        <v>225</v>
      </c>
      <c r="D144" s="93"/>
      <c r="E144" s="89">
        <v>218000</v>
      </c>
    </row>
    <row r="145" spans="1:5" ht="15" customHeight="1" x14ac:dyDescent="0.2">
      <c r="A145" s="680"/>
      <c r="B145" s="131" t="s">
        <v>1879</v>
      </c>
      <c r="C145" s="91">
        <v>250</v>
      </c>
      <c r="D145" s="93"/>
      <c r="E145" s="89">
        <v>242500</v>
      </c>
    </row>
    <row r="146" spans="1:5" ht="15" customHeight="1" x14ac:dyDescent="0.2">
      <c r="A146" s="680"/>
      <c r="B146" s="131" t="s">
        <v>1879</v>
      </c>
      <c r="C146" s="91" t="s">
        <v>1997</v>
      </c>
      <c r="D146" s="92"/>
      <c r="E146" s="89">
        <v>280000</v>
      </c>
    </row>
    <row r="147" spans="1:5" ht="15" customHeight="1" x14ac:dyDescent="0.2">
      <c r="A147" s="680"/>
      <c r="B147" s="131" t="s">
        <v>1879</v>
      </c>
      <c r="C147" s="91">
        <v>280</v>
      </c>
      <c r="D147" s="93"/>
      <c r="E147" s="89">
        <v>280000</v>
      </c>
    </row>
    <row r="148" spans="1:5" ht="15" customHeight="1" x14ac:dyDescent="0.2">
      <c r="A148" s="680"/>
      <c r="B148" s="131" t="s">
        <v>1879</v>
      </c>
      <c r="C148" s="91">
        <v>300</v>
      </c>
      <c r="D148" s="98"/>
      <c r="E148" s="89">
        <v>291000</v>
      </c>
    </row>
    <row r="149" spans="1:5" ht="15" customHeight="1" x14ac:dyDescent="0.2">
      <c r="A149" s="680"/>
      <c r="B149" s="131" t="s">
        <v>1879</v>
      </c>
      <c r="C149" s="91">
        <v>337</v>
      </c>
      <c r="D149" s="98"/>
      <c r="E149" s="89">
        <v>327000</v>
      </c>
    </row>
    <row r="150" spans="1:5" ht="15" customHeight="1" x14ac:dyDescent="0.2">
      <c r="A150" s="680"/>
      <c r="B150" s="131" t="s">
        <v>1879</v>
      </c>
      <c r="C150" s="99">
        <v>440</v>
      </c>
      <c r="D150" s="105"/>
      <c r="E150" s="89">
        <v>427000</v>
      </c>
    </row>
    <row r="151" spans="1:5" ht="15" customHeight="1" x14ac:dyDescent="0.2">
      <c r="A151" s="680"/>
      <c r="B151" s="90" t="s">
        <v>1998</v>
      </c>
      <c r="C151" s="91">
        <v>200</v>
      </c>
      <c r="D151" s="93" t="s">
        <v>1994</v>
      </c>
      <c r="E151" s="89">
        <v>135000</v>
      </c>
    </row>
    <row r="152" spans="1:5" ht="15" customHeight="1" x14ac:dyDescent="0.2">
      <c r="A152" s="680"/>
      <c r="B152" s="90" t="s">
        <v>1998</v>
      </c>
      <c r="C152" s="91" t="s">
        <v>1996</v>
      </c>
      <c r="D152" s="92" t="s">
        <v>1937</v>
      </c>
      <c r="E152" s="89">
        <v>120000</v>
      </c>
    </row>
    <row r="153" spans="1:5" ht="15" customHeight="1" x14ac:dyDescent="0.2">
      <c r="A153" s="680"/>
      <c r="B153" s="90" t="s">
        <v>1998</v>
      </c>
      <c r="C153" s="91">
        <v>250</v>
      </c>
      <c r="D153" s="98"/>
      <c r="E153" s="89">
        <v>168000</v>
      </c>
    </row>
    <row r="154" spans="1:5" ht="15" customHeight="1" x14ac:dyDescent="0.2">
      <c r="A154" s="680"/>
      <c r="B154" s="90" t="s">
        <v>1998</v>
      </c>
      <c r="C154" s="91">
        <v>300</v>
      </c>
      <c r="D154" s="98"/>
      <c r="E154" s="89">
        <v>202000</v>
      </c>
    </row>
    <row r="155" spans="1:5" ht="15" customHeight="1" x14ac:dyDescent="0.2">
      <c r="A155" s="680"/>
      <c r="B155" s="90" t="s">
        <v>1998</v>
      </c>
      <c r="C155" s="91">
        <v>337</v>
      </c>
      <c r="D155" s="98"/>
      <c r="E155" s="89">
        <v>227000</v>
      </c>
    </row>
    <row r="156" spans="1:5" ht="15" customHeight="1" x14ac:dyDescent="0.2">
      <c r="A156" s="680"/>
      <c r="B156" s="95" t="s">
        <v>1999</v>
      </c>
      <c r="C156" s="96">
        <v>90</v>
      </c>
      <c r="D156" s="109" t="s">
        <v>1994</v>
      </c>
      <c r="E156" s="89">
        <v>115000</v>
      </c>
    </row>
    <row r="157" spans="1:5" ht="15" customHeight="1" x14ac:dyDescent="0.2">
      <c r="A157" s="680"/>
      <c r="B157" s="95" t="s">
        <v>1999</v>
      </c>
      <c r="C157" s="91">
        <v>110</v>
      </c>
      <c r="D157" s="98"/>
      <c r="E157" s="89">
        <v>136000</v>
      </c>
    </row>
    <row r="158" spans="1:5" ht="15" customHeight="1" x14ac:dyDescent="0.2">
      <c r="A158" s="680"/>
      <c r="B158" s="95" t="s">
        <v>1999</v>
      </c>
      <c r="C158" s="91">
        <v>161</v>
      </c>
      <c r="D158" s="98"/>
      <c r="E158" s="89">
        <v>199000</v>
      </c>
    </row>
    <row r="159" spans="1:5" ht="15" customHeight="1" x14ac:dyDescent="0.2">
      <c r="A159" s="680"/>
      <c r="B159" s="95" t="s">
        <v>1999</v>
      </c>
      <c r="C159" s="91">
        <v>175</v>
      </c>
      <c r="D159" s="98"/>
      <c r="E159" s="89">
        <v>213000</v>
      </c>
    </row>
    <row r="160" spans="1:5" ht="15" customHeight="1" x14ac:dyDescent="0.2">
      <c r="A160" s="680"/>
      <c r="B160" s="95" t="s">
        <v>1999</v>
      </c>
      <c r="C160" s="91">
        <v>200</v>
      </c>
      <c r="D160" s="98"/>
      <c r="E160" s="89">
        <v>244000</v>
      </c>
    </row>
    <row r="161" spans="1:5" ht="15" customHeight="1" x14ac:dyDescent="0.2">
      <c r="A161" s="680"/>
      <c r="B161" s="137" t="s">
        <v>2000</v>
      </c>
      <c r="C161" s="96">
        <v>175</v>
      </c>
      <c r="D161" s="109" t="s">
        <v>1994</v>
      </c>
      <c r="E161" s="89">
        <v>107000</v>
      </c>
    </row>
    <row r="162" spans="1:5" ht="15" customHeight="1" x14ac:dyDescent="0.2">
      <c r="A162" s="680"/>
      <c r="B162" s="137" t="s">
        <v>2001</v>
      </c>
      <c r="C162" s="96">
        <v>161</v>
      </c>
      <c r="D162" s="109" t="s">
        <v>1994</v>
      </c>
      <c r="E162" s="89">
        <v>82000</v>
      </c>
    </row>
    <row r="163" spans="1:5" ht="15" customHeight="1" x14ac:dyDescent="0.2">
      <c r="A163" s="680"/>
      <c r="B163" s="137" t="s">
        <v>2001</v>
      </c>
      <c r="C163" s="91">
        <v>175</v>
      </c>
      <c r="D163" s="98"/>
      <c r="E163" s="89">
        <v>88000</v>
      </c>
    </row>
    <row r="164" spans="1:5" ht="15" customHeight="1" x14ac:dyDescent="0.2">
      <c r="A164" s="680"/>
      <c r="B164" s="137" t="s">
        <v>2001</v>
      </c>
      <c r="C164" s="91">
        <v>200</v>
      </c>
      <c r="D164" s="98"/>
      <c r="E164" s="89">
        <v>101000</v>
      </c>
    </row>
    <row r="165" spans="1:5" ht="15" customHeight="1" x14ac:dyDescent="0.2">
      <c r="A165" s="680"/>
      <c r="B165" s="137" t="s">
        <v>2001</v>
      </c>
      <c r="C165" s="91">
        <v>250</v>
      </c>
      <c r="D165" s="98"/>
      <c r="E165" s="89">
        <v>125000</v>
      </c>
    </row>
    <row r="166" spans="1:5" ht="15" customHeight="1" x14ac:dyDescent="0.2">
      <c r="A166" s="680"/>
      <c r="B166" s="137" t="s">
        <v>2001</v>
      </c>
      <c r="C166" s="91">
        <v>300</v>
      </c>
      <c r="D166" s="98"/>
      <c r="E166" s="89">
        <v>150000</v>
      </c>
    </row>
    <row r="167" spans="1:5" ht="15" customHeight="1" x14ac:dyDescent="0.2">
      <c r="A167" s="680"/>
      <c r="B167" s="137" t="s">
        <v>2001</v>
      </c>
      <c r="C167" s="91">
        <v>337</v>
      </c>
      <c r="D167" s="98"/>
      <c r="E167" s="89">
        <v>170000</v>
      </c>
    </row>
    <row r="168" spans="1:5" ht="15" customHeight="1" x14ac:dyDescent="0.2">
      <c r="A168" s="680"/>
      <c r="B168" s="120" t="s">
        <v>2002</v>
      </c>
      <c r="C168" s="138">
        <v>90</v>
      </c>
      <c r="D168" s="139" t="s">
        <v>2003</v>
      </c>
      <c r="E168" s="89">
        <v>1045000000</v>
      </c>
    </row>
    <row r="169" spans="1:5" ht="15" customHeight="1" x14ac:dyDescent="0.2">
      <c r="A169" s="680"/>
      <c r="B169" s="120" t="s">
        <v>2002</v>
      </c>
      <c r="C169" s="91">
        <v>161</v>
      </c>
      <c r="D169" s="98"/>
      <c r="E169" s="89">
        <v>1006250000</v>
      </c>
    </row>
    <row r="170" spans="1:5" ht="15" customHeight="1" x14ac:dyDescent="0.2">
      <c r="A170" s="680"/>
      <c r="B170" s="120" t="s">
        <v>2002</v>
      </c>
      <c r="C170" s="91" t="s">
        <v>2004</v>
      </c>
      <c r="D170" s="98"/>
      <c r="E170" s="89">
        <v>993200000</v>
      </c>
    </row>
    <row r="171" spans="1:5" ht="15" customHeight="1" x14ac:dyDescent="0.2">
      <c r="A171" s="680"/>
      <c r="B171" s="120" t="s">
        <v>2002</v>
      </c>
      <c r="C171" s="91">
        <v>440</v>
      </c>
      <c r="D171" s="98"/>
      <c r="E171" s="89">
        <v>993200000</v>
      </c>
    </row>
    <row r="172" spans="1:5" ht="15" customHeight="1" x14ac:dyDescent="0.2">
      <c r="A172" s="773"/>
      <c r="B172" s="123" t="s">
        <v>2005</v>
      </c>
      <c r="C172" s="111" t="s">
        <v>2006</v>
      </c>
      <c r="D172" s="112" t="s">
        <v>2007</v>
      </c>
    </row>
    <row r="173" spans="1:5" ht="15" customHeight="1" x14ac:dyDescent="0.2">
      <c r="A173" s="731" t="s">
        <v>2009</v>
      </c>
      <c r="B173" s="131" t="s">
        <v>2010</v>
      </c>
      <c r="C173" s="132">
        <v>300</v>
      </c>
      <c r="D173" s="140" t="s">
        <v>2011</v>
      </c>
      <c r="E173" s="89">
        <v>1050000</v>
      </c>
    </row>
    <row r="174" spans="1:5" ht="15" customHeight="1" x14ac:dyDescent="0.2">
      <c r="A174" s="685" t="str">
        <f t="shared" ref="A174:A197" si="6">A173</f>
        <v>니나폴딩보드
(NFB)</v>
      </c>
      <c r="B174" s="131" t="s">
        <v>2010</v>
      </c>
      <c r="C174" s="91"/>
      <c r="D174" s="92" t="s">
        <v>2012</v>
      </c>
      <c r="E174" s="89">
        <v>670000</v>
      </c>
    </row>
    <row r="175" spans="1:5" ht="15" customHeight="1" x14ac:dyDescent="0.2">
      <c r="A175" s="685" t="str">
        <f t="shared" si="6"/>
        <v>니나폴딩보드
(NFB)</v>
      </c>
      <c r="B175" s="131" t="s">
        <v>2010</v>
      </c>
      <c r="C175" s="91"/>
      <c r="D175" s="92" t="s">
        <v>2013</v>
      </c>
      <c r="E175" s="89">
        <v>760000</v>
      </c>
    </row>
    <row r="176" spans="1:5" ht="15" customHeight="1" x14ac:dyDescent="0.2">
      <c r="A176" s="685" t="str">
        <f t="shared" si="6"/>
        <v>니나폴딩보드
(NFB)</v>
      </c>
      <c r="B176" s="131" t="s">
        <v>2010</v>
      </c>
      <c r="C176" s="91"/>
      <c r="D176" s="92" t="s">
        <v>2014</v>
      </c>
      <c r="E176" s="89">
        <v>1135000</v>
      </c>
    </row>
    <row r="177" spans="1:5" ht="15" customHeight="1" x14ac:dyDescent="0.2">
      <c r="A177" s="685" t="str">
        <f t="shared" si="6"/>
        <v>니나폴딩보드
(NFB)</v>
      </c>
      <c r="B177" s="131" t="s">
        <v>2010</v>
      </c>
      <c r="C177" s="96">
        <v>338</v>
      </c>
      <c r="D177" s="109" t="s">
        <v>2015</v>
      </c>
      <c r="E177" s="89">
        <v>1200000</v>
      </c>
    </row>
    <row r="178" spans="1:5" ht="15" customHeight="1" x14ac:dyDescent="0.2">
      <c r="A178" s="685"/>
      <c r="B178" s="131" t="s">
        <v>2010</v>
      </c>
      <c r="C178" s="91"/>
      <c r="D178" s="98" t="s">
        <v>2016</v>
      </c>
      <c r="E178" s="89">
        <v>605000</v>
      </c>
    </row>
    <row r="179" spans="1:5" ht="15" customHeight="1" x14ac:dyDescent="0.2">
      <c r="A179" s="685" t="str">
        <f>A177</f>
        <v>니나폴딩보드
(NFB)</v>
      </c>
      <c r="B179" s="131" t="s">
        <v>2010</v>
      </c>
      <c r="C179" s="91"/>
      <c r="D179" s="93" t="s">
        <v>2017</v>
      </c>
      <c r="E179" s="89">
        <v>1350000</v>
      </c>
    </row>
    <row r="180" spans="1:5" ht="15" customHeight="1" x14ac:dyDescent="0.2">
      <c r="A180" s="685" t="str">
        <f t="shared" si="6"/>
        <v>니나폴딩보드
(NFB)</v>
      </c>
      <c r="B180" s="131" t="s">
        <v>2010</v>
      </c>
      <c r="C180" s="99"/>
      <c r="D180" s="141" t="s">
        <v>2018</v>
      </c>
      <c r="E180" s="89">
        <v>1800000</v>
      </c>
    </row>
    <row r="181" spans="1:5" ht="15" customHeight="1" x14ac:dyDescent="0.2">
      <c r="A181" s="685" t="str">
        <f t="shared" si="6"/>
        <v>니나폴딩보드
(NFB)</v>
      </c>
      <c r="B181" s="131" t="s">
        <v>2010</v>
      </c>
      <c r="C181" s="91">
        <v>352</v>
      </c>
      <c r="D181" s="98" t="s">
        <v>2019</v>
      </c>
      <c r="E181" s="89">
        <v>1300000</v>
      </c>
    </row>
    <row r="182" spans="1:5" ht="15" customHeight="1" x14ac:dyDescent="0.2">
      <c r="A182" s="685" t="str">
        <f t="shared" si="6"/>
        <v>니나폴딩보드
(NFB)</v>
      </c>
      <c r="B182" s="131" t="s">
        <v>2010</v>
      </c>
      <c r="C182" s="91"/>
      <c r="D182" s="92" t="s">
        <v>2020</v>
      </c>
      <c r="E182" s="89">
        <v>1450000</v>
      </c>
    </row>
    <row r="183" spans="1:5" ht="15" customHeight="1" x14ac:dyDescent="0.2">
      <c r="A183" s="685" t="str">
        <f t="shared" si="6"/>
        <v>니나폴딩보드
(NFB)</v>
      </c>
      <c r="B183" s="131" t="s">
        <v>2010</v>
      </c>
      <c r="C183" s="91"/>
      <c r="D183" s="92" t="s">
        <v>2021</v>
      </c>
      <c r="E183" s="89">
        <v>875000</v>
      </c>
    </row>
    <row r="184" spans="1:5" ht="15" customHeight="1" x14ac:dyDescent="0.2">
      <c r="A184" s="685" t="str">
        <f t="shared" si="6"/>
        <v>니나폴딩보드
(NFB)</v>
      </c>
      <c r="B184" s="131" t="s">
        <v>2010</v>
      </c>
      <c r="C184" s="113">
        <v>465</v>
      </c>
      <c r="D184" s="142" t="s">
        <v>2022</v>
      </c>
      <c r="E184" s="89">
        <v>1050000</v>
      </c>
    </row>
    <row r="185" spans="1:5" ht="15" customHeight="1" x14ac:dyDescent="0.2">
      <c r="A185" s="685" t="str">
        <f t="shared" si="6"/>
        <v>니나폴딩보드
(NFB)</v>
      </c>
      <c r="B185" s="131" t="s">
        <v>2010</v>
      </c>
      <c r="C185" s="99">
        <v>324</v>
      </c>
      <c r="D185" s="141" t="s">
        <v>2023</v>
      </c>
      <c r="E185" s="89">
        <v>1150000</v>
      </c>
    </row>
    <row r="186" spans="1:5" ht="15" customHeight="1" x14ac:dyDescent="0.2">
      <c r="A186" s="685" t="str">
        <f t="shared" si="6"/>
        <v>니나폴딩보드
(NFB)</v>
      </c>
      <c r="B186" s="90" t="s">
        <v>2024</v>
      </c>
      <c r="C186" s="143">
        <v>284</v>
      </c>
      <c r="D186" s="139" t="s">
        <v>2025</v>
      </c>
      <c r="E186" s="89">
        <v>1290000</v>
      </c>
    </row>
    <row r="187" spans="1:5" ht="15" customHeight="1" x14ac:dyDescent="0.2">
      <c r="A187" s="685" t="str">
        <f t="shared" si="6"/>
        <v>니나폴딩보드
(NFB)</v>
      </c>
      <c r="B187" s="90" t="s">
        <v>2024</v>
      </c>
      <c r="C187" s="143">
        <v>338</v>
      </c>
      <c r="D187" s="139" t="s">
        <v>2026</v>
      </c>
      <c r="E187" s="89">
        <v>1090000</v>
      </c>
    </row>
    <row r="188" spans="1:5" ht="15" customHeight="1" x14ac:dyDescent="0.2">
      <c r="A188" s="685" t="str">
        <f t="shared" si="6"/>
        <v>니나폴딩보드
(NFB)</v>
      </c>
      <c r="B188" s="90" t="s">
        <v>2024</v>
      </c>
      <c r="C188" s="99" t="s">
        <v>1868</v>
      </c>
      <c r="D188" s="105" t="s">
        <v>2027</v>
      </c>
      <c r="E188" s="89">
        <v>1210000</v>
      </c>
    </row>
    <row r="189" spans="1:5" ht="15" customHeight="1" x14ac:dyDescent="0.2">
      <c r="A189" s="685" t="str">
        <f t="shared" si="6"/>
        <v>니나폴딩보드
(NFB)</v>
      </c>
      <c r="B189" s="90" t="s">
        <v>2024</v>
      </c>
      <c r="C189" s="143">
        <v>392</v>
      </c>
      <c r="D189" s="139" t="s">
        <v>2028</v>
      </c>
      <c r="E189" s="89">
        <v>2050000</v>
      </c>
    </row>
    <row r="190" spans="1:5" ht="15" customHeight="1" x14ac:dyDescent="0.2">
      <c r="A190" s="685" t="str">
        <f t="shared" si="6"/>
        <v>니나폴딩보드
(NFB)</v>
      </c>
      <c r="B190" s="90" t="s">
        <v>2024</v>
      </c>
      <c r="C190" s="144" t="s">
        <v>1868</v>
      </c>
      <c r="D190" s="145" t="s">
        <v>2029</v>
      </c>
      <c r="E190" s="89">
        <v>2740000</v>
      </c>
    </row>
    <row r="191" spans="1:5" ht="15" customHeight="1" x14ac:dyDescent="0.2">
      <c r="A191" s="685" t="str">
        <f t="shared" si="6"/>
        <v>니나폴딩보드
(NFB)</v>
      </c>
      <c r="B191" s="90" t="s">
        <v>2024</v>
      </c>
      <c r="C191" s="146">
        <v>406</v>
      </c>
      <c r="D191" s="147" t="s">
        <v>2030</v>
      </c>
      <c r="E191" s="89">
        <v>1400000</v>
      </c>
    </row>
    <row r="192" spans="1:5" ht="15" customHeight="1" x14ac:dyDescent="0.2">
      <c r="A192" s="685" t="str">
        <f t="shared" si="6"/>
        <v>니나폴딩보드
(NFB)</v>
      </c>
      <c r="B192" s="90" t="s">
        <v>2024</v>
      </c>
      <c r="C192" s="99">
        <v>425</v>
      </c>
      <c r="D192" s="100" t="s">
        <v>2031</v>
      </c>
      <c r="E192" s="89">
        <v>2050000</v>
      </c>
    </row>
    <row r="193" spans="1:5" ht="15" customHeight="1" x14ac:dyDescent="0.2">
      <c r="A193" s="685" t="str">
        <f t="shared" si="6"/>
        <v>니나폴딩보드
(NFB)</v>
      </c>
      <c r="B193" s="90" t="s">
        <v>2024</v>
      </c>
      <c r="C193" s="91">
        <v>433</v>
      </c>
      <c r="D193" s="92" t="s">
        <v>2032</v>
      </c>
      <c r="E193" s="89">
        <v>1900000</v>
      </c>
    </row>
    <row r="194" spans="1:5" ht="15" customHeight="1" x14ac:dyDescent="0.2">
      <c r="A194" s="685" t="str">
        <f t="shared" si="6"/>
        <v>니나폴딩보드
(NFB)</v>
      </c>
      <c r="B194" s="90" t="s">
        <v>2024</v>
      </c>
      <c r="C194" s="91"/>
      <c r="D194" s="92" t="s">
        <v>2033</v>
      </c>
      <c r="E194" s="89">
        <v>2550000</v>
      </c>
    </row>
    <row r="195" spans="1:5" ht="15" customHeight="1" x14ac:dyDescent="0.2">
      <c r="A195" s="685" t="str">
        <f t="shared" si="6"/>
        <v>니나폴딩보드
(NFB)</v>
      </c>
      <c r="B195" s="90" t="s">
        <v>2024</v>
      </c>
      <c r="C195" s="99"/>
      <c r="D195" s="100" t="s">
        <v>2034</v>
      </c>
      <c r="E195" s="89">
        <v>2050000</v>
      </c>
    </row>
    <row r="196" spans="1:5" ht="15" customHeight="1" x14ac:dyDescent="0.2">
      <c r="A196" s="685" t="str">
        <f t="shared" si="6"/>
        <v>니나폴딩보드
(NFB)</v>
      </c>
      <c r="B196" s="90" t="s">
        <v>2024</v>
      </c>
      <c r="C196" s="113">
        <v>460</v>
      </c>
      <c r="D196" s="142" t="s">
        <v>2035</v>
      </c>
      <c r="E196" s="89">
        <v>2850000</v>
      </c>
    </row>
    <row r="197" spans="1:5" ht="15" customHeight="1" x14ac:dyDescent="0.2">
      <c r="A197" s="688" t="str">
        <f t="shared" si="6"/>
        <v>니나폴딩보드
(NFB)</v>
      </c>
      <c r="B197" s="90" t="s">
        <v>2024</v>
      </c>
      <c r="C197" s="106">
        <v>487</v>
      </c>
      <c r="D197" s="115" t="s">
        <v>2036</v>
      </c>
      <c r="E197" s="89">
        <v>1385000</v>
      </c>
    </row>
    <row r="198" spans="1:5" ht="15" customHeight="1" x14ac:dyDescent="0.2">
      <c r="A198" s="774" t="s">
        <v>2037</v>
      </c>
      <c r="B198" s="102" t="s">
        <v>2010</v>
      </c>
      <c r="C198" s="103" t="s">
        <v>1862</v>
      </c>
      <c r="D198" s="148" t="s">
        <v>2038</v>
      </c>
      <c r="E198" s="89">
        <v>125000</v>
      </c>
    </row>
    <row r="199" spans="1:5" ht="15" customHeight="1" x14ac:dyDescent="0.2">
      <c r="A199" s="685" t="str">
        <f t="shared" ref="A199:A217" si="7">A198</f>
        <v>내추럴 크라프트*
(NK)
- 6/일 이후 입고시  가격</v>
      </c>
      <c r="B199" s="102" t="s">
        <v>2010</v>
      </c>
      <c r="C199" s="91" t="s">
        <v>2039</v>
      </c>
      <c r="D199" s="92"/>
      <c r="E199" s="89">
        <v>130000</v>
      </c>
    </row>
    <row r="200" spans="1:5" ht="15" customHeight="1" x14ac:dyDescent="0.2">
      <c r="A200" s="685" t="str">
        <f t="shared" si="7"/>
        <v>내추럴 크라프트*
(NK)
- 6/일 이후 입고시  가격</v>
      </c>
      <c r="B200" s="102" t="s">
        <v>2010</v>
      </c>
      <c r="C200" s="91">
        <v>171</v>
      </c>
      <c r="D200" s="98"/>
      <c r="E200" s="89">
        <v>176000</v>
      </c>
    </row>
    <row r="201" spans="1:5" ht="15" customHeight="1" x14ac:dyDescent="0.2">
      <c r="A201" s="685" t="str">
        <f t="shared" si="7"/>
        <v>내추럴 크라프트*
(NK)
- 6/일 이후 입고시  가격</v>
      </c>
      <c r="B201" s="102" t="s">
        <v>2010</v>
      </c>
      <c r="C201" s="91">
        <v>200</v>
      </c>
      <c r="D201" s="98"/>
      <c r="E201" s="89">
        <v>202000</v>
      </c>
    </row>
    <row r="202" spans="1:5" ht="15" customHeight="1" x14ac:dyDescent="0.2">
      <c r="A202" s="685" t="str">
        <f t="shared" si="7"/>
        <v>내추럴 크라프트*
(NK)
- 6/일 이후 입고시  가격</v>
      </c>
      <c r="B202" s="102" t="s">
        <v>2010</v>
      </c>
      <c r="C202" s="91">
        <v>270</v>
      </c>
      <c r="D202" s="98"/>
      <c r="E202" s="89">
        <v>280000</v>
      </c>
    </row>
    <row r="203" spans="1:5" ht="15" customHeight="1" x14ac:dyDescent="0.2">
      <c r="A203" s="685" t="str">
        <f t="shared" si="7"/>
        <v>내추럴 크라프트*
(NK)
- 6/일 이후 입고시  가격</v>
      </c>
      <c r="B203" s="102" t="s">
        <v>2010</v>
      </c>
      <c r="C203" s="91">
        <v>300</v>
      </c>
      <c r="D203" s="98"/>
      <c r="E203" s="89">
        <v>305000</v>
      </c>
    </row>
    <row r="204" spans="1:5" ht="15" customHeight="1" x14ac:dyDescent="0.2">
      <c r="A204" s="685" t="str">
        <f t="shared" si="7"/>
        <v>내추럴 크라프트*
(NK)
- 6/일 이후 입고시  가격</v>
      </c>
      <c r="B204" s="102" t="s">
        <v>2010</v>
      </c>
      <c r="C204" s="91">
        <v>337</v>
      </c>
      <c r="D204" s="98"/>
      <c r="E204" s="89">
        <v>340000</v>
      </c>
    </row>
    <row r="205" spans="1:5" ht="15" customHeight="1" x14ac:dyDescent="0.2">
      <c r="A205" s="685" t="str">
        <f t="shared" si="7"/>
        <v>내추럴 크라프트*
(NK)
- 6/일 이후 입고시  가격</v>
      </c>
      <c r="B205" s="102" t="s">
        <v>2010</v>
      </c>
      <c r="C205" s="99" t="s">
        <v>2040</v>
      </c>
      <c r="D205" s="100"/>
      <c r="E205" s="89">
        <v>360000</v>
      </c>
    </row>
    <row r="206" spans="1:5" ht="15" customHeight="1" x14ac:dyDescent="0.2">
      <c r="A206" s="685" t="str">
        <f t="shared" si="7"/>
        <v>내추럴 크라프트*
(NK)
- 6/일 이후 입고시  가격</v>
      </c>
      <c r="B206" s="90" t="s">
        <v>2041</v>
      </c>
      <c r="C206" s="91">
        <v>171</v>
      </c>
      <c r="D206" s="98" t="s">
        <v>2038</v>
      </c>
      <c r="E206" s="89">
        <v>92000</v>
      </c>
    </row>
    <row r="207" spans="1:5" ht="15" customHeight="1" x14ac:dyDescent="0.2">
      <c r="A207" s="685" t="str">
        <f t="shared" si="7"/>
        <v>내추럴 크라프트*
(NK)
- 6/일 이후 입고시  가격</v>
      </c>
      <c r="B207" s="90" t="s">
        <v>2041</v>
      </c>
      <c r="C207" s="91">
        <v>200</v>
      </c>
      <c r="D207" s="98"/>
      <c r="E207" s="89">
        <v>105000</v>
      </c>
    </row>
    <row r="208" spans="1:5" ht="15" customHeight="1" x14ac:dyDescent="0.2">
      <c r="A208" s="685" t="str">
        <f t="shared" si="7"/>
        <v>내추럴 크라프트*
(NK)
- 6/일 이후 입고시  가격</v>
      </c>
      <c r="B208" s="90" t="s">
        <v>2041</v>
      </c>
      <c r="C208" s="99" t="s">
        <v>2042</v>
      </c>
      <c r="D208" s="100"/>
      <c r="E208" s="89">
        <v>132000</v>
      </c>
    </row>
    <row r="209" spans="1:5" ht="15" customHeight="1" x14ac:dyDescent="0.2">
      <c r="A209" s="685" t="str">
        <f t="shared" si="7"/>
        <v>내추럴 크라프트*
(NK)
- 6/일 이후 입고시  가격</v>
      </c>
      <c r="B209" s="90" t="s">
        <v>2043</v>
      </c>
      <c r="C209" s="91" t="s">
        <v>1862</v>
      </c>
      <c r="D209" s="92" t="s">
        <v>2044</v>
      </c>
      <c r="E209" s="89">
        <v>155000</v>
      </c>
    </row>
    <row r="210" spans="1:5" ht="15" customHeight="1" x14ac:dyDescent="0.2">
      <c r="A210" s="685" t="str">
        <f t="shared" si="7"/>
        <v>내추럴 크라프트*
(NK)
- 6/일 이후 입고시  가격</v>
      </c>
      <c r="B210" s="90" t="s">
        <v>2043</v>
      </c>
      <c r="C210" s="91" t="s">
        <v>2039</v>
      </c>
      <c r="D210" s="92"/>
      <c r="E210" s="89">
        <v>165000</v>
      </c>
    </row>
    <row r="211" spans="1:5" ht="15" customHeight="1" x14ac:dyDescent="0.2">
      <c r="A211" s="685" t="str">
        <f t="shared" si="7"/>
        <v>내추럴 크라프트*
(NK)
- 6/일 이후 입고시  가격</v>
      </c>
      <c r="B211" s="90" t="s">
        <v>2043</v>
      </c>
      <c r="C211" s="91">
        <v>171</v>
      </c>
      <c r="D211" s="98"/>
      <c r="E211" s="89">
        <v>220000</v>
      </c>
    </row>
    <row r="212" spans="1:5" ht="15" customHeight="1" x14ac:dyDescent="0.2">
      <c r="A212" s="685" t="str">
        <f t="shared" si="7"/>
        <v>내추럴 크라프트*
(NK)
- 6/일 이후 입고시  가격</v>
      </c>
      <c r="B212" s="90" t="s">
        <v>2043</v>
      </c>
      <c r="C212" s="91">
        <v>200</v>
      </c>
      <c r="D212" s="98"/>
      <c r="E212" s="89">
        <v>255000</v>
      </c>
    </row>
    <row r="213" spans="1:5" ht="15" customHeight="1" x14ac:dyDescent="0.2">
      <c r="A213" s="685" t="str">
        <f t="shared" si="7"/>
        <v>내추럴 크라프트*
(NK)
- 6/일 이후 입고시  가격</v>
      </c>
      <c r="B213" s="90" t="s">
        <v>2043</v>
      </c>
      <c r="C213" s="91" t="s">
        <v>2042</v>
      </c>
      <c r="D213" s="92"/>
      <c r="E213" s="89">
        <v>295000</v>
      </c>
    </row>
    <row r="214" spans="1:5" ht="15" customHeight="1" x14ac:dyDescent="0.2">
      <c r="A214" s="685" t="str">
        <f t="shared" si="7"/>
        <v>내추럴 크라프트*
(NK)
- 6/일 이후 입고시  가격</v>
      </c>
      <c r="B214" s="90" t="s">
        <v>2043</v>
      </c>
      <c r="C214" s="99" t="s">
        <v>2045</v>
      </c>
      <c r="D214" s="100"/>
      <c r="E214" s="89">
        <v>335000</v>
      </c>
    </row>
    <row r="215" spans="1:5" ht="15" customHeight="1" x14ac:dyDescent="0.2">
      <c r="A215" s="685" t="str">
        <f t="shared" si="7"/>
        <v>내추럴 크라프트*
(NK)
- 6/일 이후 입고시  가격</v>
      </c>
      <c r="B215" s="90" t="s">
        <v>2046</v>
      </c>
      <c r="C215" s="91" t="s">
        <v>2047</v>
      </c>
      <c r="D215" s="92"/>
    </row>
    <row r="216" spans="1:5" ht="15" customHeight="1" x14ac:dyDescent="0.2">
      <c r="A216" s="685" t="str">
        <f t="shared" si="7"/>
        <v>내추럴 크라프트*
(NK)
- 6/일 이후 입고시  가격</v>
      </c>
      <c r="B216" s="90" t="s">
        <v>1868</v>
      </c>
      <c r="C216" s="91" t="s">
        <v>1868</v>
      </c>
      <c r="D216" s="98" t="s">
        <v>2048</v>
      </c>
    </row>
    <row r="217" spans="1:5" ht="15" customHeight="1" x14ac:dyDescent="0.2">
      <c r="A217" s="685" t="str">
        <f t="shared" si="7"/>
        <v>내추럴 크라프트*
(NK)
- 6/일 이후 입고시  가격</v>
      </c>
      <c r="B217" s="90"/>
      <c r="C217" s="91" t="s">
        <v>1868</v>
      </c>
      <c r="D217" s="98" t="s">
        <v>2049</v>
      </c>
    </row>
    <row r="218" spans="1:5" ht="15" customHeight="1" x14ac:dyDescent="0.2">
      <c r="A218" s="775" t="s">
        <v>2050</v>
      </c>
      <c r="B218" s="149" t="s">
        <v>1936</v>
      </c>
      <c r="C218" s="150">
        <v>50</v>
      </c>
      <c r="D218" s="151" t="s">
        <v>2051</v>
      </c>
      <c r="E218" s="89">
        <v>150000</v>
      </c>
    </row>
    <row r="219" spans="1:5" ht="15" customHeight="1" x14ac:dyDescent="0.2">
      <c r="A219" s="776"/>
      <c r="B219" s="149" t="s">
        <v>1936</v>
      </c>
      <c r="C219" s="91">
        <v>60</v>
      </c>
      <c r="D219" s="98" t="s">
        <v>2052</v>
      </c>
      <c r="E219" s="89">
        <v>180000</v>
      </c>
    </row>
    <row r="220" spans="1:5" ht="15" customHeight="1" x14ac:dyDescent="0.2">
      <c r="A220" s="776"/>
      <c r="B220" s="149" t="s">
        <v>1936</v>
      </c>
      <c r="C220" s="91">
        <v>70</v>
      </c>
      <c r="D220" s="98" t="s">
        <v>2053</v>
      </c>
      <c r="E220" s="89">
        <v>210000</v>
      </c>
    </row>
    <row r="221" spans="1:5" ht="15" customHeight="1" x14ac:dyDescent="0.2">
      <c r="A221" s="776"/>
      <c r="B221" s="149" t="s">
        <v>1936</v>
      </c>
      <c r="C221" s="91">
        <v>80</v>
      </c>
      <c r="D221" s="98" t="s">
        <v>2054</v>
      </c>
      <c r="E221" s="89">
        <v>240000</v>
      </c>
    </row>
    <row r="222" spans="1:5" ht="15" customHeight="1" x14ac:dyDescent="0.2">
      <c r="A222" s="776"/>
      <c r="B222" s="149" t="s">
        <v>1936</v>
      </c>
      <c r="C222" s="91">
        <v>90</v>
      </c>
      <c r="D222" s="98" t="s">
        <v>2055</v>
      </c>
      <c r="E222" s="89">
        <v>270000</v>
      </c>
    </row>
    <row r="223" spans="1:5" ht="15" customHeight="1" x14ac:dyDescent="0.2">
      <c r="A223" s="776"/>
      <c r="B223" s="149" t="s">
        <v>1936</v>
      </c>
      <c r="C223" s="91">
        <v>100</v>
      </c>
      <c r="D223" s="98" t="s">
        <v>2056</v>
      </c>
      <c r="E223" s="89">
        <v>300000</v>
      </c>
    </row>
    <row r="224" spans="1:5" ht="15" customHeight="1" x14ac:dyDescent="0.2">
      <c r="A224" s="776"/>
      <c r="B224" s="149" t="s">
        <v>1936</v>
      </c>
      <c r="C224" s="91">
        <v>110</v>
      </c>
      <c r="D224" s="98" t="s">
        <v>2057</v>
      </c>
      <c r="E224" s="89">
        <v>330000</v>
      </c>
    </row>
    <row r="225" spans="1:5" ht="15" customHeight="1" x14ac:dyDescent="0.2">
      <c r="A225" s="776"/>
      <c r="B225" s="149" t="s">
        <v>1936</v>
      </c>
      <c r="C225" s="91">
        <v>130</v>
      </c>
      <c r="D225" s="98" t="s">
        <v>2058</v>
      </c>
      <c r="E225" s="89">
        <v>390000</v>
      </c>
    </row>
    <row r="226" spans="1:5" ht="15" customHeight="1" x14ac:dyDescent="0.2">
      <c r="A226" s="776"/>
      <c r="B226" s="149" t="s">
        <v>1936</v>
      </c>
      <c r="C226" s="91">
        <v>150</v>
      </c>
      <c r="D226" s="98" t="s">
        <v>2059</v>
      </c>
      <c r="E226" s="89">
        <v>480000</v>
      </c>
    </row>
    <row r="227" spans="1:5" ht="15" customHeight="1" x14ac:dyDescent="0.2">
      <c r="A227" s="776"/>
      <c r="B227" s="149" t="s">
        <v>1936</v>
      </c>
      <c r="C227" s="91">
        <v>170</v>
      </c>
      <c r="D227" s="98" t="s">
        <v>2060</v>
      </c>
      <c r="E227" s="89">
        <v>540000</v>
      </c>
    </row>
    <row r="228" spans="1:5" ht="15" customHeight="1" x14ac:dyDescent="0.2">
      <c r="A228" s="776"/>
      <c r="B228" s="149" t="s">
        <v>1936</v>
      </c>
      <c r="C228" s="91">
        <v>180</v>
      </c>
      <c r="D228" s="98" t="s">
        <v>2061</v>
      </c>
      <c r="E228" s="89">
        <v>575000</v>
      </c>
    </row>
    <row r="229" spans="1:5" ht="15" customHeight="1" x14ac:dyDescent="0.2">
      <c r="A229" s="776"/>
      <c r="B229" s="152" t="s">
        <v>2062</v>
      </c>
      <c r="C229" s="121">
        <v>80</v>
      </c>
      <c r="D229" s="153" t="s">
        <v>2063</v>
      </c>
      <c r="E229" s="89">
        <v>305000</v>
      </c>
    </row>
    <row r="230" spans="1:5" ht="15" customHeight="1" x14ac:dyDescent="0.2">
      <c r="A230" s="776"/>
      <c r="B230" s="152" t="s">
        <v>2062</v>
      </c>
      <c r="C230" s="154">
        <v>90</v>
      </c>
      <c r="D230" s="155" t="s">
        <v>2064</v>
      </c>
      <c r="E230" s="89">
        <v>345000</v>
      </c>
    </row>
    <row r="231" spans="1:5" ht="15" customHeight="1" x14ac:dyDescent="0.2">
      <c r="A231" s="776"/>
      <c r="B231" s="90" t="s">
        <v>2065</v>
      </c>
      <c r="C231" s="91">
        <v>80</v>
      </c>
      <c r="D231" s="98" t="s">
        <v>2066</v>
      </c>
    </row>
    <row r="232" spans="1:5" ht="15" customHeight="1" x14ac:dyDescent="0.2">
      <c r="A232" s="776"/>
      <c r="B232" s="90" t="s">
        <v>1496</v>
      </c>
      <c r="C232" s="91">
        <v>80</v>
      </c>
      <c r="D232" s="98" t="s">
        <v>2067</v>
      </c>
    </row>
    <row r="233" spans="1:5" ht="15" customHeight="1" x14ac:dyDescent="0.2">
      <c r="A233" s="776"/>
      <c r="B233" s="90" t="s">
        <v>2068</v>
      </c>
      <c r="C233" s="91">
        <v>80</v>
      </c>
      <c r="D233" s="98" t="s">
        <v>2069</v>
      </c>
    </row>
    <row r="234" spans="1:5" ht="15" customHeight="1" x14ac:dyDescent="0.2">
      <c r="A234" s="776"/>
      <c r="B234" s="90" t="s">
        <v>2070</v>
      </c>
      <c r="C234" s="91">
        <v>80</v>
      </c>
      <c r="D234" s="98" t="s">
        <v>2071</v>
      </c>
    </row>
    <row r="235" spans="1:5" ht="15" customHeight="1" x14ac:dyDescent="0.2">
      <c r="A235" s="776"/>
      <c r="B235" s="90" t="s">
        <v>2072</v>
      </c>
      <c r="C235" s="91">
        <v>80</v>
      </c>
      <c r="D235" s="156" t="s">
        <v>2073</v>
      </c>
    </row>
    <row r="236" spans="1:5" ht="15" customHeight="1" x14ac:dyDescent="0.2">
      <c r="A236" s="777"/>
      <c r="B236" s="118" t="s">
        <v>1500</v>
      </c>
      <c r="C236" s="91">
        <v>80</v>
      </c>
      <c r="D236" s="98" t="s">
        <v>2074</v>
      </c>
    </row>
    <row r="237" spans="1:5" ht="15" customHeight="1" x14ac:dyDescent="0.2">
      <c r="A237" s="731" t="s">
        <v>2075</v>
      </c>
      <c r="B237" s="157" t="s">
        <v>2076</v>
      </c>
      <c r="C237" s="132">
        <v>200</v>
      </c>
      <c r="D237" s="140" t="s">
        <v>2077</v>
      </c>
      <c r="E237" s="89">
        <v>55000</v>
      </c>
    </row>
    <row r="238" spans="1:5" ht="15" customHeight="1" x14ac:dyDescent="0.2">
      <c r="A238" s="686" t="str">
        <f t="shared" ref="A238:A301" si="8">A237</f>
        <v>디쎈
(DIS)
FSC: 일부제품</v>
      </c>
      <c r="B238" s="158" t="s">
        <v>1868</v>
      </c>
      <c r="C238" s="99">
        <v>250</v>
      </c>
      <c r="D238" s="105" t="s">
        <v>2078</v>
      </c>
      <c r="E238" s="89">
        <v>72500</v>
      </c>
    </row>
    <row r="239" spans="1:5" ht="15" customHeight="1" x14ac:dyDescent="0.2">
      <c r="A239" s="686" t="str">
        <f t="shared" si="8"/>
        <v>디쎈
(DIS)
FSC: 일부제품</v>
      </c>
      <c r="B239" s="137" t="s">
        <v>2076</v>
      </c>
      <c r="C239" s="96">
        <v>200</v>
      </c>
      <c r="D239" s="109" t="s">
        <v>2079</v>
      </c>
      <c r="E239" s="89">
        <v>116000</v>
      </c>
    </row>
    <row r="240" spans="1:5" ht="15" customHeight="1" x14ac:dyDescent="0.2">
      <c r="A240" s="686" t="str">
        <f t="shared" si="8"/>
        <v>디쎈
(DIS)
FSC: 일부제품</v>
      </c>
      <c r="B240" s="158"/>
      <c r="C240" s="99">
        <v>250</v>
      </c>
      <c r="D240" s="105" t="s">
        <v>2080</v>
      </c>
      <c r="E240" s="89">
        <v>147000</v>
      </c>
    </row>
    <row r="241" spans="1:5" ht="15" customHeight="1" x14ac:dyDescent="0.2">
      <c r="A241" s="686" t="str">
        <f t="shared" si="8"/>
        <v>디쎈
(DIS)
FSC: 일부제품</v>
      </c>
      <c r="B241" s="137" t="s">
        <v>2081</v>
      </c>
      <c r="C241" s="96">
        <v>216</v>
      </c>
      <c r="D241" s="128" t="s">
        <v>2082</v>
      </c>
      <c r="E241" s="89">
        <v>110000</v>
      </c>
    </row>
    <row r="242" spans="1:5" ht="15" customHeight="1" x14ac:dyDescent="0.2">
      <c r="A242" s="686" t="str">
        <f t="shared" si="8"/>
        <v>디쎈
(DIS)
FSC: 일부제품</v>
      </c>
      <c r="B242" s="118" t="s">
        <v>2081</v>
      </c>
      <c r="C242" s="91">
        <v>270</v>
      </c>
      <c r="D242" s="88" t="s">
        <v>2083</v>
      </c>
      <c r="E242" s="89">
        <v>220000</v>
      </c>
    </row>
    <row r="243" spans="1:5" ht="15" customHeight="1" x14ac:dyDescent="0.2">
      <c r="A243" s="686" t="str">
        <f t="shared" si="8"/>
        <v>디쎈
(DIS)
FSC: 일부제품</v>
      </c>
      <c r="B243" s="158" t="s">
        <v>2084</v>
      </c>
      <c r="C243" s="99">
        <v>270</v>
      </c>
      <c r="D243" s="129" t="s">
        <v>2085</v>
      </c>
      <c r="E243" s="89">
        <v>550000</v>
      </c>
    </row>
    <row r="244" spans="1:5" ht="15" customHeight="1" x14ac:dyDescent="0.2">
      <c r="A244" s="686" t="str">
        <f t="shared" si="8"/>
        <v>디쎈
(DIS)
FSC: 일부제품</v>
      </c>
      <c r="B244" s="159" t="s">
        <v>2086</v>
      </c>
      <c r="C244" s="113">
        <v>216</v>
      </c>
      <c r="D244" s="114" t="s">
        <v>2087</v>
      </c>
      <c r="E244" s="89">
        <v>262000</v>
      </c>
    </row>
    <row r="245" spans="1:5" ht="15" customHeight="1" x14ac:dyDescent="0.2">
      <c r="A245" s="686" t="str">
        <f t="shared" si="8"/>
        <v>디쎈
(DIS)
FSC: 일부제품</v>
      </c>
      <c r="B245" s="118" t="s">
        <v>2088</v>
      </c>
      <c r="C245" s="91">
        <v>120</v>
      </c>
      <c r="D245" s="98" t="s">
        <v>2089</v>
      </c>
      <c r="E245" s="89">
        <v>88000</v>
      </c>
    </row>
    <row r="246" spans="1:5" ht="15" customHeight="1" x14ac:dyDescent="0.2">
      <c r="A246" s="686" t="str">
        <f t="shared" si="8"/>
        <v>디쎈
(DIS)
FSC: 일부제품</v>
      </c>
      <c r="B246" s="118" t="s">
        <v>2081</v>
      </c>
      <c r="C246" s="91">
        <v>216</v>
      </c>
      <c r="D246" s="98" t="s">
        <v>2090</v>
      </c>
      <c r="E246" s="89">
        <v>132000</v>
      </c>
    </row>
    <row r="247" spans="1:5" ht="15" customHeight="1" x14ac:dyDescent="0.2">
      <c r="A247" s="686" t="str">
        <f t="shared" si="8"/>
        <v>디쎈
(DIS)
FSC: 일부제품</v>
      </c>
      <c r="B247" s="118" t="s">
        <v>2081</v>
      </c>
      <c r="C247" s="99">
        <v>270</v>
      </c>
      <c r="D247" s="105" t="s">
        <v>2091</v>
      </c>
      <c r="E247" s="89">
        <v>165000</v>
      </c>
    </row>
    <row r="248" spans="1:5" ht="15" customHeight="1" x14ac:dyDescent="0.2">
      <c r="A248" s="686" t="str">
        <f t="shared" si="8"/>
        <v>디쎈
(DIS)
FSC: 일부제품</v>
      </c>
      <c r="B248" s="159" t="s">
        <v>2092</v>
      </c>
      <c r="C248" s="113">
        <v>297</v>
      </c>
      <c r="D248" s="114" t="s">
        <v>2093</v>
      </c>
      <c r="E248" s="89">
        <v>285000</v>
      </c>
    </row>
    <row r="249" spans="1:5" ht="15" customHeight="1" x14ac:dyDescent="0.2">
      <c r="A249" s="686" t="str">
        <f t="shared" si="8"/>
        <v>디쎈
(DIS)
FSC: 일부제품</v>
      </c>
      <c r="B249" s="159" t="s">
        <v>2081</v>
      </c>
      <c r="C249" s="113">
        <v>297</v>
      </c>
      <c r="D249" s="114" t="s">
        <v>2094</v>
      </c>
      <c r="E249" s="89">
        <v>325000</v>
      </c>
    </row>
    <row r="250" spans="1:5" ht="15" customHeight="1" x14ac:dyDescent="0.2">
      <c r="A250" s="686" t="str">
        <f t="shared" si="8"/>
        <v>디쎈
(DIS)
FSC: 일부제품</v>
      </c>
      <c r="B250" s="159" t="s">
        <v>2092</v>
      </c>
      <c r="C250" s="113">
        <v>352</v>
      </c>
      <c r="D250" s="114" t="s">
        <v>2095</v>
      </c>
      <c r="E250" s="89">
        <v>430000</v>
      </c>
    </row>
    <row r="251" spans="1:5" ht="15" customHeight="1" x14ac:dyDescent="0.2">
      <c r="A251" s="686" t="str">
        <f t="shared" si="8"/>
        <v>디쎈
(DIS)
FSC: 일부제품</v>
      </c>
      <c r="B251" s="137" t="s">
        <v>2081</v>
      </c>
      <c r="C251" s="96">
        <v>216</v>
      </c>
      <c r="D251" s="109" t="s">
        <v>2096</v>
      </c>
      <c r="E251" s="89">
        <v>250000</v>
      </c>
    </row>
    <row r="252" spans="1:5" ht="15" customHeight="1" x14ac:dyDescent="0.2">
      <c r="A252" s="686" t="str">
        <f t="shared" si="8"/>
        <v>디쎈
(DIS)
FSC: 일부제품</v>
      </c>
      <c r="B252" s="118" t="s">
        <v>2097</v>
      </c>
      <c r="C252" s="91">
        <v>216</v>
      </c>
      <c r="D252" s="98" t="s">
        <v>2098</v>
      </c>
      <c r="E252" s="89">
        <v>750000</v>
      </c>
    </row>
    <row r="253" spans="1:5" ht="15" customHeight="1" x14ac:dyDescent="0.2">
      <c r="A253" s="686"/>
      <c r="B253" s="118" t="s">
        <v>2084</v>
      </c>
      <c r="C253" s="91">
        <v>270</v>
      </c>
      <c r="D253" s="98" t="s">
        <v>2099</v>
      </c>
      <c r="E253" s="89">
        <v>940000</v>
      </c>
    </row>
    <row r="254" spans="1:5" ht="15" customHeight="1" x14ac:dyDescent="0.2">
      <c r="A254" s="686" t="str">
        <f>A252</f>
        <v>디쎈
(DIS)
FSC: 일부제품</v>
      </c>
      <c r="B254" s="118" t="s">
        <v>2081</v>
      </c>
      <c r="C254" s="91">
        <v>270</v>
      </c>
      <c r="D254" s="98" t="s">
        <v>2100</v>
      </c>
      <c r="E254" s="89">
        <v>378000</v>
      </c>
    </row>
    <row r="255" spans="1:5" ht="15" customHeight="1" x14ac:dyDescent="0.2">
      <c r="A255" s="686" t="str">
        <f t="shared" si="8"/>
        <v>디쎈
(DIS)
FSC: 일부제품</v>
      </c>
      <c r="B255" s="158" t="s">
        <v>2101</v>
      </c>
      <c r="C255" s="99">
        <v>270</v>
      </c>
      <c r="D255" s="105" t="s">
        <v>2102</v>
      </c>
      <c r="E255" s="89">
        <v>935000</v>
      </c>
    </row>
    <row r="256" spans="1:5" ht="15" customHeight="1" x14ac:dyDescent="0.2">
      <c r="A256" s="686" t="str">
        <f t="shared" si="8"/>
        <v>디쎈
(DIS)
FSC: 일부제품</v>
      </c>
      <c r="B256" s="159" t="s">
        <v>2103</v>
      </c>
      <c r="C256" s="113">
        <v>216</v>
      </c>
      <c r="D256" s="114" t="s">
        <v>2104</v>
      </c>
      <c r="E256" s="89">
        <v>125000</v>
      </c>
    </row>
    <row r="257" spans="1:5" ht="15" customHeight="1" x14ac:dyDescent="0.2">
      <c r="A257" s="686" t="str">
        <f t="shared" si="8"/>
        <v>디쎈
(DIS)
FSC: 일부제품</v>
      </c>
      <c r="B257" s="159" t="s">
        <v>2105</v>
      </c>
      <c r="C257" s="113">
        <v>215</v>
      </c>
      <c r="D257" s="160" t="s">
        <v>2106</v>
      </c>
      <c r="E257" s="89">
        <v>150000</v>
      </c>
    </row>
    <row r="258" spans="1:5" ht="15" customHeight="1" x14ac:dyDescent="0.2">
      <c r="A258" s="686" t="str">
        <f t="shared" si="8"/>
        <v>디쎈
(DIS)
FSC: 일부제품</v>
      </c>
      <c r="B258" s="137" t="s">
        <v>2107</v>
      </c>
      <c r="C258" s="96">
        <v>95</v>
      </c>
      <c r="D258" s="128" t="s">
        <v>2108</v>
      </c>
      <c r="E258" s="89">
        <v>215000</v>
      </c>
    </row>
    <row r="259" spans="1:5" ht="15" customHeight="1" x14ac:dyDescent="0.2">
      <c r="A259" s="686" t="str">
        <f t="shared" si="8"/>
        <v>디쎈
(DIS)
FSC: 일부제품</v>
      </c>
      <c r="B259" s="137" t="s">
        <v>2107</v>
      </c>
      <c r="C259" s="96">
        <v>140</v>
      </c>
      <c r="D259" s="128" t="s">
        <v>2109</v>
      </c>
      <c r="E259" s="89">
        <v>65000</v>
      </c>
    </row>
    <row r="260" spans="1:5" ht="15" customHeight="1" x14ac:dyDescent="0.2">
      <c r="A260" s="686" t="str">
        <f t="shared" si="8"/>
        <v>디쎈
(DIS)
FSC: 일부제품</v>
      </c>
      <c r="B260" s="137" t="s">
        <v>2105</v>
      </c>
      <c r="C260" s="96">
        <v>200</v>
      </c>
      <c r="D260" s="128" t="s">
        <v>2110</v>
      </c>
      <c r="E260" s="89">
        <v>135000</v>
      </c>
    </row>
    <row r="261" spans="1:5" ht="15" customHeight="1" x14ac:dyDescent="0.2">
      <c r="A261" s="686" t="str">
        <f t="shared" si="8"/>
        <v>디쎈
(DIS)
FSC: 일부제품</v>
      </c>
      <c r="B261" s="158" t="s">
        <v>2105</v>
      </c>
      <c r="C261" s="99">
        <v>250</v>
      </c>
      <c r="D261" s="105" t="s">
        <v>2111</v>
      </c>
      <c r="E261" s="89">
        <v>169000</v>
      </c>
    </row>
    <row r="262" spans="1:5" ht="15" customHeight="1" x14ac:dyDescent="0.2">
      <c r="A262" s="686" t="str">
        <f t="shared" si="8"/>
        <v>디쎈
(DIS)
FSC: 일부제품</v>
      </c>
      <c r="B262" s="158" t="s">
        <v>2112</v>
      </c>
      <c r="C262" s="99">
        <v>300</v>
      </c>
      <c r="D262" s="105" t="s">
        <v>2113</v>
      </c>
      <c r="E262" s="89">
        <v>216000</v>
      </c>
    </row>
    <row r="263" spans="1:5" ht="15" customHeight="1" x14ac:dyDescent="0.2">
      <c r="A263" s="686" t="str">
        <f t="shared" si="8"/>
        <v>디쎈
(DIS)
FSC: 일부제품</v>
      </c>
      <c r="B263" s="118" t="s">
        <v>2114</v>
      </c>
      <c r="C263" s="91">
        <v>100</v>
      </c>
      <c r="D263" s="98" t="s">
        <v>2115</v>
      </c>
      <c r="E263" s="89">
        <v>25000</v>
      </c>
    </row>
    <row r="264" spans="1:5" ht="15" customHeight="1" x14ac:dyDescent="0.2">
      <c r="A264" s="686" t="str">
        <f t="shared" si="8"/>
        <v>디쎈
(DIS)
FSC: 일부제품</v>
      </c>
      <c r="B264" s="118" t="s">
        <v>2114</v>
      </c>
      <c r="C264" s="91">
        <v>120</v>
      </c>
      <c r="D264" s="98" t="s">
        <v>2116</v>
      </c>
      <c r="E264" s="89">
        <v>29000</v>
      </c>
    </row>
    <row r="265" spans="1:5" ht="15" customHeight="1" x14ac:dyDescent="0.2">
      <c r="A265" s="686" t="str">
        <f t="shared" si="8"/>
        <v>디쎈
(DIS)
FSC: 일부제품</v>
      </c>
      <c r="B265" s="118" t="s">
        <v>2114</v>
      </c>
      <c r="C265" s="91">
        <v>160</v>
      </c>
      <c r="D265" s="98" t="s">
        <v>2117</v>
      </c>
      <c r="E265" s="89">
        <v>38500</v>
      </c>
    </row>
    <row r="266" spans="1:5" ht="15" customHeight="1" x14ac:dyDescent="0.2">
      <c r="A266" s="686" t="str">
        <f t="shared" si="8"/>
        <v>디쎈
(DIS)
FSC: 일부제품</v>
      </c>
      <c r="B266" s="118" t="s">
        <v>2118</v>
      </c>
      <c r="C266" s="91">
        <v>200</v>
      </c>
      <c r="D266" s="98" t="s">
        <v>2119</v>
      </c>
      <c r="E266" s="89">
        <v>52000</v>
      </c>
    </row>
    <row r="267" spans="1:5" ht="15" customHeight="1" x14ac:dyDescent="0.2">
      <c r="A267" s="686" t="str">
        <f t="shared" si="8"/>
        <v>디쎈
(DIS)
FSC: 일부제품</v>
      </c>
      <c r="B267" s="118" t="s">
        <v>2118</v>
      </c>
      <c r="C267" s="91">
        <v>250</v>
      </c>
      <c r="D267" s="98" t="s">
        <v>2120</v>
      </c>
      <c r="E267" s="89">
        <v>65000</v>
      </c>
    </row>
    <row r="268" spans="1:5" ht="15" customHeight="1" x14ac:dyDescent="0.2">
      <c r="A268" s="686" t="str">
        <f t="shared" si="8"/>
        <v>디쎈
(DIS)
FSC: 일부제품</v>
      </c>
      <c r="B268" s="137" t="s">
        <v>2121</v>
      </c>
      <c r="C268" s="96">
        <v>90</v>
      </c>
      <c r="D268" s="109" t="s">
        <v>2122</v>
      </c>
      <c r="E268" s="89">
        <v>16000</v>
      </c>
    </row>
    <row r="269" spans="1:5" ht="15" customHeight="1" x14ac:dyDescent="0.2">
      <c r="A269" s="686" t="str">
        <f t="shared" si="8"/>
        <v>디쎈
(DIS)
FSC: 일부제품</v>
      </c>
      <c r="B269" s="118" t="s">
        <v>2121</v>
      </c>
      <c r="C269" s="91">
        <v>120</v>
      </c>
      <c r="D269" s="98" t="s">
        <v>2123</v>
      </c>
      <c r="E269" s="89">
        <v>20000</v>
      </c>
    </row>
    <row r="270" spans="1:5" ht="15" customHeight="1" x14ac:dyDescent="0.2">
      <c r="A270" s="686" t="str">
        <f t="shared" si="8"/>
        <v>디쎈
(DIS)
FSC: 일부제품</v>
      </c>
      <c r="B270" s="118" t="s">
        <v>2121</v>
      </c>
      <c r="C270" s="91">
        <v>160</v>
      </c>
      <c r="D270" s="98" t="s">
        <v>2124</v>
      </c>
      <c r="E270" s="89">
        <v>29000</v>
      </c>
    </row>
    <row r="271" spans="1:5" ht="15" customHeight="1" x14ac:dyDescent="0.2">
      <c r="A271" s="686" t="str">
        <f t="shared" si="8"/>
        <v>디쎈
(DIS)
FSC: 일부제품</v>
      </c>
      <c r="B271" s="118" t="s">
        <v>2121</v>
      </c>
      <c r="C271" s="91">
        <v>200</v>
      </c>
      <c r="D271" s="98" t="s">
        <v>2125</v>
      </c>
      <c r="E271" s="89">
        <v>41000</v>
      </c>
    </row>
    <row r="272" spans="1:5" ht="15" customHeight="1" x14ac:dyDescent="0.2">
      <c r="A272" s="686" t="str">
        <f t="shared" si="8"/>
        <v>디쎈
(DIS)
FSC: 일부제품</v>
      </c>
      <c r="B272" s="158" t="s">
        <v>2121</v>
      </c>
      <c r="C272" s="99">
        <v>250</v>
      </c>
      <c r="D272" s="105" t="s">
        <v>2126</v>
      </c>
      <c r="E272" s="89">
        <v>52000</v>
      </c>
    </row>
    <row r="273" spans="1:5" ht="15" customHeight="1" x14ac:dyDescent="0.2">
      <c r="A273" s="686" t="str">
        <f t="shared" si="8"/>
        <v>디쎈
(DIS)
FSC: 일부제품</v>
      </c>
      <c r="B273" s="159" t="s">
        <v>2092</v>
      </c>
      <c r="C273" s="113">
        <v>298</v>
      </c>
      <c r="D273" s="114" t="s">
        <v>2127</v>
      </c>
      <c r="E273" s="89">
        <v>160000</v>
      </c>
    </row>
    <row r="274" spans="1:5" ht="15" customHeight="1" x14ac:dyDescent="0.2">
      <c r="A274" s="686" t="str">
        <f t="shared" si="8"/>
        <v>디쎈
(DIS)
FSC: 일부제품</v>
      </c>
      <c r="B274" s="159" t="s">
        <v>2118</v>
      </c>
      <c r="C274" s="113">
        <v>250</v>
      </c>
      <c r="D274" s="114" t="s">
        <v>2128</v>
      </c>
      <c r="E274" s="89">
        <v>145000</v>
      </c>
    </row>
    <row r="275" spans="1:5" ht="15" customHeight="1" x14ac:dyDescent="0.2">
      <c r="A275" s="686" t="str">
        <f t="shared" si="8"/>
        <v>디쎈
(DIS)
FSC: 일부제품</v>
      </c>
      <c r="B275" s="118" t="s">
        <v>2129</v>
      </c>
      <c r="C275" s="91">
        <v>200</v>
      </c>
      <c r="D275" s="98" t="s">
        <v>2130</v>
      </c>
      <c r="E275" s="89">
        <v>70000</v>
      </c>
    </row>
    <row r="276" spans="1:5" ht="15" customHeight="1" x14ac:dyDescent="0.2">
      <c r="A276" s="686" t="str">
        <f t="shared" si="8"/>
        <v>디쎈
(DIS)
FSC: 일부제품</v>
      </c>
      <c r="B276" s="118" t="s">
        <v>2131</v>
      </c>
      <c r="C276" s="91">
        <v>200</v>
      </c>
      <c r="D276" s="98" t="s">
        <v>2132</v>
      </c>
      <c r="E276" s="89">
        <v>85000</v>
      </c>
    </row>
    <row r="277" spans="1:5" ht="15" customHeight="1" x14ac:dyDescent="0.2">
      <c r="A277" s="686" t="str">
        <f t="shared" si="8"/>
        <v>디쎈
(DIS)
FSC: 일부제품</v>
      </c>
      <c r="B277" s="118" t="s">
        <v>2131</v>
      </c>
      <c r="C277" s="91">
        <v>200</v>
      </c>
      <c r="D277" s="98" t="s">
        <v>2133</v>
      </c>
      <c r="E277" s="89">
        <v>120000</v>
      </c>
    </row>
    <row r="278" spans="1:5" ht="15" customHeight="1" x14ac:dyDescent="0.2">
      <c r="A278" s="686" t="str">
        <f t="shared" si="8"/>
        <v>디쎈
(DIS)
FSC: 일부제품</v>
      </c>
      <c r="B278" s="118" t="s">
        <v>2131</v>
      </c>
      <c r="C278" s="91">
        <v>240</v>
      </c>
      <c r="D278" s="98" t="s">
        <v>2134</v>
      </c>
      <c r="E278" s="89">
        <v>110000</v>
      </c>
    </row>
    <row r="279" spans="1:5" ht="15" customHeight="1" x14ac:dyDescent="0.2">
      <c r="A279" s="686" t="str">
        <f t="shared" si="8"/>
        <v>디쎈
(DIS)
FSC: 일부제품</v>
      </c>
      <c r="B279" s="118" t="s">
        <v>2131</v>
      </c>
      <c r="C279" s="91">
        <v>240</v>
      </c>
      <c r="D279" s="98" t="s">
        <v>2135</v>
      </c>
      <c r="E279" s="89">
        <v>110000</v>
      </c>
    </row>
    <row r="280" spans="1:5" ht="15" customHeight="1" x14ac:dyDescent="0.2">
      <c r="A280" s="686" t="str">
        <f t="shared" si="8"/>
        <v>디쎈
(DIS)
FSC: 일부제품</v>
      </c>
      <c r="B280" s="158" t="s">
        <v>2084</v>
      </c>
      <c r="C280" s="99">
        <v>200</v>
      </c>
      <c r="D280" s="105" t="s">
        <v>2136</v>
      </c>
      <c r="E280" s="89">
        <v>300000</v>
      </c>
    </row>
    <row r="281" spans="1:5" ht="15" customHeight="1" x14ac:dyDescent="0.2">
      <c r="A281" s="686" t="str">
        <f t="shared" si="8"/>
        <v>디쎈
(DIS)
FSC: 일부제품</v>
      </c>
      <c r="B281" s="137" t="s">
        <v>2081</v>
      </c>
      <c r="C281" s="96">
        <v>120</v>
      </c>
      <c r="D281" s="109" t="s">
        <v>2137</v>
      </c>
      <c r="E281" s="89">
        <v>47000</v>
      </c>
    </row>
    <row r="282" spans="1:5" ht="15" customHeight="1" x14ac:dyDescent="0.2">
      <c r="A282" s="686" t="str">
        <f t="shared" si="8"/>
        <v>디쎈
(DIS)
FSC: 일부제품</v>
      </c>
      <c r="B282" s="118" t="s">
        <v>2081</v>
      </c>
      <c r="C282" s="91">
        <v>216</v>
      </c>
      <c r="D282" s="98" t="s">
        <v>2138</v>
      </c>
      <c r="E282" s="89">
        <v>85000</v>
      </c>
    </row>
    <row r="283" spans="1:5" ht="15" customHeight="1" x14ac:dyDescent="0.2">
      <c r="A283" s="686" t="str">
        <f t="shared" si="8"/>
        <v>디쎈
(DIS)
FSC: 일부제품</v>
      </c>
      <c r="B283" s="118" t="s">
        <v>2081</v>
      </c>
      <c r="C283" s="91">
        <v>270</v>
      </c>
      <c r="D283" s="98" t="s">
        <v>2139</v>
      </c>
      <c r="E283" s="89">
        <v>105000</v>
      </c>
    </row>
    <row r="284" spans="1:5" ht="15" customHeight="1" x14ac:dyDescent="0.2">
      <c r="A284" s="686" t="str">
        <f t="shared" si="8"/>
        <v>디쎈
(DIS)
FSC: 일부제품</v>
      </c>
      <c r="B284" s="158" t="s">
        <v>2140</v>
      </c>
      <c r="C284" s="99">
        <v>216</v>
      </c>
      <c r="D284" s="105" t="s">
        <v>2141</v>
      </c>
      <c r="E284" s="89">
        <v>82000</v>
      </c>
    </row>
    <row r="285" spans="1:5" ht="15" customHeight="1" x14ac:dyDescent="0.2">
      <c r="A285" s="686" t="str">
        <f t="shared" si="8"/>
        <v>디쎈
(DIS)
FSC: 일부제품</v>
      </c>
      <c r="B285" s="137" t="s">
        <v>2081</v>
      </c>
      <c r="C285" s="96">
        <v>216</v>
      </c>
      <c r="D285" s="109" t="s">
        <v>2142</v>
      </c>
      <c r="E285" s="89">
        <v>93000</v>
      </c>
    </row>
    <row r="286" spans="1:5" ht="15" customHeight="1" x14ac:dyDescent="0.2">
      <c r="A286" s="686" t="str">
        <f t="shared" si="8"/>
        <v>디쎈
(DIS)
FSC: 일부제품</v>
      </c>
      <c r="B286" s="118" t="s">
        <v>2081</v>
      </c>
      <c r="C286" s="91">
        <v>270</v>
      </c>
      <c r="D286" s="98" t="s">
        <v>2143</v>
      </c>
      <c r="E286" s="89">
        <v>120000</v>
      </c>
    </row>
    <row r="287" spans="1:5" ht="15" customHeight="1" x14ac:dyDescent="0.2">
      <c r="A287" s="686" t="str">
        <f t="shared" si="8"/>
        <v>디쎈
(DIS)
FSC: 일부제품</v>
      </c>
      <c r="B287" s="158" t="s">
        <v>2076</v>
      </c>
      <c r="C287" s="99">
        <v>270</v>
      </c>
      <c r="D287" s="105" t="s">
        <v>2144</v>
      </c>
      <c r="E287" s="89">
        <v>110000</v>
      </c>
    </row>
    <row r="288" spans="1:5" ht="15" customHeight="1" x14ac:dyDescent="0.2">
      <c r="A288" s="686" t="str">
        <f t="shared" si="8"/>
        <v>디쎈
(DIS)
FSC: 일부제품</v>
      </c>
      <c r="B288" s="118" t="s">
        <v>2088</v>
      </c>
      <c r="C288" s="91">
        <v>352</v>
      </c>
      <c r="D288" s="98" t="s">
        <v>2145</v>
      </c>
      <c r="E288" s="89">
        <v>215000</v>
      </c>
    </row>
    <row r="289" spans="1:5" ht="15" customHeight="1" x14ac:dyDescent="0.2">
      <c r="A289" s="686"/>
      <c r="B289" s="118" t="s">
        <v>2081</v>
      </c>
      <c r="C289" s="91">
        <v>352</v>
      </c>
      <c r="D289" s="98" t="s">
        <v>2146</v>
      </c>
      <c r="E289" s="89">
        <v>155000</v>
      </c>
    </row>
    <row r="290" spans="1:5" ht="15" customHeight="1" x14ac:dyDescent="0.2">
      <c r="A290" s="686" t="str">
        <f>A288</f>
        <v>디쎈
(DIS)
FSC: 일부제품</v>
      </c>
      <c r="B290" s="118" t="s">
        <v>2097</v>
      </c>
      <c r="C290" s="91">
        <v>352</v>
      </c>
      <c r="D290" s="98" t="s">
        <v>2147</v>
      </c>
      <c r="E290" s="89">
        <v>535000</v>
      </c>
    </row>
    <row r="291" spans="1:5" ht="15" customHeight="1" x14ac:dyDescent="0.2">
      <c r="A291" s="686" t="str">
        <f t="shared" si="8"/>
        <v>디쎈
(DIS)
FSC: 일부제품</v>
      </c>
      <c r="B291" s="137" t="s">
        <v>2107</v>
      </c>
      <c r="C291" s="96">
        <v>120</v>
      </c>
      <c r="D291" s="109" t="s">
        <v>2148</v>
      </c>
      <c r="E291" s="89">
        <v>106000</v>
      </c>
    </row>
    <row r="292" spans="1:5" ht="15" customHeight="1" x14ac:dyDescent="0.2">
      <c r="A292" s="686" t="str">
        <f t="shared" si="8"/>
        <v>디쎈
(DIS)
FSC: 일부제품</v>
      </c>
      <c r="B292" s="118" t="s">
        <v>2149</v>
      </c>
      <c r="C292" s="91">
        <v>120</v>
      </c>
      <c r="D292" s="98" t="s">
        <v>2150</v>
      </c>
      <c r="E292" s="89">
        <v>106000</v>
      </c>
    </row>
    <row r="293" spans="1:5" ht="15" customHeight="1" x14ac:dyDescent="0.2">
      <c r="A293" s="686" t="str">
        <f t="shared" si="8"/>
        <v>디쎈
(DIS)
FSC: 일부제품</v>
      </c>
      <c r="B293" s="118" t="s">
        <v>2105</v>
      </c>
      <c r="C293" s="91">
        <v>250</v>
      </c>
      <c r="D293" s="98" t="s">
        <v>2151</v>
      </c>
      <c r="E293" s="89">
        <v>213000</v>
      </c>
    </row>
    <row r="294" spans="1:5" ht="15" customHeight="1" x14ac:dyDescent="0.2">
      <c r="A294" s="686" t="str">
        <f t="shared" si="8"/>
        <v>디쎈
(DIS)
FSC: 일부제품</v>
      </c>
      <c r="B294" s="118" t="s">
        <v>2105</v>
      </c>
      <c r="C294" s="91">
        <v>250</v>
      </c>
      <c r="D294" s="98" t="s">
        <v>2152</v>
      </c>
      <c r="E294" s="89">
        <v>213000</v>
      </c>
    </row>
    <row r="295" spans="1:5" ht="15" customHeight="1" x14ac:dyDescent="0.2">
      <c r="A295" s="686" t="str">
        <f t="shared" si="8"/>
        <v>디쎈
(DIS)
FSC: 일부제품</v>
      </c>
      <c r="B295" s="118" t="s">
        <v>2105</v>
      </c>
      <c r="C295" s="91">
        <v>230</v>
      </c>
      <c r="D295" s="98" t="s">
        <v>2153</v>
      </c>
      <c r="E295" s="89">
        <v>170000</v>
      </c>
    </row>
    <row r="296" spans="1:5" ht="15" customHeight="1" x14ac:dyDescent="0.2">
      <c r="A296" s="686" t="str">
        <f t="shared" si="8"/>
        <v>디쎈
(DIS)
FSC: 일부제품</v>
      </c>
      <c r="B296" s="118" t="s">
        <v>2105</v>
      </c>
      <c r="C296" s="91">
        <v>230</v>
      </c>
      <c r="D296" s="98" t="s">
        <v>2154</v>
      </c>
      <c r="E296" s="89">
        <v>170000</v>
      </c>
    </row>
    <row r="297" spans="1:5" ht="15" customHeight="1" x14ac:dyDescent="0.2">
      <c r="A297" s="686" t="str">
        <f t="shared" si="8"/>
        <v>디쎈
(DIS)
FSC: 일부제품</v>
      </c>
      <c r="B297" s="158" t="s">
        <v>2155</v>
      </c>
      <c r="C297" s="99">
        <v>250</v>
      </c>
      <c r="D297" s="105" t="s">
        <v>2156</v>
      </c>
      <c r="E297" s="89">
        <v>540000</v>
      </c>
    </row>
    <row r="298" spans="1:5" ht="15" customHeight="1" x14ac:dyDescent="0.2">
      <c r="A298" s="686" t="str">
        <f t="shared" si="8"/>
        <v>디쎈
(DIS)
FSC: 일부제품</v>
      </c>
      <c r="B298" s="137" t="s">
        <v>2112</v>
      </c>
      <c r="C298" s="96">
        <v>250</v>
      </c>
      <c r="D298" s="109" t="s">
        <v>2157</v>
      </c>
      <c r="E298" s="89">
        <v>170000</v>
      </c>
    </row>
    <row r="299" spans="1:5" ht="15" customHeight="1" x14ac:dyDescent="0.2">
      <c r="A299" s="686" t="str">
        <f t="shared" si="8"/>
        <v>디쎈
(DIS)
FSC: 일부제품</v>
      </c>
      <c r="B299" s="118" t="s">
        <v>2112</v>
      </c>
      <c r="C299" s="91">
        <v>250</v>
      </c>
      <c r="D299" s="98" t="s">
        <v>2158</v>
      </c>
      <c r="E299" s="89">
        <v>170000</v>
      </c>
    </row>
    <row r="300" spans="1:5" ht="15" customHeight="1" x14ac:dyDescent="0.2">
      <c r="A300" s="686" t="str">
        <f t="shared" si="8"/>
        <v>디쎈
(DIS)
FSC: 일부제품</v>
      </c>
      <c r="B300" s="158" t="s">
        <v>2112</v>
      </c>
      <c r="C300" s="99">
        <v>250</v>
      </c>
      <c r="D300" s="105" t="s">
        <v>2159</v>
      </c>
      <c r="E300" s="89">
        <v>187000</v>
      </c>
    </row>
    <row r="301" spans="1:5" ht="15" customHeight="1" x14ac:dyDescent="0.2">
      <c r="A301" s="686" t="str">
        <f t="shared" si="8"/>
        <v>디쎈
(DIS)
FSC: 일부제품</v>
      </c>
      <c r="B301" s="158" t="s">
        <v>2084</v>
      </c>
      <c r="C301" s="99">
        <v>250</v>
      </c>
      <c r="D301" s="105" t="s">
        <v>2160</v>
      </c>
      <c r="E301" s="89">
        <v>467000</v>
      </c>
    </row>
    <row r="302" spans="1:5" ht="15" customHeight="1" x14ac:dyDescent="0.2">
      <c r="A302" s="686" t="str">
        <f t="shared" ref="A302:A365" si="9">A301</f>
        <v>디쎈
(DIS)
FSC: 일부제품</v>
      </c>
      <c r="B302" s="137" t="s">
        <v>2107</v>
      </c>
      <c r="C302" s="96">
        <v>100</v>
      </c>
      <c r="D302" s="109" t="s">
        <v>2161</v>
      </c>
      <c r="E302" s="89">
        <v>53000</v>
      </c>
    </row>
    <row r="303" spans="1:5" ht="15" customHeight="1" x14ac:dyDescent="0.2">
      <c r="A303" s="686" t="str">
        <f t="shared" si="9"/>
        <v>디쎈
(DIS)
FSC: 일부제품</v>
      </c>
      <c r="B303" s="158" t="s">
        <v>2105</v>
      </c>
      <c r="C303" s="99">
        <v>250</v>
      </c>
      <c r="D303" s="105" t="s">
        <v>2162</v>
      </c>
      <c r="E303" s="89">
        <v>130000</v>
      </c>
    </row>
    <row r="304" spans="1:5" ht="15" customHeight="1" x14ac:dyDescent="0.2">
      <c r="A304" s="686" t="str">
        <f t="shared" si="9"/>
        <v>디쎈
(DIS)
FSC: 일부제품</v>
      </c>
      <c r="B304" s="118" t="s">
        <v>2105</v>
      </c>
      <c r="C304" s="91">
        <v>300</v>
      </c>
      <c r="D304" s="98" t="s">
        <v>2163</v>
      </c>
      <c r="E304" s="89">
        <v>310000</v>
      </c>
    </row>
    <row r="305" spans="1:5" ht="15" customHeight="1" x14ac:dyDescent="0.2">
      <c r="A305" s="686" t="str">
        <f t="shared" si="9"/>
        <v>디쎈
(DIS)
FSC: 일부제품</v>
      </c>
      <c r="B305" s="137" t="s">
        <v>2084</v>
      </c>
      <c r="C305" s="96">
        <v>200</v>
      </c>
      <c r="D305" s="109" t="s">
        <v>2164</v>
      </c>
      <c r="E305" s="89">
        <v>300000</v>
      </c>
    </row>
    <row r="306" spans="1:5" ht="15" customHeight="1" x14ac:dyDescent="0.2">
      <c r="A306" s="686" t="str">
        <f t="shared" si="9"/>
        <v>디쎈
(DIS)
FSC: 일부제품</v>
      </c>
      <c r="B306" s="158" t="s">
        <v>2131</v>
      </c>
      <c r="C306" s="99">
        <v>200</v>
      </c>
      <c r="D306" s="105" t="s">
        <v>2165</v>
      </c>
      <c r="E306" s="89">
        <v>143000</v>
      </c>
    </row>
    <row r="307" spans="1:5" ht="15" customHeight="1" x14ac:dyDescent="0.2">
      <c r="A307" s="686" t="str">
        <f t="shared" si="9"/>
        <v>디쎈
(DIS)
FSC: 일부제품</v>
      </c>
      <c r="B307" s="137" t="s">
        <v>2166</v>
      </c>
      <c r="C307" s="96">
        <v>350</v>
      </c>
      <c r="D307" s="109" t="s">
        <v>2167</v>
      </c>
      <c r="E307" s="89">
        <v>170000</v>
      </c>
    </row>
    <row r="308" spans="1:5" ht="15" customHeight="1" x14ac:dyDescent="0.2">
      <c r="A308" s="686" t="str">
        <f t="shared" si="9"/>
        <v>디쎈
(DIS)
FSC: 일부제품</v>
      </c>
      <c r="B308" s="137" t="s">
        <v>2105</v>
      </c>
      <c r="C308" s="96">
        <v>300</v>
      </c>
      <c r="D308" s="109" t="s">
        <v>2168</v>
      </c>
      <c r="E308" s="89">
        <v>310000</v>
      </c>
    </row>
    <row r="309" spans="1:5" ht="15" customHeight="1" x14ac:dyDescent="0.2">
      <c r="A309" s="686" t="str">
        <f t="shared" si="9"/>
        <v>디쎈
(DIS)
FSC: 일부제품</v>
      </c>
      <c r="B309" s="118" t="s">
        <v>2105</v>
      </c>
      <c r="C309" s="91">
        <v>300</v>
      </c>
      <c r="D309" s="98" t="s">
        <v>2169</v>
      </c>
      <c r="E309" s="89">
        <v>343000</v>
      </c>
    </row>
    <row r="310" spans="1:5" ht="15" customHeight="1" x14ac:dyDescent="0.2">
      <c r="A310" s="686" t="str">
        <f t="shared" si="9"/>
        <v>디쎈
(DIS)
FSC: 일부제품</v>
      </c>
      <c r="B310" s="158" t="s">
        <v>2105</v>
      </c>
      <c r="C310" s="99">
        <v>230</v>
      </c>
      <c r="D310" s="105" t="s">
        <v>2170</v>
      </c>
      <c r="E310" s="89">
        <v>237000</v>
      </c>
    </row>
    <row r="311" spans="1:5" ht="15" customHeight="1" x14ac:dyDescent="0.2">
      <c r="A311" s="686" t="str">
        <f t="shared" si="9"/>
        <v>디쎈
(DIS)
FSC: 일부제품</v>
      </c>
      <c r="B311" s="159" t="s">
        <v>2155</v>
      </c>
      <c r="C311" s="113">
        <v>300</v>
      </c>
      <c r="D311" s="114" t="s">
        <v>2171</v>
      </c>
      <c r="E311" s="89">
        <v>780000</v>
      </c>
    </row>
    <row r="312" spans="1:5" ht="15" customHeight="1" x14ac:dyDescent="0.2">
      <c r="A312" s="686" t="str">
        <f t="shared" si="9"/>
        <v>디쎈
(DIS)
FSC: 일부제품</v>
      </c>
      <c r="B312" s="159" t="s">
        <v>2155</v>
      </c>
      <c r="C312" s="113">
        <v>300</v>
      </c>
      <c r="D312" s="114" t="s">
        <v>2172</v>
      </c>
      <c r="E312" s="89">
        <v>640000</v>
      </c>
    </row>
    <row r="313" spans="1:5" ht="15" customHeight="1" x14ac:dyDescent="0.2">
      <c r="A313" s="686" t="str">
        <f t="shared" si="9"/>
        <v>디쎈
(DIS)
FSC: 일부제품</v>
      </c>
      <c r="B313" s="159" t="s">
        <v>2105</v>
      </c>
      <c r="C313" s="113">
        <v>250</v>
      </c>
      <c r="D313" s="114" t="s">
        <v>2173</v>
      </c>
      <c r="E313" s="89">
        <v>128000</v>
      </c>
    </row>
    <row r="314" spans="1:5" ht="15" customHeight="1" x14ac:dyDescent="0.2">
      <c r="A314" s="686" t="str">
        <f t="shared" si="9"/>
        <v>디쎈
(DIS)
FSC: 일부제품</v>
      </c>
      <c r="B314" s="118" t="s">
        <v>2166</v>
      </c>
      <c r="C314" s="91">
        <v>290</v>
      </c>
      <c r="D314" s="139" t="s">
        <v>2174</v>
      </c>
      <c r="E314" s="89">
        <v>260000</v>
      </c>
    </row>
    <row r="315" spans="1:5" ht="15" customHeight="1" x14ac:dyDescent="0.2">
      <c r="A315" s="686" t="str">
        <f t="shared" si="9"/>
        <v>디쎈
(DIS)
FSC: 일부제품</v>
      </c>
      <c r="B315" s="118" t="s">
        <v>2166</v>
      </c>
      <c r="C315" s="91">
        <v>290</v>
      </c>
      <c r="D315" s="156" t="s">
        <v>2175</v>
      </c>
      <c r="E315" s="89">
        <v>260000</v>
      </c>
    </row>
    <row r="316" spans="1:5" ht="15" customHeight="1" x14ac:dyDescent="0.2">
      <c r="A316" s="686" t="str">
        <f t="shared" si="9"/>
        <v>디쎈
(DIS)
FSC: 일부제품</v>
      </c>
      <c r="B316" s="118" t="s">
        <v>2166</v>
      </c>
      <c r="C316" s="91">
        <v>290</v>
      </c>
      <c r="D316" s="156" t="s">
        <v>2176</v>
      </c>
      <c r="E316" s="89">
        <v>280000</v>
      </c>
    </row>
    <row r="317" spans="1:5" ht="15" customHeight="1" x14ac:dyDescent="0.2">
      <c r="A317" s="686" t="str">
        <f t="shared" si="9"/>
        <v>디쎈
(DIS)
FSC: 일부제품</v>
      </c>
      <c r="B317" s="158" t="s">
        <v>2112</v>
      </c>
      <c r="C317" s="99">
        <v>290</v>
      </c>
      <c r="D317" s="145" t="s">
        <v>2177</v>
      </c>
      <c r="E317" s="89">
        <v>290000</v>
      </c>
    </row>
    <row r="318" spans="1:5" ht="15" customHeight="1" x14ac:dyDescent="0.2">
      <c r="A318" s="686" t="str">
        <f t="shared" si="9"/>
        <v>디쎈
(DIS)
FSC: 일부제품</v>
      </c>
      <c r="B318" s="137" t="s">
        <v>2105</v>
      </c>
      <c r="C318" s="96">
        <v>250</v>
      </c>
      <c r="D318" s="109" t="s">
        <v>2178</v>
      </c>
      <c r="E318" s="89">
        <v>125000</v>
      </c>
    </row>
    <row r="319" spans="1:5" ht="15" customHeight="1" x14ac:dyDescent="0.2">
      <c r="A319" s="686" t="str">
        <f t="shared" si="9"/>
        <v>디쎈
(DIS)
FSC: 일부제품</v>
      </c>
      <c r="B319" s="158" t="s">
        <v>2166</v>
      </c>
      <c r="C319" s="99">
        <v>250</v>
      </c>
      <c r="D319" s="105" t="s">
        <v>2179</v>
      </c>
      <c r="E319" s="89">
        <v>175000</v>
      </c>
    </row>
    <row r="320" spans="1:5" ht="15" customHeight="1" x14ac:dyDescent="0.2">
      <c r="A320" s="686" t="str">
        <f t="shared" si="9"/>
        <v>디쎈
(DIS)
FSC: 일부제품</v>
      </c>
      <c r="B320" s="118" t="s">
        <v>2107</v>
      </c>
      <c r="C320" s="91">
        <v>130</v>
      </c>
      <c r="D320" s="98" t="s">
        <v>2180</v>
      </c>
      <c r="E320" s="89">
        <v>35000</v>
      </c>
    </row>
    <row r="321" spans="1:5" ht="15" customHeight="1" x14ac:dyDescent="0.2">
      <c r="A321" s="686" t="str">
        <f t="shared" si="9"/>
        <v>디쎈
(DIS)
FSC: 일부제품</v>
      </c>
      <c r="B321" s="118" t="s">
        <v>2105</v>
      </c>
      <c r="C321" s="91">
        <v>250</v>
      </c>
      <c r="D321" s="98" t="s">
        <v>2181</v>
      </c>
      <c r="E321" s="89">
        <v>67000</v>
      </c>
    </row>
    <row r="322" spans="1:5" ht="15" customHeight="1" x14ac:dyDescent="0.2">
      <c r="A322" s="686" t="str">
        <f t="shared" si="9"/>
        <v>디쎈
(DIS)
FSC: 일부제품</v>
      </c>
      <c r="B322" s="137" t="s">
        <v>2107</v>
      </c>
      <c r="C322" s="96">
        <v>115</v>
      </c>
      <c r="D322" s="109" t="s">
        <v>2182</v>
      </c>
      <c r="E322" s="89">
        <v>30000</v>
      </c>
    </row>
    <row r="323" spans="1:5" ht="15" customHeight="1" x14ac:dyDescent="0.2">
      <c r="A323" s="686" t="str">
        <f t="shared" si="9"/>
        <v>디쎈
(DIS)
FSC: 일부제품</v>
      </c>
      <c r="B323" s="118" t="s">
        <v>2107</v>
      </c>
      <c r="C323" s="91">
        <v>150</v>
      </c>
      <c r="D323" s="98" t="s">
        <v>2183</v>
      </c>
      <c r="E323" s="89">
        <v>35000</v>
      </c>
    </row>
    <row r="324" spans="1:5" ht="15" customHeight="1" x14ac:dyDescent="0.2">
      <c r="A324" s="686" t="str">
        <f t="shared" si="9"/>
        <v>디쎈
(DIS)
FSC: 일부제품</v>
      </c>
      <c r="B324" s="118" t="s">
        <v>2107</v>
      </c>
      <c r="C324" s="91">
        <v>170</v>
      </c>
      <c r="D324" s="98" t="s">
        <v>1937</v>
      </c>
      <c r="E324" s="89">
        <v>39000</v>
      </c>
    </row>
    <row r="325" spans="1:5" ht="15" customHeight="1" x14ac:dyDescent="0.2">
      <c r="A325" s="686" t="str">
        <f t="shared" si="9"/>
        <v>디쎈
(DIS)
FSC: 일부제품</v>
      </c>
      <c r="B325" s="118" t="s">
        <v>2105</v>
      </c>
      <c r="C325" s="91">
        <v>200</v>
      </c>
      <c r="D325" s="98" t="s">
        <v>2184</v>
      </c>
      <c r="E325" s="89">
        <v>71000</v>
      </c>
    </row>
    <row r="326" spans="1:5" ht="15" customHeight="1" x14ac:dyDescent="0.2">
      <c r="A326" s="686" t="str">
        <f t="shared" si="9"/>
        <v>디쎈
(DIS)
FSC: 일부제품</v>
      </c>
      <c r="B326" s="118" t="s">
        <v>2105</v>
      </c>
      <c r="C326" s="91">
        <v>250</v>
      </c>
      <c r="D326" s="98" t="s">
        <v>1937</v>
      </c>
      <c r="E326" s="89">
        <v>60000</v>
      </c>
    </row>
    <row r="327" spans="1:5" ht="15" customHeight="1" x14ac:dyDescent="0.2">
      <c r="A327" s="686" t="str">
        <f t="shared" si="9"/>
        <v>디쎈
(DIS)
FSC: 일부제품</v>
      </c>
      <c r="B327" s="118" t="s">
        <v>2185</v>
      </c>
      <c r="C327" s="91">
        <v>200</v>
      </c>
      <c r="D327" s="98" t="s">
        <v>1937</v>
      </c>
      <c r="E327" s="89">
        <v>113000</v>
      </c>
    </row>
    <row r="328" spans="1:5" ht="15" customHeight="1" x14ac:dyDescent="0.2">
      <c r="A328" s="686" t="str">
        <f t="shared" si="9"/>
        <v>디쎈
(DIS)
FSC: 일부제품</v>
      </c>
      <c r="B328" s="118" t="s">
        <v>2186</v>
      </c>
      <c r="C328" s="91">
        <v>200</v>
      </c>
      <c r="D328" s="98" t="s">
        <v>2187</v>
      </c>
      <c r="E328" s="89">
        <v>292000</v>
      </c>
    </row>
    <row r="329" spans="1:5" ht="15" customHeight="1" x14ac:dyDescent="0.2">
      <c r="A329" s="686" t="str">
        <f t="shared" si="9"/>
        <v>디쎈
(DIS)
FSC: 일부제품</v>
      </c>
      <c r="B329" s="158" t="s">
        <v>2188</v>
      </c>
      <c r="C329" s="99">
        <v>200</v>
      </c>
      <c r="D329" s="105" t="s">
        <v>2189</v>
      </c>
    </row>
    <row r="330" spans="1:5" ht="15" customHeight="1" x14ac:dyDescent="0.2">
      <c r="A330" s="686" t="str">
        <f t="shared" si="9"/>
        <v>디쎈
(DIS)
FSC: 일부제품</v>
      </c>
      <c r="B330" s="118" t="s">
        <v>2107</v>
      </c>
      <c r="C330" s="91">
        <v>115</v>
      </c>
      <c r="D330" s="98" t="s">
        <v>2190</v>
      </c>
      <c r="E330" s="89">
        <v>30000</v>
      </c>
    </row>
    <row r="331" spans="1:5" ht="15" customHeight="1" x14ac:dyDescent="0.2">
      <c r="A331" s="686" t="str">
        <f t="shared" si="9"/>
        <v>디쎈
(DIS)
FSC: 일부제품</v>
      </c>
      <c r="B331" s="118" t="s">
        <v>2107</v>
      </c>
      <c r="C331" s="91">
        <v>150</v>
      </c>
      <c r="D331" s="98" t="s">
        <v>2191</v>
      </c>
      <c r="E331" s="89">
        <v>36000</v>
      </c>
    </row>
    <row r="332" spans="1:5" ht="15" customHeight="1" x14ac:dyDescent="0.2">
      <c r="A332" s="686" t="str">
        <f t="shared" si="9"/>
        <v>디쎈
(DIS)
FSC: 일부제품</v>
      </c>
      <c r="B332" s="158" t="s">
        <v>2105</v>
      </c>
      <c r="C332" s="99">
        <v>250</v>
      </c>
      <c r="D332" s="105" t="s">
        <v>2192</v>
      </c>
      <c r="E332" s="89">
        <v>60000</v>
      </c>
    </row>
    <row r="333" spans="1:5" ht="15" customHeight="1" x14ac:dyDescent="0.2">
      <c r="A333" s="686" t="str">
        <f t="shared" si="9"/>
        <v>디쎈
(DIS)
FSC: 일부제품</v>
      </c>
      <c r="B333" s="137" t="s">
        <v>2193</v>
      </c>
      <c r="C333" s="161">
        <v>200</v>
      </c>
      <c r="D333" s="162" t="s">
        <v>2194</v>
      </c>
      <c r="E333" s="89">
        <v>210000</v>
      </c>
    </row>
    <row r="334" spans="1:5" ht="15" customHeight="1" x14ac:dyDescent="0.2">
      <c r="A334" s="686" t="str">
        <f t="shared" si="9"/>
        <v>디쎈
(DIS)
FSC: 일부제품</v>
      </c>
      <c r="B334" s="118" t="s">
        <v>2193</v>
      </c>
      <c r="C334" s="163">
        <v>300</v>
      </c>
      <c r="D334" s="164" t="s">
        <v>2195</v>
      </c>
      <c r="E334" s="89">
        <v>315000</v>
      </c>
    </row>
    <row r="335" spans="1:5" ht="15" customHeight="1" x14ac:dyDescent="0.2">
      <c r="A335" s="686" t="str">
        <f t="shared" si="9"/>
        <v>디쎈
(DIS)
FSC: 일부제품</v>
      </c>
      <c r="B335" s="158" t="s">
        <v>2196</v>
      </c>
      <c r="C335" s="165">
        <v>300</v>
      </c>
      <c r="D335" s="166" t="s">
        <v>2197</v>
      </c>
      <c r="E335" s="89">
        <v>875000</v>
      </c>
    </row>
    <row r="336" spans="1:5" ht="15" customHeight="1" x14ac:dyDescent="0.2">
      <c r="A336" s="686" t="str">
        <f t="shared" si="9"/>
        <v>디쎈
(DIS)
FSC: 일부제품</v>
      </c>
      <c r="B336" s="118" t="s">
        <v>2149</v>
      </c>
      <c r="C336" s="91">
        <v>150</v>
      </c>
      <c r="D336" s="98" t="s">
        <v>2198</v>
      </c>
      <c r="E336" s="89">
        <v>35000</v>
      </c>
    </row>
    <row r="337" spans="1:5" ht="15" customHeight="1" x14ac:dyDescent="0.2">
      <c r="A337" s="686" t="str">
        <f t="shared" si="9"/>
        <v>디쎈
(DIS)
FSC: 일부제품</v>
      </c>
      <c r="B337" s="118" t="s">
        <v>2081</v>
      </c>
      <c r="C337" s="91">
        <v>150</v>
      </c>
      <c r="D337" s="98" t="s">
        <v>2199</v>
      </c>
      <c r="E337" s="89">
        <v>36000</v>
      </c>
    </row>
    <row r="338" spans="1:5" ht="15" customHeight="1" x14ac:dyDescent="0.2">
      <c r="A338" s="686" t="str">
        <f t="shared" si="9"/>
        <v>디쎈
(DIS)
FSC: 일부제품</v>
      </c>
      <c r="B338" s="118" t="s">
        <v>2097</v>
      </c>
      <c r="C338" s="91">
        <v>150</v>
      </c>
      <c r="D338" s="98" t="s">
        <v>2200</v>
      </c>
      <c r="E338" s="89">
        <v>95000</v>
      </c>
    </row>
    <row r="339" spans="1:5" ht="15" customHeight="1" x14ac:dyDescent="0.2">
      <c r="A339" s="686" t="str">
        <f t="shared" si="9"/>
        <v>디쎈
(DIS)
FSC: 일부제품</v>
      </c>
      <c r="B339" s="118" t="s">
        <v>2201</v>
      </c>
      <c r="C339" s="91">
        <v>200</v>
      </c>
      <c r="D339" s="98" t="s">
        <v>2202</v>
      </c>
      <c r="E339" s="89">
        <v>110000</v>
      </c>
    </row>
    <row r="340" spans="1:5" ht="15" customHeight="1" x14ac:dyDescent="0.2">
      <c r="A340" s="686" t="str">
        <f t="shared" si="9"/>
        <v>디쎈
(DIS)
FSC: 일부제품</v>
      </c>
      <c r="B340" s="118" t="s">
        <v>2203</v>
      </c>
      <c r="C340" s="91">
        <v>250</v>
      </c>
      <c r="D340" s="98" t="s">
        <v>2204</v>
      </c>
      <c r="E340" s="89">
        <v>58000</v>
      </c>
    </row>
    <row r="341" spans="1:5" ht="15" customHeight="1" x14ac:dyDescent="0.2">
      <c r="A341" s="686" t="str">
        <f t="shared" si="9"/>
        <v>디쎈
(DIS)
FSC: 일부제품</v>
      </c>
      <c r="B341" s="118" t="s">
        <v>2081</v>
      </c>
      <c r="C341" s="91">
        <v>250</v>
      </c>
      <c r="D341" s="98" t="s">
        <v>2205</v>
      </c>
      <c r="E341" s="89">
        <v>63000</v>
      </c>
    </row>
    <row r="342" spans="1:5" ht="15" customHeight="1" x14ac:dyDescent="0.2">
      <c r="A342" s="686" t="str">
        <f t="shared" si="9"/>
        <v>디쎈
(DIS)
FSC: 일부제품</v>
      </c>
      <c r="B342" s="118" t="s">
        <v>2201</v>
      </c>
      <c r="C342" s="91">
        <v>250</v>
      </c>
      <c r="D342" s="98" t="s">
        <v>2206</v>
      </c>
      <c r="E342" s="89">
        <v>140000</v>
      </c>
    </row>
    <row r="343" spans="1:5" ht="15" customHeight="1" x14ac:dyDescent="0.2">
      <c r="A343" s="686" t="str">
        <f t="shared" si="9"/>
        <v>디쎈
(DIS)
FSC: 일부제품</v>
      </c>
      <c r="B343" s="118" t="s">
        <v>2097</v>
      </c>
      <c r="C343" s="91">
        <v>250</v>
      </c>
      <c r="D343" s="98" t="s">
        <v>2202</v>
      </c>
      <c r="E343" s="89">
        <v>155000</v>
      </c>
    </row>
    <row r="344" spans="1:5" ht="15" customHeight="1" x14ac:dyDescent="0.2">
      <c r="A344" s="686" t="str">
        <f t="shared" si="9"/>
        <v>디쎈
(DIS)
FSC: 일부제품</v>
      </c>
      <c r="B344" s="118" t="s">
        <v>2203</v>
      </c>
      <c r="C344" s="91">
        <v>350</v>
      </c>
      <c r="D344" s="98" t="s">
        <v>2207</v>
      </c>
      <c r="E344" s="89">
        <v>83000</v>
      </c>
    </row>
    <row r="345" spans="1:5" ht="15" customHeight="1" x14ac:dyDescent="0.2">
      <c r="A345" s="686" t="str">
        <f t="shared" si="9"/>
        <v>디쎈
(DIS)
FSC: 일부제품</v>
      </c>
      <c r="B345" s="159" t="s">
        <v>2208</v>
      </c>
      <c r="C345" s="113">
        <v>350</v>
      </c>
      <c r="D345" s="114" t="s">
        <v>2209</v>
      </c>
      <c r="E345" s="89">
        <v>82500</v>
      </c>
    </row>
    <row r="346" spans="1:5" ht="15" customHeight="1" x14ac:dyDescent="0.2">
      <c r="A346" s="686" t="str">
        <f t="shared" si="9"/>
        <v>디쎈
(DIS)
FSC: 일부제품</v>
      </c>
      <c r="B346" s="137" t="s">
        <v>2107</v>
      </c>
      <c r="C346" s="96">
        <v>115</v>
      </c>
      <c r="D346" s="109" t="s">
        <v>2210</v>
      </c>
      <c r="E346" s="89">
        <v>41000</v>
      </c>
    </row>
    <row r="347" spans="1:5" ht="15" customHeight="1" x14ac:dyDescent="0.2">
      <c r="A347" s="686" t="str">
        <f t="shared" si="9"/>
        <v>디쎈
(DIS)
FSC: 일부제품</v>
      </c>
      <c r="B347" s="118" t="s">
        <v>2107</v>
      </c>
      <c r="C347" s="91">
        <v>160</v>
      </c>
      <c r="D347" s="98" t="s">
        <v>2211</v>
      </c>
      <c r="E347" s="89">
        <v>50000</v>
      </c>
    </row>
    <row r="348" spans="1:5" ht="15" customHeight="1" x14ac:dyDescent="0.2">
      <c r="A348" s="686" t="str">
        <f t="shared" si="9"/>
        <v>디쎈
(DIS)
FSC: 일부제품</v>
      </c>
      <c r="B348" s="118" t="s">
        <v>2212</v>
      </c>
      <c r="C348" s="91">
        <v>160</v>
      </c>
      <c r="D348" s="98" t="s">
        <v>2213</v>
      </c>
      <c r="E348" s="89">
        <v>2190000000</v>
      </c>
    </row>
    <row r="349" spans="1:5" ht="15" customHeight="1" x14ac:dyDescent="0.2">
      <c r="A349" s="686" t="str">
        <f t="shared" si="9"/>
        <v>디쎈
(DIS)
FSC: 일부제품</v>
      </c>
      <c r="B349" s="118" t="s">
        <v>2084</v>
      </c>
      <c r="C349" s="91">
        <v>160</v>
      </c>
      <c r="D349" s="98" t="s">
        <v>2214</v>
      </c>
      <c r="E349" s="89">
        <v>184000</v>
      </c>
    </row>
    <row r="350" spans="1:5" ht="15" customHeight="1" x14ac:dyDescent="0.2">
      <c r="A350" s="686" t="str">
        <f t="shared" si="9"/>
        <v>디쎈
(DIS)
FSC: 일부제품</v>
      </c>
      <c r="B350" s="118" t="s">
        <v>2166</v>
      </c>
      <c r="C350" s="91">
        <v>160</v>
      </c>
      <c r="D350" s="98" t="s">
        <v>2215</v>
      </c>
      <c r="E350" s="89">
        <v>50000</v>
      </c>
    </row>
    <row r="351" spans="1:5" ht="15" customHeight="1" x14ac:dyDescent="0.2">
      <c r="A351" s="686" t="str">
        <f t="shared" si="9"/>
        <v>디쎈
(DIS)
FSC: 일부제품</v>
      </c>
      <c r="B351" s="118" t="s">
        <v>2166</v>
      </c>
      <c r="C351" s="91">
        <v>230</v>
      </c>
      <c r="D351" s="98" t="s">
        <v>2216</v>
      </c>
      <c r="E351" s="89">
        <v>99000</v>
      </c>
    </row>
    <row r="352" spans="1:5" ht="15" customHeight="1" x14ac:dyDescent="0.2">
      <c r="A352" s="686" t="str">
        <f t="shared" si="9"/>
        <v>디쎈
(DIS)
FSC: 일부제품</v>
      </c>
      <c r="B352" s="118" t="s">
        <v>2105</v>
      </c>
      <c r="C352" s="91">
        <v>300</v>
      </c>
      <c r="D352" s="98" t="s">
        <v>2217</v>
      </c>
      <c r="E352" s="89">
        <v>129000</v>
      </c>
    </row>
    <row r="353" spans="1:5" ht="15" customHeight="1" x14ac:dyDescent="0.2">
      <c r="A353" s="686" t="str">
        <f t="shared" si="9"/>
        <v>디쎈
(DIS)
FSC: 일부제품</v>
      </c>
      <c r="B353" s="118" t="s">
        <v>2155</v>
      </c>
      <c r="C353" s="91">
        <v>160</v>
      </c>
      <c r="D353" s="98" t="s">
        <v>2078</v>
      </c>
      <c r="E353" s="89">
        <v>132500</v>
      </c>
    </row>
    <row r="354" spans="1:5" ht="15" customHeight="1" x14ac:dyDescent="0.2">
      <c r="A354" s="686" t="str">
        <f t="shared" si="9"/>
        <v>디쎈
(DIS)
FSC: 일부제품</v>
      </c>
      <c r="B354" s="118" t="s">
        <v>2155</v>
      </c>
      <c r="C354" s="91">
        <v>230</v>
      </c>
      <c r="D354" s="98" t="s">
        <v>2218</v>
      </c>
      <c r="E354" s="89">
        <v>248000</v>
      </c>
    </row>
    <row r="355" spans="1:5" ht="15" customHeight="1" x14ac:dyDescent="0.2">
      <c r="A355" s="686" t="str">
        <f t="shared" si="9"/>
        <v>디쎈
(DIS)
FSC: 일부제품</v>
      </c>
      <c r="B355" s="118" t="s">
        <v>2084</v>
      </c>
      <c r="C355" s="91">
        <v>230</v>
      </c>
      <c r="D355" s="98" t="s">
        <v>2219</v>
      </c>
      <c r="E355" s="89">
        <v>265000</v>
      </c>
    </row>
    <row r="356" spans="1:5" ht="15" customHeight="1" x14ac:dyDescent="0.2">
      <c r="A356" s="686" t="str">
        <f t="shared" si="9"/>
        <v>디쎈
(DIS)
FSC: 일부제품</v>
      </c>
      <c r="B356" s="118" t="s">
        <v>2084</v>
      </c>
      <c r="C356" s="91">
        <v>270</v>
      </c>
      <c r="D356" s="98" t="s">
        <v>2220</v>
      </c>
      <c r="E356" s="89">
        <v>308000</v>
      </c>
    </row>
    <row r="357" spans="1:5" ht="15" customHeight="1" x14ac:dyDescent="0.2">
      <c r="A357" s="686" t="str">
        <f t="shared" si="9"/>
        <v>디쎈
(DIS)
FSC: 일부제품</v>
      </c>
      <c r="B357" s="118" t="s">
        <v>2084</v>
      </c>
      <c r="C357" s="91">
        <v>300</v>
      </c>
      <c r="D357" s="98" t="s">
        <v>2221</v>
      </c>
      <c r="E357" s="89">
        <v>345000</v>
      </c>
    </row>
    <row r="358" spans="1:5" ht="15" customHeight="1" x14ac:dyDescent="0.2">
      <c r="A358" s="686" t="str">
        <f t="shared" si="9"/>
        <v>디쎈
(DIS)
FSC: 일부제품</v>
      </c>
      <c r="B358" s="118" t="s">
        <v>2155</v>
      </c>
      <c r="C358" s="91">
        <v>300</v>
      </c>
      <c r="D358" s="98" t="s">
        <v>2078</v>
      </c>
      <c r="E358" s="89">
        <v>235000</v>
      </c>
    </row>
    <row r="359" spans="1:5" ht="15" customHeight="1" x14ac:dyDescent="0.2">
      <c r="A359" s="686" t="str">
        <f t="shared" si="9"/>
        <v>디쎈
(DIS)
FSC: 일부제품</v>
      </c>
      <c r="B359" s="120" t="s">
        <v>2088</v>
      </c>
      <c r="C359" s="167">
        <v>148</v>
      </c>
      <c r="D359" s="168" t="s">
        <v>2222</v>
      </c>
      <c r="E359" s="89">
        <v>97000</v>
      </c>
    </row>
    <row r="360" spans="1:5" ht="15" customHeight="1" x14ac:dyDescent="0.2">
      <c r="A360" s="686" t="str">
        <f t="shared" si="9"/>
        <v>디쎈
(DIS)
FSC: 일부제품</v>
      </c>
      <c r="B360" s="118" t="s">
        <v>2149</v>
      </c>
      <c r="C360" s="163">
        <v>148</v>
      </c>
      <c r="D360" s="164" t="s">
        <v>1937</v>
      </c>
      <c r="E360" s="89">
        <v>80000</v>
      </c>
    </row>
    <row r="361" spans="1:5" ht="15" customHeight="1" x14ac:dyDescent="0.2">
      <c r="A361" s="686" t="str">
        <f t="shared" si="9"/>
        <v>디쎈
(DIS)
FSC: 일부제품</v>
      </c>
      <c r="B361" s="118" t="s">
        <v>2212</v>
      </c>
      <c r="C361" s="163">
        <v>148</v>
      </c>
      <c r="D361" s="164" t="s">
        <v>1937</v>
      </c>
      <c r="E361" s="89" t="s">
        <v>4368</v>
      </c>
    </row>
    <row r="362" spans="1:5" ht="15" customHeight="1" x14ac:dyDescent="0.2">
      <c r="A362" s="686" t="str">
        <f t="shared" si="9"/>
        <v>디쎈
(DIS)
FSC: 일부제품</v>
      </c>
      <c r="B362" s="118" t="s">
        <v>2081</v>
      </c>
      <c r="C362" s="163">
        <v>216</v>
      </c>
      <c r="D362" s="164" t="s">
        <v>2223</v>
      </c>
      <c r="E362" s="89">
        <v>195000</v>
      </c>
    </row>
    <row r="363" spans="1:5" ht="15" customHeight="1" x14ac:dyDescent="0.2">
      <c r="A363" s="686" t="str">
        <f t="shared" si="9"/>
        <v>디쎈
(DIS)
FSC: 일부제품</v>
      </c>
      <c r="B363" s="118" t="s">
        <v>2097</v>
      </c>
      <c r="C363" s="163">
        <v>216</v>
      </c>
      <c r="D363" s="164" t="s">
        <v>2224</v>
      </c>
      <c r="E363" s="89">
        <v>485000</v>
      </c>
    </row>
    <row r="364" spans="1:5" ht="15" customHeight="1" x14ac:dyDescent="0.2">
      <c r="A364" s="686" t="str">
        <f t="shared" si="9"/>
        <v>디쎈
(DIS)
FSC: 일부제품</v>
      </c>
      <c r="B364" s="118" t="s">
        <v>2225</v>
      </c>
      <c r="C364" s="163">
        <v>216</v>
      </c>
      <c r="D364" s="164" t="s">
        <v>2226</v>
      </c>
      <c r="E364" s="89">
        <v>485000</v>
      </c>
    </row>
    <row r="365" spans="1:5" ht="15" customHeight="1" x14ac:dyDescent="0.2">
      <c r="A365" s="686" t="str">
        <f t="shared" si="9"/>
        <v>디쎈
(DIS)
FSC: 일부제품</v>
      </c>
      <c r="B365" s="118" t="s">
        <v>2086</v>
      </c>
      <c r="C365" s="163">
        <v>270</v>
      </c>
      <c r="D365" s="164" t="s">
        <v>2227</v>
      </c>
      <c r="E365" s="89">
        <v>245000</v>
      </c>
    </row>
    <row r="366" spans="1:5" ht="15" customHeight="1" x14ac:dyDescent="0.2">
      <c r="A366" s="686" t="str">
        <f t="shared" ref="A366:A429" si="10">A365</f>
        <v>디쎈
(DIS)
FSC: 일부제품</v>
      </c>
      <c r="B366" s="118" t="s">
        <v>2225</v>
      </c>
      <c r="C366" s="163">
        <v>270</v>
      </c>
      <c r="D366" s="164" t="s">
        <v>2228</v>
      </c>
      <c r="E366" s="89">
        <v>600000</v>
      </c>
    </row>
    <row r="367" spans="1:5" ht="15" customHeight="1" x14ac:dyDescent="0.2">
      <c r="A367" s="686" t="str">
        <f t="shared" si="10"/>
        <v>디쎈
(DIS)
FSC: 일부제품</v>
      </c>
      <c r="B367" s="118" t="s">
        <v>2084</v>
      </c>
      <c r="C367" s="163">
        <v>270</v>
      </c>
      <c r="D367" s="164" t="s">
        <v>2229</v>
      </c>
      <c r="E367" s="89">
        <v>605000</v>
      </c>
    </row>
    <row r="368" spans="1:5" ht="15" customHeight="1" x14ac:dyDescent="0.2">
      <c r="A368" s="686" t="str">
        <f t="shared" si="10"/>
        <v>디쎈
(DIS)
FSC: 일부제품</v>
      </c>
      <c r="B368" s="118" t="s">
        <v>2230</v>
      </c>
      <c r="C368" s="163">
        <v>324</v>
      </c>
      <c r="D368" s="164" t="s">
        <v>2231</v>
      </c>
      <c r="E368" s="89">
        <v>270000</v>
      </c>
    </row>
    <row r="369" spans="1:5" ht="15" customHeight="1" x14ac:dyDescent="0.2">
      <c r="A369" s="686" t="str">
        <f t="shared" si="10"/>
        <v>디쎈
(DIS)
FSC: 일부제품</v>
      </c>
      <c r="B369" s="118" t="s">
        <v>2076</v>
      </c>
      <c r="C369" s="163">
        <v>324</v>
      </c>
      <c r="D369" s="164" t="s">
        <v>2232</v>
      </c>
      <c r="E369" s="89">
        <v>205000</v>
      </c>
    </row>
    <row r="370" spans="1:5" ht="15" customHeight="1" x14ac:dyDescent="0.2">
      <c r="A370" s="686" t="str">
        <f t="shared" si="10"/>
        <v>디쎈
(DIS)
FSC: 일부제품</v>
      </c>
      <c r="B370" s="118" t="s">
        <v>2081</v>
      </c>
      <c r="C370" s="163">
        <v>324</v>
      </c>
      <c r="D370" s="164" t="s">
        <v>2233</v>
      </c>
      <c r="E370" s="89">
        <v>295000</v>
      </c>
    </row>
    <row r="371" spans="1:5" ht="15" customHeight="1" x14ac:dyDescent="0.2">
      <c r="A371" s="686" t="str">
        <f t="shared" si="10"/>
        <v>디쎈
(DIS)
FSC: 일부제품</v>
      </c>
      <c r="B371" s="118" t="s">
        <v>2225</v>
      </c>
      <c r="C371" s="163">
        <v>324</v>
      </c>
      <c r="D371" s="164" t="s">
        <v>2234</v>
      </c>
      <c r="E371" s="89">
        <v>725000</v>
      </c>
    </row>
    <row r="372" spans="1:5" ht="15" customHeight="1" x14ac:dyDescent="0.2">
      <c r="A372" s="686" t="str">
        <f t="shared" si="10"/>
        <v>디쎈
(DIS)
FSC: 일부제품</v>
      </c>
      <c r="B372" s="137" t="s">
        <v>2225</v>
      </c>
      <c r="C372" s="96">
        <v>216</v>
      </c>
      <c r="D372" s="109" t="s">
        <v>2235</v>
      </c>
      <c r="E372" s="89">
        <v>365000</v>
      </c>
    </row>
    <row r="373" spans="1:5" ht="15" customHeight="1" x14ac:dyDescent="0.2">
      <c r="A373" s="686" t="str">
        <f t="shared" si="10"/>
        <v>디쎈
(DIS)
FSC: 일부제품</v>
      </c>
      <c r="B373" s="118" t="s">
        <v>2081</v>
      </c>
      <c r="C373" s="91">
        <v>216</v>
      </c>
      <c r="D373" s="88" t="s">
        <v>2236</v>
      </c>
      <c r="E373" s="89">
        <v>150000</v>
      </c>
    </row>
    <row r="374" spans="1:5" ht="15" customHeight="1" x14ac:dyDescent="0.2">
      <c r="A374" s="686" t="str">
        <f t="shared" si="10"/>
        <v>디쎈
(DIS)
FSC: 일부제품</v>
      </c>
      <c r="B374" s="158" t="s">
        <v>2237</v>
      </c>
      <c r="C374" s="165">
        <v>324</v>
      </c>
      <c r="D374" s="166" t="s">
        <v>1937</v>
      </c>
      <c r="E374" s="89">
        <v>180000</v>
      </c>
    </row>
    <row r="375" spans="1:5" ht="15" customHeight="1" x14ac:dyDescent="0.2">
      <c r="A375" s="686" t="str">
        <f t="shared" si="10"/>
        <v>디쎈
(DIS)
FSC: 일부제품</v>
      </c>
      <c r="B375" s="118" t="s">
        <v>2088</v>
      </c>
      <c r="C375" s="91">
        <v>148</v>
      </c>
      <c r="D375" s="98" t="s">
        <v>2238</v>
      </c>
    </row>
    <row r="376" spans="1:5" ht="15" customHeight="1" x14ac:dyDescent="0.2">
      <c r="A376" s="686" t="str">
        <f t="shared" si="10"/>
        <v>디쎈
(DIS)
FSC: 일부제품</v>
      </c>
      <c r="B376" s="118" t="s">
        <v>2081</v>
      </c>
      <c r="C376" s="91">
        <v>216</v>
      </c>
      <c r="D376" s="88" t="s">
        <v>2239</v>
      </c>
      <c r="E376" s="89">
        <v>150000</v>
      </c>
    </row>
    <row r="377" spans="1:5" ht="15" customHeight="1" x14ac:dyDescent="0.2">
      <c r="A377" s="686" t="str">
        <f t="shared" si="10"/>
        <v>디쎈
(DIS)
FSC: 일부제품</v>
      </c>
      <c r="B377" s="118" t="s">
        <v>2081</v>
      </c>
      <c r="C377" s="91">
        <v>270</v>
      </c>
      <c r="D377" s="98" t="s">
        <v>2240</v>
      </c>
    </row>
    <row r="378" spans="1:5" ht="15" customHeight="1" x14ac:dyDescent="0.2">
      <c r="A378" s="686" t="str">
        <f t="shared" si="10"/>
        <v>디쎈
(DIS)
FSC: 일부제품</v>
      </c>
      <c r="B378" s="118" t="s">
        <v>2088</v>
      </c>
      <c r="C378" s="91">
        <v>270</v>
      </c>
      <c r="D378" s="98" t="s">
        <v>2241</v>
      </c>
    </row>
    <row r="379" spans="1:5" ht="15" customHeight="1" x14ac:dyDescent="0.2">
      <c r="A379" s="686" t="str">
        <f t="shared" si="10"/>
        <v>디쎈
(DIS)
FSC: 일부제품</v>
      </c>
      <c r="B379" s="118" t="s">
        <v>2081</v>
      </c>
      <c r="C379" s="91">
        <v>324</v>
      </c>
      <c r="D379" s="98" t="s">
        <v>2242</v>
      </c>
    </row>
    <row r="380" spans="1:5" ht="15" customHeight="1" x14ac:dyDescent="0.2">
      <c r="A380" s="686" t="str">
        <f t="shared" si="10"/>
        <v>디쎈
(DIS)
FSC: 일부제품</v>
      </c>
      <c r="B380" s="118" t="s">
        <v>2088</v>
      </c>
      <c r="C380" s="91">
        <v>324</v>
      </c>
      <c r="D380" s="98" t="s">
        <v>2243</v>
      </c>
    </row>
    <row r="381" spans="1:5" ht="15" customHeight="1" x14ac:dyDescent="0.2">
      <c r="A381" s="686" t="str">
        <f t="shared" si="10"/>
        <v>디쎈
(DIS)
FSC: 일부제품</v>
      </c>
      <c r="B381" s="158" t="s">
        <v>2081</v>
      </c>
      <c r="C381" s="99">
        <v>324</v>
      </c>
      <c r="D381" s="105" t="s">
        <v>2244</v>
      </c>
    </row>
    <row r="382" spans="1:5" ht="15" customHeight="1" x14ac:dyDescent="0.2">
      <c r="A382" s="686" t="str">
        <f t="shared" si="10"/>
        <v>디쎈
(DIS)
FSC: 일부제품</v>
      </c>
      <c r="B382" s="118" t="s">
        <v>2081</v>
      </c>
      <c r="C382" s="91">
        <v>216</v>
      </c>
      <c r="D382" s="98" t="s">
        <v>2245</v>
      </c>
      <c r="E382" s="89">
        <v>155000</v>
      </c>
    </row>
    <row r="383" spans="1:5" ht="15" customHeight="1" x14ac:dyDescent="0.2">
      <c r="A383" s="686" t="str">
        <f t="shared" si="10"/>
        <v>디쎈
(DIS)
FSC: 일부제품</v>
      </c>
      <c r="B383" s="118" t="s">
        <v>2081</v>
      </c>
      <c r="C383" s="91">
        <v>216</v>
      </c>
      <c r="D383" s="98" t="s">
        <v>2246</v>
      </c>
      <c r="E383" s="89">
        <v>190000</v>
      </c>
    </row>
    <row r="384" spans="1:5" ht="15" customHeight="1" x14ac:dyDescent="0.2">
      <c r="A384" s="686" t="str">
        <f t="shared" si="10"/>
        <v>디쎈
(DIS)
FSC: 일부제품</v>
      </c>
      <c r="B384" s="118" t="s">
        <v>2081</v>
      </c>
      <c r="C384" s="91">
        <v>216</v>
      </c>
      <c r="D384" s="98" t="s">
        <v>2247</v>
      </c>
      <c r="E384" s="89">
        <v>155000</v>
      </c>
    </row>
    <row r="385" spans="1:5" ht="15" customHeight="1" x14ac:dyDescent="0.2">
      <c r="A385" s="686" t="str">
        <f t="shared" si="10"/>
        <v>디쎈
(DIS)
FSC: 일부제품</v>
      </c>
      <c r="B385" s="118" t="s">
        <v>2081</v>
      </c>
      <c r="C385" s="91">
        <v>270</v>
      </c>
      <c r="D385" s="98" t="s">
        <v>2248</v>
      </c>
      <c r="E385" s="89">
        <v>175000</v>
      </c>
    </row>
    <row r="386" spans="1:5" ht="15" customHeight="1" x14ac:dyDescent="0.2">
      <c r="A386" s="686" t="str">
        <f t="shared" si="10"/>
        <v>디쎈
(DIS)
FSC: 일부제품</v>
      </c>
      <c r="B386" s="118" t="s">
        <v>2081</v>
      </c>
      <c r="C386" s="91">
        <v>298</v>
      </c>
      <c r="D386" s="98" t="s">
        <v>2249</v>
      </c>
      <c r="E386" s="89">
        <v>225000</v>
      </c>
    </row>
    <row r="387" spans="1:5" ht="15" customHeight="1" x14ac:dyDescent="0.2">
      <c r="A387" s="686" t="str">
        <f t="shared" si="10"/>
        <v>디쎈
(DIS)
FSC: 일부제품</v>
      </c>
      <c r="B387" s="118" t="s">
        <v>2081</v>
      </c>
      <c r="C387" s="91">
        <v>298</v>
      </c>
      <c r="D387" s="98" t="s">
        <v>2250</v>
      </c>
      <c r="E387" s="89">
        <v>225000</v>
      </c>
    </row>
    <row r="388" spans="1:5" ht="15" customHeight="1" x14ac:dyDescent="0.2">
      <c r="A388" s="686" t="str">
        <f t="shared" si="10"/>
        <v>디쎈
(DIS)
FSC: 일부제품</v>
      </c>
      <c r="B388" s="118" t="s">
        <v>2081</v>
      </c>
      <c r="C388" s="99">
        <v>298</v>
      </c>
      <c r="D388" s="105" t="s">
        <v>2251</v>
      </c>
      <c r="E388" s="89">
        <v>250000</v>
      </c>
    </row>
    <row r="389" spans="1:5" ht="15" customHeight="1" x14ac:dyDescent="0.2">
      <c r="A389" s="686" t="str">
        <f t="shared" si="10"/>
        <v>디쎈
(DIS)
FSC: 일부제품</v>
      </c>
      <c r="B389" s="137" t="s">
        <v>2149</v>
      </c>
      <c r="C389" s="161">
        <v>100</v>
      </c>
      <c r="D389" s="162" t="s">
        <v>2252</v>
      </c>
      <c r="E389" s="89">
        <v>36000</v>
      </c>
    </row>
    <row r="390" spans="1:5" ht="15" customHeight="1" x14ac:dyDescent="0.2">
      <c r="A390" s="686" t="str">
        <f t="shared" si="10"/>
        <v>디쎈
(DIS)
FSC: 일부제품</v>
      </c>
      <c r="B390" s="118" t="s">
        <v>2149</v>
      </c>
      <c r="C390" s="91">
        <v>120</v>
      </c>
      <c r="D390" s="98" t="s">
        <v>2253</v>
      </c>
      <c r="E390" s="89">
        <v>43000</v>
      </c>
    </row>
    <row r="391" spans="1:5" ht="15" customHeight="1" x14ac:dyDescent="0.2">
      <c r="A391" s="686" t="str">
        <f t="shared" si="10"/>
        <v>디쎈
(DIS)
FSC: 일부제품</v>
      </c>
      <c r="B391" s="158" t="s">
        <v>2149</v>
      </c>
      <c r="C391" s="99">
        <v>170</v>
      </c>
      <c r="D391" s="105" t="s">
        <v>2254</v>
      </c>
      <c r="E391" s="89">
        <v>61000</v>
      </c>
    </row>
    <row r="392" spans="1:5" ht="15" customHeight="1" x14ac:dyDescent="0.2">
      <c r="A392" s="686" t="str">
        <f t="shared" si="10"/>
        <v>디쎈
(DIS)
FSC: 일부제품</v>
      </c>
      <c r="B392" s="118" t="s">
        <v>2166</v>
      </c>
      <c r="C392" s="91">
        <v>250</v>
      </c>
      <c r="D392" s="162" t="s">
        <v>2255</v>
      </c>
      <c r="E392" s="89">
        <v>89000</v>
      </c>
    </row>
    <row r="393" spans="1:5" ht="15" customHeight="1" x14ac:dyDescent="0.2">
      <c r="A393" s="686" t="str">
        <f t="shared" si="10"/>
        <v>디쎈
(DIS)
FSC: 일부제품</v>
      </c>
      <c r="B393" s="90" t="s">
        <v>2166</v>
      </c>
      <c r="C393" s="91">
        <v>300</v>
      </c>
      <c r="D393" s="98" t="s">
        <v>2256</v>
      </c>
      <c r="E393" s="89">
        <v>107000</v>
      </c>
    </row>
    <row r="394" spans="1:5" ht="15" customHeight="1" x14ac:dyDescent="0.2">
      <c r="A394" s="686" t="str">
        <f t="shared" si="10"/>
        <v>디쎈
(DIS)
FSC: 일부제품</v>
      </c>
      <c r="B394" s="90" t="s">
        <v>2166</v>
      </c>
      <c r="C394" s="91">
        <v>350</v>
      </c>
      <c r="D394" s="88" t="s">
        <v>2257</v>
      </c>
      <c r="E394" s="89">
        <v>125000</v>
      </c>
    </row>
    <row r="395" spans="1:5" ht="15" customHeight="1" x14ac:dyDescent="0.2">
      <c r="A395" s="686" t="str">
        <f t="shared" si="10"/>
        <v>디쎈
(DIS)
FSC: 일부제품</v>
      </c>
      <c r="B395" s="137" t="s">
        <v>2149</v>
      </c>
      <c r="C395" s="96">
        <v>120</v>
      </c>
      <c r="D395" s="162" t="s">
        <v>2258</v>
      </c>
      <c r="E395" s="89">
        <v>43000</v>
      </c>
    </row>
    <row r="396" spans="1:5" ht="15" customHeight="1" x14ac:dyDescent="0.2">
      <c r="A396" s="686" t="str">
        <f t="shared" si="10"/>
        <v>디쎈
(DIS)
FSC: 일부제품</v>
      </c>
      <c r="B396" s="90" t="s">
        <v>2149</v>
      </c>
      <c r="C396" s="91">
        <v>300</v>
      </c>
      <c r="D396" s="93" t="s">
        <v>2259</v>
      </c>
      <c r="E396" s="89">
        <v>107000</v>
      </c>
    </row>
    <row r="397" spans="1:5" ht="15" customHeight="1" x14ac:dyDescent="0.2">
      <c r="A397" s="686" t="str">
        <f t="shared" si="10"/>
        <v>디쎈
(DIS)
FSC: 일부제품</v>
      </c>
      <c r="B397" s="137" t="s">
        <v>2149</v>
      </c>
      <c r="C397" s="96">
        <v>120</v>
      </c>
      <c r="D397" s="162" t="s">
        <v>2260</v>
      </c>
      <c r="E397" s="89">
        <v>43000</v>
      </c>
    </row>
    <row r="398" spans="1:5" ht="15" customHeight="1" x14ac:dyDescent="0.2">
      <c r="A398" s="686" t="str">
        <f t="shared" si="10"/>
        <v>디쎈
(DIS)
FSC: 일부제품</v>
      </c>
      <c r="B398" s="137" t="s">
        <v>2166</v>
      </c>
      <c r="C398" s="96">
        <v>300</v>
      </c>
      <c r="D398" s="162" t="s">
        <v>2261</v>
      </c>
      <c r="E398" s="89">
        <v>107000</v>
      </c>
    </row>
    <row r="399" spans="1:5" ht="15" customHeight="1" x14ac:dyDescent="0.2">
      <c r="A399" s="686" t="str">
        <f t="shared" si="10"/>
        <v>디쎈
(DIS)
FSC: 일부제품</v>
      </c>
      <c r="B399" s="158" t="s">
        <v>2166</v>
      </c>
      <c r="C399" s="99">
        <v>300</v>
      </c>
      <c r="D399" s="166" t="s">
        <v>2262</v>
      </c>
      <c r="E399" s="89">
        <v>107000</v>
      </c>
    </row>
    <row r="400" spans="1:5" ht="15" customHeight="1" x14ac:dyDescent="0.2">
      <c r="A400" s="686" t="str">
        <f t="shared" si="10"/>
        <v>디쎈
(DIS)
FSC: 일부제품</v>
      </c>
      <c r="B400" s="158" t="s">
        <v>2166</v>
      </c>
      <c r="C400" s="99">
        <v>280</v>
      </c>
      <c r="D400" s="105" t="s">
        <v>2263</v>
      </c>
      <c r="E400" s="89">
        <v>204000</v>
      </c>
    </row>
    <row r="401" spans="1:5" ht="15" customHeight="1" x14ac:dyDescent="0.2">
      <c r="A401" s="686" t="str">
        <f t="shared" si="10"/>
        <v>디쎈
(DIS)
FSC: 일부제품</v>
      </c>
      <c r="B401" s="159" t="s">
        <v>2149</v>
      </c>
      <c r="C401" s="169">
        <v>140</v>
      </c>
      <c r="D401" s="170" t="s">
        <v>2264</v>
      </c>
      <c r="E401" s="89">
        <v>129000</v>
      </c>
    </row>
    <row r="402" spans="1:5" ht="15" customHeight="1" x14ac:dyDescent="0.2">
      <c r="A402" s="686" t="str">
        <f t="shared" si="10"/>
        <v>디쎈
(DIS)
FSC: 일부제품</v>
      </c>
      <c r="B402" s="159" t="s">
        <v>2166</v>
      </c>
      <c r="C402" s="169">
        <v>300</v>
      </c>
      <c r="D402" s="170" t="s">
        <v>2265</v>
      </c>
      <c r="E402" s="89">
        <v>347000</v>
      </c>
    </row>
    <row r="403" spans="1:5" ht="15" customHeight="1" x14ac:dyDescent="0.2">
      <c r="A403" s="686" t="str">
        <f t="shared" si="10"/>
        <v>디쎈
(DIS)
FSC: 일부제품</v>
      </c>
      <c r="B403" s="159" t="s">
        <v>2084</v>
      </c>
      <c r="C403" s="169">
        <v>300</v>
      </c>
      <c r="D403" s="170" t="s">
        <v>2266</v>
      </c>
      <c r="E403" s="89">
        <v>315000</v>
      </c>
    </row>
    <row r="404" spans="1:5" ht="15" customHeight="1" x14ac:dyDescent="0.2">
      <c r="A404" s="686" t="str">
        <f t="shared" si="10"/>
        <v>디쎈
(DIS)
FSC: 일부제품</v>
      </c>
      <c r="B404" s="137" t="s">
        <v>2149</v>
      </c>
      <c r="C404" s="96">
        <v>150</v>
      </c>
      <c r="D404" s="109" t="s">
        <v>2267</v>
      </c>
      <c r="E404" s="89">
        <v>80000</v>
      </c>
    </row>
    <row r="405" spans="1:5" ht="15" customHeight="1" x14ac:dyDescent="0.2">
      <c r="A405" s="686" t="e">
        <f>#REF!</f>
        <v>#REF!</v>
      </c>
      <c r="B405" s="118" t="s">
        <v>2166</v>
      </c>
      <c r="C405" s="91">
        <v>300</v>
      </c>
      <c r="D405" s="98" t="s">
        <v>2268</v>
      </c>
      <c r="E405" s="89">
        <v>175000</v>
      </c>
    </row>
    <row r="406" spans="1:5" ht="15" customHeight="1" x14ac:dyDescent="0.2">
      <c r="A406" s="686" t="e">
        <f t="shared" si="10"/>
        <v>#REF!</v>
      </c>
      <c r="B406" s="118" t="s">
        <v>2166</v>
      </c>
      <c r="C406" s="91">
        <v>300</v>
      </c>
      <c r="D406" s="98" t="s">
        <v>2269</v>
      </c>
      <c r="E406" s="89">
        <v>175000</v>
      </c>
    </row>
    <row r="407" spans="1:5" ht="15" customHeight="1" x14ac:dyDescent="0.2">
      <c r="A407" s="686" t="e">
        <f t="shared" si="10"/>
        <v>#REF!</v>
      </c>
      <c r="B407" s="118" t="s">
        <v>2166</v>
      </c>
      <c r="C407" s="113">
        <v>285</v>
      </c>
      <c r="D407" s="114" t="s">
        <v>2270</v>
      </c>
      <c r="E407" s="89">
        <v>155000</v>
      </c>
    </row>
    <row r="408" spans="1:5" ht="15" customHeight="1" x14ac:dyDescent="0.2">
      <c r="A408" s="686" t="e">
        <f t="shared" si="10"/>
        <v>#REF!</v>
      </c>
      <c r="B408" s="159" t="s">
        <v>2149</v>
      </c>
      <c r="C408" s="113">
        <v>192</v>
      </c>
      <c r="D408" s="114" t="s">
        <v>2271</v>
      </c>
      <c r="E408" s="89">
        <v>245000</v>
      </c>
    </row>
    <row r="409" spans="1:5" ht="15" customHeight="1" x14ac:dyDescent="0.2">
      <c r="A409" s="686" t="e">
        <f t="shared" si="10"/>
        <v>#REF!</v>
      </c>
      <c r="B409" s="137" t="s">
        <v>2088</v>
      </c>
      <c r="C409" s="96">
        <v>118</v>
      </c>
      <c r="D409" s="109" t="s">
        <v>2272</v>
      </c>
      <c r="E409" s="89">
        <v>46000</v>
      </c>
    </row>
    <row r="410" spans="1:5" ht="15" customHeight="1" x14ac:dyDescent="0.2">
      <c r="A410" s="686" t="e">
        <f t="shared" si="10"/>
        <v>#REF!</v>
      </c>
      <c r="B410" s="137" t="s">
        <v>2088</v>
      </c>
      <c r="C410" s="91">
        <v>148</v>
      </c>
      <c r="D410" s="98" t="s">
        <v>2273</v>
      </c>
      <c r="E410" s="89">
        <v>57500</v>
      </c>
    </row>
    <row r="411" spans="1:5" ht="15" customHeight="1" x14ac:dyDescent="0.2">
      <c r="A411" s="686" t="e">
        <f t="shared" si="10"/>
        <v>#REF!</v>
      </c>
      <c r="B411" s="118" t="s">
        <v>2081</v>
      </c>
      <c r="C411" s="91">
        <v>216</v>
      </c>
      <c r="D411" s="98" t="s">
        <v>2274</v>
      </c>
      <c r="E411" s="89">
        <v>86000</v>
      </c>
    </row>
    <row r="412" spans="1:5" ht="15" customHeight="1" x14ac:dyDescent="0.2">
      <c r="A412" s="686" t="e">
        <f t="shared" si="10"/>
        <v>#REF!</v>
      </c>
      <c r="B412" s="118" t="s">
        <v>2081</v>
      </c>
      <c r="C412" s="91">
        <v>270</v>
      </c>
      <c r="D412" s="98" t="s">
        <v>2275</v>
      </c>
      <c r="E412" s="89">
        <v>107500</v>
      </c>
    </row>
    <row r="413" spans="1:5" ht="15" customHeight="1" x14ac:dyDescent="0.2">
      <c r="A413" s="686" t="e">
        <f t="shared" si="10"/>
        <v>#REF!</v>
      </c>
      <c r="B413" s="118" t="s">
        <v>2081</v>
      </c>
      <c r="C413" s="99">
        <v>324</v>
      </c>
      <c r="D413" s="105" t="s">
        <v>2276</v>
      </c>
      <c r="E413" s="89">
        <v>130000</v>
      </c>
    </row>
    <row r="414" spans="1:5" ht="15" customHeight="1" x14ac:dyDescent="0.2">
      <c r="A414" s="686" t="e">
        <f t="shared" si="10"/>
        <v>#REF!</v>
      </c>
      <c r="B414" s="159" t="s">
        <v>2081</v>
      </c>
      <c r="C414" s="113">
        <v>270</v>
      </c>
      <c r="D414" s="114" t="s">
        <v>2277</v>
      </c>
      <c r="E414" s="89">
        <v>112000</v>
      </c>
    </row>
    <row r="415" spans="1:5" ht="15" customHeight="1" x14ac:dyDescent="0.2">
      <c r="A415" s="686" t="e">
        <f t="shared" si="10"/>
        <v>#REF!</v>
      </c>
      <c r="B415" s="118" t="s">
        <v>2278</v>
      </c>
      <c r="C415" s="163">
        <v>140</v>
      </c>
      <c r="D415" s="164" t="s">
        <v>2279</v>
      </c>
      <c r="E415" s="89">
        <v>46000</v>
      </c>
    </row>
    <row r="416" spans="1:5" ht="15" customHeight="1" x14ac:dyDescent="0.2">
      <c r="A416" s="686" t="e">
        <f t="shared" si="10"/>
        <v>#REF!</v>
      </c>
      <c r="B416" s="118" t="s">
        <v>2193</v>
      </c>
      <c r="C416" s="163">
        <v>200</v>
      </c>
      <c r="D416" s="164" t="s">
        <v>2280</v>
      </c>
      <c r="E416" s="89">
        <v>65000</v>
      </c>
    </row>
    <row r="417" spans="1:5" ht="15" customHeight="1" x14ac:dyDescent="0.2">
      <c r="A417" s="686" t="e">
        <f t="shared" si="10"/>
        <v>#REF!</v>
      </c>
      <c r="B417" s="118" t="s">
        <v>2193</v>
      </c>
      <c r="C417" s="163">
        <v>250</v>
      </c>
      <c r="D417" s="164" t="s">
        <v>2281</v>
      </c>
      <c r="E417" s="89">
        <v>81000</v>
      </c>
    </row>
    <row r="418" spans="1:5" ht="15" customHeight="1" x14ac:dyDescent="0.2">
      <c r="A418" s="686" t="e">
        <f t="shared" si="10"/>
        <v>#REF!</v>
      </c>
      <c r="B418" s="118" t="s">
        <v>2193</v>
      </c>
      <c r="C418" s="163">
        <v>320</v>
      </c>
      <c r="D418" s="164" t="s">
        <v>2282</v>
      </c>
      <c r="E418" s="89">
        <v>105000</v>
      </c>
    </row>
    <row r="419" spans="1:5" ht="15" customHeight="1" x14ac:dyDescent="0.2">
      <c r="A419" s="686" t="e">
        <f t="shared" si="10"/>
        <v>#REF!</v>
      </c>
      <c r="B419" s="137" t="s">
        <v>2283</v>
      </c>
      <c r="C419" s="96">
        <v>115</v>
      </c>
      <c r="D419" s="109" t="s">
        <v>2284</v>
      </c>
      <c r="E419" s="89">
        <v>135000</v>
      </c>
    </row>
    <row r="420" spans="1:5" ht="15" customHeight="1" x14ac:dyDescent="0.2">
      <c r="A420" s="686" t="e">
        <f t="shared" si="10"/>
        <v>#REF!</v>
      </c>
      <c r="B420" s="118" t="s">
        <v>2283</v>
      </c>
      <c r="C420" s="91">
        <v>158</v>
      </c>
      <c r="D420" s="98" t="s">
        <v>2285</v>
      </c>
      <c r="E420" s="89">
        <v>185000</v>
      </c>
    </row>
    <row r="421" spans="1:5" ht="15" customHeight="1" x14ac:dyDescent="0.2">
      <c r="A421" s="686" t="e">
        <f t="shared" si="10"/>
        <v>#REF!</v>
      </c>
      <c r="B421" s="118" t="s">
        <v>2283</v>
      </c>
      <c r="C421" s="91">
        <v>200</v>
      </c>
      <c r="D421" s="98" t="s">
        <v>2286</v>
      </c>
      <c r="E421" s="89">
        <v>225000</v>
      </c>
    </row>
    <row r="422" spans="1:5" ht="15" customHeight="1" x14ac:dyDescent="0.2">
      <c r="A422" s="686" t="e">
        <f t="shared" si="10"/>
        <v>#REF!</v>
      </c>
      <c r="B422" s="137" t="s">
        <v>2287</v>
      </c>
      <c r="C422" s="96">
        <v>115</v>
      </c>
      <c r="D422" s="109" t="s">
        <v>2288</v>
      </c>
      <c r="E422" s="89">
        <v>142000</v>
      </c>
    </row>
    <row r="423" spans="1:5" ht="15" customHeight="1" x14ac:dyDescent="0.2">
      <c r="A423" s="686" t="e">
        <f t="shared" si="10"/>
        <v>#REF!</v>
      </c>
      <c r="B423" s="118" t="s">
        <v>2283</v>
      </c>
      <c r="C423" s="91">
        <v>158</v>
      </c>
      <c r="D423" s="98" t="s">
        <v>2289</v>
      </c>
      <c r="E423" s="89">
        <v>189000</v>
      </c>
    </row>
    <row r="424" spans="1:5" ht="15" customHeight="1" x14ac:dyDescent="0.2">
      <c r="A424" s="686" t="e">
        <f t="shared" si="10"/>
        <v>#REF!</v>
      </c>
      <c r="B424" s="118" t="s">
        <v>2084</v>
      </c>
      <c r="C424" s="91">
        <v>158</v>
      </c>
      <c r="D424" s="98" t="s">
        <v>2290</v>
      </c>
      <c r="E424" s="89">
        <v>500000</v>
      </c>
    </row>
    <row r="425" spans="1:5" ht="15" customHeight="1" x14ac:dyDescent="0.2">
      <c r="A425" s="686" t="e">
        <f t="shared" si="10"/>
        <v>#REF!</v>
      </c>
      <c r="B425" s="118" t="s">
        <v>2084</v>
      </c>
      <c r="C425" s="91">
        <v>200</v>
      </c>
      <c r="D425" s="98" t="s">
        <v>2291</v>
      </c>
      <c r="E425" s="89">
        <v>620000</v>
      </c>
    </row>
    <row r="426" spans="1:5" ht="15" customHeight="1" x14ac:dyDescent="0.2">
      <c r="A426" s="686" t="e">
        <f t="shared" si="10"/>
        <v>#REF!</v>
      </c>
      <c r="B426" s="158" t="s">
        <v>2283</v>
      </c>
      <c r="C426" s="99">
        <v>200</v>
      </c>
      <c r="D426" s="105" t="s">
        <v>2292</v>
      </c>
      <c r="E426" s="89">
        <v>242000</v>
      </c>
    </row>
    <row r="427" spans="1:5" ht="15" customHeight="1" x14ac:dyDescent="0.2">
      <c r="A427" s="686" t="e">
        <f t="shared" si="10"/>
        <v>#REF!</v>
      </c>
      <c r="B427" s="137" t="s">
        <v>2112</v>
      </c>
      <c r="C427" s="96">
        <v>158</v>
      </c>
      <c r="D427" s="109" t="s">
        <v>2293</v>
      </c>
      <c r="E427" s="89">
        <v>215000</v>
      </c>
    </row>
    <row r="428" spans="1:5" ht="15" customHeight="1" x14ac:dyDescent="0.2">
      <c r="A428" s="686" t="e">
        <f t="shared" si="10"/>
        <v>#REF!</v>
      </c>
      <c r="B428" s="158" t="s">
        <v>2112</v>
      </c>
      <c r="C428" s="99">
        <v>200</v>
      </c>
      <c r="D428" s="105" t="s">
        <v>2294</v>
      </c>
      <c r="E428" s="89">
        <v>250000</v>
      </c>
    </row>
    <row r="429" spans="1:5" ht="15" customHeight="1" x14ac:dyDescent="0.2">
      <c r="A429" s="686" t="e">
        <f t="shared" si="10"/>
        <v>#REF!</v>
      </c>
      <c r="B429" s="159" t="s">
        <v>2203</v>
      </c>
      <c r="C429" s="113">
        <v>170</v>
      </c>
      <c r="D429" s="114" t="s">
        <v>2295</v>
      </c>
      <c r="E429" s="89">
        <v>1065000</v>
      </c>
    </row>
    <row r="430" spans="1:5" ht="15" customHeight="1" x14ac:dyDescent="0.2">
      <c r="A430" s="686" t="e">
        <f t="shared" ref="A430:A476" si="11">A429</f>
        <v>#REF!</v>
      </c>
      <c r="B430" s="118" t="s">
        <v>2107</v>
      </c>
      <c r="C430" s="91">
        <v>100</v>
      </c>
      <c r="D430" s="98" t="s">
        <v>2296</v>
      </c>
      <c r="E430" s="89">
        <v>50000</v>
      </c>
    </row>
    <row r="431" spans="1:5" ht="15" customHeight="1" x14ac:dyDescent="0.2">
      <c r="A431" s="686" t="e">
        <f t="shared" si="11"/>
        <v>#REF!</v>
      </c>
      <c r="B431" s="118" t="s">
        <v>2149</v>
      </c>
      <c r="C431" s="91">
        <v>80</v>
      </c>
      <c r="D431" s="156" t="s">
        <v>2297</v>
      </c>
      <c r="E431" s="89">
        <v>235000</v>
      </c>
    </row>
    <row r="432" spans="1:5" ht="15" customHeight="1" x14ac:dyDescent="0.2">
      <c r="A432" s="686" t="e">
        <f t="shared" si="11"/>
        <v>#REF!</v>
      </c>
      <c r="B432" s="158" t="s">
        <v>2105</v>
      </c>
      <c r="C432" s="99">
        <v>240</v>
      </c>
      <c r="D432" s="105" t="s">
        <v>2298</v>
      </c>
      <c r="E432" s="89">
        <v>140000</v>
      </c>
    </row>
    <row r="433" spans="1:5" ht="15" customHeight="1" x14ac:dyDescent="0.2">
      <c r="A433" s="686" t="e">
        <f t="shared" si="11"/>
        <v>#REF!</v>
      </c>
      <c r="B433" s="137" t="s">
        <v>2114</v>
      </c>
      <c r="C433" s="96">
        <v>100</v>
      </c>
      <c r="D433" s="109" t="s">
        <v>2299</v>
      </c>
      <c r="E433" s="89">
        <v>27000</v>
      </c>
    </row>
    <row r="434" spans="1:5" ht="15" customHeight="1" x14ac:dyDescent="0.2">
      <c r="A434" s="686" t="e">
        <f t="shared" si="11"/>
        <v>#REF!</v>
      </c>
      <c r="B434" s="118" t="s">
        <v>2114</v>
      </c>
      <c r="C434" s="91">
        <v>120</v>
      </c>
      <c r="D434" s="98" t="s">
        <v>2300</v>
      </c>
      <c r="E434" s="89">
        <v>32000</v>
      </c>
    </row>
    <row r="435" spans="1:5" ht="15" customHeight="1" x14ac:dyDescent="0.2">
      <c r="A435" s="686" t="e">
        <f t="shared" si="11"/>
        <v>#REF!</v>
      </c>
      <c r="B435" s="118" t="s">
        <v>2114</v>
      </c>
      <c r="C435" s="91">
        <v>160</v>
      </c>
      <c r="D435" s="98" t="s">
        <v>2301</v>
      </c>
      <c r="E435" s="89">
        <v>42000</v>
      </c>
    </row>
    <row r="436" spans="1:5" ht="15" customHeight="1" x14ac:dyDescent="0.2">
      <c r="A436" s="686" t="e">
        <f t="shared" si="11"/>
        <v>#REF!</v>
      </c>
      <c r="B436" s="118" t="s">
        <v>2118</v>
      </c>
      <c r="C436" s="91">
        <v>200</v>
      </c>
      <c r="D436" s="98" t="s">
        <v>2302</v>
      </c>
      <c r="E436" s="89">
        <v>56000</v>
      </c>
    </row>
    <row r="437" spans="1:5" ht="15" customHeight="1" x14ac:dyDescent="0.2">
      <c r="A437" s="686" t="e">
        <f t="shared" si="11"/>
        <v>#REF!</v>
      </c>
      <c r="B437" s="158" t="s">
        <v>2118</v>
      </c>
      <c r="C437" s="99">
        <v>300</v>
      </c>
      <c r="D437" s="105" t="s">
        <v>2303</v>
      </c>
      <c r="E437" s="89">
        <v>84000</v>
      </c>
    </row>
    <row r="438" spans="1:5" ht="15" customHeight="1" x14ac:dyDescent="0.2">
      <c r="A438" s="686" t="e">
        <f t="shared" si="11"/>
        <v>#REF!</v>
      </c>
      <c r="B438" s="137" t="s">
        <v>2304</v>
      </c>
      <c r="C438" s="91">
        <v>100</v>
      </c>
      <c r="D438" s="98" t="s">
        <v>2305</v>
      </c>
      <c r="E438" s="89">
        <v>22500</v>
      </c>
    </row>
    <row r="439" spans="1:5" ht="15" customHeight="1" x14ac:dyDescent="0.2">
      <c r="A439" s="686" t="e">
        <f t="shared" si="11"/>
        <v>#REF!</v>
      </c>
      <c r="B439" s="118" t="s">
        <v>2304</v>
      </c>
      <c r="C439" s="91">
        <v>120</v>
      </c>
      <c r="D439" s="98" t="s">
        <v>2306</v>
      </c>
      <c r="E439" s="89">
        <v>29000</v>
      </c>
    </row>
    <row r="440" spans="1:5" ht="15" customHeight="1" x14ac:dyDescent="0.2">
      <c r="A440" s="686" t="e">
        <f t="shared" si="11"/>
        <v>#REF!</v>
      </c>
      <c r="B440" s="118" t="s">
        <v>2121</v>
      </c>
      <c r="C440" s="91">
        <v>160</v>
      </c>
      <c r="D440" s="98" t="s">
        <v>2307</v>
      </c>
      <c r="E440" s="89">
        <v>40000</v>
      </c>
    </row>
    <row r="441" spans="1:5" ht="15" customHeight="1" x14ac:dyDescent="0.2">
      <c r="A441" s="686" t="e">
        <f t="shared" si="11"/>
        <v>#REF!</v>
      </c>
      <c r="B441" s="118" t="s">
        <v>2121</v>
      </c>
      <c r="C441" s="91">
        <v>200</v>
      </c>
      <c r="D441" s="98" t="s">
        <v>2308</v>
      </c>
      <c r="E441" s="89">
        <v>50000</v>
      </c>
    </row>
    <row r="442" spans="1:5" ht="15" customHeight="1" x14ac:dyDescent="0.2">
      <c r="A442" s="686" t="e">
        <f t="shared" si="11"/>
        <v>#REF!</v>
      </c>
      <c r="B442" s="158" t="s">
        <v>2121</v>
      </c>
      <c r="C442" s="99">
        <v>250</v>
      </c>
      <c r="D442" s="105" t="s">
        <v>2309</v>
      </c>
      <c r="E442" s="89">
        <v>63000</v>
      </c>
    </row>
    <row r="443" spans="1:5" ht="15" customHeight="1" x14ac:dyDescent="0.2">
      <c r="A443" s="686" t="e">
        <f t="shared" si="11"/>
        <v>#REF!</v>
      </c>
      <c r="B443" s="159" t="s">
        <v>2118</v>
      </c>
      <c r="C443" s="113">
        <v>250</v>
      </c>
      <c r="D443" s="114" t="s">
        <v>2310</v>
      </c>
      <c r="E443" s="89">
        <v>175000</v>
      </c>
    </row>
    <row r="444" spans="1:5" ht="15" customHeight="1" x14ac:dyDescent="0.2">
      <c r="A444" s="686" t="e">
        <f t="shared" si="11"/>
        <v>#REF!</v>
      </c>
      <c r="B444" s="159" t="s">
        <v>2118</v>
      </c>
      <c r="C444" s="113">
        <v>270</v>
      </c>
      <c r="D444" s="114" t="s">
        <v>2311</v>
      </c>
      <c r="E444" s="89">
        <v>315000</v>
      </c>
    </row>
    <row r="445" spans="1:5" ht="15" customHeight="1" x14ac:dyDescent="0.2">
      <c r="A445" s="686" t="e">
        <f t="shared" si="11"/>
        <v>#REF!</v>
      </c>
      <c r="B445" s="118" t="s">
        <v>2118</v>
      </c>
      <c r="C445" s="91">
        <v>300</v>
      </c>
      <c r="D445" s="98" t="s">
        <v>2312</v>
      </c>
      <c r="E445" s="89">
        <v>400000</v>
      </c>
    </row>
    <row r="446" spans="1:5" ht="15" customHeight="1" x14ac:dyDescent="0.2">
      <c r="A446" s="686" t="e">
        <f t="shared" si="11"/>
        <v>#REF!</v>
      </c>
      <c r="B446" s="118" t="s">
        <v>2118</v>
      </c>
      <c r="C446" s="91">
        <v>300</v>
      </c>
      <c r="D446" s="98" t="s">
        <v>2313</v>
      </c>
      <c r="E446" s="89">
        <v>380000</v>
      </c>
    </row>
    <row r="447" spans="1:5" ht="15" customHeight="1" x14ac:dyDescent="0.2">
      <c r="A447" s="686" t="e">
        <f t="shared" si="11"/>
        <v>#REF!</v>
      </c>
      <c r="B447" s="118" t="s">
        <v>2118</v>
      </c>
      <c r="C447" s="91">
        <v>300</v>
      </c>
      <c r="D447" s="98" t="s">
        <v>2314</v>
      </c>
      <c r="E447" s="89">
        <v>300000</v>
      </c>
    </row>
    <row r="448" spans="1:5" ht="15" customHeight="1" x14ac:dyDescent="0.2">
      <c r="A448" s="686" t="e">
        <f t="shared" si="11"/>
        <v>#REF!</v>
      </c>
      <c r="B448" s="158" t="s">
        <v>2118</v>
      </c>
      <c r="C448" s="99">
        <v>300</v>
      </c>
      <c r="D448" s="105" t="s">
        <v>2315</v>
      </c>
      <c r="E448" s="89">
        <v>380000</v>
      </c>
    </row>
    <row r="449" spans="1:5" ht="15" customHeight="1" x14ac:dyDescent="0.2">
      <c r="A449" s="686" t="e">
        <f t="shared" si="11"/>
        <v>#REF!</v>
      </c>
      <c r="B449" s="118" t="s">
        <v>2086</v>
      </c>
      <c r="C449" s="91">
        <v>219</v>
      </c>
      <c r="D449" s="98" t="s">
        <v>2316</v>
      </c>
      <c r="E449" s="89">
        <v>137000</v>
      </c>
    </row>
    <row r="450" spans="1:5" ht="15" customHeight="1" x14ac:dyDescent="0.2">
      <c r="A450" s="686" t="e">
        <f t="shared" si="11"/>
        <v>#REF!</v>
      </c>
      <c r="B450" s="118" t="s">
        <v>2086</v>
      </c>
      <c r="C450" s="99">
        <v>237</v>
      </c>
      <c r="D450" s="105" t="s">
        <v>2317</v>
      </c>
      <c r="E450" s="89">
        <v>183000</v>
      </c>
    </row>
    <row r="451" spans="1:5" ht="15" customHeight="1" x14ac:dyDescent="0.2">
      <c r="A451" s="686" t="e">
        <f t="shared" si="11"/>
        <v>#REF!</v>
      </c>
      <c r="B451" s="137" t="s">
        <v>2318</v>
      </c>
      <c r="C451" s="91">
        <v>190</v>
      </c>
      <c r="D451" s="109" t="s">
        <v>2319</v>
      </c>
      <c r="E451" s="89">
        <v>145000</v>
      </c>
    </row>
    <row r="452" spans="1:5" ht="15" customHeight="1" x14ac:dyDescent="0.2">
      <c r="A452" s="686" t="e">
        <f t="shared" si="11"/>
        <v>#REF!</v>
      </c>
      <c r="B452" s="118" t="s">
        <v>2320</v>
      </c>
      <c r="C452" s="91">
        <v>190</v>
      </c>
      <c r="D452" s="156" t="s">
        <v>2321</v>
      </c>
      <c r="E452" s="89">
        <v>170000</v>
      </c>
    </row>
    <row r="453" spans="1:5" ht="15" customHeight="1" x14ac:dyDescent="0.2">
      <c r="A453" s="686" t="e">
        <f t="shared" si="11"/>
        <v>#REF!</v>
      </c>
      <c r="B453" s="118" t="s">
        <v>2322</v>
      </c>
      <c r="C453" s="91">
        <v>190</v>
      </c>
      <c r="D453" s="156" t="s">
        <v>2323</v>
      </c>
      <c r="E453" s="89">
        <v>330000</v>
      </c>
    </row>
    <row r="454" spans="1:5" ht="15" customHeight="1" x14ac:dyDescent="0.2">
      <c r="A454" s="686" t="e">
        <f t="shared" si="11"/>
        <v>#REF!</v>
      </c>
      <c r="B454" s="118" t="s">
        <v>2324</v>
      </c>
      <c r="C454" s="91">
        <v>190</v>
      </c>
      <c r="D454" s="156" t="s">
        <v>2325</v>
      </c>
      <c r="E454" s="89">
        <v>420000</v>
      </c>
    </row>
    <row r="455" spans="1:5" ht="15" customHeight="1" x14ac:dyDescent="0.2">
      <c r="A455" s="686" t="e">
        <f t="shared" si="11"/>
        <v>#REF!</v>
      </c>
      <c r="B455" s="118" t="s">
        <v>2326</v>
      </c>
      <c r="C455" s="91">
        <v>190</v>
      </c>
      <c r="D455" s="156" t="s">
        <v>2327</v>
      </c>
      <c r="E455" s="89">
        <v>320000</v>
      </c>
    </row>
    <row r="456" spans="1:5" ht="15" customHeight="1" x14ac:dyDescent="0.2">
      <c r="A456" s="686" t="e">
        <f t="shared" si="11"/>
        <v>#REF!</v>
      </c>
      <c r="B456" s="118" t="s">
        <v>2328</v>
      </c>
      <c r="C456" s="91">
        <v>190</v>
      </c>
      <c r="D456" s="156" t="s">
        <v>2323</v>
      </c>
      <c r="E456" s="89">
        <v>400000</v>
      </c>
    </row>
    <row r="457" spans="1:5" ht="15" customHeight="1" x14ac:dyDescent="0.2">
      <c r="A457" s="686" t="e">
        <f t="shared" si="11"/>
        <v>#REF!</v>
      </c>
      <c r="B457" s="118" t="s">
        <v>2329</v>
      </c>
      <c r="C457" s="91">
        <v>190</v>
      </c>
      <c r="D457" s="156" t="s">
        <v>2330</v>
      </c>
      <c r="E457" s="89" t="s">
        <v>2008</v>
      </c>
    </row>
    <row r="458" spans="1:5" ht="15" customHeight="1" x14ac:dyDescent="0.2">
      <c r="A458" s="686" t="e">
        <f t="shared" si="11"/>
        <v>#REF!</v>
      </c>
      <c r="B458" s="118" t="s">
        <v>2318</v>
      </c>
      <c r="C458" s="91">
        <v>260</v>
      </c>
      <c r="D458" s="98" t="s">
        <v>2331</v>
      </c>
      <c r="E458" s="89">
        <v>210000</v>
      </c>
    </row>
    <row r="459" spans="1:5" ht="15" customHeight="1" x14ac:dyDescent="0.2">
      <c r="A459" s="686" t="e">
        <f t="shared" si="11"/>
        <v>#REF!</v>
      </c>
      <c r="B459" s="94" t="s">
        <v>2332</v>
      </c>
      <c r="C459" s="99">
        <v>260</v>
      </c>
      <c r="D459" s="105" t="s">
        <v>2333</v>
      </c>
      <c r="E459" s="89">
        <v>205000</v>
      </c>
    </row>
    <row r="460" spans="1:5" ht="15" customHeight="1" x14ac:dyDescent="0.2">
      <c r="A460" s="686" t="e">
        <f t="shared" si="11"/>
        <v>#REF!</v>
      </c>
      <c r="B460" s="118" t="s">
        <v>2105</v>
      </c>
      <c r="C460" s="91">
        <v>55</v>
      </c>
      <c r="D460" s="98" t="s">
        <v>2334</v>
      </c>
      <c r="E460" s="89">
        <v>93000</v>
      </c>
    </row>
    <row r="461" spans="1:5" ht="15" customHeight="1" x14ac:dyDescent="0.2">
      <c r="A461" s="686" t="e">
        <f t="shared" si="11"/>
        <v>#REF!</v>
      </c>
      <c r="B461" s="118" t="s">
        <v>2105</v>
      </c>
      <c r="C461" s="91">
        <v>61</v>
      </c>
      <c r="D461" s="98" t="s">
        <v>2335</v>
      </c>
      <c r="E461" s="89">
        <v>104000</v>
      </c>
    </row>
    <row r="462" spans="1:5" ht="15" customHeight="1" x14ac:dyDescent="0.2">
      <c r="A462" s="686" t="e">
        <f t="shared" si="11"/>
        <v>#REF!</v>
      </c>
      <c r="B462" s="118" t="s">
        <v>2105</v>
      </c>
      <c r="C462" s="91">
        <v>68</v>
      </c>
      <c r="D462" s="98" t="s">
        <v>2336</v>
      </c>
      <c r="E462" s="89">
        <v>155000</v>
      </c>
    </row>
    <row r="463" spans="1:5" ht="15" customHeight="1" x14ac:dyDescent="0.2">
      <c r="A463" s="686" t="e">
        <f t="shared" si="11"/>
        <v>#REF!</v>
      </c>
      <c r="B463" s="118" t="s">
        <v>2105</v>
      </c>
      <c r="C463" s="91">
        <v>75</v>
      </c>
      <c r="D463" s="98" t="s">
        <v>2337</v>
      </c>
      <c r="E463" s="89">
        <v>130000</v>
      </c>
    </row>
    <row r="464" spans="1:5" ht="15" customHeight="1" x14ac:dyDescent="0.2">
      <c r="A464" s="686" t="e">
        <f t="shared" si="11"/>
        <v>#REF!</v>
      </c>
      <c r="B464" s="118" t="s">
        <v>2105</v>
      </c>
      <c r="C464" s="91">
        <v>105</v>
      </c>
      <c r="D464" s="98" t="s">
        <v>2338</v>
      </c>
      <c r="E464" s="89">
        <v>205000</v>
      </c>
    </row>
    <row r="465" spans="1:5" ht="15" customHeight="1" x14ac:dyDescent="0.2">
      <c r="A465" s="686" t="e">
        <f t="shared" si="11"/>
        <v>#REF!</v>
      </c>
      <c r="B465" s="171" t="s">
        <v>2105</v>
      </c>
      <c r="C465" s="113">
        <v>55</v>
      </c>
      <c r="D465" s="114" t="s">
        <v>2339</v>
      </c>
      <c r="E465" s="89">
        <v>185000</v>
      </c>
    </row>
    <row r="466" spans="1:5" ht="15" customHeight="1" x14ac:dyDescent="0.2">
      <c r="A466" s="686" t="e">
        <f t="shared" si="11"/>
        <v>#REF!</v>
      </c>
      <c r="B466" s="137" t="s">
        <v>2118</v>
      </c>
      <c r="C466" s="96">
        <v>112</v>
      </c>
      <c r="D466" s="109" t="s">
        <v>2340</v>
      </c>
      <c r="E466" s="89">
        <v>90000</v>
      </c>
    </row>
    <row r="467" spans="1:5" ht="15" customHeight="1" x14ac:dyDescent="0.2">
      <c r="A467" s="686" t="e">
        <f t="shared" si="11"/>
        <v>#REF!</v>
      </c>
      <c r="B467" s="172" t="s">
        <v>2105</v>
      </c>
      <c r="C467" s="173">
        <v>240</v>
      </c>
      <c r="D467" s="174" t="s">
        <v>2341</v>
      </c>
      <c r="E467" s="89">
        <v>139000</v>
      </c>
    </row>
    <row r="468" spans="1:5" ht="15" customHeight="1" x14ac:dyDescent="0.2">
      <c r="A468" s="686" t="e">
        <f t="shared" si="11"/>
        <v>#REF!</v>
      </c>
      <c r="B468" s="118" t="s">
        <v>2342</v>
      </c>
      <c r="C468" s="91">
        <v>124</v>
      </c>
      <c r="D468" s="98" t="s">
        <v>2343</v>
      </c>
      <c r="E468" s="89">
        <v>135000</v>
      </c>
    </row>
    <row r="469" spans="1:5" ht="15" customHeight="1" x14ac:dyDescent="0.2">
      <c r="A469" s="686" t="e">
        <f t="shared" si="11"/>
        <v>#REF!</v>
      </c>
      <c r="B469" s="118" t="s">
        <v>2342</v>
      </c>
      <c r="C469" s="91">
        <v>154</v>
      </c>
      <c r="D469" s="98" t="s">
        <v>2344</v>
      </c>
      <c r="E469" s="89">
        <v>170000</v>
      </c>
    </row>
    <row r="470" spans="1:5" ht="15" customHeight="1" x14ac:dyDescent="0.2">
      <c r="A470" s="686" t="e">
        <f t="shared" si="11"/>
        <v>#REF!</v>
      </c>
      <c r="B470" s="118" t="s">
        <v>2342</v>
      </c>
      <c r="C470" s="91">
        <v>224</v>
      </c>
      <c r="D470" s="98" t="s">
        <v>2345</v>
      </c>
      <c r="E470" s="89">
        <v>245000</v>
      </c>
    </row>
    <row r="471" spans="1:5" ht="15" customHeight="1" x14ac:dyDescent="0.2">
      <c r="A471" s="686" t="e">
        <f t="shared" si="11"/>
        <v>#REF!</v>
      </c>
      <c r="B471" s="118" t="s">
        <v>2342</v>
      </c>
      <c r="C471" s="91">
        <v>274</v>
      </c>
      <c r="D471" s="98" t="s">
        <v>2346</v>
      </c>
      <c r="E471" s="89">
        <v>300000</v>
      </c>
    </row>
    <row r="472" spans="1:5" ht="15" customHeight="1" x14ac:dyDescent="0.2">
      <c r="A472" s="686" t="e">
        <f t="shared" si="11"/>
        <v>#REF!</v>
      </c>
      <c r="B472" s="137" t="s">
        <v>2342</v>
      </c>
      <c r="C472" s="96">
        <v>126</v>
      </c>
      <c r="D472" s="109" t="s">
        <v>2347</v>
      </c>
      <c r="E472" s="89">
        <v>180000</v>
      </c>
    </row>
    <row r="473" spans="1:5" ht="15" customHeight="1" x14ac:dyDescent="0.2">
      <c r="A473" s="686" t="e">
        <f t="shared" si="11"/>
        <v>#REF!</v>
      </c>
      <c r="B473" s="137" t="s">
        <v>2342</v>
      </c>
      <c r="C473" s="91">
        <v>226</v>
      </c>
      <c r="D473" s="98" t="s">
        <v>2348</v>
      </c>
      <c r="E473" s="89">
        <v>325000</v>
      </c>
    </row>
    <row r="474" spans="1:5" ht="15" customHeight="1" x14ac:dyDescent="0.2">
      <c r="A474" s="686" t="e">
        <f t="shared" si="11"/>
        <v>#REF!</v>
      </c>
      <c r="B474" s="137" t="s">
        <v>2342</v>
      </c>
      <c r="C474" s="99">
        <v>276</v>
      </c>
      <c r="D474" s="105" t="s">
        <v>2349</v>
      </c>
      <c r="E474" s="89">
        <v>395000</v>
      </c>
    </row>
    <row r="475" spans="1:5" ht="15" customHeight="1" x14ac:dyDescent="0.2">
      <c r="A475" s="686" t="e">
        <f t="shared" si="11"/>
        <v>#REF!</v>
      </c>
      <c r="B475" s="159" t="s">
        <v>2342</v>
      </c>
      <c r="C475" s="113">
        <v>195</v>
      </c>
      <c r="D475" s="114" t="s">
        <v>2350</v>
      </c>
      <c r="E475" s="89">
        <v>220000</v>
      </c>
    </row>
    <row r="476" spans="1:5" ht="15" customHeight="1" x14ac:dyDescent="0.2">
      <c r="A476" s="687" t="e">
        <f t="shared" si="11"/>
        <v>#REF!</v>
      </c>
      <c r="B476" s="175" t="s">
        <v>2105</v>
      </c>
      <c r="C476" s="176">
        <v>250</v>
      </c>
      <c r="D476" s="177" t="s">
        <v>2351</v>
      </c>
      <c r="E476" s="89">
        <v>149000</v>
      </c>
    </row>
    <row r="477" spans="1:5" ht="15" customHeight="1" x14ac:dyDescent="0.2">
      <c r="A477" s="772" t="s">
        <v>2352</v>
      </c>
      <c r="B477" s="178" t="s">
        <v>2353</v>
      </c>
      <c r="C477" s="179">
        <v>270</v>
      </c>
      <c r="D477" s="180" t="s">
        <v>2354</v>
      </c>
      <c r="E477" s="89">
        <v>390000</v>
      </c>
    </row>
    <row r="478" spans="1:5" ht="15" customHeight="1" x14ac:dyDescent="0.2">
      <c r="A478" s="685" t="str">
        <f t="shared" ref="A478:A507" si="12">A477</f>
        <v>디센미디어
(DISM)</v>
      </c>
      <c r="B478" s="181" t="s">
        <v>2353</v>
      </c>
      <c r="C478" s="163">
        <v>260</v>
      </c>
      <c r="D478" s="182" t="s">
        <v>2355</v>
      </c>
      <c r="E478" s="89">
        <v>410000</v>
      </c>
    </row>
    <row r="479" spans="1:5" ht="15" customHeight="1" x14ac:dyDescent="0.2">
      <c r="A479" s="685" t="str">
        <f t="shared" si="12"/>
        <v>디센미디어
(DISM)</v>
      </c>
      <c r="B479" s="181" t="s">
        <v>2353</v>
      </c>
      <c r="C479" s="163">
        <v>370</v>
      </c>
      <c r="D479" s="182" t="s">
        <v>2356</v>
      </c>
      <c r="E479" s="89">
        <v>685000</v>
      </c>
    </row>
    <row r="480" spans="1:5" ht="15" customHeight="1" x14ac:dyDescent="0.2">
      <c r="A480" s="685" t="str">
        <f t="shared" si="12"/>
        <v>디센미디어
(DISM)</v>
      </c>
      <c r="B480" s="181" t="s">
        <v>2357</v>
      </c>
      <c r="C480" s="163">
        <v>370</v>
      </c>
      <c r="D480" s="182" t="s">
        <v>2358</v>
      </c>
      <c r="E480" s="89">
        <v>685000</v>
      </c>
    </row>
    <row r="481" spans="1:5" ht="15" customHeight="1" x14ac:dyDescent="0.2">
      <c r="A481" s="685" t="str">
        <f t="shared" si="12"/>
        <v>디센미디어
(DISM)</v>
      </c>
      <c r="B481" s="181" t="s">
        <v>2359</v>
      </c>
      <c r="C481" s="163">
        <v>370</v>
      </c>
      <c r="D481" s="182" t="s">
        <v>2360</v>
      </c>
      <c r="E481" s="89" t="s">
        <v>2008</v>
      </c>
    </row>
    <row r="482" spans="1:5" ht="15" customHeight="1" x14ac:dyDescent="0.2">
      <c r="A482" s="685" t="str">
        <f t="shared" si="12"/>
        <v>디센미디어
(DISM)</v>
      </c>
      <c r="B482" s="181" t="s">
        <v>2361</v>
      </c>
      <c r="C482" s="163">
        <v>370</v>
      </c>
      <c r="D482" s="182" t="s">
        <v>2362</v>
      </c>
      <c r="E482" s="89" t="s">
        <v>2008</v>
      </c>
    </row>
    <row r="483" spans="1:5" ht="15" customHeight="1" x14ac:dyDescent="0.2">
      <c r="A483" s="685" t="str">
        <f t="shared" si="12"/>
        <v>디센미디어
(DISM)</v>
      </c>
      <c r="B483" s="181" t="s">
        <v>2353</v>
      </c>
      <c r="C483" s="183">
        <v>170</v>
      </c>
      <c r="D483" s="182" t="s">
        <v>2363</v>
      </c>
      <c r="E483" s="89">
        <v>410000</v>
      </c>
    </row>
    <row r="484" spans="1:5" ht="15" customHeight="1" x14ac:dyDescent="0.2">
      <c r="A484" s="685" t="str">
        <f t="shared" si="12"/>
        <v>디센미디어
(DISM)</v>
      </c>
      <c r="B484" s="181" t="s">
        <v>2364</v>
      </c>
      <c r="C484" s="183">
        <v>170</v>
      </c>
      <c r="D484" s="182" t="s">
        <v>2365</v>
      </c>
      <c r="E484" s="89">
        <v>1075000</v>
      </c>
    </row>
    <row r="485" spans="1:5" ht="15" customHeight="1" x14ac:dyDescent="0.2">
      <c r="A485" s="685" t="str">
        <f t="shared" si="12"/>
        <v>디센미디어
(DISM)</v>
      </c>
      <c r="B485" s="181" t="s">
        <v>2353</v>
      </c>
      <c r="C485" s="183">
        <v>175</v>
      </c>
      <c r="D485" s="182" t="s">
        <v>2366</v>
      </c>
      <c r="E485" s="89">
        <v>325000</v>
      </c>
    </row>
    <row r="486" spans="1:5" ht="15" customHeight="1" x14ac:dyDescent="0.2">
      <c r="A486" s="685" t="str">
        <f t="shared" si="12"/>
        <v>디센미디어
(DISM)</v>
      </c>
      <c r="B486" s="181" t="s">
        <v>2367</v>
      </c>
      <c r="C486" s="183">
        <v>230</v>
      </c>
      <c r="D486" s="182" t="s">
        <v>2368</v>
      </c>
      <c r="E486" s="89">
        <v>375000</v>
      </c>
    </row>
    <row r="487" spans="1:5" ht="15" customHeight="1" x14ac:dyDescent="0.2">
      <c r="A487" s="685" t="str">
        <f t="shared" si="12"/>
        <v>디센미디어
(DISM)</v>
      </c>
      <c r="B487" s="181" t="s">
        <v>2369</v>
      </c>
      <c r="C487" s="183">
        <v>230</v>
      </c>
      <c r="D487" s="182" t="s">
        <v>2370</v>
      </c>
      <c r="E487" s="89">
        <v>435000</v>
      </c>
    </row>
    <row r="488" spans="1:5" ht="15" customHeight="1" x14ac:dyDescent="0.2">
      <c r="A488" s="685" t="str">
        <f t="shared" si="12"/>
        <v>디센미디어
(DISM)</v>
      </c>
      <c r="B488" s="181" t="s">
        <v>2353</v>
      </c>
      <c r="C488" s="183">
        <v>135</v>
      </c>
      <c r="D488" s="182" t="s">
        <v>2371</v>
      </c>
      <c r="E488" s="89">
        <v>340000</v>
      </c>
    </row>
    <row r="489" spans="1:5" ht="15" customHeight="1" x14ac:dyDescent="0.2">
      <c r="A489" s="685" t="str">
        <f t="shared" si="12"/>
        <v>디센미디어
(DISM)</v>
      </c>
      <c r="B489" s="181" t="s">
        <v>2353</v>
      </c>
      <c r="C489" s="183">
        <v>200</v>
      </c>
      <c r="D489" s="182" t="s">
        <v>2372</v>
      </c>
      <c r="E489" s="89">
        <v>350000</v>
      </c>
    </row>
    <row r="490" spans="1:5" ht="15" customHeight="1" x14ac:dyDescent="0.2">
      <c r="A490" s="685" t="str">
        <f t="shared" si="12"/>
        <v>디센미디어
(DISM)</v>
      </c>
      <c r="B490" s="184" t="s">
        <v>2353</v>
      </c>
      <c r="C490" s="185">
        <v>270</v>
      </c>
      <c r="D490" s="186" t="s">
        <v>2373</v>
      </c>
      <c r="E490" s="89">
        <v>460000</v>
      </c>
    </row>
    <row r="491" spans="1:5" ht="15" customHeight="1" x14ac:dyDescent="0.2">
      <c r="A491" s="685" t="str">
        <f t="shared" si="12"/>
        <v>디센미디어
(DISM)</v>
      </c>
      <c r="B491" s="181" t="s">
        <v>2353</v>
      </c>
      <c r="C491" s="183">
        <v>150</v>
      </c>
      <c r="D491" s="182" t="s">
        <v>2374</v>
      </c>
      <c r="E491" s="89">
        <v>290000</v>
      </c>
    </row>
    <row r="492" spans="1:5" ht="15" customHeight="1" x14ac:dyDescent="0.2">
      <c r="A492" s="685" t="str">
        <f t="shared" si="12"/>
        <v>디센미디어
(DISM)</v>
      </c>
      <c r="B492" s="181" t="s">
        <v>2353</v>
      </c>
      <c r="C492" s="183">
        <v>255</v>
      </c>
      <c r="D492" s="182" t="s">
        <v>2375</v>
      </c>
      <c r="E492" s="89">
        <v>405000</v>
      </c>
    </row>
    <row r="493" spans="1:5" ht="15" customHeight="1" x14ac:dyDescent="0.2">
      <c r="A493" s="685" t="str">
        <f t="shared" si="12"/>
        <v>디센미디어
(DISM)</v>
      </c>
      <c r="B493" s="181" t="s">
        <v>2353</v>
      </c>
      <c r="C493" s="183">
        <v>360</v>
      </c>
      <c r="D493" s="182" t="s">
        <v>2376</v>
      </c>
      <c r="E493" s="89">
        <v>585000</v>
      </c>
    </row>
    <row r="494" spans="1:5" ht="15" customHeight="1" x14ac:dyDescent="0.2">
      <c r="A494" s="685" t="str">
        <f t="shared" si="12"/>
        <v>디센미디어
(DISM)</v>
      </c>
      <c r="B494" s="181" t="s">
        <v>2353</v>
      </c>
      <c r="C494" s="183">
        <v>145</v>
      </c>
      <c r="D494" s="182" t="s">
        <v>2377</v>
      </c>
      <c r="E494" s="89">
        <v>265000</v>
      </c>
    </row>
    <row r="495" spans="1:5" ht="15" customHeight="1" x14ac:dyDescent="0.2">
      <c r="A495" s="685" t="str">
        <f t="shared" si="12"/>
        <v>디센미디어
(DISM)</v>
      </c>
      <c r="B495" s="181" t="s">
        <v>2353</v>
      </c>
      <c r="C495" s="183">
        <v>210</v>
      </c>
      <c r="D495" s="182" t="s">
        <v>2378</v>
      </c>
      <c r="E495" s="89">
        <v>350000</v>
      </c>
    </row>
    <row r="496" spans="1:5" ht="15" customHeight="1" x14ac:dyDescent="0.2">
      <c r="A496" s="685" t="str">
        <f t="shared" si="12"/>
        <v>디센미디어
(DISM)</v>
      </c>
      <c r="B496" s="181" t="s">
        <v>2353</v>
      </c>
      <c r="C496" s="183">
        <v>270</v>
      </c>
      <c r="D496" s="182" t="s">
        <v>2379</v>
      </c>
      <c r="E496" s="89">
        <v>465000</v>
      </c>
    </row>
    <row r="497" spans="1:5" ht="15" customHeight="1" x14ac:dyDescent="0.2">
      <c r="A497" s="685" t="str">
        <f t="shared" si="12"/>
        <v>디센미디어
(DISM)</v>
      </c>
      <c r="B497" s="181" t="s">
        <v>2380</v>
      </c>
      <c r="C497" s="183">
        <v>150</v>
      </c>
      <c r="D497" s="182" t="s">
        <v>2381</v>
      </c>
      <c r="E497" s="89">
        <v>315000</v>
      </c>
    </row>
    <row r="498" spans="1:5" ht="15" customHeight="1" x14ac:dyDescent="0.2">
      <c r="A498" s="685" t="str">
        <f t="shared" si="12"/>
        <v>디센미디어
(DISM)</v>
      </c>
      <c r="B498" s="181" t="s">
        <v>2353</v>
      </c>
      <c r="C498" s="183">
        <v>150</v>
      </c>
      <c r="D498" s="182" t="s">
        <v>2382</v>
      </c>
      <c r="E498" s="89">
        <v>290000</v>
      </c>
    </row>
    <row r="499" spans="1:5" ht="15" customHeight="1" x14ac:dyDescent="0.2">
      <c r="A499" s="685" t="str">
        <f t="shared" si="12"/>
        <v>디센미디어
(DISM)</v>
      </c>
      <c r="B499" s="181" t="s">
        <v>2353</v>
      </c>
      <c r="C499" s="183">
        <v>255</v>
      </c>
      <c r="D499" s="182" t="s">
        <v>2383</v>
      </c>
      <c r="E499" s="89">
        <v>395000</v>
      </c>
    </row>
    <row r="500" spans="1:5" ht="15" customHeight="1" x14ac:dyDescent="0.2">
      <c r="A500" s="685" t="str">
        <f t="shared" si="12"/>
        <v>디센미디어
(DISM)</v>
      </c>
      <c r="B500" s="181" t="s">
        <v>2353</v>
      </c>
      <c r="C500" s="183">
        <v>270</v>
      </c>
      <c r="D500" s="182" t="s">
        <v>2384</v>
      </c>
      <c r="E500" s="89">
        <v>640000</v>
      </c>
    </row>
    <row r="501" spans="1:5" ht="15" customHeight="1" x14ac:dyDescent="0.2">
      <c r="A501" s="685" t="str">
        <f t="shared" si="12"/>
        <v>디센미디어
(DISM)</v>
      </c>
      <c r="B501" s="181" t="s">
        <v>2353</v>
      </c>
      <c r="C501" s="183">
        <v>270</v>
      </c>
      <c r="D501" s="182" t="s">
        <v>2385</v>
      </c>
      <c r="E501" s="89">
        <v>510000</v>
      </c>
    </row>
    <row r="502" spans="1:5" ht="15" customHeight="1" x14ac:dyDescent="0.2">
      <c r="A502" s="685" t="str">
        <f t="shared" si="12"/>
        <v>디센미디어
(DISM)</v>
      </c>
      <c r="B502" s="181" t="s">
        <v>2353</v>
      </c>
      <c r="C502" s="183">
        <v>270</v>
      </c>
      <c r="D502" s="182" t="s">
        <v>2386</v>
      </c>
      <c r="E502" s="89">
        <v>535000</v>
      </c>
    </row>
    <row r="503" spans="1:5" ht="15" customHeight="1" x14ac:dyDescent="0.2">
      <c r="A503" s="685" t="str">
        <f t="shared" si="12"/>
        <v>디센미디어
(DISM)</v>
      </c>
      <c r="B503" s="181" t="s">
        <v>2353</v>
      </c>
      <c r="C503" s="183">
        <v>360</v>
      </c>
      <c r="D503" s="182" t="s">
        <v>2387</v>
      </c>
      <c r="E503" s="89">
        <v>550000</v>
      </c>
    </row>
    <row r="504" spans="1:5" ht="15" customHeight="1" x14ac:dyDescent="0.2">
      <c r="A504" s="685" t="str">
        <f t="shared" si="12"/>
        <v>디센미디어
(DISM)</v>
      </c>
      <c r="B504" s="181" t="s">
        <v>2388</v>
      </c>
      <c r="C504" s="183">
        <v>360</v>
      </c>
      <c r="D504" s="182" t="s">
        <v>2389</v>
      </c>
      <c r="E504" s="89">
        <v>735000</v>
      </c>
    </row>
    <row r="505" spans="1:5" ht="15" customHeight="1" x14ac:dyDescent="0.2">
      <c r="A505" s="685" t="str">
        <f t="shared" si="12"/>
        <v>디센미디어
(DISM)</v>
      </c>
      <c r="B505" s="181" t="s">
        <v>2353</v>
      </c>
      <c r="C505" s="183">
        <v>175</v>
      </c>
      <c r="D505" s="182" t="s">
        <v>2390</v>
      </c>
      <c r="E505" s="89">
        <v>265000</v>
      </c>
    </row>
    <row r="506" spans="1:5" ht="15" customHeight="1" x14ac:dyDescent="0.2">
      <c r="A506" s="685" t="str">
        <f t="shared" si="12"/>
        <v>디센미디어
(DISM)</v>
      </c>
      <c r="B506" s="181" t="s">
        <v>2353</v>
      </c>
      <c r="C506" s="183">
        <v>275</v>
      </c>
      <c r="D506" s="182" t="s">
        <v>2391</v>
      </c>
      <c r="E506" s="89">
        <v>350000</v>
      </c>
    </row>
    <row r="507" spans="1:5" ht="15" customHeight="1" x14ac:dyDescent="0.2">
      <c r="A507" s="678" t="str">
        <f t="shared" si="12"/>
        <v>디센미디어
(DISM)</v>
      </c>
      <c r="B507" s="187" t="s">
        <v>2353</v>
      </c>
      <c r="C507" s="188">
        <v>380</v>
      </c>
      <c r="D507" s="189" t="s">
        <v>2392</v>
      </c>
      <c r="E507" s="89">
        <v>465000</v>
      </c>
    </row>
    <row r="508" spans="1:5" ht="15" customHeight="1" x14ac:dyDescent="0.2">
      <c r="A508" s="679" t="s">
        <v>2393</v>
      </c>
      <c r="B508" s="190" t="s">
        <v>1936</v>
      </c>
      <c r="C508" s="191">
        <v>161</v>
      </c>
      <c r="D508" s="192" t="s">
        <v>2394</v>
      </c>
      <c r="E508" s="89">
        <v>185000</v>
      </c>
    </row>
    <row r="509" spans="1:5" ht="15" customHeight="1" x14ac:dyDescent="0.2">
      <c r="A509" s="680"/>
      <c r="B509" s="190" t="s">
        <v>1936</v>
      </c>
      <c r="C509" s="91">
        <v>186</v>
      </c>
      <c r="D509" s="192" t="s">
        <v>2053</v>
      </c>
      <c r="E509" s="89">
        <v>210000</v>
      </c>
    </row>
    <row r="510" spans="1:5" ht="15" customHeight="1" x14ac:dyDescent="0.2">
      <c r="A510" s="680"/>
      <c r="B510" s="190" t="s">
        <v>1936</v>
      </c>
      <c r="C510" s="99">
        <v>249</v>
      </c>
      <c r="D510" s="193" t="s">
        <v>2054</v>
      </c>
      <c r="E510" s="89">
        <v>280000</v>
      </c>
    </row>
    <row r="511" spans="1:5" ht="15" customHeight="1" x14ac:dyDescent="0.2">
      <c r="A511" s="680"/>
      <c r="B511" s="118" t="s">
        <v>2062</v>
      </c>
      <c r="C511" s="91">
        <v>161</v>
      </c>
      <c r="D511" s="192" t="s">
        <v>2395</v>
      </c>
      <c r="E511" s="89">
        <v>230000</v>
      </c>
    </row>
    <row r="512" spans="1:5" ht="15" customHeight="1" x14ac:dyDescent="0.2">
      <c r="A512" s="680"/>
      <c r="B512" s="118" t="s">
        <v>2062</v>
      </c>
      <c r="C512" s="91">
        <v>186</v>
      </c>
      <c r="D512" s="192" t="s">
        <v>2396</v>
      </c>
      <c r="E512" s="89">
        <v>265000</v>
      </c>
    </row>
    <row r="513" spans="1:5" ht="15" customHeight="1" x14ac:dyDescent="0.2">
      <c r="A513" s="725"/>
      <c r="B513" s="118" t="s">
        <v>2062</v>
      </c>
      <c r="C513" s="99">
        <v>249</v>
      </c>
      <c r="D513" s="193" t="s">
        <v>2397</v>
      </c>
      <c r="E513" s="89">
        <v>355000</v>
      </c>
    </row>
    <row r="514" spans="1:5" ht="15" customHeight="1" x14ac:dyDescent="0.2">
      <c r="A514" s="772" t="s">
        <v>2398</v>
      </c>
      <c r="B514" s="190" t="s">
        <v>2399</v>
      </c>
      <c r="C514" s="191">
        <v>120</v>
      </c>
      <c r="D514" s="192" t="s">
        <v>2400</v>
      </c>
      <c r="E514" s="89">
        <v>320000</v>
      </c>
    </row>
    <row r="515" spans="1:5" ht="15" customHeight="1" x14ac:dyDescent="0.2">
      <c r="A515" s="685" t="str">
        <f>A514</f>
        <v>더튜브
(TTB)</v>
      </c>
      <c r="B515" s="190" t="s">
        <v>2399</v>
      </c>
      <c r="C515" s="99"/>
      <c r="D515" s="193" t="s">
        <v>2401</v>
      </c>
      <c r="E515" s="89">
        <v>445000</v>
      </c>
    </row>
    <row r="516" spans="1:5" ht="15" customHeight="1" x14ac:dyDescent="0.2">
      <c r="A516" s="685" t="str">
        <f>A515</f>
        <v>더튜브
(TTB)</v>
      </c>
      <c r="B516" s="190" t="s">
        <v>2399</v>
      </c>
      <c r="C516" s="91">
        <v>120</v>
      </c>
      <c r="D516" s="192" t="s">
        <v>2402</v>
      </c>
      <c r="E516" s="89">
        <v>430000</v>
      </c>
    </row>
    <row r="517" spans="1:5" ht="15" customHeight="1" x14ac:dyDescent="0.2">
      <c r="A517" s="685" t="str">
        <f>A516</f>
        <v>더튜브
(TTB)</v>
      </c>
      <c r="B517" s="190" t="s">
        <v>2399</v>
      </c>
      <c r="C517" s="99"/>
      <c r="D517" s="193" t="s">
        <v>2403</v>
      </c>
      <c r="E517" s="89">
        <v>550000</v>
      </c>
    </row>
    <row r="518" spans="1:5" ht="15" customHeight="1" x14ac:dyDescent="0.2">
      <c r="A518" s="685" t="str">
        <f>A517</f>
        <v>더튜브
(TTB)</v>
      </c>
      <c r="B518" s="190" t="s">
        <v>2399</v>
      </c>
      <c r="C518" s="91">
        <v>360</v>
      </c>
      <c r="D518" s="192" t="s">
        <v>2404</v>
      </c>
      <c r="E518" s="89">
        <v>1445000</v>
      </c>
    </row>
    <row r="519" spans="1:5" ht="15" customHeight="1" x14ac:dyDescent="0.2">
      <c r="A519" s="688" t="str">
        <f>A518</f>
        <v>더튜브
(TTB)</v>
      </c>
      <c r="B519" s="190" t="s">
        <v>2399</v>
      </c>
      <c r="C519" s="106"/>
      <c r="D519" s="195" t="s">
        <v>2405</v>
      </c>
      <c r="E519" s="89">
        <v>1795000</v>
      </c>
    </row>
    <row r="520" spans="1:5" ht="15" customHeight="1" x14ac:dyDescent="0.2">
      <c r="A520" s="772" t="s">
        <v>2406</v>
      </c>
      <c r="B520" s="118" t="s">
        <v>2149</v>
      </c>
      <c r="C520" s="91">
        <v>80</v>
      </c>
      <c r="D520" s="92" t="s">
        <v>2407</v>
      </c>
      <c r="E520" s="89">
        <v>195000</v>
      </c>
    </row>
    <row r="521" spans="1:5" ht="15" customHeight="1" x14ac:dyDescent="0.2">
      <c r="A521" s="685" t="str">
        <f t="shared" ref="A521:A542" si="13">A520</f>
        <v>디자인 라벨
(LAB)</v>
      </c>
      <c r="B521" s="118" t="s">
        <v>2149</v>
      </c>
      <c r="C521" s="91">
        <v>95</v>
      </c>
      <c r="D521" s="92" t="s">
        <v>2408</v>
      </c>
      <c r="E521" s="89">
        <v>215000</v>
      </c>
    </row>
    <row r="522" spans="1:5" ht="15" customHeight="1" x14ac:dyDescent="0.2">
      <c r="A522" s="685" t="str">
        <f t="shared" si="13"/>
        <v>디자인 라벨
(LAB)</v>
      </c>
      <c r="B522" s="118" t="s">
        <v>2149</v>
      </c>
      <c r="C522" s="99">
        <v>90</v>
      </c>
      <c r="D522" s="100" t="s">
        <v>2409</v>
      </c>
      <c r="E522" s="89">
        <v>100000</v>
      </c>
    </row>
    <row r="523" spans="1:5" ht="15" customHeight="1" x14ac:dyDescent="0.2">
      <c r="A523" s="685" t="str">
        <f t="shared" si="13"/>
        <v>디자인 라벨
(LAB)</v>
      </c>
      <c r="B523" s="118" t="s">
        <v>2201</v>
      </c>
      <c r="C523" s="91">
        <v>90</v>
      </c>
      <c r="D523" s="98" t="s">
        <v>2410</v>
      </c>
      <c r="E523" s="89">
        <v>675000</v>
      </c>
    </row>
    <row r="524" spans="1:5" ht="15" customHeight="1" x14ac:dyDescent="0.2">
      <c r="A524" s="685" t="str">
        <f t="shared" si="13"/>
        <v>디자인 라벨
(LAB)</v>
      </c>
      <c r="B524" s="118" t="s">
        <v>2201</v>
      </c>
      <c r="C524" s="91">
        <v>80</v>
      </c>
      <c r="D524" s="98" t="s">
        <v>2411</v>
      </c>
      <c r="E524" s="89">
        <v>350000</v>
      </c>
    </row>
    <row r="525" spans="1:5" ht="15" customHeight="1" x14ac:dyDescent="0.2">
      <c r="A525" s="685" t="str">
        <f t="shared" si="13"/>
        <v>디자인 라벨
(LAB)</v>
      </c>
      <c r="B525" s="118" t="s">
        <v>2201</v>
      </c>
      <c r="C525" s="91">
        <v>90</v>
      </c>
      <c r="D525" s="98" t="s">
        <v>2412</v>
      </c>
      <c r="E525" s="89">
        <v>460000</v>
      </c>
    </row>
    <row r="526" spans="1:5" ht="15" customHeight="1" x14ac:dyDescent="0.2">
      <c r="A526" s="685" t="str">
        <f t="shared" si="13"/>
        <v>디자인 라벨
(LAB)</v>
      </c>
      <c r="B526" s="118" t="s">
        <v>2201</v>
      </c>
      <c r="C526" s="91">
        <v>65</v>
      </c>
      <c r="D526" s="98" t="s">
        <v>2413</v>
      </c>
      <c r="E526" s="89">
        <v>1100000</v>
      </c>
    </row>
    <row r="527" spans="1:5" ht="15" customHeight="1" x14ac:dyDescent="0.2">
      <c r="A527" s="685"/>
      <c r="B527" s="196" t="s">
        <v>2201</v>
      </c>
      <c r="C527" s="173">
        <v>100</v>
      </c>
      <c r="D527" s="174" t="s">
        <v>2414</v>
      </c>
      <c r="E527" s="89">
        <v>1350000</v>
      </c>
    </row>
    <row r="528" spans="1:5" ht="15" customHeight="1" x14ac:dyDescent="0.2">
      <c r="A528" s="685" t="str">
        <f>A526</f>
        <v>디자인 라벨
(LAB)</v>
      </c>
      <c r="B528" s="118" t="s">
        <v>2415</v>
      </c>
      <c r="C528" s="91">
        <v>120</v>
      </c>
      <c r="D528" s="98" t="s">
        <v>2416</v>
      </c>
    </row>
    <row r="529" spans="1:5" ht="15" customHeight="1" x14ac:dyDescent="0.2">
      <c r="A529" s="685" t="str">
        <f t="shared" si="13"/>
        <v>디자인 라벨
(LAB)</v>
      </c>
      <c r="B529" s="118" t="s">
        <v>2415</v>
      </c>
      <c r="C529" s="91">
        <v>120</v>
      </c>
      <c r="D529" s="98" t="s">
        <v>2417</v>
      </c>
    </row>
    <row r="530" spans="1:5" ht="15" customHeight="1" x14ac:dyDescent="0.2">
      <c r="A530" s="685" t="str">
        <f t="shared" si="13"/>
        <v>디자인 라벨
(LAB)</v>
      </c>
      <c r="B530" s="118" t="s">
        <v>2415</v>
      </c>
      <c r="C530" s="91">
        <v>120</v>
      </c>
      <c r="D530" s="98" t="s">
        <v>2418</v>
      </c>
    </row>
    <row r="531" spans="1:5" ht="15" customHeight="1" x14ac:dyDescent="0.2">
      <c r="A531" s="685" t="str">
        <f t="shared" si="13"/>
        <v>디자인 라벨
(LAB)</v>
      </c>
      <c r="B531" s="118" t="s">
        <v>2415</v>
      </c>
      <c r="C531" s="91">
        <v>110</v>
      </c>
      <c r="D531" s="98" t="s">
        <v>2419</v>
      </c>
    </row>
    <row r="532" spans="1:5" ht="15" customHeight="1" x14ac:dyDescent="0.2">
      <c r="A532" s="685" t="str">
        <f t="shared" si="13"/>
        <v>디자인 라벨
(LAB)</v>
      </c>
      <c r="B532" s="118" t="s">
        <v>2415</v>
      </c>
      <c r="C532" s="99">
        <v>90</v>
      </c>
      <c r="D532" s="105" t="s">
        <v>2420</v>
      </c>
    </row>
    <row r="533" spans="1:5" ht="15" customHeight="1" x14ac:dyDescent="0.2">
      <c r="A533" s="685" t="str">
        <f t="shared" si="13"/>
        <v>디자인 라벨
(LAB)</v>
      </c>
      <c r="B533" s="118" t="s">
        <v>2421</v>
      </c>
      <c r="C533" s="91">
        <v>120</v>
      </c>
      <c r="D533" s="98" t="s">
        <v>2422</v>
      </c>
      <c r="E533" s="89">
        <v>840000</v>
      </c>
    </row>
    <row r="534" spans="1:5" ht="15" customHeight="1" x14ac:dyDescent="0.2">
      <c r="A534" s="685" t="str">
        <f t="shared" si="13"/>
        <v>디자인 라벨
(LAB)</v>
      </c>
      <c r="B534" s="118" t="s">
        <v>2421</v>
      </c>
      <c r="C534" s="91">
        <v>120</v>
      </c>
      <c r="D534" s="98" t="s">
        <v>2423</v>
      </c>
      <c r="E534" s="89">
        <v>1000000</v>
      </c>
    </row>
    <row r="535" spans="1:5" ht="15" customHeight="1" x14ac:dyDescent="0.2">
      <c r="A535" s="685" t="str">
        <f t="shared" si="13"/>
        <v>디자인 라벨
(LAB)</v>
      </c>
      <c r="B535" s="118" t="s">
        <v>2421</v>
      </c>
      <c r="C535" s="91">
        <v>120</v>
      </c>
      <c r="D535" s="98" t="s">
        <v>2424</v>
      </c>
      <c r="E535" s="89">
        <v>1000000</v>
      </c>
    </row>
    <row r="536" spans="1:5" ht="15" customHeight="1" x14ac:dyDescent="0.2">
      <c r="A536" s="685" t="str">
        <f t="shared" si="13"/>
        <v>디자인 라벨
(LAB)</v>
      </c>
      <c r="B536" s="118" t="s">
        <v>2421</v>
      </c>
      <c r="C536" s="91">
        <v>110</v>
      </c>
      <c r="D536" s="98" t="s">
        <v>2425</v>
      </c>
      <c r="E536" s="89">
        <v>930000</v>
      </c>
    </row>
    <row r="537" spans="1:5" ht="15" customHeight="1" x14ac:dyDescent="0.2">
      <c r="A537" s="685" t="str">
        <f t="shared" si="13"/>
        <v>디자인 라벨
(LAB)</v>
      </c>
      <c r="B537" s="118" t="s">
        <v>2421</v>
      </c>
      <c r="C537" s="99">
        <v>90</v>
      </c>
      <c r="D537" s="105" t="s">
        <v>2426</v>
      </c>
      <c r="E537" s="89">
        <v>595000</v>
      </c>
    </row>
    <row r="538" spans="1:5" ht="15" customHeight="1" x14ac:dyDescent="0.2">
      <c r="A538" s="685" t="str">
        <f t="shared" si="13"/>
        <v>디자인 라벨
(LAB)</v>
      </c>
      <c r="B538" s="118" t="s">
        <v>2427</v>
      </c>
      <c r="C538" s="91">
        <v>120</v>
      </c>
      <c r="D538" s="98" t="s">
        <v>2428</v>
      </c>
    </row>
    <row r="539" spans="1:5" ht="15" customHeight="1" x14ac:dyDescent="0.2">
      <c r="A539" s="685" t="str">
        <f t="shared" si="13"/>
        <v>디자인 라벨
(LAB)</v>
      </c>
      <c r="B539" s="118" t="s">
        <v>2427</v>
      </c>
      <c r="C539" s="91">
        <v>120</v>
      </c>
      <c r="D539" s="98" t="s">
        <v>2429</v>
      </c>
    </row>
    <row r="540" spans="1:5" ht="15" customHeight="1" x14ac:dyDescent="0.2">
      <c r="A540" s="685" t="str">
        <f t="shared" si="13"/>
        <v>디자인 라벨
(LAB)</v>
      </c>
      <c r="B540" s="118" t="s">
        <v>2427</v>
      </c>
      <c r="C540" s="91">
        <v>120</v>
      </c>
      <c r="D540" s="98" t="s">
        <v>2430</v>
      </c>
    </row>
    <row r="541" spans="1:5" ht="15" customHeight="1" x14ac:dyDescent="0.2">
      <c r="A541" s="685" t="str">
        <f t="shared" si="13"/>
        <v>디자인 라벨
(LAB)</v>
      </c>
      <c r="B541" s="118" t="s">
        <v>2427</v>
      </c>
      <c r="C541" s="91">
        <v>110</v>
      </c>
      <c r="D541" s="98" t="s">
        <v>2431</v>
      </c>
    </row>
    <row r="542" spans="1:5" ht="15" customHeight="1" x14ac:dyDescent="0.2">
      <c r="A542" s="678" t="str">
        <f t="shared" si="13"/>
        <v>디자인 라벨
(LAB)</v>
      </c>
      <c r="B542" s="118" t="s">
        <v>2427</v>
      </c>
      <c r="C542" s="111">
        <v>90</v>
      </c>
      <c r="D542" s="112" t="s">
        <v>2432</v>
      </c>
    </row>
    <row r="543" spans="1:5" ht="15" customHeight="1" x14ac:dyDescent="0.2">
      <c r="A543" s="731" t="s">
        <v>2433</v>
      </c>
      <c r="B543" s="197" t="s">
        <v>1857</v>
      </c>
      <c r="C543" s="198">
        <v>250</v>
      </c>
      <c r="D543" s="199" t="s">
        <v>2434</v>
      </c>
      <c r="E543" s="89">
        <v>845000</v>
      </c>
    </row>
    <row r="544" spans="1:5" ht="15" customHeight="1" x14ac:dyDescent="0.2">
      <c r="A544" s="685"/>
      <c r="B544" s="90" t="s">
        <v>2435</v>
      </c>
      <c r="C544" s="91">
        <v>250</v>
      </c>
      <c r="D544" s="98" t="s">
        <v>2434</v>
      </c>
      <c r="E544" s="89">
        <v>420000</v>
      </c>
    </row>
    <row r="545" spans="1:5" ht="15" customHeight="1" x14ac:dyDescent="0.2">
      <c r="A545" s="686" t="str">
        <f>A543</f>
        <v>띤또레또
(TIN)</v>
      </c>
      <c r="B545" s="94" t="s">
        <v>2436</v>
      </c>
      <c r="C545" s="99">
        <v>250</v>
      </c>
      <c r="D545" s="105" t="s">
        <v>2437</v>
      </c>
      <c r="E545" s="89">
        <v>315000</v>
      </c>
    </row>
    <row r="546" spans="1:5" ht="15" customHeight="1" x14ac:dyDescent="0.2">
      <c r="A546" s="686" t="str">
        <f t="shared" ref="A546:A555" si="14">A545</f>
        <v>띤또레또
(TIN)</v>
      </c>
      <c r="B546" s="90" t="s">
        <v>1857</v>
      </c>
      <c r="C546" s="91">
        <v>140</v>
      </c>
      <c r="D546" s="98" t="s">
        <v>2438</v>
      </c>
      <c r="E546" s="89">
        <v>357000</v>
      </c>
    </row>
    <row r="547" spans="1:5" ht="15" customHeight="1" x14ac:dyDescent="0.2">
      <c r="A547" s="686" t="str">
        <f t="shared" si="14"/>
        <v>띤또레또
(TIN)</v>
      </c>
      <c r="B547" s="90" t="s">
        <v>1857</v>
      </c>
      <c r="C547" s="91">
        <v>186</v>
      </c>
      <c r="D547" s="98" t="s">
        <v>2439</v>
      </c>
      <c r="E547" s="89">
        <v>475000</v>
      </c>
    </row>
    <row r="548" spans="1:5" ht="15" customHeight="1" x14ac:dyDescent="0.2">
      <c r="A548" s="686" t="str">
        <f t="shared" si="14"/>
        <v>띤또레또
(TIN)</v>
      </c>
      <c r="B548" s="90" t="s">
        <v>1857</v>
      </c>
      <c r="C548" s="91">
        <v>200</v>
      </c>
      <c r="D548" s="98" t="s">
        <v>2440</v>
      </c>
      <c r="E548" s="89">
        <v>510000</v>
      </c>
    </row>
    <row r="549" spans="1:5" ht="15" customHeight="1" x14ac:dyDescent="0.2">
      <c r="A549" s="686" t="str">
        <f t="shared" si="14"/>
        <v>띤또레또
(TIN)</v>
      </c>
      <c r="B549" s="90" t="s">
        <v>1857</v>
      </c>
      <c r="C549" s="91">
        <v>250</v>
      </c>
      <c r="D549" s="98" t="s">
        <v>2440</v>
      </c>
      <c r="E549" s="89">
        <v>640000</v>
      </c>
    </row>
    <row r="550" spans="1:5" ht="15" customHeight="1" x14ac:dyDescent="0.2">
      <c r="A550" s="686" t="str">
        <f t="shared" si="14"/>
        <v>띤또레또
(TIN)</v>
      </c>
      <c r="B550" s="90" t="s">
        <v>1857</v>
      </c>
      <c r="C550" s="96">
        <v>300</v>
      </c>
      <c r="D550" s="109" t="s">
        <v>2440</v>
      </c>
      <c r="E550" s="89">
        <v>765000</v>
      </c>
    </row>
    <row r="551" spans="1:5" ht="15" customHeight="1" x14ac:dyDescent="0.2">
      <c r="A551" s="686" t="str">
        <f t="shared" si="14"/>
        <v>띤또레또
(TIN)</v>
      </c>
      <c r="B551" s="90" t="s">
        <v>1857</v>
      </c>
      <c r="C551" s="91" t="s">
        <v>1868</v>
      </c>
      <c r="D551" s="98" t="s">
        <v>2441</v>
      </c>
      <c r="E551" s="89">
        <v>710000</v>
      </c>
    </row>
    <row r="552" spans="1:5" ht="15" customHeight="1" x14ac:dyDescent="0.2">
      <c r="A552" s="686" t="str">
        <f t="shared" si="14"/>
        <v>띤또레또
(TIN)</v>
      </c>
      <c r="B552" s="90" t="s">
        <v>1857</v>
      </c>
      <c r="C552" s="91" t="s">
        <v>1868</v>
      </c>
      <c r="D552" s="98" t="s">
        <v>2442</v>
      </c>
      <c r="E552" s="89">
        <v>910000</v>
      </c>
    </row>
    <row r="553" spans="1:5" ht="15" customHeight="1" x14ac:dyDescent="0.2">
      <c r="A553" s="686" t="str">
        <f t="shared" si="14"/>
        <v>띤또레또
(TIN)</v>
      </c>
      <c r="B553" s="90" t="s">
        <v>1857</v>
      </c>
      <c r="C553" s="99" t="s">
        <v>1868</v>
      </c>
      <c r="D553" s="105" t="s">
        <v>2443</v>
      </c>
      <c r="E553" s="89">
        <v>910000</v>
      </c>
    </row>
    <row r="554" spans="1:5" ht="15" customHeight="1" x14ac:dyDescent="0.2">
      <c r="A554" s="686" t="str">
        <f t="shared" si="14"/>
        <v>띤또레또
(TIN)</v>
      </c>
      <c r="B554" s="90" t="s">
        <v>1857</v>
      </c>
      <c r="C554" s="99">
        <v>350</v>
      </c>
      <c r="D554" s="105" t="s">
        <v>2444</v>
      </c>
      <c r="E554" s="89">
        <v>890000</v>
      </c>
    </row>
    <row r="555" spans="1:5" ht="15" customHeight="1" x14ac:dyDescent="0.2">
      <c r="A555" s="687" t="str">
        <f t="shared" si="14"/>
        <v>띤또레또
(TIN)</v>
      </c>
      <c r="B555" s="200" t="s">
        <v>1921</v>
      </c>
      <c r="C555" s="201">
        <v>300</v>
      </c>
      <c r="D555" s="202" t="s">
        <v>2438</v>
      </c>
      <c r="E555" s="89">
        <v>530000</v>
      </c>
    </row>
    <row r="556" spans="1:5" ht="15" customHeight="1" x14ac:dyDescent="0.2">
      <c r="A556" s="688" t="s">
        <v>2445</v>
      </c>
      <c r="B556" s="90" t="s">
        <v>1857</v>
      </c>
      <c r="C556" s="91">
        <v>120</v>
      </c>
      <c r="D556" s="98" t="s">
        <v>2446</v>
      </c>
      <c r="E556" s="89">
        <v>675000</v>
      </c>
    </row>
    <row r="557" spans="1:5" ht="14.45" customHeight="1" x14ac:dyDescent="0.2">
      <c r="A557" s="688" t="str">
        <f t="shared" ref="A557:A565" si="15">A556</f>
        <v>람세스
(RAM)</v>
      </c>
      <c r="B557" s="90" t="s">
        <v>1857</v>
      </c>
      <c r="C557" s="91"/>
      <c r="D557" s="92" t="s">
        <v>2447</v>
      </c>
      <c r="E557" s="89">
        <v>500000</v>
      </c>
    </row>
    <row r="558" spans="1:5" ht="14.45" customHeight="1" x14ac:dyDescent="0.2">
      <c r="A558" s="768" t="str">
        <f t="shared" si="15"/>
        <v>람세스
(RAM)</v>
      </c>
      <c r="B558" s="90" t="s">
        <v>1857</v>
      </c>
      <c r="C558" s="91"/>
      <c r="D558" s="92" t="s">
        <v>2448</v>
      </c>
      <c r="E558" s="89">
        <v>550000</v>
      </c>
    </row>
    <row r="559" spans="1:5" ht="15" customHeight="1" x14ac:dyDescent="0.2">
      <c r="A559" s="768" t="str">
        <f t="shared" si="15"/>
        <v>람세스
(RAM)</v>
      </c>
      <c r="B559" s="90" t="s">
        <v>1857</v>
      </c>
      <c r="C559" s="99"/>
      <c r="D559" s="92" t="s">
        <v>2449</v>
      </c>
      <c r="E559" s="89">
        <v>580000</v>
      </c>
    </row>
    <row r="560" spans="1:5" ht="15" customHeight="1" x14ac:dyDescent="0.2">
      <c r="A560" s="768" t="str">
        <f t="shared" si="15"/>
        <v>람세스
(RAM)</v>
      </c>
      <c r="B560" s="90" t="s">
        <v>1857</v>
      </c>
      <c r="C560" s="96">
        <v>150</v>
      </c>
      <c r="D560" s="109" t="s">
        <v>2450</v>
      </c>
      <c r="E560" s="89">
        <v>780000</v>
      </c>
    </row>
    <row r="561" spans="1:5" ht="15" customHeight="1" x14ac:dyDescent="0.2">
      <c r="A561" s="768" t="str">
        <f t="shared" si="15"/>
        <v>람세스
(RAM)</v>
      </c>
      <c r="B561" s="90" t="s">
        <v>1857</v>
      </c>
      <c r="C561" s="91"/>
      <c r="D561" s="92" t="s">
        <v>2451</v>
      </c>
      <c r="E561" s="89">
        <v>620000</v>
      </c>
    </row>
    <row r="562" spans="1:5" ht="15" customHeight="1" x14ac:dyDescent="0.2">
      <c r="A562" s="768" t="str">
        <f t="shared" si="15"/>
        <v>람세스
(RAM)</v>
      </c>
      <c r="B562" s="90" t="s">
        <v>1857</v>
      </c>
      <c r="C562" s="99"/>
      <c r="D562" s="100" t="s">
        <v>2452</v>
      </c>
      <c r="E562" s="89">
        <v>680000</v>
      </c>
    </row>
    <row r="563" spans="1:5" ht="15" customHeight="1" x14ac:dyDescent="0.2">
      <c r="A563" s="768" t="str">
        <f t="shared" si="15"/>
        <v>람세스
(RAM)</v>
      </c>
      <c r="B563" s="90" t="s">
        <v>1857</v>
      </c>
      <c r="C563" s="96">
        <v>200</v>
      </c>
      <c r="D563" s="98" t="s">
        <v>2453</v>
      </c>
      <c r="E563" s="89">
        <v>1075000</v>
      </c>
    </row>
    <row r="564" spans="1:5" ht="15" customHeight="1" x14ac:dyDescent="0.2">
      <c r="A564" s="768" t="str">
        <f t="shared" si="15"/>
        <v>람세스
(RAM)</v>
      </c>
      <c r="B564" s="90" t="s">
        <v>1857</v>
      </c>
      <c r="C564" s="91"/>
      <c r="D564" s="92" t="s">
        <v>2454</v>
      </c>
      <c r="E564" s="89">
        <v>815000</v>
      </c>
    </row>
    <row r="565" spans="1:5" ht="15" customHeight="1" x14ac:dyDescent="0.2">
      <c r="A565" s="768" t="str">
        <f t="shared" si="15"/>
        <v>람세스
(RAM)</v>
      </c>
      <c r="B565" s="90" t="s">
        <v>1857</v>
      </c>
      <c r="C565" s="106"/>
      <c r="D565" s="115" t="s">
        <v>2455</v>
      </c>
      <c r="E565" s="89">
        <v>890000</v>
      </c>
    </row>
    <row r="566" spans="1:5" ht="15" customHeight="1" x14ac:dyDescent="0.2">
      <c r="A566" s="768" t="s">
        <v>2456</v>
      </c>
      <c r="B566" s="203" t="s">
        <v>2457</v>
      </c>
      <c r="C566" s="204">
        <v>130</v>
      </c>
      <c r="D566" s="205" t="s">
        <v>2458</v>
      </c>
      <c r="E566" s="89">
        <v>1200000</v>
      </c>
    </row>
    <row r="567" spans="1:5" ht="15" customHeight="1" x14ac:dyDescent="0.2">
      <c r="A567" s="768" t="str">
        <f t="shared" ref="A567:A588" si="16">A566</f>
        <v>레더텍스
(LTX)</v>
      </c>
      <c r="B567" s="203" t="s">
        <v>2457</v>
      </c>
      <c r="C567" s="91"/>
      <c r="D567" s="156" t="s">
        <v>2459</v>
      </c>
      <c r="E567" s="89">
        <v>975000</v>
      </c>
    </row>
    <row r="568" spans="1:5" ht="15" customHeight="1" x14ac:dyDescent="0.2">
      <c r="A568" s="768" t="str">
        <f t="shared" si="16"/>
        <v>레더텍스
(LTX)</v>
      </c>
      <c r="B568" s="203" t="s">
        <v>2457</v>
      </c>
      <c r="C568" s="91"/>
      <c r="D568" s="156" t="s">
        <v>2460</v>
      </c>
      <c r="E568" s="89">
        <v>1335000</v>
      </c>
    </row>
    <row r="569" spans="1:5" ht="15" customHeight="1" x14ac:dyDescent="0.2">
      <c r="A569" s="768" t="str">
        <f t="shared" si="16"/>
        <v>레더텍스
(LTX)</v>
      </c>
      <c r="B569" s="203" t="s">
        <v>2457</v>
      </c>
      <c r="C569" s="91"/>
      <c r="D569" s="156" t="s">
        <v>2461</v>
      </c>
      <c r="E569" s="89">
        <v>1400000</v>
      </c>
    </row>
    <row r="570" spans="1:5" ht="15" customHeight="1" x14ac:dyDescent="0.2">
      <c r="A570" s="768" t="str">
        <f t="shared" si="16"/>
        <v>레더텍스
(LTX)</v>
      </c>
      <c r="B570" s="203" t="s">
        <v>2457</v>
      </c>
      <c r="C570" s="91"/>
      <c r="D570" s="156" t="s">
        <v>2462</v>
      </c>
      <c r="E570" s="89">
        <v>875000</v>
      </c>
    </row>
    <row r="571" spans="1:5" ht="15" customHeight="1" x14ac:dyDescent="0.2">
      <c r="A571" s="768" t="str">
        <f t="shared" si="16"/>
        <v>레더텍스
(LTX)</v>
      </c>
      <c r="B571" s="203" t="s">
        <v>2457</v>
      </c>
      <c r="C571" s="91"/>
      <c r="D571" s="156" t="s">
        <v>2463</v>
      </c>
      <c r="E571" s="89">
        <v>1300000</v>
      </c>
    </row>
    <row r="572" spans="1:5" ht="15" customHeight="1" x14ac:dyDescent="0.2">
      <c r="A572" s="768" t="str">
        <f t="shared" si="16"/>
        <v>레더텍스
(LTX)</v>
      </c>
      <c r="B572" s="203" t="s">
        <v>2457</v>
      </c>
      <c r="C572" s="91"/>
      <c r="D572" s="156" t="s">
        <v>2464</v>
      </c>
      <c r="E572" s="89">
        <v>1400000</v>
      </c>
    </row>
    <row r="573" spans="1:5" ht="15" customHeight="1" x14ac:dyDescent="0.2">
      <c r="A573" s="768" t="str">
        <f t="shared" si="16"/>
        <v>레더텍스
(LTX)</v>
      </c>
      <c r="B573" s="203" t="s">
        <v>2457</v>
      </c>
      <c r="C573" s="91"/>
      <c r="D573" s="156" t="s">
        <v>2465</v>
      </c>
      <c r="E573" s="89">
        <v>1450000</v>
      </c>
    </row>
    <row r="574" spans="1:5" ht="15" customHeight="1" x14ac:dyDescent="0.2">
      <c r="A574" s="768" t="str">
        <f t="shared" si="16"/>
        <v>레더텍스
(LTX)</v>
      </c>
      <c r="B574" s="203" t="s">
        <v>2457</v>
      </c>
      <c r="C574" s="91"/>
      <c r="D574" s="156" t="s">
        <v>2466</v>
      </c>
      <c r="E574" s="89">
        <v>1450000</v>
      </c>
    </row>
    <row r="575" spans="1:5" ht="15" customHeight="1" x14ac:dyDescent="0.2">
      <c r="A575" s="768" t="str">
        <f t="shared" si="16"/>
        <v>레더텍스
(LTX)</v>
      </c>
      <c r="B575" s="203" t="s">
        <v>2457</v>
      </c>
      <c r="C575" s="91"/>
      <c r="D575" s="156" t="s">
        <v>2467</v>
      </c>
      <c r="E575" s="89">
        <v>1370000</v>
      </c>
    </row>
    <row r="576" spans="1:5" ht="15" customHeight="1" x14ac:dyDescent="0.2">
      <c r="A576" s="768" t="str">
        <f t="shared" si="16"/>
        <v>레더텍스
(LTX)</v>
      </c>
      <c r="B576" s="203" t="s">
        <v>2457</v>
      </c>
      <c r="C576" s="91"/>
      <c r="D576" s="156" t="s">
        <v>2468</v>
      </c>
      <c r="E576" s="89">
        <v>1500000</v>
      </c>
    </row>
    <row r="577" spans="1:5" ht="15" customHeight="1" x14ac:dyDescent="0.2">
      <c r="A577" s="769" t="str">
        <f t="shared" si="16"/>
        <v>레더텍스
(LTX)</v>
      </c>
      <c r="B577" s="203" t="s">
        <v>2457</v>
      </c>
      <c r="C577" s="91"/>
      <c r="D577" s="156" t="s">
        <v>2469</v>
      </c>
      <c r="E577" s="89">
        <v>1265000</v>
      </c>
    </row>
    <row r="578" spans="1:5" ht="15" customHeight="1" x14ac:dyDescent="0.2">
      <c r="A578" s="769" t="str">
        <f t="shared" si="16"/>
        <v>레더텍스
(LTX)</v>
      </c>
      <c r="B578" s="203" t="s">
        <v>2457</v>
      </c>
      <c r="C578" s="91"/>
      <c r="D578" s="156" t="s">
        <v>2470</v>
      </c>
      <c r="E578" s="89">
        <v>1315000</v>
      </c>
    </row>
    <row r="579" spans="1:5" ht="15" customHeight="1" x14ac:dyDescent="0.2">
      <c r="A579" s="769" t="str">
        <f t="shared" si="16"/>
        <v>레더텍스
(LTX)</v>
      </c>
      <c r="B579" s="203" t="s">
        <v>2457</v>
      </c>
      <c r="C579" s="91"/>
      <c r="D579" s="156" t="s">
        <v>2471</v>
      </c>
      <c r="E579" s="89">
        <v>1400000</v>
      </c>
    </row>
    <row r="580" spans="1:5" ht="15" customHeight="1" x14ac:dyDescent="0.2">
      <c r="A580" s="769" t="str">
        <f t="shared" si="16"/>
        <v>레더텍스
(LTX)</v>
      </c>
      <c r="B580" s="203" t="s">
        <v>2457</v>
      </c>
      <c r="C580" s="91"/>
      <c r="D580" s="156" t="s">
        <v>2472</v>
      </c>
      <c r="E580" s="89">
        <v>750000</v>
      </c>
    </row>
    <row r="581" spans="1:5" ht="15" customHeight="1" x14ac:dyDescent="0.2">
      <c r="A581" s="769" t="str">
        <f t="shared" si="16"/>
        <v>레더텍스
(LTX)</v>
      </c>
      <c r="B581" s="203" t="s">
        <v>2457</v>
      </c>
      <c r="C581" s="91"/>
      <c r="D581" s="156" t="s">
        <v>2473</v>
      </c>
      <c r="E581" s="89">
        <v>1400000</v>
      </c>
    </row>
    <row r="582" spans="1:5" ht="15" customHeight="1" x14ac:dyDescent="0.2">
      <c r="A582" s="769" t="str">
        <f t="shared" si="16"/>
        <v>레더텍스
(LTX)</v>
      </c>
      <c r="B582" s="203" t="s">
        <v>2457</v>
      </c>
      <c r="C582" s="91"/>
      <c r="D582" s="156" t="s">
        <v>2474</v>
      </c>
      <c r="E582" s="89">
        <v>1500000</v>
      </c>
    </row>
    <row r="583" spans="1:5" ht="15" customHeight="1" x14ac:dyDescent="0.2">
      <c r="A583" s="769" t="str">
        <f t="shared" si="16"/>
        <v>레더텍스
(LTX)</v>
      </c>
      <c r="B583" s="171" t="s">
        <v>2475</v>
      </c>
      <c r="C583" s="113">
        <v>130</v>
      </c>
      <c r="D583" s="206" t="s">
        <v>2476</v>
      </c>
      <c r="E583" s="89">
        <v>500000</v>
      </c>
    </row>
    <row r="584" spans="1:5" ht="15" customHeight="1" x14ac:dyDescent="0.2">
      <c r="A584" s="769" t="str">
        <f t="shared" si="16"/>
        <v>레더텍스
(LTX)</v>
      </c>
      <c r="B584" s="171" t="s">
        <v>2477</v>
      </c>
      <c r="C584" s="113">
        <v>130</v>
      </c>
      <c r="D584" s="206" t="s">
        <v>2478</v>
      </c>
      <c r="E584" s="89">
        <v>1170000</v>
      </c>
    </row>
    <row r="585" spans="1:5" ht="15" customHeight="1" x14ac:dyDescent="0.2">
      <c r="A585" s="769" t="str">
        <f t="shared" si="16"/>
        <v>레더텍스
(LTX)</v>
      </c>
      <c r="B585" s="90" t="s">
        <v>2479</v>
      </c>
      <c r="C585" s="91">
        <v>130</v>
      </c>
      <c r="D585" s="156" t="s">
        <v>2480</v>
      </c>
      <c r="E585" s="89">
        <v>1230000</v>
      </c>
    </row>
    <row r="586" spans="1:5" ht="15" customHeight="1" x14ac:dyDescent="0.2">
      <c r="A586" s="769" t="str">
        <f t="shared" si="16"/>
        <v>레더텍스
(LTX)</v>
      </c>
      <c r="B586" s="90" t="s">
        <v>2479</v>
      </c>
      <c r="C586" s="91"/>
      <c r="D586" s="156" t="s">
        <v>2481</v>
      </c>
      <c r="E586" s="89">
        <v>1230000</v>
      </c>
    </row>
    <row r="587" spans="1:5" ht="15" customHeight="1" x14ac:dyDescent="0.2">
      <c r="A587" s="769" t="str">
        <f t="shared" si="16"/>
        <v>레더텍스
(LTX)</v>
      </c>
      <c r="B587" s="90" t="s">
        <v>2479</v>
      </c>
      <c r="C587" s="91"/>
      <c r="D587" s="156" t="s">
        <v>2482</v>
      </c>
      <c r="E587" s="89">
        <v>1085000</v>
      </c>
    </row>
    <row r="588" spans="1:5" ht="15" customHeight="1" x14ac:dyDescent="0.2">
      <c r="A588" s="770" t="str">
        <f t="shared" si="16"/>
        <v>레더텍스
(LTX)</v>
      </c>
      <c r="B588" s="90" t="s">
        <v>2479</v>
      </c>
      <c r="C588" s="111"/>
      <c r="D588" s="207" t="s">
        <v>2483</v>
      </c>
      <c r="E588" s="89">
        <v>1230000</v>
      </c>
    </row>
    <row r="589" spans="1:5" ht="15" customHeight="1" x14ac:dyDescent="0.2">
      <c r="A589" s="685" t="s">
        <v>2484</v>
      </c>
      <c r="B589" s="118" t="s">
        <v>1857</v>
      </c>
      <c r="C589" s="91">
        <v>80</v>
      </c>
      <c r="D589" s="98">
        <v>1</v>
      </c>
      <c r="E589" s="89">
        <v>105000</v>
      </c>
    </row>
    <row r="590" spans="1:5" ht="15" customHeight="1" x14ac:dyDescent="0.2">
      <c r="A590" s="685" t="str">
        <f t="shared" ref="A590:A602" si="17">A589</f>
        <v>레세보 디자인
(LBD)</v>
      </c>
      <c r="B590" s="118" t="s">
        <v>1857</v>
      </c>
      <c r="C590" s="91">
        <v>100</v>
      </c>
      <c r="D590" s="98" t="s">
        <v>2485</v>
      </c>
      <c r="E590" s="89">
        <v>131000</v>
      </c>
    </row>
    <row r="591" spans="1:5" ht="15" customHeight="1" x14ac:dyDescent="0.2">
      <c r="A591" s="685" t="str">
        <f t="shared" si="17"/>
        <v>레세보 디자인
(LBD)</v>
      </c>
      <c r="B591" s="118" t="s">
        <v>1857</v>
      </c>
      <c r="C591" s="91">
        <v>150</v>
      </c>
      <c r="D591" s="98" t="s">
        <v>2486</v>
      </c>
      <c r="E591" s="89">
        <v>196000</v>
      </c>
    </row>
    <row r="592" spans="1:5" ht="15" customHeight="1" x14ac:dyDescent="0.2">
      <c r="A592" s="685" t="str">
        <f t="shared" si="17"/>
        <v>레세보 디자인
(LBD)</v>
      </c>
      <c r="B592" s="118" t="s">
        <v>1857</v>
      </c>
      <c r="C592" s="91">
        <v>200</v>
      </c>
      <c r="D592" s="98" t="s">
        <v>2487</v>
      </c>
      <c r="E592" s="89">
        <v>262000</v>
      </c>
    </row>
    <row r="593" spans="1:5" ht="15" customHeight="1" x14ac:dyDescent="0.2">
      <c r="A593" s="685" t="str">
        <f t="shared" si="17"/>
        <v>레세보 디자인
(LBD)</v>
      </c>
      <c r="B593" s="118" t="s">
        <v>1857</v>
      </c>
      <c r="C593" s="91">
        <v>240</v>
      </c>
      <c r="D593" s="98" t="s">
        <v>2488</v>
      </c>
      <c r="E593" s="89">
        <v>315000</v>
      </c>
    </row>
    <row r="594" spans="1:5" ht="15" customHeight="1" x14ac:dyDescent="0.2">
      <c r="A594" s="685" t="str">
        <f t="shared" si="17"/>
        <v>레세보 디자인
(LBD)</v>
      </c>
      <c r="B594" s="118" t="s">
        <v>1857</v>
      </c>
      <c r="C594" s="91">
        <v>300</v>
      </c>
      <c r="D594" s="98" t="s">
        <v>2489</v>
      </c>
      <c r="E594" s="89">
        <v>395000</v>
      </c>
    </row>
    <row r="595" spans="1:5" ht="15" customHeight="1" x14ac:dyDescent="0.2">
      <c r="A595" s="685" t="str">
        <f t="shared" si="17"/>
        <v>레세보 디자인
(LBD)</v>
      </c>
      <c r="B595" s="118" t="s">
        <v>1857</v>
      </c>
      <c r="C595" s="91">
        <v>350</v>
      </c>
      <c r="D595" s="98">
        <v>7</v>
      </c>
      <c r="E595" s="89">
        <v>505000</v>
      </c>
    </row>
    <row r="596" spans="1:5" ht="15" customHeight="1" x14ac:dyDescent="0.2">
      <c r="A596" s="685" t="str">
        <f t="shared" si="17"/>
        <v>레세보 디자인
(LBD)</v>
      </c>
      <c r="B596" s="137" t="s">
        <v>2490</v>
      </c>
      <c r="C596" s="96">
        <v>80</v>
      </c>
      <c r="D596" s="109" t="s">
        <v>2491</v>
      </c>
      <c r="E596" s="89">
        <v>73000</v>
      </c>
    </row>
    <row r="597" spans="1:5" ht="15" customHeight="1" x14ac:dyDescent="0.2">
      <c r="A597" s="685" t="str">
        <f t="shared" si="17"/>
        <v>레세보 디자인
(LBD)</v>
      </c>
      <c r="B597" s="137" t="s">
        <v>2490</v>
      </c>
      <c r="C597" s="91">
        <v>100</v>
      </c>
      <c r="D597" s="98" t="s">
        <v>2492</v>
      </c>
      <c r="E597" s="89">
        <v>91000</v>
      </c>
    </row>
    <row r="598" spans="1:5" ht="15" customHeight="1" x14ac:dyDescent="0.2">
      <c r="A598" s="685" t="str">
        <f t="shared" si="17"/>
        <v>레세보 디자인
(LBD)</v>
      </c>
      <c r="B598" s="137" t="s">
        <v>2490</v>
      </c>
      <c r="C598" s="91">
        <v>150</v>
      </c>
      <c r="D598" s="98" t="s">
        <v>2493</v>
      </c>
      <c r="E598" s="89">
        <v>137000</v>
      </c>
    </row>
    <row r="599" spans="1:5" ht="15" customHeight="1" x14ac:dyDescent="0.2">
      <c r="A599" s="685" t="str">
        <f t="shared" si="17"/>
        <v>레세보 디자인
(LBD)</v>
      </c>
      <c r="B599" s="137" t="s">
        <v>2490</v>
      </c>
      <c r="C599" s="91">
        <v>200</v>
      </c>
      <c r="D599" s="98" t="s">
        <v>2494</v>
      </c>
      <c r="E599" s="89">
        <v>182000</v>
      </c>
    </row>
    <row r="600" spans="1:5" ht="15" customHeight="1" x14ac:dyDescent="0.2">
      <c r="A600" s="685" t="str">
        <f t="shared" si="17"/>
        <v>레세보 디자인
(LBD)</v>
      </c>
      <c r="B600" s="137" t="s">
        <v>2490</v>
      </c>
      <c r="C600" s="91">
        <v>240</v>
      </c>
      <c r="D600" s="98" t="s">
        <v>2495</v>
      </c>
      <c r="E600" s="89">
        <v>220000</v>
      </c>
    </row>
    <row r="601" spans="1:5" ht="15" customHeight="1" x14ac:dyDescent="0.2">
      <c r="A601" s="685" t="str">
        <f t="shared" si="17"/>
        <v>레세보 디자인
(LBD)</v>
      </c>
      <c r="B601" s="137" t="s">
        <v>2490</v>
      </c>
      <c r="C601" s="99">
        <v>300</v>
      </c>
      <c r="D601" s="105" t="s">
        <v>2496</v>
      </c>
      <c r="E601" s="89">
        <v>275000</v>
      </c>
    </row>
    <row r="602" spans="1:5" ht="15" customHeight="1" x14ac:dyDescent="0.2">
      <c r="A602" s="685" t="str">
        <f t="shared" si="17"/>
        <v>레세보 디자인
(LBD)</v>
      </c>
      <c r="B602" s="118" t="s">
        <v>2497</v>
      </c>
      <c r="C602" s="91">
        <v>90</v>
      </c>
      <c r="D602" s="98" t="s">
        <v>2498</v>
      </c>
      <c r="E602" s="89">
        <v>82000</v>
      </c>
    </row>
    <row r="603" spans="1:5" ht="15" customHeight="1" x14ac:dyDescent="0.2">
      <c r="A603" s="731" t="s">
        <v>2499</v>
      </c>
      <c r="B603" s="131" t="s">
        <v>1879</v>
      </c>
      <c r="C603" s="198">
        <v>176</v>
      </c>
      <c r="D603" s="199" t="s">
        <v>2500</v>
      </c>
      <c r="E603" s="89">
        <v>630000</v>
      </c>
    </row>
    <row r="604" spans="1:5" ht="15" customHeight="1" x14ac:dyDescent="0.2">
      <c r="A604" s="685" t="str">
        <f t="shared" ref="A604:A610" si="18">A603</f>
        <v xml:space="preserve">로얄선던스
(RYS)                       </v>
      </c>
      <c r="B604" s="131" t="s">
        <v>1879</v>
      </c>
      <c r="C604" s="99"/>
      <c r="D604" s="105" t="s">
        <v>2501</v>
      </c>
      <c r="E604" s="89">
        <v>420000</v>
      </c>
    </row>
    <row r="605" spans="1:5" ht="15" customHeight="1" x14ac:dyDescent="0.2">
      <c r="A605" s="710" t="str">
        <f t="shared" si="18"/>
        <v xml:space="preserve">로얄선던스
(RYS)                       </v>
      </c>
      <c r="B605" s="131" t="s">
        <v>1879</v>
      </c>
      <c r="C605" s="91">
        <v>216</v>
      </c>
      <c r="D605" s="98" t="s">
        <v>2502</v>
      </c>
      <c r="E605" s="89">
        <v>770000</v>
      </c>
    </row>
    <row r="606" spans="1:5" ht="15" customHeight="1" x14ac:dyDescent="0.2">
      <c r="A606" s="710" t="str">
        <f t="shared" si="18"/>
        <v xml:space="preserve">로얄선던스
(RYS)                       </v>
      </c>
      <c r="B606" s="131" t="s">
        <v>1879</v>
      </c>
      <c r="C606" s="99"/>
      <c r="D606" s="105" t="s">
        <v>2503</v>
      </c>
      <c r="E606" s="89">
        <v>820000</v>
      </c>
    </row>
    <row r="607" spans="1:5" ht="15" customHeight="1" x14ac:dyDescent="0.2">
      <c r="A607" s="710" t="str">
        <f t="shared" si="18"/>
        <v xml:space="preserve">로얄선던스
(RYS)                       </v>
      </c>
      <c r="B607" s="131" t="s">
        <v>1879</v>
      </c>
      <c r="C607" s="91">
        <v>270</v>
      </c>
      <c r="D607" s="98" t="s">
        <v>2504</v>
      </c>
      <c r="E607" s="89">
        <v>970000</v>
      </c>
    </row>
    <row r="608" spans="1:5" ht="15" customHeight="1" x14ac:dyDescent="0.2">
      <c r="A608" s="710" t="str">
        <f t="shared" si="18"/>
        <v xml:space="preserve">로얄선던스
(RYS)                       </v>
      </c>
      <c r="B608" s="131" t="s">
        <v>1879</v>
      </c>
      <c r="C608" s="99"/>
      <c r="D608" s="105" t="s">
        <v>2505</v>
      </c>
      <c r="E608" s="89">
        <v>1165000</v>
      </c>
    </row>
    <row r="609" spans="1:5" ht="15" customHeight="1" x14ac:dyDescent="0.2">
      <c r="A609" s="710" t="str">
        <f t="shared" si="18"/>
        <v xml:space="preserve">로얄선던스
(RYS)                       </v>
      </c>
      <c r="B609" s="131" t="s">
        <v>1879</v>
      </c>
      <c r="C609" s="91">
        <v>297</v>
      </c>
      <c r="D609" s="98" t="s">
        <v>2506</v>
      </c>
      <c r="E609" s="89">
        <v>1130000</v>
      </c>
    </row>
    <row r="610" spans="1:5" ht="15" customHeight="1" x14ac:dyDescent="0.2">
      <c r="A610" s="711" t="str">
        <f t="shared" si="18"/>
        <v xml:space="preserve">로얄선던스
(RYS)                       </v>
      </c>
      <c r="B610" s="131" t="s">
        <v>1879</v>
      </c>
      <c r="C610" s="106"/>
      <c r="D610" s="208" t="s">
        <v>2503</v>
      </c>
      <c r="E610" s="89">
        <v>1200000</v>
      </c>
    </row>
    <row r="611" spans="1:5" ht="15" customHeight="1" x14ac:dyDescent="0.2">
      <c r="A611" s="735" t="s">
        <v>2507</v>
      </c>
      <c r="B611" s="90" t="s">
        <v>1879</v>
      </c>
      <c r="C611" s="91">
        <v>305</v>
      </c>
      <c r="D611" s="98" t="s">
        <v>2508</v>
      </c>
      <c r="E611" s="89">
        <v>380000</v>
      </c>
    </row>
    <row r="612" spans="1:5" ht="15" customHeight="1" x14ac:dyDescent="0.2">
      <c r="A612" s="685" t="str">
        <f t="shared" ref="A612:A627" si="19">A611</f>
        <v>로얄 크라프트
(RK)</v>
      </c>
      <c r="B612" s="90" t="s">
        <v>1879</v>
      </c>
      <c r="C612" s="91">
        <v>330</v>
      </c>
      <c r="D612" s="98" t="s">
        <v>2509</v>
      </c>
      <c r="E612" s="89">
        <v>410000</v>
      </c>
    </row>
    <row r="613" spans="1:5" ht="15" customHeight="1" x14ac:dyDescent="0.2">
      <c r="A613" s="685" t="str">
        <f t="shared" si="19"/>
        <v>로얄 크라프트
(RK)</v>
      </c>
      <c r="B613" s="90" t="s">
        <v>1879</v>
      </c>
      <c r="C613" s="91">
        <v>360</v>
      </c>
      <c r="D613" s="98" t="s">
        <v>2510</v>
      </c>
      <c r="E613" s="89">
        <v>450000</v>
      </c>
    </row>
    <row r="614" spans="1:5" ht="15" customHeight="1" x14ac:dyDescent="0.2">
      <c r="A614" s="685" t="str">
        <f t="shared" si="19"/>
        <v>로얄 크라프트
(RK)</v>
      </c>
      <c r="B614" s="90" t="s">
        <v>1879</v>
      </c>
      <c r="C614" s="91">
        <v>390</v>
      </c>
      <c r="D614" s="92" t="s">
        <v>2511</v>
      </c>
      <c r="E614" s="89">
        <v>420000</v>
      </c>
    </row>
    <row r="615" spans="1:5" ht="15" customHeight="1" x14ac:dyDescent="0.2">
      <c r="A615" s="685" t="str">
        <f t="shared" si="19"/>
        <v>로얄 크라프트
(RK)</v>
      </c>
      <c r="B615" s="90" t="s">
        <v>1879</v>
      </c>
      <c r="C615" s="91">
        <v>420</v>
      </c>
      <c r="D615" s="98" t="s">
        <v>2512</v>
      </c>
      <c r="E615" s="89">
        <v>550000</v>
      </c>
    </row>
    <row r="616" spans="1:5" ht="15" customHeight="1" x14ac:dyDescent="0.2">
      <c r="A616" s="685" t="str">
        <f t="shared" si="19"/>
        <v>로얄 크라프트
(RK)</v>
      </c>
      <c r="B616" s="90" t="s">
        <v>1879</v>
      </c>
      <c r="C616" s="91">
        <v>490</v>
      </c>
      <c r="D616" s="92" t="s">
        <v>2513</v>
      </c>
      <c r="E616" s="89">
        <v>475000</v>
      </c>
    </row>
    <row r="617" spans="1:5" ht="15" customHeight="1" x14ac:dyDescent="0.2">
      <c r="A617" s="685" t="str">
        <f t="shared" si="19"/>
        <v>로얄 크라프트
(RK)</v>
      </c>
      <c r="B617" s="90" t="s">
        <v>1879</v>
      </c>
      <c r="C617" s="99">
        <v>560</v>
      </c>
      <c r="D617" s="100" t="s">
        <v>2514</v>
      </c>
      <c r="E617" s="89">
        <v>540000</v>
      </c>
    </row>
    <row r="618" spans="1:5" ht="15" customHeight="1" x14ac:dyDescent="0.2">
      <c r="A618" s="685" t="str">
        <f t="shared" si="19"/>
        <v>로얄 크라프트
(RK)</v>
      </c>
      <c r="B618" s="90" t="s">
        <v>1865</v>
      </c>
      <c r="C618" s="91">
        <v>305</v>
      </c>
      <c r="D618" s="98" t="s">
        <v>2508</v>
      </c>
      <c r="E618" s="89">
        <v>265000</v>
      </c>
    </row>
    <row r="619" spans="1:5" ht="15" customHeight="1" x14ac:dyDescent="0.2">
      <c r="A619" s="685" t="str">
        <f t="shared" si="19"/>
        <v>로얄 크라프트
(RK)</v>
      </c>
      <c r="B619" s="90" t="s">
        <v>1865</v>
      </c>
      <c r="C619" s="91">
        <v>330</v>
      </c>
      <c r="D619" s="98" t="s">
        <v>2509</v>
      </c>
      <c r="E619" s="89">
        <v>287000</v>
      </c>
    </row>
    <row r="620" spans="1:5" ht="15" customHeight="1" x14ac:dyDescent="0.2">
      <c r="A620" s="685" t="str">
        <f t="shared" si="19"/>
        <v>로얄 크라프트
(RK)</v>
      </c>
      <c r="B620" s="90" t="s">
        <v>1865</v>
      </c>
      <c r="C620" s="91">
        <v>360</v>
      </c>
      <c r="D620" s="98" t="s">
        <v>2510</v>
      </c>
      <c r="E620" s="89">
        <v>312000</v>
      </c>
    </row>
    <row r="621" spans="1:5" ht="15" customHeight="1" x14ac:dyDescent="0.2">
      <c r="A621" s="685" t="str">
        <f t="shared" si="19"/>
        <v>로얄 크라프트
(RK)</v>
      </c>
      <c r="B621" s="90" t="s">
        <v>1865</v>
      </c>
      <c r="C621" s="99">
        <v>390</v>
      </c>
      <c r="D621" s="100" t="s">
        <v>2515</v>
      </c>
      <c r="E621" s="89">
        <v>290000</v>
      </c>
    </row>
    <row r="622" spans="1:5" ht="15" customHeight="1" x14ac:dyDescent="0.2">
      <c r="A622" s="685" t="str">
        <f t="shared" si="19"/>
        <v>로얄 크라프트
(RK)</v>
      </c>
      <c r="B622" s="137" t="s">
        <v>2041</v>
      </c>
      <c r="C622" s="96">
        <v>305</v>
      </c>
      <c r="D622" s="109" t="s">
        <v>2508</v>
      </c>
      <c r="E622" s="89">
        <v>196000</v>
      </c>
    </row>
    <row r="623" spans="1:5" ht="15" customHeight="1" x14ac:dyDescent="0.2">
      <c r="A623" s="685" t="str">
        <f t="shared" si="19"/>
        <v>로얄 크라프트
(RK)</v>
      </c>
      <c r="B623" s="137" t="s">
        <v>2041</v>
      </c>
      <c r="C623" s="91">
        <v>330</v>
      </c>
      <c r="D623" s="98" t="s">
        <v>2509</v>
      </c>
      <c r="E623" s="89">
        <v>211000</v>
      </c>
    </row>
    <row r="624" spans="1:5" ht="15" customHeight="1" x14ac:dyDescent="0.2">
      <c r="A624" s="685" t="str">
        <f t="shared" si="19"/>
        <v>로얄 크라프트
(RK)</v>
      </c>
      <c r="B624" s="137" t="s">
        <v>2041</v>
      </c>
      <c r="C624" s="91">
        <v>360</v>
      </c>
      <c r="D624" s="98" t="s">
        <v>2510</v>
      </c>
      <c r="E624" s="89">
        <v>232000</v>
      </c>
    </row>
    <row r="625" spans="1:5" ht="15" customHeight="1" x14ac:dyDescent="0.2">
      <c r="A625" s="685" t="str">
        <f t="shared" si="19"/>
        <v>로얄 크라프트
(RK)</v>
      </c>
      <c r="B625" s="137" t="s">
        <v>2041</v>
      </c>
      <c r="C625" s="99">
        <v>390</v>
      </c>
      <c r="D625" s="100" t="s">
        <v>2516</v>
      </c>
      <c r="E625" s="89">
        <v>183000</v>
      </c>
    </row>
    <row r="626" spans="1:5" ht="15" customHeight="1" x14ac:dyDescent="0.2">
      <c r="A626" s="685" t="str">
        <f t="shared" si="19"/>
        <v>로얄 크라프트
(RK)</v>
      </c>
      <c r="B626" s="118" t="s">
        <v>1935</v>
      </c>
      <c r="C626" s="91">
        <v>309</v>
      </c>
      <c r="D626" s="93" t="s">
        <v>2517</v>
      </c>
    </row>
    <row r="627" spans="1:5" ht="15" customHeight="1" x14ac:dyDescent="0.2">
      <c r="A627" s="685" t="str">
        <f t="shared" si="19"/>
        <v>로얄 크라프트
(RK)</v>
      </c>
      <c r="B627" s="118"/>
      <c r="C627" s="91">
        <v>420</v>
      </c>
      <c r="D627" s="92" t="s">
        <v>2518</v>
      </c>
    </row>
    <row r="628" spans="1:5" ht="15" customHeight="1" x14ac:dyDescent="0.2">
      <c r="A628" s="731" t="s">
        <v>2519</v>
      </c>
      <c r="B628" s="157" t="s">
        <v>2520</v>
      </c>
      <c r="C628" s="209">
        <v>120</v>
      </c>
      <c r="D628" s="210" t="s">
        <v>2521</v>
      </c>
      <c r="E628" s="89">
        <v>560000</v>
      </c>
    </row>
    <row r="629" spans="1:5" ht="15" customHeight="1" x14ac:dyDescent="0.2">
      <c r="A629" s="685" t="str">
        <f t="shared" ref="A629:A636" si="20">A628</f>
        <v>룩스 패브릭
(LF)</v>
      </c>
      <c r="B629" s="157" t="s">
        <v>2520</v>
      </c>
      <c r="C629" s="91"/>
      <c r="D629" s="211" t="s">
        <v>2522</v>
      </c>
      <c r="E629" s="89">
        <v>560000</v>
      </c>
    </row>
    <row r="630" spans="1:5" ht="15" customHeight="1" x14ac:dyDescent="0.2">
      <c r="A630" s="685" t="str">
        <f t="shared" si="20"/>
        <v>룩스 패브릭
(LF)</v>
      </c>
      <c r="B630" s="157" t="s">
        <v>2520</v>
      </c>
      <c r="C630" s="91"/>
      <c r="D630" s="192" t="s">
        <v>2523</v>
      </c>
      <c r="E630" s="89">
        <v>485000</v>
      </c>
    </row>
    <row r="631" spans="1:5" ht="15" customHeight="1" x14ac:dyDescent="0.2">
      <c r="A631" s="685" t="str">
        <f t="shared" si="20"/>
        <v>룩스 패브릭
(LF)</v>
      </c>
      <c r="B631" s="157" t="s">
        <v>2520</v>
      </c>
      <c r="C631" s="91"/>
      <c r="D631" s="192" t="s">
        <v>2524</v>
      </c>
      <c r="E631" s="89">
        <v>485000</v>
      </c>
    </row>
    <row r="632" spans="1:5" ht="15" customHeight="1" x14ac:dyDescent="0.2">
      <c r="A632" s="685" t="str">
        <f t="shared" si="20"/>
        <v>룩스 패브릭
(LF)</v>
      </c>
      <c r="B632" s="157" t="s">
        <v>2520</v>
      </c>
      <c r="C632" s="91"/>
      <c r="D632" s="192" t="s">
        <v>2525</v>
      </c>
      <c r="E632" s="89">
        <v>485000</v>
      </c>
    </row>
    <row r="633" spans="1:5" ht="15" customHeight="1" x14ac:dyDescent="0.2">
      <c r="A633" s="685" t="str">
        <f t="shared" si="20"/>
        <v>룩스 패브릭
(LF)</v>
      </c>
      <c r="B633" s="157" t="s">
        <v>2520</v>
      </c>
      <c r="C633" s="91"/>
      <c r="D633" s="192" t="s">
        <v>2526</v>
      </c>
      <c r="E633" s="89">
        <v>485000</v>
      </c>
    </row>
    <row r="634" spans="1:5" ht="15" customHeight="1" x14ac:dyDescent="0.2">
      <c r="A634" s="685" t="str">
        <f t="shared" si="20"/>
        <v>룩스 패브릭
(LF)</v>
      </c>
      <c r="B634" s="157" t="s">
        <v>2520</v>
      </c>
      <c r="C634" s="91"/>
      <c r="D634" s="192" t="s">
        <v>2527</v>
      </c>
      <c r="E634" s="89">
        <v>485000</v>
      </c>
    </row>
    <row r="635" spans="1:5" ht="15" customHeight="1" x14ac:dyDescent="0.2">
      <c r="A635" s="685" t="str">
        <f t="shared" si="20"/>
        <v>룩스 패브릭
(LF)</v>
      </c>
      <c r="B635" s="157" t="s">
        <v>2520</v>
      </c>
      <c r="C635" s="91"/>
      <c r="D635" s="192" t="s">
        <v>2528</v>
      </c>
      <c r="E635" s="89">
        <v>485000</v>
      </c>
    </row>
    <row r="636" spans="1:5" ht="15" customHeight="1" x14ac:dyDescent="0.2">
      <c r="A636" s="688" t="str">
        <f t="shared" si="20"/>
        <v>룩스 패브릭
(LF)</v>
      </c>
      <c r="B636" s="157" t="s">
        <v>2520</v>
      </c>
      <c r="C636" s="106"/>
      <c r="D636" s="115" t="s">
        <v>2529</v>
      </c>
      <c r="E636" s="89">
        <v>450000</v>
      </c>
    </row>
    <row r="637" spans="1:5" ht="15" customHeight="1" x14ac:dyDescent="0.2">
      <c r="A637" s="735" t="s">
        <v>2530</v>
      </c>
      <c r="B637" s="212" t="s">
        <v>2010</v>
      </c>
      <c r="C637" s="213">
        <v>120</v>
      </c>
      <c r="D637" s="214" t="s">
        <v>2531</v>
      </c>
      <c r="E637" s="89">
        <v>280000</v>
      </c>
    </row>
    <row r="638" spans="1:5" ht="15" customHeight="1" x14ac:dyDescent="0.2">
      <c r="A638" s="733" t="str">
        <f t="shared" ref="A638:A658" si="21">A637</f>
        <v>리메이크
(RMK)</v>
      </c>
      <c r="B638" s="212" t="s">
        <v>2010</v>
      </c>
      <c r="C638" s="91"/>
      <c r="D638" s="92" t="s">
        <v>2532</v>
      </c>
      <c r="E638" s="89">
        <v>320000</v>
      </c>
    </row>
    <row r="639" spans="1:5" ht="15" customHeight="1" x14ac:dyDescent="0.2">
      <c r="A639" s="733" t="str">
        <f t="shared" si="21"/>
        <v>리메이크
(RMK)</v>
      </c>
      <c r="B639" s="212" t="s">
        <v>2010</v>
      </c>
      <c r="C639" s="91"/>
      <c r="D639" s="92" t="s">
        <v>2533</v>
      </c>
      <c r="E639" s="89">
        <v>405000</v>
      </c>
    </row>
    <row r="640" spans="1:5" ht="15" customHeight="1" x14ac:dyDescent="0.2">
      <c r="A640" s="733" t="str">
        <f t="shared" si="21"/>
        <v>리메이크
(RMK)</v>
      </c>
      <c r="B640" s="212" t="s">
        <v>2010</v>
      </c>
      <c r="C640" s="96">
        <v>250</v>
      </c>
      <c r="D640" s="97" t="s">
        <v>2534</v>
      </c>
      <c r="E640" s="89">
        <v>580000</v>
      </c>
    </row>
    <row r="641" spans="1:5" ht="15" customHeight="1" x14ac:dyDescent="0.2">
      <c r="A641" s="733" t="str">
        <f t="shared" si="21"/>
        <v>리메이크
(RMK)</v>
      </c>
      <c r="B641" s="212" t="s">
        <v>2010</v>
      </c>
      <c r="C641" s="91"/>
      <c r="D641" s="92" t="s">
        <v>2535</v>
      </c>
      <c r="E641" s="89">
        <v>665000</v>
      </c>
    </row>
    <row r="642" spans="1:5" ht="15" customHeight="1" x14ac:dyDescent="0.2">
      <c r="A642" s="733" t="str">
        <f t="shared" si="21"/>
        <v>리메이크
(RMK)</v>
      </c>
      <c r="B642" s="212" t="s">
        <v>2010</v>
      </c>
      <c r="C642" s="99"/>
      <c r="D642" s="100" t="s">
        <v>2536</v>
      </c>
      <c r="E642" s="89">
        <v>845000</v>
      </c>
    </row>
    <row r="643" spans="1:5" ht="15" customHeight="1" x14ac:dyDescent="0.2">
      <c r="A643" s="733" t="str">
        <f t="shared" si="21"/>
        <v>리메이크
(RMK)</v>
      </c>
      <c r="B643" s="212" t="s">
        <v>2010</v>
      </c>
      <c r="C643" s="96">
        <v>380</v>
      </c>
      <c r="D643" s="97" t="s">
        <v>2537</v>
      </c>
      <c r="E643" s="89">
        <v>935000</v>
      </c>
    </row>
    <row r="644" spans="1:5" ht="15" customHeight="1" x14ac:dyDescent="0.2">
      <c r="A644" s="733" t="str">
        <f t="shared" si="21"/>
        <v>리메이크
(RMK)</v>
      </c>
      <c r="B644" s="212" t="s">
        <v>2010</v>
      </c>
      <c r="C644" s="91"/>
      <c r="D644" s="92" t="s">
        <v>2538</v>
      </c>
      <c r="E644" s="89">
        <v>1100000</v>
      </c>
    </row>
    <row r="645" spans="1:5" ht="15" customHeight="1" x14ac:dyDescent="0.2">
      <c r="A645" s="733" t="str">
        <f t="shared" si="21"/>
        <v>리메이크
(RMK)</v>
      </c>
      <c r="B645" s="212" t="s">
        <v>2010</v>
      </c>
      <c r="C645" s="99"/>
      <c r="D645" s="100" t="s">
        <v>2539</v>
      </c>
      <c r="E645" s="89">
        <v>1300000</v>
      </c>
    </row>
    <row r="646" spans="1:5" ht="15" customHeight="1" x14ac:dyDescent="0.2">
      <c r="A646" s="733" t="str">
        <f t="shared" si="21"/>
        <v>리메이크
(RMK)</v>
      </c>
      <c r="B646" s="212" t="s">
        <v>2010</v>
      </c>
      <c r="C646" s="91">
        <v>520</v>
      </c>
      <c r="D646" s="92" t="s">
        <v>2540</v>
      </c>
      <c r="E646" s="89">
        <v>1785000</v>
      </c>
    </row>
    <row r="647" spans="1:5" ht="15" customHeight="1" x14ac:dyDescent="0.2">
      <c r="A647" s="733" t="str">
        <f t="shared" si="21"/>
        <v>리메이크
(RMK)</v>
      </c>
      <c r="B647" s="120" t="s">
        <v>2541</v>
      </c>
      <c r="C647" s="121">
        <v>120</v>
      </c>
      <c r="D647" s="153" t="s">
        <v>2542</v>
      </c>
      <c r="E647" s="89">
        <v>310000</v>
      </c>
    </row>
    <row r="648" spans="1:5" ht="15" customHeight="1" x14ac:dyDescent="0.2">
      <c r="A648" s="733"/>
      <c r="B648" s="120" t="s">
        <v>2541</v>
      </c>
      <c r="C648" s="91"/>
      <c r="D648" s="98" t="s">
        <v>2543</v>
      </c>
      <c r="E648" s="89">
        <v>350000</v>
      </c>
    </row>
    <row r="649" spans="1:5" ht="15" customHeight="1" x14ac:dyDescent="0.2">
      <c r="A649" s="733" t="str">
        <f>A647</f>
        <v>리메이크
(RMK)</v>
      </c>
      <c r="B649" s="120" t="s">
        <v>2541</v>
      </c>
      <c r="C649" s="91"/>
      <c r="D649" s="98" t="s">
        <v>2544</v>
      </c>
      <c r="E649" s="89">
        <v>330000</v>
      </c>
    </row>
    <row r="650" spans="1:5" ht="15" customHeight="1" x14ac:dyDescent="0.2">
      <c r="A650" s="733" t="str">
        <f t="shared" si="21"/>
        <v>리메이크
(RMK)</v>
      </c>
      <c r="B650" s="120" t="s">
        <v>2541</v>
      </c>
      <c r="C650" s="91"/>
      <c r="D650" s="98" t="s">
        <v>2545</v>
      </c>
      <c r="E650" s="89">
        <v>325000</v>
      </c>
    </row>
    <row r="651" spans="1:5" ht="15" customHeight="1" x14ac:dyDescent="0.2">
      <c r="A651" s="733" t="str">
        <f t="shared" si="21"/>
        <v>리메이크
(RMK)</v>
      </c>
      <c r="B651" s="120" t="s">
        <v>2541</v>
      </c>
      <c r="C651" s="96">
        <v>250</v>
      </c>
      <c r="D651" s="109" t="s">
        <v>2546</v>
      </c>
      <c r="E651" s="89">
        <v>645000</v>
      </c>
    </row>
    <row r="652" spans="1:5" ht="15" customHeight="1" x14ac:dyDescent="0.2">
      <c r="A652" s="733" t="str">
        <f t="shared" si="21"/>
        <v>리메이크
(RMK)</v>
      </c>
      <c r="B652" s="120" t="s">
        <v>2541</v>
      </c>
      <c r="C652" s="91"/>
      <c r="D652" s="98" t="s">
        <v>2547</v>
      </c>
      <c r="E652" s="89">
        <v>645000</v>
      </c>
    </row>
    <row r="653" spans="1:5" ht="15" customHeight="1" x14ac:dyDescent="0.2">
      <c r="A653" s="733"/>
      <c r="B653" s="120" t="s">
        <v>2541</v>
      </c>
      <c r="C653" s="91"/>
      <c r="D653" s="98" t="s">
        <v>2548</v>
      </c>
      <c r="E653" s="89">
        <v>720000</v>
      </c>
    </row>
    <row r="654" spans="1:5" ht="15" customHeight="1" x14ac:dyDescent="0.2">
      <c r="A654" s="733" t="str">
        <f>A652</f>
        <v>리메이크
(RMK)</v>
      </c>
      <c r="B654" s="120" t="s">
        <v>2541</v>
      </c>
      <c r="C654" s="99"/>
      <c r="D654" s="105" t="s">
        <v>2549</v>
      </c>
      <c r="E654" s="89">
        <v>640000</v>
      </c>
    </row>
    <row r="655" spans="1:5" ht="15" customHeight="1" x14ac:dyDescent="0.2">
      <c r="A655" s="733" t="str">
        <f t="shared" si="21"/>
        <v>리메이크
(RMK)</v>
      </c>
      <c r="B655" s="120" t="s">
        <v>2541</v>
      </c>
      <c r="C655" s="96">
        <v>380</v>
      </c>
      <c r="D655" s="109" t="s">
        <v>2550</v>
      </c>
      <c r="E655" s="89">
        <v>970000</v>
      </c>
    </row>
    <row r="656" spans="1:5" ht="15" customHeight="1" x14ac:dyDescent="0.2">
      <c r="A656" s="733" t="str">
        <f t="shared" si="21"/>
        <v>리메이크
(RMK)</v>
      </c>
      <c r="B656" s="120" t="s">
        <v>2541</v>
      </c>
      <c r="C656" s="91"/>
      <c r="D656" s="98" t="s">
        <v>2551</v>
      </c>
      <c r="E656" s="89">
        <v>1185000</v>
      </c>
    </row>
    <row r="657" spans="1:5" ht="15" customHeight="1" x14ac:dyDescent="0.2">
      <c r="A657" s="733" t="str">
        <f t="shared" si="21"/>
        <v>리메이크
(RMK)</v>
      </c>
      <c r="B657" s="120" t="s">
        <v>2541</v>
      </c>
      <c r="C657" s="99"/>
      <c r="D657" s="105" t="s">
        <v>2552</v>
      </c>
      <c r="E657" s="89">
        <v>1290000</v>
      </c>
    </row>
    <row r="658" spans="1:5" ht="15" customHeight="1" x14ac:dyDescent="0.2">
      <c r="A658" s="771" t="str">
        <f t="shared" si="21"/>
        <v>리메이크
(RMK)</v>
      </c>
      <c r="B658" s="215" t="s">
        <v>2553</v>
      </c>
      <c r="C658" s="91">
        <v>250</v>
      </c>
      <c r="D658" s="98" t="s">
        <v>2554</v>
      </c>
      <c r="E658" s="89">
        <v>720000</v>
      </c>
    </row>
    <row r="659" spans="1:5" s="218" customFormat="1" ht="16.5" customHeight="1" x14ac:dyDescent="0.3">
      <c r="A659" s="735" t="s">
        <v>2555</v>
      </c>
      <c r="B659" s="216" t="s">
        <v>1879</v>
      </c>
      <c r="C659" s="213">
        <v>120</v>
      </c>
      <c r="D659" s="217" t="s">
        <v>2556</v>
      </c>
      <c r="E659" s="218">
        <v>580000</v>
      </c>
    </row>
    <row r="660" spans="1:5" s="218" customFormat="1" ht="12" x14ac:dyDescent="0.3">
      <c r="A660" s="685" t="str">
        <f t="shared" ref="A660:A665" si="22">A659</f>
        <v>리브스디자인
(RD)</v>
      </c>
      <c r="B660" s="216" t="s">
        <v>1879</v>
      </c>
      <c r="C660" s="91"/>
      <c r="D660" s="98" t="s">
        <v>2557</v>
      </c>
      <c r="E660" s="218">
        <v>405000</v>
      </c>
    </row>
    <row r="661" spans="1:5" s="218" customFormat="1" ht="12" x14ac:dyDescent="0.3">
      <c r="A661" s="685" t="str">
        <f t="shared" si="22"/>
        <v>리브스디자인
(RD)</v>
      </c>
      <c r="B661" s="216" t="s">
        <v>1879</v>
      </c>
      <c r="C661" s="96">
        <v>170</v>
      </c>
      <c r="D661" s="109" t="s">
        <v>2558</v>
      </c>
      <c r="E661" s="218">
        <v>850000</v>
      </c>
    </row>
    <row r="662" spans="1:5" s="218" customFormat="1" ht="12" x14ac:dyDescent="0.3">
      <c r="A662" s="685" t="str">
        <f t="shared" si="22"/>
        <v>리브스디자인
(RD)</v>
      </c>
      <c r="B662" s="216" t="s">
        <v>1879</v>
      </c>
      <c r="C662" s="99"/>
      <c r="D662" s="105" t="s">
        <v>2559</v>
      </c>
      <c r="E662" s="218">
        <v>575000</v>
      </c>
    </row>
    <row r="663" spans="1:5" s="218" customFormat="1" ht="12" x14ac:dyDescent="0.3">
      <c r="A663" s="685" t="str">
        <f t="shared" si="22"/>
        <v>리브스디자인
(RD)</v>
      </c>
      <c r="B663" s="216" t="s">
        <v>1879</v>
      </c>
      <c r="C663" s="91">
        <v>250</v>
      </c>
      <c r="D663" s="98" t="s">
        <v>2560</v>
      </c>
      <c r="E663" s="218">
        <v>1250000</v>
      </c>
    </row>
    <row r="664" spans="1:5" s="218" customFormat="1" ht="12" x14ac:dyDescent="0.3">
      <c r="A664" s="685" t="str">
        <f t="shared" si="22"/>
        <v>리브스디자인
(RD)</v>
      </c>
      <c r="B664" s="216" t="s">
        <v>1879</v>
      </c>
      <c r="C664" s="91">
        <v>350</v>
      </c>
      <c r="D664" s="92" t="s">
        <v>2561</v>
      </c>
      <c r="E664" s="218">
        <v>1170000</v>
      </c>
    </row>
    <row r="665" spans="1:5" s="218" customFormat="1" ht="12" x14ac:dyDescent="0.3">
      <c r="A665" s="688" t="str">
        <f t="shared" si="22"/>
        <v>리브스디자인
(RD)</v>
      </c>
      <c r="B665" s="216" t="s">
        <v>1879</v>
      </c>
      <c r="C665" s="106">
        <v>350</v>
      </c>
      <c r="D665" s="219" t="s">
        <v>2562</v>
      </c>
      <c r="E665" s="218">
        <v>1750000</v>
      </c>
    </row>
    <row r="666" spans="1:5" s="218" customFormat="1" ht="16.5" customHeight="1" x14ac:dyDescent="0.3">
      <c r="A666" s="736" t="s">
        <v>2563</v>
      </c>
      <c r="B666" s="216" t="s">
        <v>1879</v>
      </c>
      <c r="C666" s="213">
        <v>120</v>
      </c>
      <c r="D666" s="220" t="s">
        <v>2564</v>
      </c>
      <c r="E666" s="218">
        <v>400000</v>
      </c>
    </row>
    <row r="667" spans="1:5" s="218" customFormat="1" ht="12" x14ac:dyDescent="0.3">
      <c r="A667" s="736" t="str">
        <f t="shared" ref="A667:A673" si="23">A666</f>
        <v>리브스트래디션
(RT) 11/1 이전 재고</v>
      </c>
      <c r="B667" s="216" t="s">
        <v>1879</v>
      </c>
      <c r="C667" s="99"/>
      <c r="D667" s="92" t="s">
        <v>2565</v>
      </c>
      <c r="E667" s="218">
        <v>250000</v>
      </c>
    </row>
    <row r="668" spans="1:5" s="218" customFormat="1" ht="12" x14ac:dyDescent="0.3">
      <c r="A668" s="736" t="str">
        <f t="shared" si="23"/>
        <v>리브스트래디션
(RT) 11/1 이전 재고</v>
      </c>
      <c r="B668" s="216" t="s">
        <v>1879</v>
      </c>
      <c r="C668" s="96">
        <v>170</v>
      </c>
      <c r="D668" s="221" t="s">
        <v>2566</v>
      </c>
      <c r="E668" s="218">
        <v>565000</v>
      </c>
    </row>
    <row r="669" spans="1:5" s="218" customFormat="1" ht="12" x14ac:dyDescent="0.3">
      <c r="A669" s="736" t="str">
        <f t="shared" si="23"/>
        <v>리브스트래디션
(RT) 11/1 이전 재고</v>
      </c>
      <c r="B669" s="216" t="s">
        <v>1879</v>
      </c>
      <c r="C669" s="99"/>
      <c r="D669" s="222" t="s">
        <v>2567</v>
      </c>
      <c r="E669" s="218">
        <v>365000</v>
      </c>
    </row>
    <row r="670" spans="1:5" s="218" customFormat="1" ht="12" x14ac:dyDescent="0.3">
      <c r="A670" s="736" t="str">
        <f t="shared" si="23"/>
        <v>리브스트래디션
(RT) 11/1 이전 재고</v>
      </c>
      <c r="B670" s="216" t="s">
        <v>1879</v>
      </c>
      <c r="C670" s="96">
        <v>250</v>
      </c>
      <c r="D670" s="98" t="s">
        <v>2568</v>
      </c>
      <c r="E670" s="218">
        <v>830000</v>
      </c>
    </row>
    <row r="671" spans="1:5" s="218" customFormat="1" ht="12" x14ac:dyDescent="0.3">
      <c r="A671" s="736" t="str">
        <f t="shared" si="23"/>
        <v>리브스트래디션
(RT) 11/1 이전 재고</v>
      </c>
      <c r="B671" s="216" t="s">
        <v>1879</v>
      </c>
      <c r="C671" s="91"/>
      <c r="D671" s="98" t="s">
        <v>2569</v>
      </c>
      <c r="E671" s="218">
        <v>830000</v>
      </c>
    </row>
    <row r="672" spans="1:5" s="218" customFormat="1" ht="12" x14ac:dyDescent="0.3">
      <c r="A672" s="736" t="str">
        <f t="shared" si="23"/>
        <v>리브스트래디션
(RT) 11/1 이전 재고</v>
      </c>
      <c r="B672" s="216" t="s">
        <v>1879</v>
      </c>
      <c r="C672" s="91"/>
      <c r="D672" s="92" t="s">
        <v>2570</v>
      </c>
      <c r="E672" s="218">
        <v>720000</v>
      </c>
    </row>
    <row r="673" spans="1:5" s="218" customFormat="1" ht="12" x14ac:dyDescent="0.3">
      <c r="A673" s="736" t="str">
        <f t="shared" si="23"/>
        <v>리브스트래디션
(RT) 11/1 이전 재고</v>
      </c>
      <c r="B673" s="216" t="s">
        <v>1879</v>
      </c>
      <c r="C673" s="106"/>
      <c r="D673" s="219" t="s">
        <v>2571</v>
      </c>
      <c r="E673" s="218">
        <v>1010000</v>
      </c>
    </row>
    <row r="674" spans="1:5" s="218" customFormat="1" ht="16.5" customHeight="1" x14ac:dyDescent="0.3">
      <c r="A674" s="736" t="s">
        <v>2572</v>
      </c>
      <c r="B674" s="216" t="s">
        <v>1879</v>
      </c>
      <c r="C674" s="213">
        <v>120</v>
      </c>
      <c r="D674" s="220" t="s">
        <v>2564</v>
      </c>
      <c r="E674" s="218">
        <v>505000</v>
      </c>
    </row>
    <row r="675" spans="1:5" s="218" customFormat="1" ht="12" x14ac:dyDescent="0.3">
      <c r="A675" s="736" t="str">
        <f t="shared" ref="A675:A681" si="24">A674</f>
        <v>리브스트래디션
(RT2) 11/1 이후 입고분</v>
      </c>
      <c r="B675" s="216" t="s">
        <v>1879</v>
      </c>
      <c r="C675" s="99"/>
      <c r="D675" s="92" t="s">
        <v>2565</v>
      </c>
      <c r="E675" s="218">
        <v>250000</v>
      </c>
    </row>
    <row r="676" spans="1:5" s="218" customFormat="1" ht="12" x14ac:dyDescent="0.3">
      <c r="A676" s="736" t="str">
        <f t="shared" si="24"/>
        <v>리브스트래디션
(RT2) 11/1 이후 입고분</v>
      </c>
      <c r="B676" s="216" t="s">
        <v>1879</v>
      </c>
      <c r="C676" s="96">
        <v>170</v>
      </c>
      <c r="D676" s="221" t="s">
        <v>2566</v>
      </c>
      <c r="E676" s="218">
        <v>710000</v>
      </c>
    </row>
    <row r="677" spans="1:5" s="218" customFormat="1" ht="12" x14ac:dyDescent="0.3">
      <c r="A677" s="736" t="str">
        <f t="shared" si="24"/>
        <v>리브스트래디션
(RT2) 11/1 이후 입고분</v>
      </c>
      <c r="B677" s="216" t="s">
        <v>1879</v>
      </c>
      <c r="C677" s="99"/>
      <c r="D677" s="222" t="s">
        <v>2567</v>
      </c>
      <c r="E677" s="218">
        <v>365000</v>
      </c>
    </row>
    <row r="678" spans="1:5" s="218" customFormat="1" ht="12" x14ac:dyDescent="0.3">
      <c r="A678" s="736" t="str">
        <f t="shared" si="24"/>
        <v>리브스트래디션
(RT2) 11/1 이후 입고분</v>
      </c>
      <c r="B678" s="216" t="s">
        <v>1879</v>
      </c>
      <c r="C678" s="96">
        <v>250</v>
      </c>
      <c r="D678" s="93" t="s">
        <v>2568</v>
      </c>
      <c r="E678" s="218">
        <v>1050000</v>
      </c>
    </row>
    <row r="679" spans="1:5" s="218" customFormat="1" ht="12" x14ac:dyDescent="0.3">
      <c r="A679" s="736" t="str">
        <f t="shared" si="24"/>
        <v>리브스트래디션
(RT2) 11/1 이후 입고분</v>
      </c>
      <c r="B679" s="216" t="s">
        <v>1879</v>
      </c>
      <c r="C679" s="91"/>
      <c r="D679" s="98" t="s">
        <v>2569</v>
      </c>
      <c r="E679" s="218">
        <v>1050000</v>
      </c>
    </row>
    <row r="680" spans="1:5" s="218" customFormat="1" ht="12" x14ac:dyDescent="0.3">
      <c r="A680" s="736" t="str">
        <f t="shared" si="24"/>
        <v>리브스트래디션
(RT2) 11/1 이후 입고분</v>
      </c>
      <c r="B680" s="216" t="s">
        <v>1879</v>
      </c>
      <c r="C680" s="91"/>
      <c r="D680" s="92" t="s">
        <v>2570</v>
      </c>
      <c r="E680" s="218">
        <v>720000</v>
      </c>
    </row>
    <row r="681" spans="1:5" s="218" customFormat="1" ht="12" x14ac:dyDescent="0.3">
      <c r="A681" s="736" t="str">
        <f t="shared" si="24"/>
        <v>리브스트래디션
(RT2) 11/1 이후 입고분</v>
      </c>
      <c r="B681" s="216" t="s">
        <v>1879</v>
      </c>
      <c r="C681" s="106"/>
      <c r="D681" s="219" t="s">
        <v>2571</v>
      </c>
      <c r="E681" s="218">
        <v>1260000</v>
      </c>
    </row>
    <row r="682" spans="1:5" ht="15" customHeight="1" x14ac:dyDescent="0.2">
      <c r="A682" s="735" t="s">
        <v>2573</v>
      </c>
      <c r="B682" s="216" t="s">
        <v>2010</v>
      </c>
      <c r="C682" s="213">
        <v>90</v>
      </c>
      <c r="D682" s="223" t="s">
        <v>2052</v>
      </c>
      <c r="E682" s="89">
        <v>140000</v>
      </c>
    </row>
    <row r="683" spans="1:5" ht="15" customHeight="1" x14ac:dyDescent="0.2">
      <c r="A683" s="685" t="str">
        <f t="shared" ref="A683:A696" si="25">A682</f>
        <v>리사이클러스 100%
(REC)*</v>
      </c>
      <c r="B683" s="216" t="s">
        <v>2010</v>
      </c>
      <c r="C683" s="91">
        <v>115</v>
      </c>
      <c r="D683" s="156" t="s">
        <v>2053</v>
      </c>
      <c r="E683" s="89">
        <v>174000</v>
      </c>
    </row>
    <row r="684" spans="1:5" ht="15" customHeight="1" x14ac:dyDescent="0.2">
      <c r="A684" s="685" t="str">
        <f t="shared" si="25"/>
        <v>리사이클러스 100%
(REC)*</v>
      </c>
      <c r="B684" s="216" t="s">
        <v>2010</v>
      </c>
      <c r="C684" s="91">
        <v>150</v>
      </c>
      <c r="D684" s="156" t="s">
        <v>2054</v>
      </c>
      <c r="E684" s="89">
        <v>225000</v>
      </c>
    </row>
    <row r="685" spans="1:5" ht="15" customHeight="1" x14ac:dyDescent="0.2">
      <c r="A685" s="685" t="str">
        <f t="shared" si="25"/>
        <v>리사이클러스 100%
(REC)*</v>
      </c>
      <c r="B685" s="216" t="s">
        <v>2010</v>
      </c>
      <c r="C685" s="91">
        <v>170</v>
      </c>
      <c r="D685" s="156" t="s">
        <v>2055</v>
      </c>
      <c r="E685" s="89">
        <v>255000</v>
      </c>
    </row>
    <row r="686" spans="1:5" ht="15" customHeight="1" x14ac:dyDescent="0.2">
      <c r="A686" s="685" t="str">
        <f t="shared" si="25"/>
        <v>리사이클러스 100%
(REC)*</v>
      </c>
      <c r="B686" s="216" t="s">
        <v>2010</v>
      </c>
      <c r="C686" s="91">
        <v>200</v>
      </c>
      <c r="D686" s="156" t="s">
        <v>2056</v>
      </c>
      <c r="E686" s="89">
        <v>300000</v>
      </c>
    </row>
    <row r="687" spans="1:5" ht="15" customHeight="1" x14ac:dyDescent="0.2">
      <c r="A687" s="685" t="str">
        <f t="shared" si="25"/>
        <v>리사이클러스 100%
(REC)*</v>
      </c>
      <c r="B687" s="216" t="s">
        <v>2010</v>
      </c>
      <c r="C687" s="99">
        <v>240</v>
      </c>
      <c r="D687" s="145" t="s">
        <v>2057</v>
      </c>
      <c r="E687" s="89">
        <v>370000</v>
      </c>
    </row>
    <row r="688" spans="1:5" ht="15" customHeight="1" x14ac:dyDescent="0.2">
      <c r="A688" s="685" t="str">
        <f t="shared" si="25"/>
        <v>리사이클러스 100%
(REC)*</v>
      </c>
      <c r="B688" s="95" t="s">
        <v>1921</v>
      </c>
      <c r="C688" s="96">
        <v>90</v>
      </c>
      <c r="D688" s="139" t="s">
        <v>2574</v>
      </c>
      <c r="E688" s="89">
        <v>96000</v>
      </c>
    </row>
    <row r="689" spans="1:5" ht="15" customHeight="1" x14ac:dyDescent="0.2">
      <c r="A689" s="685" t="str">
        <f t="shared" si="25"/>
        <v>리사이클러스 100%
(REC)*</v>
      </c>
      <c r="B689" s="95" t="s">
        <v>1921</v>
      </c>
      <c r="C689" s="91">
        <v>115</v>
      </c>
      <c r="D689" s="156" t="s">
        <v>2575</v>
      </c>
      <c r="E689" s="89">
        <v>120000</v>
      </c>
    </row>
    <row r="690" spans="1:5" ht="15" customHeight="1" x14ac:dyDescent="0.2">
      <c r="A690" s="685" t="str">
        <f t="shared" si="25"/>
        <v>리사이클러스 100%
(REC)*</v>
      </c>
      <c r="B690" s="95" t="s">
        <v>1921</v>
      </c>
      <c r="C690" s="99">
        <v>150</v>
      </c>
      <c r="D690" s="145" t="s">
        <v>2576</v>
      </c>
      <c r="E690" s="89">
        <v>156000</v>
      </c>
    </row>
    <row r="691" spans="1:5" ht="15" customHeight="1" x14ac:dyDescent="0.2">
      <c r="A691" s="685" t="str">
        <f t="shared" si="25"/>
        <v>리사이클러스 100%
(REC)*</v>
      </c>
      <c r="B691" s="90" t="s">
        <v>2490</v>
      </c>
      <c r="C691" s="91">
        <v>90</v>
      </c>
      <c r="D691" s="156" t="s">
        <v>2577</v>
      </c>
      <c r="E691" s="89">
        <v>96000</v>
      </c>
    </row>
    <row r="692" spans="1:5" ht="15" customHeight="1" x14ac:dyDescent="0.2">
      <c r="A692" s="685" t="str">
        <f t="shared" si="25"/>
        <v>리사이클러스 100%
(REC)*</v>
      </c>
      <c r="B692" s="90" t="s">
        <v>2490</v>
      </c>
      <c r="C692" s="91">
        <v>115</v>
      </c>
      <c r="D692" s="156" t="s">
        <v>2578</v>
      </c>
      <c r="E692" s="89">
        <v>120000</v>
      </c>
    </row>
    <row r="693" spans="1:5" ht="15" customHeight="1" x14ac:dyDescent="0.2">
      <c r="A693" s="685" t="str">
        <f t="shared" si="25"/>
        <v>리사이클러스 100%
(REC)*</v>
      </c>
      <c r="B693" s="90" t="s">
        <v>2490</v>
      </c>
      <c r="C693" s="91">
        <v>150</v>
      </c>
      <c r="D693" s="156" t="s">
        <v>2579</v>
      </c>
      <c r="E693" s="89">
        <v>156000</v>
      </c>
    </row>
    <row r="694" spans="1:5" ht="15" customHeight="1" x14ac:dyDescent="0.2">
      <c r="A694" s="685" t="str">
        <f t="shared" si="25"/>
        <v>리사이클러스 100%
(REC)*</v>
      </c>
      <c r="B694" s="90" t="s">
        <v>2490</v>
      </c>
      <c r="C694" s="91">
        <v>170</v>
      </c>
      <c r="D694" s="156" t="s">
        <v>2580</v>
      </c>
      <c r="E694" s="89">
        <v>177000</v>
      </c>
    </row>
    <row r="695" spans="1:5" ht="15" customHeight="1" x14ac:dyDescent="0.2">
      <c r="A695" s="685" t="str">
        <f t="shared" si="25"/>
        <v>리사이클러스 100%
(REC)*</v>
      </c>
      <c r="B695" s="90" t="s">
        <v>2490</v>
      </c>
      <c r="C695" s="91">
        <v>200</v>
      </c>
      <c r="D695" s="156" t="s">
        <v>2581</v>
      </c>
      <c r="E695" s="89">
        <v>207500</v>
      </c>
    </row>
    <row r="696" spans="1:5" ht="15" customHeight="1" x14ac:dyDescent="0.2">
      <c r="A696" s="688" t="str">
        <f t="shared" si="25"/>
        <v>리사이클러스 100%
(REC)*</v>
      </c>
      <c r="B696" s="90" t="s">
        <v>2490</v>
      </c>
      <c r="C696" s="91">
        <v>240</v>
      </c>
      <c r="D696" s="207" t="s">
        <v>2582</v>
      </c>
      <c r="E696" s="89">
        <v>257000</v>
      </c>
    </row>
    <row r="697" spans="1:5" ht="15" customHeight="1" x14ac:dyDescent="0.2">
      <c r="A697" s="735" t="s">
        <v>2583</v>
      </c>
      <c r="B697" s="216" t="s">
        <v>1879</v>
      </c>
      <c r="C697" s="213">
        <v>81.400000000000006</v>
      </c>
      <c r="D697" s="217" t="s">
        <v>2584</v>
      </c>
      <c r="E697" s="89">
        <v>175000</v>
      </c>
    </row>
    <row r="698" spans="1:5" ht="15" customHeight="1" x14ac:dyDescent="0.2">
      <c r="A698" s="685"/>
      <c r="B698" s="216" t="s">
        <v>1879</v>
      </c>
      <c r="C698" s="91"/>
      <c r="D698" s="224" t="s">
        <v>2585</v>
      </c>
      <c r="E698" s="89">
        <v>155000</v>
      </c>
    </row>
    <row r="699" spans="1:5" ht="15" customHeight="1" x14ac:dyDescent="0.2">
      <c r="A699" s="685" t="str">
        <f>A697</f>
        <v xml:space="preserve">마쉬맬로우
(MRS)
</v>
      </c>
      <c r="B699" s="216" t="s">
        <v>1879</v>
      </c>
      <c r="C699" s="91">
        <v>105</v>
      </c>
      <c r="D699" s="98" t="s">
        <v>2586</v>
      </c>
      <c r="E699" s="89">
        <v>222000</v>
      </c>
    </row>
    <row r="700" spans="1:5" ht="15" customHeight="1" x14ac:dyDescent="0.2">
      <c r="A700" s="685" t="str">
        <f t="shared" ref="A700:A743" si="26">A699</f>
        <v xml:space="preserve">마쉬맬로우
(MRS)
</v>
      </c>
      <c r="B700" s="216" t="s">
        <v>1879</v>
      </c>
      <c r="C700" s="91">
        <v>128</v>
      </c>
      <c r="D700" s="98" t="s">
        <v>1756</v>
      </c>
      <c r="E700" s="89">
        <v>273000</v>
      </c>
    </row>
    <row r="701" spans="1:5" ht="15" customHeight="1" x14ac:dyDescent="0.2">
      <c r="A701" s="685" t="str">
        <f t="shared" si="26"/>
        <v xml:space="preserve">마쉬맬로우
(MRS)
</v>
      </c>
      <c r="B701" s="216" t="s">
        <v>1879</v>
      </c>
      <c r="C701" s="91">
        <v>157</v>
      </c>
      <c r="D701" s="98" t="s">
        <v>1757</v>
      </c>
      <c r="E701" s="89">
        <v>335000</v>
      </c>
    </row>
    <row r="702" spans="1:5" ht="15" customHeight="1" x14ac:dyDescent="0.2">
      <c r="A702" s="685" t="str">
        <f t="shared" si="26"/>
        <v xml:space="preserve">마쉬맬로우
(MRS)
</v>
      </c>
      <c r="B702" s="216" t="s">
        <v>1879</v>
      </c>
      <c r="C702" s="91">
        <v>186</v>
      </c>
      <c r="D702" s="98" t="s">
        <v>2587</v>
      </c>
      <c r="E702" s="89">
        <v>397000</v>
      </c>
    </row>
    <row r="703" spans="1:5" ht="15" customHeight="1" x14ac:dyDescent="0.2">
      <c r="A703" s="685" t="str">
        <f t="shared" si="26"/>
        <v xml:space="preserve">마쉬맬로우
(MRS)
</v>
      </c>
      <c r="B703" s="216" t="s">
        <v>1879</v>
      </c>
      <c r="C703" s="91">
        <v>209</v>
      </c>
      <c r="D703" s="98" t="s">
        <v>2588</v>
      </c>
      <c r="E703" s="89">
        <v>448000</v>
      </c>
    </row>
    <row r="704" spans="1:5" ht="15" customHeight="1" x14ac:dyDescent="0.2">
      <c r="A704" s="685" t="str">
        <f t="shared" si="26"/>
        <v xml:space="preserve">마쉬맬로우
(MRS)
</v>
      </c>
      <c r="B704" s="216" t="s">
        <v>1879</v>
      </c>
      <c r="C704" s="91">
        <v>233</v>
      </c>
      <c r="D704" s="98" t="s">
        <v>2589</v>
      </c>
      <c r="E704" s="89">
        <v>495000</v>
      </c>
    </row>
    <row r="705" spans="1:5" ht="15" customHeight="1" x14ac:dyDescent="0.2">
      <c r="A705" s="685" t="str">
        <f t="shared" si="26"/>
        <v xml:space="preserve">마쉬맬로우
(MRS)
</v>
      </c>
      <c r="B705" s="216" t="s">
        <v>1879</v>
      </c>
      <c r="C705" s="99">
        <v>262</v>
      </c>
      <c r="D705" s="105" t="s">
        <v>2590</v>
      </c>
      <c r="E705" s="89">
        <v>560000</v>
      </c>
    </row>
    <row r="706" spans="1:5" ht="15" customHeight="1" x14ac:dyDescent="0.2">
      <c r="A706" s="685" t="str">
        <f t="shared" si="26"/>
        <v xml:space="preserve">마쉬맬로우
(MRS)
</v>
      </c>
      <c r="B706" s="95" t="s">
        <v>1865</v>
      </c>
      <c r="C706" s="91">
        <v>81.400000000000006</v>
      </c>
      <c r="D706" s="98" t="s">
        <v>2584</v>
      </c>
      <c r="E706" s="89">
        <v>119000</v>
      </c>
    </row>
    <row r="707" spans="1:5" ht="15" customHeight="1" x14ac:dyDescent="0.2">
      <c r="A707" s="685" t="str">
        <f t="shared" si="26"/>
        <v xml:space="preserve">마쉬맬로우
(MRS)
</v>
      </c>
      <c r="B707" s="95" t="s">
        <v>1865</v>
      </c>
      <c r="C707" s="91">
        <v>105</v>
      </c>
      <c r="D707" s="98" t="s">
        <v>2591</v>
      </c>
      <c r="E707" s="89">
        <v>155000</v>
      </c>
    </row>
    <row r="708" spans="1:5" ht="15" customHeight="1" x14ac:dyDescent="0.2">
      <c r="A708" s="685" t="str">
        <f t="shared" si="26"/>
        <v xml:space="preserve">마쉬맬로우
(MRS)
</v>
      </c>
      <c r="B708" s="95" t="s">
        <v>1865</v>
      </c>
      <c r="C708" s="91">
        <v>128</v>
      </c>
      <c r="D708" s="98" t="s">
        <v>2592</v>
      </c>
      <c r="E708" s="89">
        <v>191000</v>
      </c>
    </row>
    <row r="709" spans="1:5" ht="15" customHeight="1" x14ac:dyDescent="0.2">
      <c r="A709" s="685" t="str">
        <f t="shared" si="26"/>
        <v xml:space="preserve">마쉬맬로우
(MRS)
</v>
      </c>
      <c r="B709" s="95" t="s">
        <v>1865</v>
      </c>
      <c r="C709" s="91">
        <v>157</v>
      </c>
      <c r="D709" s="98" t="s">
        <v>2593</v>
      </c>
      <c r="E709" s="89">
        <v>232000</v>
      </c>
    </row>
    <row r="710" spans="1:5" ht="15" customHeight="1" x14ac:dyDescent="0.2">
      <c r="A710" s="685" t="str">
        <f t="shared" si="26"/>
        <v xml:space="preserve">마쉬맬로우
(MRS)
</v>
      </c>
      <c r="B710" s="95" t="s">
        <v>1865</v>
      </c>
      <c r="C710" s="91">
        <v>186</v>
      </c>
      <c r="D710" s="98" t="s">
        <v>2594</v>
      </c>
      <c r="E710" s="89">
        <v>273000</v>
      </c>
    </row>
    <row r="711" spans="1:5" ht="15" customHeight="1" x14ac:dyDescent="0.2">
      <c r="A711" s="685" t="str">
        <f t="shared" si="26"/>
        <v xml:space="preserve">마쉬맬로우
(MRS)
</v>
      </c>
      <c r="B711" s="95" t="s">
        <v>1865</v>
      </c>
      <c r="C711" s="91">
        <v>209</v>
      </c>
      <c r="D711" s="98" t="s">
        <v>2595</v>
      </c>
      <c r="E711" s="89">
        <v>309000</v>
      </c>
    </row>
    <row r="712" spans="1:5" ht="15" customHeight="1" x14ac:dyDescent="0.2">
      <c r="A712" s="685" t="str">
        <f t="shared" si="26"/>
        <v xml:space="preserve">마쉬맬로우
(MRS)
</v>
      </c>
      <c r="B712" s="95" t="s">
        <v>1865</v>
      </c>
      <c r="C712" s="91">
        <v>233</v>
      </c>
      <c r="D712" s="98" t="s">
        <v>2596</v>
      </c>
      <c r="E712" s="89">
        <v>345000</v>
      </c>
    </row>
    <row r="713" spans="1:5" ht="15" customHeight="1" x14ac:dyDescent="0.2">
      <c r="A713" s="685" t="str">
        <f t="shared" si="26"/>
        <v xml:space="preserve">마쉬맬로우
(MRS)
</v>
      </c>
      <c r="B713" s="95" t="s">
        <v>1865</v>
      </c>
      <c r="C713" s="91">
        <v>262</v>
      </c>
      <c r="D713" s="98" t="s">
        <v>2597</v>
      </c>
      <c r="E713" s="89">
        <v>387000</v>
      </c>
    </row>
    <row r="714" spans="1:5" ht="15" customHeight="1" x14ac:dyDescent="0.2">
      <c r="A714" s="685" t="str">
        <f t="shared" si="26"/>
        <v xml:space="preserve">마쉬맬로우
(MRS)
</v>
      </c>
      <c r="B714" s="152" t="s">
        <v>1879</v>
      </c>
      <c r="C714" s="121">
        <v>81.400000000000006</v>
      </c>
      <c r="D714" s="225" t="s">
        <v>2598</v>
      </c>
      <c r="E714" s="89">
        <v>170000</v>
      </c>
    </row>
    <row r="715" spans="1:5" ht="15" customHeight="1" x14ac:dyDescent="0.2">
      <c r="A715" s="685" t="str">
        <f t="shared" si="26"/>
        <v xml:space="preserve">마쉬맬로우
(MRS)
</v>
      </c>
      <c r="B715" s="152" t="s">
        <v>1879</v>
      </c>
      <c r="C715" s="91">
        <v>105</v>
      </c>
      <c r="D715" s="98" t="s">
        <v>2599</v>
      </c>
      <c r="E715" s="89">
        <v>227000</v>
      </c>
    </row>
    <row r="716" spans="1:5" ht="15" customHeight="1" x14ac:dyDescent="0.2">
      <c r="A716" s="685" t="str">
        <f t="shared" si="26"/>
        <v xml:space="preserve">마쉬맬로우
(MRS)
</v>
      </c>
      <c r="B716" s="152" t="s">
        <v>1879</v>
      </c>
      <c r="C716" s="91">
        <v>128</v>
      </c>
      <c r="D716" s="98" t="s">
        <v>2600</v>
      </c>
      <c r="E716" s="89">
        <v>278000</v>
      </c>
    </row>
    <row r="717" spans="1:5" ht="15" customHeight="1" x14ac:dyDescent="0.2">
      <c r="A717" s="685" t="str">
        <f t="shared" si="26"/>
        <v xml:space="preserve">마쉬맬로우
(MRS)
</v>
      </c>
      <c r="B717" s="152" t="s">
        <v>1879</v>
      </c>
      <c r="C717" s="91">
        <v>157</v>
      </c>
      <c r="D717" s="98" t="s">
        <v>2601</v>
      </c>
      <c r="E717" s="89">
        <v>340000</v>
      </c>
    </row>
    <row r="718" spans="1:5" ht="15" customHeight="1" x14ac:dyDescent="0.2">
      <c r="A718" s="685" t="str">
        <f t="shared" si="26"/>
        <v xml:space="preserve">마쉬맬로우
(MRS)
</v>
      </c>
      <c r="B718" s="152" t="s">
        <v>1879</v>
      </c>
      <c r="C718" s="91">
        <v>186</v>
      </c>
      <c r="D718" s="98" t="s">
        <v>2602</v>
      </c>
      <c r="E718" s="89">
        <v>402000</v>
      </c>
    </row>
    <row r="719" spans="1:5" ht="15" customHeight="1" x14ac:dyDescent="0.2">
      <c r="A719" s="685" t="str">
        <f t="shared" si="26"/>
        <v xml:space="preserve">마쉬맬로우
(MRS)
</v>
      </c>
      <c r="B719" s="152" t="s">
        <v>1879</v>
      </c>
      <c r="C719" s="91">
        <v>209</v>
      </c>
      <c r="D719" s="98" t="s">
        <v>2603</v>
      </c>
      <c r="E719" s="89">
        <v>453000</v>
      </c>
    </row>
    <row r="720" spans="1:5" ht="15" customHeight="1" x14ac:dyDescent="0.2">
      <c r="A720" s="685" t="str">
        <f t="shared" si="26"/>
        <v xml:space="preserve">마쉬맬로우
(MRS)
</v>
      </c>
      <c r="B720" s="152" t="s">
        <v>1879</v>
      </c>
      <c r="C720" s="91">
        <v>233</v>
      </c>
      <c r="D720" s="98" t="s">
        <v>2604</v>
      </c>
      <c r="E720" s="89">
        <v>505000</v>
      </c>
    </row>
    <row r="721" spans="1:5" ht="15" customHeight="1" x14ac:dyDescent="0.2">
      <c r="A721" s="685" t="str">
        <f t="shared" si="26"/>
        <v xml:space="preserve">마쉬맬로우
(MRS)
</v>
      </c>
      <c r="B721" s="152" t="s">
        <v>1879</v>
      </c>
      <c r="C721" s="99">
        <v>262</v>
      </c>
      <c r="D721" s="105" t="s">
        <v>2605</v>
      </c>
      <c r="E721" s="89">
        <v>570000</v>
      </c>
    </row>
    <row r="722" spans="1:5" ht="15" customHeight="1" x14ac:dyDescent="0.2">
      <c r="A722" s="685" t="str">
        <f t="shared" si="26"/>
        <v xml:space="preserve">마쉬맬로우
(MRS)
</v>
      </c>
      <c r="B722" s="95" t="s">
        <v>1865</v>
      </c>
      <c r="C722" s="91">
        <v>81.400000000000006</v>
      </c>
      <c r="D722" s="92" t="s">
        <v>2606</v>
      </c>
      <c r="E722" s="89">
        <v>120000</v>
      </c>
    </row>
    <row r="723" spans="1:5" ht="15" customHeight="1" x14ac:dyDescent="0.2">
      <c r="A723" s="685" t="str">
        <f t="shared" si="26"/>
        <v xml:space="preserve">마쉬맬로우
(MRS)
</v>
      </c>
      <c r="B723" s="95" t="s">
        <v>1865</v>
      </c>
      <c r="C723" s="91">
        <v>105</v>
      </c>
      <c r="D723" s="98" t="s">
        <v>2607</v>
      </c>
      <c r="E723" s="89">
        <v>160000</v>
      </c>
    </row>
    <row r="724" spans="1:5" ht="15" customHeight="1" x14ac:dyDescent="0.2">
      <c r="A724" s="685" t="str">
        <f t="shared" si="26"/>
        <v xml:space="preserve">마쉬맬로우
(MRS)
</v>
      </c>
      <c r="B724" s="95" t="s">
        <v>1865</v>
      </c>
      <c r="C724" s="91">
        <v>128</v>
      </c>
      <c r="D724" s="98" t="s">
        <v>2608</v>
      </c>
      <c r="E724" s="89">
        <v>191000</v>
      </c>
    </row>
    <row r="725" spans="1:5" ht="15" customHeight="1" x14ac:dyDescent="0.2">
      <c r="A725" s="685" t="str">
        <f t="shared" si="26"/>
        <v xml:space="preserve">마쉬맬로우
(MRS)
</v>
      </c>
      <c r="B725" s="95" t="s">
        <v>1865</v>
      </c>
      <c r="C725" s="91">
        <v>157</v>
      </c>
      <c r="D725" s="98" t="s">
        <v>1674</v>
      </c>
      <c r="E725" s="89">
        <v>237000</v>
      </c>
    </row>
    <row r="726" spans="1:5" ht="15" customHeight="1" x14ac:dyDescent="0.2">
      <c r="A726" s="685" t="str">
        <f t="shared" si="26"/>
        <v xml:space="preserve">마쉬맬로우
(MRS)
</v>
      </c>
      <c r="B726" s="95" t="s">
        <v>1865</v>
      </c>
      <c r="C726" s="91">
        <v>186</v>
      </c>
      <c r="D726" s="98" t="s">
        <v>2602</v>
      </c>
      <c r="E726" s="89">
        <v>278000</v>
      </c>
    </row>
    <row r="727" spans="1:5" ht="15" customHeight="1" x14ac:dyDescent="0.2">
      <c r="A727" s="685" t="str">
        <f t="shared" si="26"/>
        <v xml:space="preserve">마쉬맬로우
(MRS)
</v>
      </c>
      <c r="B727" s="95" t="s">
        <v>1865</v>
      </c>
      <c r="C727" s="91">
        <v>209</v>
      </c>
      <c r="D727" s="98" t="s">
        <v>1678</v>
      </c>
      <c r="E727" s="89">
        <v>314000</v>
      </c>
    </row>
    <row r="728" spans="1:5" ht="15" customHeight="1" x14ac:dyDescent="0.2">
      <c r="A728" s="685" t="str">
        <f t="shared" si="26"/>
        <v xml:space="preserve">마쉬맬로우
(MRS)
</v>
      </c>
      <c r="B728" s="95" t="s">
        <v>1865</v>
      </c>
      <c r="C728" s="91">
        <v>233</v>
      </c>
      <c r="D728" s="98" t="s">
        <v>1723</v>
      </c>
      <c r="E728" s="89">
        <v>350000</v>
      </c>
    </row>
    <row r="729" spans="1:5" ht="15" customHeight="1" x14ac:dyDescent="0.2">
      <c r="A729" s="685" t="str">
        <f t="shared" si="26"/>
        <v xml:space="preserve">마쉬맬로우
(MRS)
</v>
      </c>
      <c r="B729" s="95" t="s">
        <v>1865</v>
      </c>
      <c r="C729" s="91">
        <v>262</v>
      </c>
      <c r="D729" s="98" t="s">
        <v>2609</v>
      </c>
      <c r="E729" s="89">
        <v>397000</v>
      </c>
    </row>
    <row r="730" spans="1:5" ht="15" customHeight="1" x14ac:dyDescent="0.2">
      <c r="A730" s="685" t="str">
        <f t="shared" si="26"/>
        <v xml:space="preserve">마쉬맬로우
(MRS)
</v>
      </c>
      <c r="B730" s="152" t="s">
        <v>1857</v>
      </c>
      <c r="C730" s="121">
        <v>64</v>
      </c>
      <c r="D730" s="226" t="s">
        <v>2610</v>
      </c>
      <c r="E730" s="89">
        <v>120000</v>
      </c>
    </row>
    <row r="731" spans="1:5" ht="15" customHeight="1" x14ac:dyDescent="0.2">
      <c r="A731" s="685" t="str">
        <f t="shared" si="26"/>
        <v xml:space="preserve">마쉬맬로우
(MRS)
</v>
      </c>
      <c r="B731" s="152" t="s">
        <v>1857</v>
      </c>
      <c r="C731" s="91">
        <v>81.400000000000006</v>
      </c>
      <c r="D731" s="227"/>
      <c r="E731" s="89">
        <v>150000</v>
      </c>
    </row>
    <row r="732" spans="1:5" ht="15" customHeight="1" x14ac:dyDescent="0.2">
      <c r="A732" s="685" t="str">
        <f t="shared" si="26"/>
        <v xml:space="preserve">마쉬맬로우
(MRS)
</v>
      </c>
      <c r="B732" s="152" t="s">
        <v>1857</v>
      </c>
      <c r="C732" s="91">
        <v>105</v>
      </c>
      <c r="D732" s="227"/>
      <c r="E732" s="89">
        <v>195000</v>
      </c>
    </row>
    <row r="733" spans="1:5" ht="15" customHeight="1" x14ac:dyDescent="0.2">
      <c r="A733" s="685" t="str">
        <f t="shared" si="26"/>
        <v xml:space="preserve">마쉬맬로우
(MRS)
</v>
      </c>
      <c r="B733" s="152" t="s">
        <v>1857</v>
      </c>
      <c r="C733" s="91">
        <v>128</v>
      </c>
      <c r="D733" s="227"/>
      <c r="E733" s="89">
        <v>235000</v>
      </c>
    </row>
    <row r="734" spans="1:5" ht="15" customHeight="1" x14ac:dyDescent="0.2">
      <c r="A734" s="685" t="str">
        <f t="shared" si="26"/>
        <v xml:space="preserve">마쉬맬로우
(MRS)
</v>
      </c>
      <c r="B734" s="152" t="s">
        <v>1857</v>
      </c>
      <c r="C734" s="91">
        <v>157</v>
      </c>
      <c r="D734" s="227"/>
      <c r="E734" s="89">
        <v>290000</v>
      </c>
    </row>
    <row r="735" spans="1:5" ht="15" customHeight="1" x14ac:dyDescent="0.2">
      <c r="A735" s="685" t="str">
        <f t="shared" si="26"/>
        <v xml:space="preserve">마쉬맬로우
(MRS)
</v>
      </c>
      <c r="B735" s="152" t="s">
        <v>1857</v>
      </c>
      <c r="C735" s="91">
        <v>186</v>
      </c>
      <c r="D735" s="227"/>
      <c r="E735" s="89">
        <v>335000</v>
      </c>
    </row>
    <row r="736" spans="1:5" ht="15" customHeight="1" x14ac:dyDescent="0.2">
      <c r="A736" s="685" t="str">
        <f t="shared" si="26"/>
        <v xml:space="preserve">마쉬맬로우
(MRS)
</v>
      </c>
      <c r="B736" s="152" t="s">
        <v>1857</v>
      </c>
      <c r="C736" s="91">
        <v>209</v>
      </c>
      <c r="D736" s="227"/>
      <c r="E736" s="89">
        <v>380000</v>
      </c>
    </row>
    <row r="737" spans="1:5" ht="15" customHeight="1" x14ac:dyDescent="0.2">
      <c r="A737" s="685" t="str">
        <f t="shared" si="26"/>
        <v xml:space="preserve">마쉬맬로우
(MRS)
</v>
      </c>
      <c r="B737" s="95" t="s">
        <v>2490</v>
      </c>
      <c r="C737" s="96">
        <v>64</v>
      </c>
      <c r="D737" s="228" t="s">
        <v>2610</v>
      </c>
      <c r="E737" s="89">
        <v>85000</v>
      </c>
    </row>
    <row r="738" spans="1:5" ht="15" customHeight="1" x14ac:dyDescent="0.2">
      <c r="A738" s="685" t="str">
        <f t="shared" si="26"/>
        <v xml:space="preserve">마쉬맬로우
(MRS)
</v>
      </c>
      <c r="B738" s="95" t="s">
        <v>2490</v>
      </c>
      <c r="C738" s="91">
        <v>81.400000000000006</v>
      </c>
      <c r="D738" s="227"/>
      <c r="E738" s="89">
        <v>105000</v>
      </c>
    </row>
    <row r="739" spans="1:5" ht="15" customHeight="1" x14ac:dyDescent="0.2">
      <c r="A739" s="685" t="str">
        <f t="shared" si="26"/>
        <v xml:space="preserve">마쉬맬로우
(MRS)
</v>
      </c>
      <c r="B739" s="95" t="s">
        <v>2490</v>
      </c>
      <c r="C739" s="91">
        <v>105</v>
      </c>
      <c r="D739" s="227"/>
      <c r="E739" s="89">
        <v>135000</v>
      </c>
    </row>
    <row r="740" spans="1:5" ht="15" customHeight="1" x14ac:dyDescent="0.2">
      <c r="A740" s="685" t="str">
        <f t="shared" si="26"/>
        <v xml:space="preserve">마쉬맬로우
(MRS)
</v>
      </c>
      <c r="B740" s="95" t="s">
        <v>2490</v>
      </c>
      <c r="C740" s="91">
        <v>128</v>
      </c>
      <c r="D740" s="227"/>
      <c r="E740" s="89">
        <v>165000</v>
      </c>
    </row>
    <row r="741" spans="1:5" ht="15" customHeight="1" x14ac:dyDescent="0.2">
      <c r="A741" s="685" t="str">
        <f t="shared" si="26"/>
        <v xml:space="preserve">마쉬맬로우
(MRS)
</v>
      </c>
      <c r="B741" s="95" t="s">
        <v>2490</v>
      </c>
      <c r="C741" s="91">
        <v>157</v>
      </c>
      <c r="D741" s="227"/>
      <c r="E741" s="89">
        <v>200000</v>
      </c>
    </row>
    <row r="742" spans="1:5" ht="15" customHeight="1" x14ac:dyDescent="0.2">
      <c r="A742" s="685" t="str">
        <f t="shared" si="26"/>
        <v xml:space="preserve">마쉬맬로우
(MRS)
</v>
      </c>
      <c r="B742" s="95" t="s">
        <v>2490</v>
      </c>
      <c r="C742" s="91">
        <v>186</v>
      </c>
      <c r="D742" s="227"/>
      <c r="E742" s="89">
        <v>235000</v>
      </c>
    </row>
    <row r="743" spans="1:5" ht="15" customHeight="1" x14ac:dyDescent="0.2">
      <c r="A743" s="688" t="str">
        <f t="shared" si="26"/>
        <v xml:space="preserve">마쉬맬로우
(MRS)
</v>
      </c>
      <c r="B743" s="95" t="s">
        <v>2490</v>
      </c>
      <c r="C743" s="229">
        <v>209</v>
      </c>
      <c r="D743" s="230"/>
      <c r="E743" s="89">
        <v>265000</v>
      </c>
    </row>
    <row r="744" spans="1:5" ht="15" customHeight="1" x14ac:dyDescent="0.2">
      <c r="A744" s="759" t="s">
        <v>2611</v>
      </c>
      <c r="B744" s="95" t="s">
        <v>1879</v>
      </c>
      <c r="C744" s="96">
        <v>120</v>
      </c>
      <c r="D744" s="93" t="s">
        <v>2612</v>
      </c>
      <c r="E744" s="89">
        <v>500000</v>
      </c>
    </row>
    <row r="745" spans="1:5" ht="15" customHeight="1" x14ac:dyDescent="0.2">
      <c r="A745" s="729"/>
      <c r="B745" s="95" t="s">
        <v>1879</v>
      </c>
      <c r="C745" s="91"/>
      <c r="D745" s="92" t="s">
        <v>2532</v>
      </c>
      <c r="E745" s="89">
        <v>390000</v>
      </c>
    </row>
    <row r="746" spans="1:5" ht="15" customHeight="1" x14ac:dyDescent="0.2">
      <c r="A746" s="729"/>
      <c r="B746" s="95" t="s">
        <v>1879</v>
      </c>
      <c r="C746" s="91"/>
      <c r="D746" s="92" t="s">
        <v>2613</v>
      </c>
      <c r="E746" s="89">
        <v>410000</v>
      </c>
    </row>
    <row r="747" spans="1:5" ht="15" customHeight="1" x14ac:dyDescent="0.2">
      <c r="A747" s="729"/>
      <c r="B747" s="95" t="s">
        <v>1879</v>
      </c>
      <c r="C747" s="91"/>
      <c r="D747" s="92" t="s">
        <v>2614</v>
      </c>
      <c r="E747" s="89">
        <v>510000</v>
      </c>
    </row>
    <row r="748" spans="1:5" ht="15" customHeight="1" x14ac:dyDescent="0.2">
      <c r="A748" s="729"/>
      <c r="B748" s="95" t="s">
        <v>1879</v>
      </c>
      <c r="C748" s="91"/>
      <c r="D748" s="92" t="s">
        <v>2615</v>
      </c>
      <c r="E748" s="89">
        <v>565000</v>
      </c>
    </row>
    <row r="749" spans="1:5" ht="15" customHeight="1" x14ac:dyDescent="0.2">
      <c r="A749" s="729"/>
      <c r="B749" s="95" t="s">
        <v>1879</v>
      </c>
      <c r="C749" s="91"/>
      <c r="D749" s="98" t="s">
        <v>2616</v>
      </c>
      <c r="E749" s="89">
        <v>575000</v>
      </c>
    </row>
    <row r="750" spans="1:5" ht="15" customHeight="1" x14ac:dyDescent="0.2">
      <c r="A750" s="729"/>
      <c r="B750" s="95" t="s">
        <v>1879</v>
      </c>
      <c r="C750" s="99"/>
      <c r="D750" s="105" t="s">
        <v>2617</v>
      </c>
      <c r="E750" s="89">
        <v>635000</v>
      </c>
    </row>
    <row r="751" spans="1:5" ht="15" customHeight="1" x14ac:dyDescent="0.2">
      <c r="A751" s="729"/>
      <c r="B751" s="95" t="s">
        <v>2618</v>
      </c>
      <c r="C751" s="96">
        <v>120</v>
      </c>
      <c r="D751" s="109" t="s">
        <v>2619</v>
      </c>
      <c r="E751" s="89">
        <v>425000</v>
      </c>
    </row>
    <row r="752" spans="1:5" ht="15" customHeight="1" x14ac:dyDescent="0.2">
      <c r="A752" s="729"/>
      <c r="B752" s="95" t="s">
        <v>2618</v>
      </c>
      <c r="C752" s="91"/>
      <c r="D752" s="98" t="s">
        <v>2620</v>
      </c>
      <c r="E752" s="89">
        <v>445000</v>
      </c>
    </row>
    <row r="753" spans="1:5" ht="15" customHeight="1" x14ac:dyDescent="0.2">
      <c r="A753" s="729"/>
      <c r="B753" s="95" t="s">
        <v>2618</v>
      </c>
      <c r="C753" s="91"/>
      <c r="D753" s="98" t="s">
        <v>2621</v>
      </c>
      <c r="E753" s="89">
        <v>540000</v>
      </c>
    </row>
    <row r="754" spans="1:5" ht="15" customHeight="1" x14ac:dyDescent="0.2">
      <c r="A754" s="729"/>
      <c r="B754" s="95" t="s">
        <v>2618</v>
      </c>
      <c r="C754" s="91"/>
      <c r="D754" s="98" t="s">
        <v>2622</v>
      </c>
      <c r="E754" s="89">
        <v>465000</v>
      </c>
    </row>
    <row r="755" spans="1:5" ht="15" customHeight="1" x14ac:dyDescent="0.2">
      <c r="A755" s="729"/>
      <c r="B755" s="95" t="s">
        <v>2618</v>
      </c>
      <c r="C755" s="91"/>
      <c r="D755" s="98" t="s">
        <v>2623</v>
      </c>
      <c r="E755" s="89">
        <v>410000</v>
      </c>
    </row>
    <row r="756" spans="1:5" ht="15" customHeight="1" x14ac:dyDescent="0.2">
      <c r="A756" s="729"/>
      <c r="B756" s="95" t="s">
        <v>2618</v>
      </c>
      <c r="C756" s="99"/>
      <c r="D756" s="98" t="s">
        <v>2624</v>
      </c>
      <c r="E756" s="89">
        <v>615000</v>
      </c>
    </row>
    <row r="757" spans="1:5" ht="15" customHeight="1" x14ac:dyDescent="0.2">
      <c r="A757" s="729"/>
      <c r="B757" s="95" t="s">
        <v>2625</v>
      </c>
      <c r="C757" s="96">
        <v>120</v>
      </c>
      <c r="D757" s="97" t="s">
        <v>2626</v>
      </c>
    </row>
    <row r="758" spans="1:5" ht="15" customHeight="1" x14ac:dyDescent="0.2">
      <c r="A758" s="729"/>
      <c r="B758" s="95" t="s">
        <v>2625</v>
      </c>
      <c r="C758" s="91"/>
      <c r="D758" s="92" t="s">
        <v>2627</v>
      </c>
    </row>
    <row r="759" spans="1:5" ht="15" customHeight="1" x14ac:dyDescent="0.2">
      <c r="A759" s="729"/>
      <c r="B759" s="152" t="s">
        <v>1879</v>
      </c>
      <c r="C759" s="121">
        <v>200</v>
      </c>
      <c r="D759" s="153" t="s">
        <v>2628</v>
      </c>
      <c r="E759" s="89">
        <v>800000</v>
      </c>
    </row>
    <row r="760" spans="1:5" ht="15" customHeight="1" x14ac:dyDescent="0.2">
      <c r="A760" s="729"/>
      <c r="B760" s="152" t="s">
        <v>1879</v>
      </c>
      <c r="C760" s="99"/>
      <c r="D760" s="105" t="s">
        <v>2629</v>
      </c>
      <c r="E760" s="89">
        <v>940000</v>
      </c>
    </row>
    <row r="761" spans="1:5" ht="15" customHeight="1" x14ac:dyDescent="0.2">
      <c r="A761" s="729"/>
      <c r="B761" s="231" t="s">
        <v>1865</v>
      </c>
      <c r="C761" s="113">
        <v>200</v>
      </c>
      <c r="D761" s="105" t="s">
        <v>2630</v>
      </c>
      <c r="E761" s="89">
        <v>650000</v>
      </c>
    </row>
    <row r="762" spans="1:5" ht="15" customHeight="1" x14ac:dyDescent="0.2">
      <c r="A762" s="729"/>
      <c r="B762" s="232" t="s">
        <v>2631</v>
      </c>
      <c r="C762" s="96">
        <v>200</v>
      </c>
      <c r="D762" s="109" t="s">
        <v>2632</v>
      </c>
      <c r="E762" s="89">
        <v>560000</v>
      </c>
    </row>
    <row r="763" spans="1:5" ht="15" customHeight="1" x14ac:dyDescent="0.2">
      <c r="A763" s="729"/>
      <c r="B763" s="152" t="s">
        <v>1879</v>
      </c>
      <c r="C763" s="121">
        <v>250</v>
      </c>
      <c r="D763" s="153" t="s">
        <v>2633</v>
      </c>
      <c r="E763" s="89">
        <v>985000</v>
      </c>
    </row>
    <row r="764" spans="1:5" ht="15" customHeight="1" x14ac:dyDescent="0.2">
      <c r="A764" s="729"/>
      <c r="B764" s="152" t="s">
        <v>1879</v>
      </c>
      <c r="C764" s="91"/>
      <c r="D764" s="92" t="s">
        <v>2538</v>
      </c>
      <c r="E764" s="89">
        <v>775000</v>
      </c>
    </row>
    <row r="765" spans="1:5" ht="15" customHeight="1" x14ac:dyDescent="0.2">
      <c r="A765" s="729"/>
      <c r="B765" s="152" t="s">
        <v>1879</v>
      </c>
      <c r="C765" s="91"/>
      <c r="D765" s="92" t="s">
        <v>2634</v>
      </c>
      <c r="E765" s="89">
        <v>820000</v>
      </c>
    </row>
    <row r="766" spans="1:5" ht="15" customHeight="1" x14ac:dyDescent="0.2">
      <c r="A766" s="729"/>
      <c r="B766" s="152" t="s">
        <v>1879</v>
      </c>
      <c r="C766" s="91"/>
      <c r="D766" s="92" t="s">
        <v>2635</v>
      </c>
      <c r="E766" s="89">
        <v>1010000</v>
      </c>
    </row>
    <row r="767" spans="1:5" ht="15" customHeight="1" x14ac:dyDescent="0.2">
      <c r="A767" s="729"/>
      <c r="B767" s="152" t="s">
        <v>1879</v>
      </c>
      <c r="C767" s="91"/>
      <c r="D767" s="92" t="s">
        <v>2636</v>
      </c>
      <c r="E767" s="89">
        <v>1165000</v>
      </c>
    </row>
    <row r="768" spans="1:5" ht="15" customHeight="1" x14ac:dyDescent="0.2">
      <c r="A768" s="729"/>
      <c r="B768" s="152" t="s">
        <v>1879</v>
      </c>
      <c r="C768" s="91"/>
      <c r="D768" s="156" t="s">
        <v>2637</v>
      </c>
      <c r="E768" s="89">
        <v>1165000</v>
      </c>
    </row>
    <row r="769" spans="1:5" ht="15" customHeight="1" x14ac:dyDescent="0.2">
      <c r="A769" s="729"/>
      <c r="B769" s="152" t="s">
        <v>1879</v>
      </c>
      <c r="C769" s="99"/>
      <c r="D769" s="145" t="s">
        <v>2638</v>
      </c>
      <c r="E769" s="89">
        <v>1260000</v>
      </c>
    </row>
    <row r="770" spans="1:5" ht="15" customHeight="1" x14ac:dyDescent="0.2">
      <c r="A770" s="729"/>
      <c r="B770" s="95" t="s">
        <v>2618</v>
      </c>
      <c r="C770" s="96">
        <v>250</v>
      </c>
      <c r="D770" s="98" t="s">
        <v>2639</v>
      </c>
      <c r="E770" s="89">
        <v>840000</v>
      </c>
    </row>
    <row r="771" spans="1:5" ht="15" customHeight="1" x14ac:dyDescent="0.2">
      <c r="A771" s="729"/>
      <c r="B771" s="95" t="s">
        <v>2618</v>
      </c>
      <c r="C771" s="91"/>
      <c r="D771" s="98" t="s">
        <v>2552</v>
      </c>
      <c r="E771" s="89">
        <v>895000</v>
      </c>
    </row>
    <row r="772" spans="1:5" ht="15" customHeight="1" x14ac:dyDescent="0.2">
      <c r="A772" s="729"/>
      <c r="B772" s="95" t="s">
        <v>2618</v>
      </c>
      <c r="C772" s="91"/>
      <c r="D772" s="98" t="s">
        <v>2640</v>
      </c>
      <c r="E772" s="89">
        <v>1075000</v>
      </c>
    </row>
    <row r="773" spans="1:5" ht="15" customHeight="1" x14ac:dyDescent="0.2">
      <c r="A773" s="729"/>
      <c r="B773" s="95" t="s">
        <v>2618</v>
      </c>
      <c r="C773" s="91"/>
      <c r="D773" s="98" t="s">
        <v>2641</v>
      </c>
      <c r="E773" s="89">
        <v>1235000</v>
      </c>
    </row>
    <row r="774" spans="1:5" ht="15" customHeight="1" x14ac:dyDescent="0.2">
      <c r="A774" s="729"/>
      <c r="B774" s="95" t="s">
        <v>2618</v>
      </c>
      <c r="C774" s="91"/>
      <c r="D774" s="98" t="s">
        <v>2642</v>
      </c>
      <c r="E774" s="89">
        <v>850000</v>
      </c>
    </row>
    <row r="775" spans="1:5" ht="15" customHeight="1" x14ac:dyDescent="0.2">
      <c r="A775" s="729"/>
      <c r="B775" s="95" t="s">
        <v>2618</v>
      </c>
      <c r="C775" s="91"/>
      <c r="D775" s="233" t="s">
        <v>2643</v>
      </c>
      <c r="E775" s="89">
        <v>900000</v>
      </c>
    </row>
    <row r="776" spans="1:5" ht="15" customHeight="1" x14ac:dyDescent="0.2">
      <c r="A776" s="729"/>
      <c r="B776" s="95" t="s">
        <v>2618</v>
      </c>
      <c r="C776" s="91"/>
      <c r="D776" s="98" t="s">
        <v>2644</v>
      </c>
      <c r="E776" s="89">
        <v>1350000</v>
      </c>
    </row>
    <row r="777" spans="1:5" ht="15" customHeight="1" x14ac:dyDescent="0.2">
      <c r="A777" s="767"/>
      <c r="B777" s="95" t="s">
        <v>2618</v>
      </c>
      <c r="C777" s="99"/>
      <c r="D777" s="105" t="s">
        <v>2645</v>
      </c>
      <c r="E777" s="89">
        <v>1025000</v>
      </c>
    </row>
    <row r="778" spans="1:5" ht="15" customHeight="1" x14ac:dyDescent="0.2">
      <c r="A778" s="759" t="s">
        <v>2646</v>
      </c>
      <c r="B778" s="216" t="s">
        <v>1879</v>
      </c>
      <c r="C778" s="213">
        <v>250</v>
      </c>
      <c r="D778" s="214" t="s">
        <v>2647</v>
      </c>
      <c r="E778" s="89">
        <v>935000</v>
      </c>
    </row>
    <row r="779" spans="1:5" ht="15" customHeight="1" x14ac:dyDescent="0.2">
      <c r="A779" s="729"/>
      <c r="B779" s="216" t="s">
        <v>1879</v>
      </c>
      <c r="C779" s="91"/>
      <c r="D779" s="156" t="s">
        <v>2648</v>
      </c>
      <c r="E779" s="89">
        <v>1190000</v>
      </c>
    </row>
    <row r="780" spans="1:5" ht="15" customHeight="1" x14ac:dyDescent="0.2">
      <c r="A780" s="729"/>
      <c r="B780" s="216" t="s">
        <v>1879</v>
      </c>
      <c r="C780" s="99"/>
      <c r="D780" s="145" t="s">
        <v>2649</v>
      </c>
      <c r="E780" s="89">
        <v>1175000</v>
      </c>
    </row>
    <row r="781" spans="1:5" ht="15" customHeight="1" x14ac:dyDescent="0.2">
      <c r="A781" s="729"/>
      <c r="B781" s="234" t="s">
        <v>1921</v>
      </c>
      <c r="C781" s="235">
        <v>250</v>
      </c>
      <c r="D781" s="236" t="s">
        <v>2650</v>
      </c>
      <c r="E781" s="89">
        <v>810000</v>
      </c>
    </row>
    <row r="782" spans="1:5" ht="15" customHeight="1" x14ac:dyDescent="0.2">
      <c r="A782" s="729"/>
      <c r="B782" s="90" t="s">
        <v>2651</v>
      </c>
      <c r="C782" s="99">
        <v>120</v>
      </c>
      <c r="D782" s="105" t="s">
        <v>2652</v>
      </c>
      <c r="E782" s="89">
        <v>500000</v>
      </c>
    </row>
    <row r="783" spans="1:5" ht="15" customHeight="1" x14ac:dyDescent="0.2">
      <c r="A783" s="729"/>
      <c r="B783" s="90" t="s">
        <v>2651</v>
      </c>
      <c r="C783" s="91">
        <v>250</v>
      </c>
      <c r="D783" s="92" t="s">
        <v>2653</v>
      </c>
      <c r="E783" s="89">
        <v>750000</v>
      </c>
    </row>
    <row r="784" spans="1:5" ht="15" customHeight="1" x14ac:dyDescent="0.2">
      <c r="A784" s="729"/>
      <c r="B784" s="90" t="s">
        <v>2651</v>
      </c>
      <c r="C784" s="91" t="s">
        <v>1868</v>
      </c>
      <c r="D784" s="92" t="s">
        <v>2654</v>
      </c>
      <c r="E784" s="89">
        <v>1150000</v>
      </c>
    </row>
    <row r="785" spans="1:5" ht="15" customHeight="1" x14ac:dyDescent="0.2">
      <c r="A785" s="729"/>
      <c r="B785" s="90" t="s">
        <v>2651</v>
      </c>
      <c r="C785" s="154" t="s">
        <v>1868</v>
      </c>
      <c r="D785" s="237" t="s">
        <v>2655</v>
      </c>
      <c r="E785" s="89">
        <v>870000</v>
      </c>
    </row>
    <row r="786" spans="1:5" ht="15" customHeight="1" x14ac:dyDescent="0.2">
      <c r="A786" s="729"/>
      <c r="B786" s="94" t="s">
        <v>2656</v>
      </c>
      <c r="C786" s="99">
        <v>130</v>
      </c>
      <c r="D786" s="100" t="s">
        <v>2657</v>
      </c>
      <c r="E786" s="89">
        <v>500000</v>
      </c>
    </row>
    <row r="787" spans="1:5" ht="15" customHeight="1" x14ac:dyDescent="0.2">
      <c r="A787" s="730"/>
      <c r="B787" s="200" t="s">
        <v>2658</v>
      </c>
      <c r="C787" s="201">
        <v>120</v>
      </c>
      <c r="D787" s="238" t="s">
        <v>2659</v>
      </c>
    </row>
    <row r="788" spans="1:5" ht="15" customHeight="1" x14ac:dyDescent="0.2">
      <c r="A788" s="688" t="s">
        <v>2660</v>
      </c>
      <c r="B788" s="90" t="s">
        <v>2661</v>
      </c>
      <c r="C788" s="91">
        <v>80</v>
      </c>
      <c r="D788" s="98" t="s">
        <v>2662</v>
      </c>
    </row>
    <row r="789" spans="1:5" ht="15" customHeight="1" x14ac:dyDescent="0.2">
      <c r="A789" s="736" t="str">
        <f t="shared" ref="A789:A803" si="27">A788</f>
        <v>마에스트로칼라
(MAE)</v>
      </c>
      <c r="B789" s="90" t="s">
        <v>2661</v>
      </c>
      <c r="C789" s="91"/>
      <c r="D789" s="206" t="s">
        <v>2663</v>
      </c>
    </row>
    <row r="790" spans="1:5" ht="15" customHeight="1" x14ac:dyDescent="0.2">
      <c r="A790" s="736" t="str">
        <f t="shared" si="27"/>
        <v>마에스트로칼라
(MAE)</v>
      </c>
      <c r="B790" s="90" t="s">
        <v>2661</v>
      </c>
      <c r="C790" s="99"/>
      <c r="D790" s="98" t="s">
        <v>2664</v>
      </c>
    </row>
    <row r="791" spans="1:5" ht="15" customHeight="1" x14ac:dyDescent="0.2">
      <c r="A791" s="736" t="str">
        <f t="shared" si="27"/>
        <v>마에스트로칼라
(MAE)</v>
      </c>
      <c r="B791" s="216" t="s">
        <v>2661</v>
      </c>
      <c r="C791" s="213">
        <v>120</v>
      </c>
      <c r="D791" s="217" t="s">
        <v>2665</v>
      </c>
    </row>
    <row r="792" spans="1:5" ht="15" customHeight="1" x14ac:dyDescent="0.2">
      <c r="A792" s="736" t="str">
        <f t="shared" si="27"/>
        <v>마에스트로칼라
(MAE)</v>
      </c>
      <c r="B792" s="216" t="s">
        <v>2661</v>
      </c>
      <c r="C792" s="91"/>
      <c r="D792" s="98" t="s">
        <v>2666</v>
      </c>
    </row>
    <row r="793" spans="1:5" ht="15" customHeight="1" x14ac:dyDescent="0.2">
      <c r="A793" s="736" t="str">
        <f t="shared" si="27"/>
        <v>마에스트로칼라
(MAE)</v>
      </c>
      <c r="B793" s="95" t="s">
        <v>2667</v>
      </c>
      <c r="C793" s="96">
        <v>120</v>
      </c>
      <c r="D793" s="139" t="s">
        <v>2668</v>
      </c>
      <c r="E793" s="89">
        <v>87500</v>
      </c>
    </row>
    <row r="794" spans="1:5" ht="15" customHeight="1" x14ac:dyDescent="0.2">
      <c r="A794" s="736" t="str">
        <f t="shared" si="27"/>
        <v>마에스트로칼라
(MAE)</v>
      </c>
      <c r="B794" s="95" t="s">
        <v>2667</v>
      </c>
      <c r="C794" s="91"/>
      <c r="D794" s="145" t="s">
        <v>2669</v>
      </c>
      <c r="E794" s="89">
        <v>0</v>
      </c>
    </row>
    <row r="795" spans="1:5" ht="15" customHeight="1" x14ac:dyDescent="0.2">
      <c r="A795" s="736" t="str">
        <f t="shared" si="27"/>
        <v>마에스트로칼라
(MAE)</v>
      </c>
      <c r="B795" s="95" t="s">
        <v>2667</v>
      </c>
      <c r="C795" s="99"/>
      <c r="D795" s="105" t="s">
        <v>2670</v>
      </c>
      <c r="E795" s="89">
        <v>111000</v>
      </c>
    </row>
    <row r="796" spans="1:5" ht="15" customHeight="1" x14ac:dyDescent="0.2">
      <c r="A796" s="736" t="str">
        <f t="shared" si="27"/>
        <v>마에스트로칼라
(MAE)</v>
      </c>
      <c r="B796" s="158" t="s">
        <v>2671</v>
      </c>
      <c r="C796" s="91">
        <v>120</v>
      </c>
      <c r="D796" s="98" t="s">
        <v>2672</v>
      </c>
      <c r="E796" s="89">
        <v>190500</v>
      </c>
    </row>
    <row r="797" spans="1:5" ht="15" customHeight="1" x14ac:dyDescent="0.2">
      <c r="A797" s="736" t="str">
        <f t="shared" si="27"/>
        <v>마에스트로칼라
(MAE)</v>
      </c>
      <c r="B797" s="95" t="s">
        <v>2661</v>
      </c>
      <c r="C797" s="96">
        <v>160</v>
      </c>
      <c r="D797" s="109" t="s">
        <v>2673</v>
      </c>
      <c r="E797" s="89" t="s">
        <v>2008</v>
      </c>
    </row>
    <row r="798" spans="1:5" ht="15" customHeight="1" x14ac:dyDescent="0.2">
      <c r="A798" s="736" t="str">
        <f t="shared" si="27"/>
        <v>마에스트로칼라
(MAE)</v>
      </c>
      <c r="B798" s="95" t="s">
        <v>2661</v>
      </c>
      <c r="C798" s="91"/>
      <c r="D798" s="98" t="s">
        <v>2674</v>
      </c>
      <c r="E798" s="89" t="s">
        <v>2008</v>
      </c>
    </row>
    <row r="799" spans="1:5" ht="15" customHeight="1" x14ac:dyDescent="0.2">
      <c r="A799" s="736" t="str">
        <f t="shared" si="27"/>
        <v>마에스트로칼라
(MAE)</v>
      </c>
      <c r="B799" s="95" t="s">
        <v>2661</v>
      </c>
      <c r="C799" s="91"/>
      <c r="D799" s="206" t="s">
        <v>2675</v>
      </c>
      <c r="E799" s="89" t="s">
        <v>2008</v>
      </c>
    </row>
    <row r="800" spans="1:5" ht="15" customHeight="1" x14ac:dyDescent="0.2">
      <c r="A800" s="736" t="str">
        <f t="shared" si="27"/>
        <v>마에스트로칼라
(MAE)</v>
      </c>
      <c r="B800" s="95" t="s">
        <v>2661</v>
      </c>
      <c r="C800" s="91"/>
      <c r="D800" s="98" t="s">
        <v>2676</v>
      </c>
      <c r="E800" s="89" t="s">
        <v>2008</v>
      </c>
    </row>
    <row r="801" spans="1:5" ht="15" customHeight="1" x14ac:dyDescent="0.2">
      <c r="A801" s="736" t="str">
        <f t="shared" si="27"/>
        <v>마에스트로칼라
(MAE)</v>
      </c>
      <c r="B801" s="95" t="s">
        <v>2661</v>
      </c>
      <c r="C801" s="91"/>
      <c r="D801" s="98" t="s">
        <v>2677</v>
      </c>
      <c r="E801" s="89" t="s">
        <v>2008</v>
      </c>
    </row>
    <row r="802" spans="1:5" ht="15" customHeight="1" x14ac:dyDescent="0.2">
      <c r="A802" s="736" t="str">
        <f t="shared" si="27"/>
        <v>마에스트로칼라
(MAE)</v>
      </c>
      <c r="B802" s="95" t="s">
        <v>2661</v>
      </c>
      <c r="C802" s="91"/>
      <c r="D802" s="98" t="s">
        <v>2678</v>
      </c>
      <c r="E802" s="89" t="s">
        <v>2008</v>
      </c>
    </row>
    <row r="803" spans="1:5" ht="15" customHeight="1" x14ac:dyDescent="0.2">
      <c r="A803" s="736" t="str">
        <f t="shared" si="27"/>
        <v>마에스트로칼라
(MAE)</v>
      </c>
      <c r="B803" s="215" t="s">
        <v>2679</v>
      </c>
      <c r="C803" s="239">
        <v>80</v>
      </c>
      <c r="D803" s="240" t="s">
        <v>2680</v>
      </c>
    </row>
    <row r="804" spans="1:5" ht="15" customHeight="1" thickBot="1" x14ac:dyDescent="0.25">
      <c r="A804" s="760" t="s">
        <v>2681</v>
      </c>
      <c r="B804" s="212" t="s">
        <v>2682</v>
      </c>
      <c r="C804" s="213">
        <v>120</v>
      </c>
      <c r="D804" s="223" t="s">
        <v>2683</v>
      </c>
      <c r="E804" s="89">
        <v>305000</v>
      </c>
    </row>
    <row r="805" spans="1:5" ht="15" customHeight="1" thickBot="1" x14ac:dyDescent="0.25">
      <c r="A805" s="760" t="str">
        <f>A804</f>
        <v xml:space="preserve">마테리카
(MTRC) </v>
      </c>
      <c r="B805" s="212" t="s">
        <v>2682</v>
      </c>
      <c r="C805" s="91"/>
      <c r="D805" s="156" t="s">
        <v>2684</v>
      </c>
      <c r="E805" s="89">
        <v>260000</v>
      </c>
    </row>
    <row r="806" spans="1:5" ht="15" customHeight="1" thickBot="1" x14ac:dyDescent="0.25">
      <c r="A806" s="760" t="str">
        <f t="shared" ref="A806:A814" si="28">A805</f>
        <v xml:space="preserve">마테리카
(MTRC) </v>
      </c>
      <c r="B806" s="212" t="s">
        <v>2682</v>
      </c>
      <c r="C806" s="91"/>
      <c r="D806" s="156" t="s">
        <v>2685</v>
      </c>
      <c r="E806" s="89">
        <v>315000</v>
      </c>
    </row>
    <row r="807" spans="1:5" ht="15" customHeight="1" thickBot="1" x14ac:dyDescent="0.25">
      <c r="A807" s="760" t="str">
        <f t="shared" si="28"/>
        <v xml:space="preserve">마테리카
(MTRC) </v>
      </c>
      <c r="B807" s="212" t="s">
        <v>2682</v>
      </c>
      <c r="C807" s="91"/>
      <c r="D807" s="156" t="s">
        <v>2686</v>
      </c>
      <c r="E807" s="89">
        <v>405000</v>
      </c>
    </row>
    <row r="808" spans="1:5" ht="15" customHeight="1" thickBot="1" x14ac:dyDescent="0.25">
      <c r="A808" s="760" t="str">
        <f t="shared" si="28"/>
        <v xml:space="preserve">마테리카
(MTRC) </v>
      </c>
      <c r="B808" s="212" t="s">
        <v>2682</v>
      </c>
      <c r="C808" s="99"/>
      <c r="D808" s="145" t="s">
        <v>2687</v>
      </c>
      <c r="E808" s="89">
        <v>280000</v>
      </c>
    </row>
    <row r="809" spans="1:5" ht="15" customHeight="1" thickBot="1" x14ac:dyDescent="0.25">
      <c r="A809" s="760" t="str">
        <f t="shared" si="28"/>
        <v xml:space="preserve">마테리카
(MTRC) </v>
      </c>
      <c r="B809" s="90" t="s">
        <v>2618</v>
      </c>
      <c r="C809" s="91">
        <v>120</v>
      </c>
      <c r="D809" s="98" t="s">
        <v>2688</v>
      </c>
      <c r="E809" s="89">
        <v>195000</v>
      </c>
    </row>
    <row r="810" spans="1:5" ht="15" customHeight="1" thickBot="1" x14ac:dyDescent="0.25">
      <c r="A810" s="760" t="str">
        <f>A809</f>
        <v xml:space="preserve">마테리카
(MTRC) </v>
      </c>
      <c r="B810" s="90" t="s">
        <v>2618</v>
      </c>
      <c r="C810" s="91"/>
      <c r="D810" s="98" t="s">
        <v>2689</v>
      </c>
      <c r="E810" s="89">
        <v>325000</v>
      </c>
    </row>
    <row r="811" spans="1:5" ht="15" customHeight="1" thickBot="1" x14ac:dyDescent="0.25">
      <c r="A811" s="760" t="str">
        <f t="shared" si="28"/>
        <v xml:space="preserve">마테리카
(MTRC) </v>
      </c>
      <c r="B811" s="90" t="s">
        <v>2618</v>
      </c>
      <c r="C811" s="91"/>
      <c r="D811" s="98" t="s">
        <v>2690</v>
      </c>
      <c r="E811" s="89">
        <v>260000</v>
      </c>
    </row>
    <row r="812" spans="1:5" ht="15" customHeight="1" thickBot="1" x14ac:dyDescent="0.25">
      <c r="A812" s="760" t="str">
        <f t="shared" si="28"/>
        <v xml:space="preserve">마테리카
(MTRC) </v>
      </c>
      <c r="B812" s="90" t="s">
        <v>2618</v>
      </c>
      <c r="C812" s="91"/>
      <c r="D812" s="98" t="s">
        <v>2691</v>
      </c>
      <c r="E812" s="89">
        <v>275000</v>
      </c>
    </row>
    <row r="813" spans="1:5" ht="15" customHeight="1" thickBot="1" x14ac:dyDescent="0.25">
      <c r="A813" s="760" t="e">
        <f>#REF!</f>
        <v>#REF!</v>
      </c>
      <c r="B813" s="90" t="s">
        <v>2618</v>
      </c>
      <c r="C813" s="241"/>
      <c r="D813" s="98" t="s">
        <v>2692</v>
      </c>
      <c r="E813" s="89">
        <v>350000</v>
      </c>
    </row>
    <row r="814" spans="1:5" ht="15" customHeight="1" thickBot="1" x14ac:dyDescent="0.25">
      <c r="A814" s="760" t="e">
        <f t="shared" si="28"/>
        <v>#REF!</v>
      </c>
      <c r="B814" s="137" t="s">
        <v>2682</v>
      </c>
      <c r="C814" s="96">
        <v>180</v>
      </c>
      <c r="D814" s="109" t="s">
        <v>2693</v>
      </c>
      <c r="E814" s="89">
        <v>455000</v>
      </c>
    </row>
    <row r="815" spans="1:5" ht="15" customHeight="1" thickBot="1" x14ac:dyDescent="0.25">
      <c r="A815" s="760"/>
      <c r="B815" s="137" t="s">
        <v>2682</v>
      </c>
      <c r="C815" s="91"/>
      <c r="D815" s="156" t="s">
        <v>2694</v>
      </c>
      <c r="E815" s="89">
        <v>340000</v>
      </c>
    </row>
    <row r="816" spans="1:5" ht="15" customHeight="1" thickBot="1" x14ac:dyDescent="0.25">
      <c r="A816" s="760" t="e">
        <f>A814</f>
        <v>#REF!</v>
      </c>
      <c r="B816" s="137" t="s">
        <v>2682</v>
      </c>
      <c r="C816" s="91"/>
      <c r="D816" s="98" t="s">
        <v>2695</v>
      </c>
      <c r="E816" s="89">
        <v>420000</v>
      </c>
    </row>
    <row r="817" spans="1:5" ht="15" customHeight="1" thickBot="1" x14ac:dyDescent="0.25">
      <c r="A817" s="760" t="e">
        <f t="shared" ref="A817:A823" si="29">A816</f>
        <v>#REF!</v>
      </c>
      <c r="B817" s="137" t="s">
        <v>2682</v>
      </c>
      <c r="C817" s="91"/>
      <c r="D817" s="98" t="s">
        <v>2696</v>
      </c>
      <c r="E817" s="89">
        <v>425000</v>
      </c>
    </row>
    <row r="818" spans="1:5" ht="15" customHeight="1" thickBot="1" x14ac:dyDescent="0.25">
      <c r="A818" s="760" t="e">
        <f t="shared" si="29"/>
        <v>#REF!</v>
      </c>
      <c r="B818" s="152" t="s">
        <v>2618</v>
      </c>
      <c r="C818" s="242">
        <v>180</v>
      </c>
      <c r="D818" s="153" t="s">
        <v>2697</v>
      </c>
      <c r="E818" s="89">
        <v>290000</v>
      </c>
    </row>
    <row r="819" spans="1:5" ht="15" customHeight="1" thickBot="1" x14ac:dyDescent="0.25">
      <c r="A819" s="760" t="e">
        <f t="shared" si="29"/>
        <v>#REF!</v>
      </c>
      <c r="B819" s="152" t="s">
        <v>2618</v>
      </c>
      <c r="C819" s="243"/>
      <c r="D819" s="98" t="s">
        <v>2698</v>
      </c>
      <c r="E819" s="89">
        <v>395000</v>
      </c>
    </row>
    <row r="820" spans="1:5" ht="15" customHeight="1" thickBot="1" x14ac:dyDescent="0.25">
      <c r="A820" s="760" t="e">
        <f t="shared" si="29"/>
        <v>#REF!</v>
      </c>
      <c r="B820" s="152" t="s">
        <v>2618</v>
      </c>
      <c r="C820" s="243"/>
      <c r="D820" s="98" t="s">
        <v>2699</v>
      </c>
      <c r="E820" s="89">
        <v>360000</v>
      </c>
    </row>
    <row r="821" spans="1:5" ht="15" customHeight="1" thickBot="1" x14ac:dyDescent="0.25">
      <c r="A821" s="760" t="e">
        <f t="shared" si="29"/>
        <v>#REF!</v>
      </c>
      <c r="B821" s="152" t="s">
        <v>2618</v>
      </c>
      <c r="C821" s="243"/>
      <c r="D821" s="98" t="s">
        <v>2700</v>
      </c>
      <c r="E821" s="89">
        <v>405000</v>
      </c>
    </row>
    <row r="822" spans="1:5" ht="15" customHeight="1" thickBot="1" x14ac:dyDescent="0.25">
      <c r="A822" s="760" t="e">
        <f t="shared" si="29"/>
        <v>#REF!</v>
      </c>
      <c r="B822" s="152" t="s">
        <v>2618</v>
      </c>
      <c r="C822" s="243"/>
      <c r="D822" s="98" t="s">
        <v>2701</v>
      </c>
      <c r="E822" s="89">
        <v>520000</v>
      </c>
    </row>
    <row r="823" spans="1:5" ht="15" customHeight="1" thickBot="1" x14ac:dyDescent="0.25">
      <c r="A823" s="760" t="e">
        <f t="shared" si="29"/>
        <v>#REF!</v>
      </c>
      <c r="B823" s="152" t="s">
        <v>2618</v>
      </c>
      <c r="C823" s="243"/>
      <c r="D823" s="98" t="s">
        <v>2702</v>
      </c>
      <c r="E823" s="89">
        <v>360000</v>
      </c>
    </row>
    <row r="824" spans="1:5" ht="15" customHeight="1" thickBot="1" x14ac:dyDescent="0.25">
      <c r="A824" s="760"/>
      <c r="B824" s="152" t="s">
        <v>2618</v>
      </c>
      <c r="C824" s="144"/>
      <c r="D824" s="105" t="s">
        <v>2703</v>
      </c>
      <c r="E824" s="89">
        <v>485000</v>
      </c>
    </row>
    <row r="825" spans="1:5" ht="15" customHeight="1" thickBot="1" x14ac:dyDescent="0.25">
      <c r="A825" s="760">
        <f>A824</f>
        <v>0</v>
      </c>
      <c r="B825" s="137" t="s">
        <v>2682</v>
      </c>
      <c r="C825" s="96">
        <v>250</v>
      </c>
      <c r="D825" s="109" t="s">
        <v>2704</v>
      </c>
      <c r="E825" s="89">
        <v>710000</v>
      </c>
    </row>
    <row r="826" spans="1:5" ht="15" customHeight="1" thickBot="1" x14ac:dyDescent="0.25">
      <c r="A826" s="760"/>
      <c r="B826" s="137" t="s">
        <v>2682</v>
      </c>
      <c r="C826" s="91"/>
      <c r="D826" s="156" t="s">
        <v>2705</v>
      </c>
      <c r="E826" s="89">
        <v>710000</v>
      </c>
    </row>
    <row r="827" spans="1:5" ht="15" customHeight="1" thickBot="1" x14ac:dyDescent="0.25">
      <c r="A827" s="760"/>
      <c r="B827" s="137" t="s">
        <v>2682</v>
      </c>
      <c r="C827" s="91"/>
      <c r="D827" s="98" t="s">
        <v>2706</v>
      </c>
      <c r="E827" s="89">
        <v>650000</v>
      </c>
    </row>
    <row r="828" spans="1:5" ht="15" customHeight="1" thickBot="1" x14ac:dyDescent="0.25">
      <c r="A828" s="760">
        <f>A825</f>
        <v>0</v>
      </c>
      <c r="B828" s="137" t="s">
        <v>2682</v>
      </c>
      <c r="C828" s="91"/>
      <c r="D828" s="98" t="s">
        <v>2707</v>
      </c>
      <c r="E828" s="89">
        <v>525000</v>
      </c>
    </row>
    <row r="829" spans="1:5" ht="15" customHeight="1" thickBot="1" x14ac:dyDescent="0.25">
      <c r="A829" s="760">
        <f t="shared" ref="A829:A835" si="30">A828</f>
        <v>0</v>
      </c>
      <c r="B829" s="137" t="s">
        <v>2682</v>
      </c>
      <c r="C829" s="91"/>
      <c r="D829" s="98" t="s">
        <v>2708</v>
      </c>
      <c r="E829" s="89">
        <v>625000</v>
      </c>
    </row>
    <row r="830" spans="1:5" ht="15" customHeight="1" thickBot="1" x14ac:dyDescent="0.25">
      <c r="A830" s="760">
        <f t="shared" si="30"/>
        <v>0</v>
      </c>
      <c r="B830" s="95" t="s">
        <v>2618</v>
      </c>
      <c r="C830" s="96">
        <v>250</v>
      </c>
      <c r="D830" s="109" t="s">
        <v>2709</v>
      </c>
      <c r="E830" s="89">
        <v>435000</v>
      </c>
    </row>
    <row r="831" spans="1:5" ht="15" customHeight="1" thickBot="1" x14ac:dyDescent="0.25">
      <c r="A831" s="760">
        <f t="shared" si="30"/>
        <v>0</v>
      </c>
      <c r="B831" s="95" t="s">
        <v>2618</v>
      </c>
      <c r="C831" s="91"/>
      <c r="D831" s="98" t="s">
        <v>2710</v>
      </c>
      <c r="E831" s="89">
        <v>605000</v>
      </c>
    </row>
    <row r="832" spans="1:5" ht="15" customHeight="1" thickBot="1" x14ac:dyDescent="0.25">
      <c r="A832" s="760">
        <f t="shared" si="30"/>
        <v>0</v>
      </c>
      <c r="B832" s="95" t="s">
        <v>2618</v>
      </c>
      <c r="C832" s="91"/>
      <c r="D832" s="98" t="s">
        <v>2711</v>
      </c>
      <c r="E832" s="89">
        <v>750000</v>
      </c>
    </row>
    <row r="833" spans="1:5" ht="15" customHeight="1" thickBot="1" x14ac:dyDescent="0.25">
      <c r="A833" s="760">
        <f t="shared" si="30"/>
        <v>0</v>
      </c>
      <c r="B833" s="95" t="s">
        <v>2618</v>
      </c>
      <c r="C833" s="91"/>
      <c r="D833" s="98" t="s">
        <v>2712</v>
      </c>
      <c r="E833" s="89">
        <v>525000</v>
      </c>
    </row>
    <row r="834" spans="1:5" ht="15" customHeight="1" thickBot="1" x14ac:dyDescent="0.25">
      <c r="A834" s="760">
        <f t="shared" si="30"/>
        <v>0</v>
      </c>
      <c r="B834" s="95" t="s">
        <v>2618</v>
      </c>
      <c r="C834" s="99"/>
      <c r="D834" s="105" t="s">
        <v>2713</v>
      </c>
      <c r="E834" s="89">
        <v>710000</v>
      </c>
    </row>
    <row r="835" spans="1:5" ht="15" customHeight="1" thickBot="1" x14ac:dyDescent="0.25">
      <c r="A835" s="760">
        <f t="shared" si="30"/>
        <v>0</v>
      </c>
      <c r="B835" s="118" t="s">
        <v>2682</v>
      </c>
      <c r="C835" s="91">
        <v>360</v>
      </c>
      <c r="D835" s="98" t="s">
        <v>2653</v>
      </c>
      <c r="E835" s="89">
        <v>1025000</v>
      </c>
    </row>
    <row r="836" spans="1:5" ht="15" customHeight="1" thickBot="1" x14ac:dyDescent="0.25">
      <c r="A836" s="760"/>
      <c r="B836" s="118" t="s">
        <v>2682</v>
      </c>
      <c r="C836" s="91"/>
      <c r="D836" s="98" t="s">
        <v>1893</v>
      </c>
      <c r="E836" s="89">
        <v>1025000</v>
      </c>
    </row>
    <row r="837" spans="1:5" ht="15" customHeight="1" thickBot="1" x14ac:dyDescent="0.25">
      <c r="A837" s="760">
        <f>A835</f>
        <v>0</v>
      </c>
      <c r="B837" s="118" t="s">
        <v>2682</v>
      </c>
      <c r="C837" s="91"/>
      <c r="D837" s="98" t="s">
        <v>2714</v>
      </c>
      <c r="E837" s="89">
        <v>735000</v>
      </c>
    </row>
    <row r="838" spans="1:5" ht="15" customHeight="1" thickBot="1" x14ac:dyDescent="0.25">
      <c r="A838" s="760">
        <f>A837</f>
        <v>0</v>
      </c>
      <c r="B838" s="118" t="s">
        <v>2682</v>
      </c>
      <c r="C838" s="91"/>
      <c r="D838" s="98" t="s">
        <v>2715</v>
      </c>
      <c r="E838" s="89">
        <v>900000</v>
      </c>
    </row>
    <row r="839" spans="1:5" ht="15" customHeight="1" thickBot="1" x14ac:dyDescent="0.25">
      <c r="A839" s="760">
        <f>A838</f>
        <v>0</v>
      </c>
      <c r="B839" s="95" t="s">
        <v>2618</v>
      </c>
      <c r="C839" s="96">
        <v>360</v>
      </c>
      <c r="D839" s="109" t="s">
        <v>2716</v>
      </c>
      <c r="E839" s="89">
        <v>875000</v>
      </c>
    </row>
    <row r="840" spans="1:5" ht="15" customHeight="1" x14ac:dyDescent="0.2">
      <c r="A840" s="735">
        <f>A839</f>
        <v>0</v>
      </c>
      <c r="B840" s="95" t="s">
        <v>2618</v>
      </c>
      <c r="C840" s="91"/>
      <c r="D840" s="98" t="s">
        <v>2717</v>
      </c>
      <c r="E840" s="89">
        <v>1025000</v>
      </c>
    </row>
    <row r="841" spans="1:5" ht="15" customHeight="1" x14ac:dyDescent="0.2">
      <c r="A841" s="735">
        <f>A840</f>
        <v>0</v>
      </c>
      <c r="B841" s="95" t="s">
        <v>2618</v>
      </c>
      <c r="C841" s="91"/>
      <c r="D841" s="98" t="s">
        <v>2718</v>
      </c>
      <c r="E841" s="89">
        <v>1200000</v>
      </c>
    </row>
    <row r="842" spans="1:5" ht="15" customHeight="1" x14ac:dyDescent="0.2">
      <c r="A842" s="735">
        <f>A841</f>
        <v>0</v>
      </c>
      <c r="B842" s="95" t="s">
        <v>2618</v>
      </c>
      <c r="C842" s="91"/>
      <c r="D842" s="98" t="s">
        <v>2719</v>
      </c>
      <c r="E842" s="89">
        <v>760000</v>
      </c>
    </row>
    <row r="843" spans="1:5" s="218" customFormat="1" ht="15" customHeight="1" x14ac:dyDescent="0.3">
      <c r="A843" s="761" t="s">
        <v>2720</v>
      </c>
      <c r="B843" s="244" t="s">
        <v>2721</v>
      </c>
      <c r="C843" s="245">
        <v>293</v>
      </c>
      <c r="D843" s="246" t="s">
        <v>2722</v>
      </c>
      <c r="E843" s="218" t="s">
        <v>2008</v>
      </c>
    </row>
    <row r="844" spans="1:5" s="218" customFormat="1" ht="15" customHeight="1" x14ac:dyDescent="0.3">
      <c r="A844" s="762" t="str">
        <f t="shared" ref="A844:A862" si="31">A843</f>
        <v xml:space="preserve">멀티크라프트
(MK) </v>
      </c>
      <c r="B844" s="152" t="s">
        <v>2725</v>
      </c>
      <c r="C844" s="243">
        <v>293</v>
      </c>
      <c r="D844" s="247" t="s">
        <v>2726</v>
      </c>
    </row>
    <row r="845" spans="1:5" s="218" customFormat="1" ht="15" customHeight="1" x14ac:dyDescent="0.3">
      <c r="A845" s="762" t="str">
        <f t="shared" si="31"/>
        <v xml:space="preserve">멀티크라프트
(MK) </v>
      </c>
      <c r="B845" s="248" t="s">
        <v>2724</v>
      </c>
      <c r="C845" s="243">
        <v>332</v>
      </c>
      <c r="D845" s="247" t="s">
        <v>2727</v>
      </c>
    </row>
    <row r="846" spans="1:5" s="218" customFormat="1" ht="15" customHeight="1" x14ac:dyDescent="0.3">
      <c r="A846" s="762" t="str">
        <f t="shared" si="31"/>
        <v xml:space="preserve">멀티크라프트
(MK) </v>
      </c>
      <c r="B846" s="90" t="s">
        <v>2724</v>
      </c>
      <c r="C846" s="243">
        <v>361</v>
      </c>
      <c r="D846" s="247" t="s">
        <v>2728</v>
      </c>
    </row>
    <row r="847" spans="1:5" s="218" customFormat="1" ht="15" customHeight="1" x14ac:dyDescent="0.3">
      <c r="A847" s="762" t="str">
        <f t="shared" si="31"/>
        <v xml:space="preserve">멀티크라프트
(MK) </v>
      </c>
      <c r="B847" s="90" t="s">
        <v>2724</v>
      </c>
      <c r="C847" s="243">
        <v>420</v>
      </c>
      <c r="D847" s="247" t="s">
        <v>2729</v>
      </c>
    </row>
    <row r="848" spans="1:5" s="218" customFormat="1" ht="15" customHeight="1" x14ac:dyDescent="0.3">
      <c r="A848" s="762" t="str">
        <f t="shared" si="31"/>
        <v xml:space="preserve">멀티크라프트
(MK) </v>
      </c>
      <c r="B848" s="152" t="s">
        <v>2730</v>
      </c>
      <c r="C848" s="249">
        <v>293</v>
      </c>
      <c r="D848" s="250" t="s">
        <v>2731</v>
      </c>
    </row>
    <row r="849" spans="1:5" s="218" customFormat="1" ht="15" customHeight="1" x14ac:dyDescent="0.3">
      <c r="A849" s="762" t="str">
        <f t="shared" si="31"/>
        <v xml:space="preserve">멀티크라프트
(MK) </v>
      </c>
      <c r="B849" s="90" t="s">
        <v>2724</v>
      </c>
      <c r="C849" s="243">
        <v>332</v>
      </c>
      <c r="D849" s="247" t="s">
        <v>2732</v>
      </c>
    </row>
    <row r="850" spans="1:5" s="218" customFormat="1" ht="15" customHeight="1" x14ac:dyDescent="0.3">
      <c r="A850" s="762" t="str">
        <f t="shared" si="31"/>
        <v xml:space="preserve">멀티크라프트
(MK) </v>
      </c>
      <c r="B850" s="90" t="s">
        <v>2724</v>
      </c>
      <c r="C850" s="243">
        <v>361</v>
      </c>
      <c r="D850" s="247" t="s">
        <v>2733</v>
      </c>
    </row>
    <row r="851" spans="1:5" s="218" customFormat="1" ht="15" customHeight="1" x14ac:dyDescent="0.3">
      <c r="A851" s="762" t="str">
        <f t="shared" si="31"/>
        <v xml:space="preserve">멀티크라프트
(MK) </v>
      </c>
      <c r="B851" s="251" t="s">
        <v>2010</v>
      </c>
      <c r="C851" s="249">
        <v>293</v>
      </c>
      <c r="D851" s="252" t="s">
        <v>2734</v>
      </c>
      <c r="E851" s="218">
        <v>380000</v>
      </c>
    </row>
    <row r="852" spans="1:5" s="218" customFormat="1" ht="15" customHeight="1" x14ac:dyDescent="0.3">
      <c r="A852" s="762" t="str">
        <f t="shared" si="31"/>
        <v xml:space="preserve">멀티크라프트
(MK) </v>
      </c>
      <c r="B852" s="253" t="s">
        <v>1868</v>
      </c>
      <c r="C852" s="243">
        <v>332</v>
      </c>
      <c r="D852" s="254" t="s">
        <v>2735</v>
      </c>
      <c r="E852" s="218">
        <v>410000</v>
      </c>
    </row>
    <row r="853" spans="1:5" s="218" customFormat="1" ht="15" customHeight="1" x14ac:dyDescent="0.3">
      <c r="A853" s="762" t="str">
        <f t="shared" si="31"/>
        <v xml:space="preserve">멀티크라프트
(MK) </v>
      </c>
      <c r="B853" s="253" t="s">
        <v>1868</v>
      </c>
      <c r="C853" s="243">
        <v>361</v>
      </c>
      <c r="D853" s="254" t="s">
        <v>2736</v>
      </c>
      <c r="E853" s="218">
        <v>450000</v>
      </c>
    </row>
    <row r="854" spans="1:5" s="218" customFormat="1" ht="15" customHeight="1" x14ac:dyDescent="0.3">
      <c r="A854" s="762" t="str">
        <f t="shared" si="31"/>
        <v xml:space="preserve">멀티크라프트
(MK) </v>
      </c>
      <c r="B854" s="255" t="s">
        <v>1868</v>
      </c>
      <c r="C854" s="144">
        <v>420</v>
      </c>
      <c r="D854" s="256" t="s">
        <v>2737</v>
      </c>
      <c r="E854" s="218">
        <v>440000</v>
      </c>
    </row>
    <row r="855" spans="1:5" s="218" customFormat="1" ht="15" customHeight="1" x14ac:dyDescent="0.3">
      <c r="A855" s="762" t="str">
        <f t="shared" si="31"/>
        <v xml:space="preserve">멀티크라프트
(MK) </v>
      </c>
      <c r="B855" s="253" t="s">
        <v>2738</v>
      </c>
      <c r="C855" s="243">
        <v>293</v>
      </c>
      <c r="D855" s="254" t="s">
        <v>2739</v>
      </c>
      <c r="E855" s="218">
        <v>196000</v>
      </c>
    </row>
    <row r="856" spans="1:5" s="218" customFormat="1" ht="15" customHeight="1" x14ac:dyDescent="0.3">
      <c r="A856" s="762" t="str">
        <f t="shared" si="31"/>
        <v xml:space="preserve">멀티크라프트
(MK) </v>
      </c>
      <c r="B856" s="253" t="s">
        <v>1868</v>
      </c>
      <c r="C856" s="243">
        <v>332</v>
      </c>
      <c r="D856" s="254" t="s">
        <v>2740</v>
      </c>
      <c r="E856" s="218">
        <v>211000</v>
      </c>
    </row>
    <row r="857" spans="1:5" s="218" customFormat="1" ht="15" customHeight="1" x14ac:dyDescent="0.3">
      <c r="A857" s="762" t="str">
        <f t="shared" si="31"/>
        <v xml:space="preserve">멀티크라프트
(MK) </v>
      </c>
      <c r="B857" s="253" t="s">
        <v>1868</v>
      </c>
      <c r="C857" s="243">
        <v>361</v>
      </c>
      <c r="D857" s="254" t="s">
        <v>2741</v>
      </c>
      <c r="E857" s="218">
        <v>232000</v>
      </c>
    </row>
    <row r="858" spans="1:5" s="218" customFormat="1" ht="15" customHeight="1" x14ac:dyDescent="0.3">
      <c r="A858" s="762" t="str">
        <f t="shared" si="31"/>
        <v xml:space="preserve">멀티크라프트
(MK) </v>
      </c>
      <c r="B858" s="253" t="s">
        <v>1868</v>
      </c>
      <c r="C858" s="243">
        <v>420</v>
      </c>
      <c r="D858" s="254" t="s">
        <v>2742</v>
      </c>
      <c r="E858" s="218">
        <v>210000</v>
      </c>
    </row>
    <row r="859" spans="1:5" s="218" customFormat="1" ht="15" customHeight="1" x14ac:dyDescent="0.3">
      <c r="A859" s="762" t="str">
        <f t="shared" si="31"/>
        <v xml:space="preserve">멀티크라프트
(MK) </v>
      </c>
      <c r="B859" s="95" t="s">
        <v>2743</v>
      </c>
      <c r="C859" s="249">
        <v>293</v>
      </c>
      <c r="D859" s="252" t="s">
        <v>2744</v>
      </c>
      <c r="E859" s="218">
        <v>265000</v>
      </c>
    </row>
    <row r="860" spans="1:5" s="218" customFormat="1" ht="15" customHeight="1" x14ac:dyDescent="0.3">
      <c r="A860" s="762" t="str">
        <f t="shared" si="31"/>
        <v xml:space="preserve">멀티크라프트
(MK) </v>
      </c>
      <c r="B860" s="90" t="s">
        <v>1868</v>
      </c>
      <c r="C860" s="243">
        <v>332</v>
      </c>
      <c r="D860" s="254" t="s">
        <v>2745</v>
      </c>
      <c r="E860" s="218">
        <v>287000</v>
      </c>
    </row>
    <row r="861" spans="1:5" s="218" customFormat="1" ht="15" customHeight="1" x14ac:dyDescent="0.3">
      <c r="A861" s="762" t="str">
        <f t="shared" si="31"/>
        <v xml:space="preserve">멀티크라프트
(MK) </v>
      </c>
      <c r="B861" s="90"/>
      <c r="C861" s="243">
        <v>361</v>
      </c>
      <c r="D861" s="254" t="s">
        <v>2055</v>
      </c>
      <c r="E861" s="218">
        <v>312000</v>
      </c>
    </row>
    <row r="862" spans="1:5" s="218" customFormat="1" ht="15" customHeight="1" x14ac:dyDescent="0.3">
      <c r="A862" s="763" t="str">
        <f t="shared" si="31"/>
        <v xml:space="preserve">멀티크라프트
(MK) </v>
      </c>
      <c r="B862" s="110" t="s">
        <v>1868</v>
      </c>
      <c r="C862" s="257">
        <v>391</v>
      </c>
      <c r="D862" s="254" t="s">
        <v>2746</v>
      </c>
      <c r="E862" s="218">
        <v>245000</v>
      </c>
    </row>
    <row r="863" spans="1:5" ht="15" customHeight="1" x14ac:dyDescent="0.2">
      <c r="A863" s="736" t="s">
        <v>2747</v>
      </c>
      <c r="B863" s="258" t="s">
        <v>1857</v>
      </c>
      <c r="C863" s="213">
        <v>115</v>
      </c>
      <c r="D863" s="217" t="s">
        <v>2748</v>
      </c>
      <c r="E863" s="89">
        <v>165000</v>
      </c>
    </row>
    <row r="864" spans="1:5" ht="15" customHeight="1" x14ac:dyDescent="0.2">
      <c r="A864" s="736" t="str">
        <f t="shared" ref="A864:A882" si="32">A863</f>
        <v xml:space="preserve">메들리벨벳
(MV)
</v>
      </c>
      <c r="B864" s="258" t="s">
        <v>1857</v>
      </c>
      <c r="C864" s="91">
        <v>135</v>
      </c>
      <c r="D864" s="98" t="s">
        <v>2749</v>
      </c>
      <c r="E864" s="89">
        <v>190000</v>
      </c>
    </row>
    <row r="865" spans="1:5" ht="15" customHeight="1" x14ac:dyDescent="0.2">
      <c r="A865" s="736" t="str">
        <f t="shared" si="32"/>
        <v xml:space="preserve">메들리벨벳
(MV)
</v>
      </c>
      <c r="B865" s="258" t="s">
        <v>1857</v>
      </c>
      <c r="C865" s="91">
        <v>150</v>
      </c>
      <c r="D865" s="98" t="s">
        <v>2750</v>
      </c>
      <c r="E865" s="89">
        <v>195000</v>
      </c>
    </row>
    <row r="866" spans="1:5" ht="15" customHeight="1" x14ac:dyDescent="0.2">
      <c r="A866" s="736" t="str">
        <f t="shared" si="32"/>
        <v xml:space="preserve">메들리벨벳
(MV)
</v>
      </c>
      <c r="B866" s="258" t="s">
        <v>1857</v>
      </c>
      <c r="C866" s="91">
        <v>170</v>
      </c>
      <c r="D866" s="98" t="s">
        <v>2590</v>
      </c>
      <c r="E866" s="89">
        <v>235000</v>
      </c>
    </row>
    <row r="867" spans="1:5" ht="15" customHeight="1" x14ac:dyDescent="0.2">
      <c r="A867" s="736" t="str">
        <f t="shared" si="32"/>
        <v xml:space="preserve">메들리벨벳
(MV)
</v>
      </c>
      <c r="B867" s="258" t="s">
        <v>1857</v>
      </c>
      <c r="C867" s="91">
        <v>200</v>
      </c>
      <c r="D867" s="98" t="s">
        <v>2751</v>
      </c>
      <c r="E867" s="89">
        <v>270000</v>
      </c>
    </row>
    <row r="868" spans="1:5" ht="15" customHeight="1" x14ac:dyDescent="0.2">
      <c r="A868" s="736" t="str">
        <f t="shared" si="32"/>
        <v xml:space="preserve">메들리벨벳
(MV)
</v>
      </c>
      <c r="B868" s="258" t="s">
        <v>1857</v>
      </c>
      <c r="C868" s="91">
        <v>250</v>
      </c>
      <c r="D868" s="98" t="s">
        <v>1672</v>
      </c>
      <c r="E868" s="89">
        <v>345000</v>
      </c>
    </row>
    <row r="869" spans="1:5" ht="15" customHeight="1" x14ac:dyDescent="0.2">
      <c r="A869" s="736" t="str">
        <f t="shared" si="32"/>
        <v xml:space="preserve">메들리벨벳
(MV)
</v>
      </c>
      <c r="B869" s="258" t="s">
        <v>1857</v>
      </c>
      <c r="C869" s="99">
        <v>300</v>
      </c>
      <c r="D869" s="105" t="s">
        <v>2752</v>
      </c>
      <c r="E869" s="89">
        <v>385000</v>
      </c>
    </row>
    <row r="870" spans="1:5" ht="15" customHeight="1" x14ac:dyDescent="0.2">
      <c r="A870" s="736" t="str">
        <f t="shared" si="32"/>
        <v xml:space="preserve">메들리벨벳
(MV)
</v>
      </c>
      <c r="B870" s="253" t="s">
        <v>1865</v>
      </c>
      <c r="C870" s="91">
        <v>115</v>
      </c>
      <c r="D870" s="98" t="s">
        <v>2753</v>
      </c>
      <c r="E870" s="89">
        <v>110000</v>
      </c>
    </row>
    <row r="871" spans="1:5" ht="15" customHeight="1" x14ac:dyDescent="0.2">
      <c r="A871" s="736" t="str">
        <f t="shared" si="32"/>
        <v xml:space="preserve">메들리벨벳
(MV)
</v>
      </c>
      <c r="B871" s="253" t="s">
        <v>1865</v>
      </c>
      <c r="C871" s="91">
        <v>135</v>
      </c>
      <c r="D871" s="98" t="s">
        <v>2587</v>
      </c>
      <c r="E871" s="89">
        <v>127000</v>
      </c>
    </row>
    <row r="872" spans="1:5" ht="15" customHeight="1" x14ac:dyDescent="0.2">
      <c r="A872" s="736" t="str">
        <f t="shared" si="32"/>
        <v xml:space="preserve">메들리벨벳
(MV)
</v>
      </c>
      <c r="B872" s="253" t="s">
        <v>1865</v>
      </c>
      <c r="C872" s="91">
        <v>150</v>
      </c>
      <c r="D872" s="98" t="s">
        <v>2588</v>
      </c>
      <c r="E872" s="89">
        <v>133000</v>
      </c>
    </row>
    <row r="873" spans="1:5" ht="15" customHeight="1" x14ac:dyDescent="0.2">
      <c r="A873" s="736" t="str">
        <f t="shared" si="32"/>
        <v xml:space="preserve">메들리벨벳
(MV)
</v>
      </c>
      <c r="B873" s="253" t="s">
        <v>1865</v>
      </c>
      <c r="C873" s="91">
        <v>170</v>
      </c>
      <c r="D873" s="98" t="s">
        <v>2586</v>
      </c>
      <c r="E873" s="89">
        <v>145000</v>
      </c>
    </row>
    <row r="874" spans="1:5" ht="15" customHeight="1" x14ac:dyDescent="0.2">
      <c r="A874" s="736" t="str">
        <f t="shared" si="32"/>
        <v xml:space="preserve">메들리벨벳
(MV)
</v>
      </c>
      <c r="B874" s="253" t="s">
        <v>1865</v>
      </c>
      <c r="C874" s="91">
        <v>200</v>
      </c>
      <c r="D874" s="98">
        <v>5</v>
      </c>
      <c r="E874" s="89">
        <v>180000</v>
      </c>
    </row>
    <row r="875" spans="1:5" ht="15" customHeight="1" x14ac:dyDescent="0.2">
      <c r="A875" s="736" t="str">
        <f t="shared" si="32"/>
        <v xml:space="preserve">메들리벨벳
(MV)
</v>
      </c>
      <c r="B875" s="253" t="s">
        <v>1865</v>
      </c>
      <c r="C875" s="91">
        <v>250</v>
      </c>
      <c r="D875" s="98" t="s">
        <v>2754</v>
      </c>
      <c r="E875" s="89">
        <v>230000</v>
      </c>
    </row>
    <row r="876" spans="1:5" ht="15" customHeight="1" x14ac:dyDescent="0.2">
      <c r="A876" s="736" t="str">
        <f t="shared" si="32"/>
        <v xml:space="preserve">메들리벨벳
(MV)
</v>
      </c>
      <c r="B876" s="253" t="s">
        <v>1865</v>
      </c>
      <c r="C876" s="99">
        <v>300</v>
      </c>
      <c r="D876" s="105" t="s">
        <v>2755</v>
      </c>
      <c r="E876" s="89">
        <v>255000</v>
      </c>
    </row>
    <row r="877" spans="1:5" ht="15" customHeight="1" x14ac:dyDescent="0.2">
      <c r="A877" s="736" t="str">
        <f t="shared" si="32"/>
        <v xml:space="preserve">메들리벨벳
(MV)
</v>
      </c>
      <c r="B877" s="253" t="s">
        <v>2631</v>
      </c>
      <c r="C877" s="91">
        <v>170</v>
      </c>
      <c r="D877" s="156" t="s">
        <v>2756</v>
      </c>
      <c r="E877" s="89">
        <v>145000</v>
      </c>
    </row>
    <row r="878" spans="1:5" ht="15" customHeight="1" x14ac:dyDescent="0.2">
      <c r="A878" s="736" t="str">
        <f t="shared" si="32"/>
        <v xml:space="preserve">메들리벨벳
(MV)
</v>
      </c>
      <c r="B878" s="253" t="s">
        <v>2631</v>
      </c>
      <c r="C878" s="91">
        <v>200</v>
      </c>
      <c r="D878" s="156" t="s">
        <v>2757</v>
      </c>
      <c r="E878" s="89">
        <v>180000</v>
      </c>
    </row>
    <row r="879" spans="1:5" ht="15" customHeight="1" x14ac:dyDescent="0.2">
      <c r="A879" s="736" t="str">
        <f t="shared" si="32"/>
        <v xml:space="preserve">메들리벨벳
(MV)
</v>
      </c>
      <c r="B879" s="253" t="s">
        <v>2631</v>
      </c>
      <c r="C879" s="99">
        <v>250</v>
      </c>
      <c r="D879" s="145" t="s">
        <v>2592</v>
      </c>
      <c r="E879" s="89">
        <v>220000</v>
      </c>
    </row>
    <row r="880" spans="1:5" ht="15" customHeight="1" x14ac:dyDescent="0.2">
      <c r="A880" s="736" t="str">
        <f t="shared" si="32"/>
        <v xml:space="preserve">메들리벨벳
(MV)
</v>
      </c>
      <c r="B880" s="253" t="s">
        <v>1879</v>
      </c>
      <c r="C880" s="91">
        <v>170</v>
      </c>
      <c r="D880" s="259" t="s">
        <v>2758</v>
      </c>
      <c r="E880" s="89">
        <v>215000</v>
      </c>
    </row>
    <row r="881" spans="1:5" ht="15" customHeight="1" x14ac:dyDescent="0.2">
      <c r="A881" s="736" t="str">
        <f t="shared" si="32"/>
        <v xml:space="preserve">메들리벨벳
(MV)
</v>
      </c>
      <c r="B881" s="253" t="s">
        <v>1879</v>
      </c>
      <c r="C881" s="91">
        <v>200</v>
      </c>
      <c r="D881" s="98" t="s">
        <v>2759</v>
      </c>
      <c r="E881" s="89">
        <v>245000</v>
      </c>
    </row>
    <row r="882" spans="1:5" ht="15" customHeight="1" x14ac:dyDescent="0.2">
      <c r="A882" s="736" t="str">
        <f t="shared" si="32"/>
        <v xml:space="preserve">메들리벨벳
(MV)
</v>
      </c>
      <c r="B882" s="253" t="s">
        <v>1879</v>
      </c>
      <c r="C882" s="106">
        <v>250</v>
      </c>
      <c r="D882" s="107" t="s">
        <v>2760</v>
      </c>
      <c r="E882" s="89">
        <v>315000</v>
      </c>
    </row>
    <row r="883" spans="1:5" ht="15" customHeight="1" x14ac:dyDescent="0.2">
      <c r="A883" s="764" t="s">
        <v>2761</v>
      </c>
      <c r="B883" s="261" t="s">
        <v>2010</v>
      </c>
      <c r="C883" s="213">
        <v>127</v>
      </c>
      <c r="D883" s="98" t="s">
        <v>2762</v>
      </c>
      <c r="E883" s="89">
        <v>125000</v>
      </c>
    </row>
    <row r="884" spans="1:5" ht="15" customHeight="1" x14ac:dyDescent="0.2">
      <c r="A884" s="675" t="str">
        <f t="shared" ref="A884:A895" si="33">A883</f>
        <v>메타크라프트
(META)</v>
      </c>
      <c r="B884" s="261" t="s">
        <v>2010</v>
      </c>
      <c r="C884" s="91">
        <v>161</v>
      </c>
      <c r="D884" s="98" t="s">
        <v>2763</v>
      </c>
      <c r="E884" s="89">
        <v>153000</v>
      </c>
    </row>
    <row r="885" spans="1:5" ht="15" customHeight="1" x14ac:dyDescent="0.2">
      <c r="A885" s="675" t="str">
        <f t="shared" si="33"/>
        <v>메타크라프트
(META)</v>
      </c>
      <c r="B885" s="261" t="s">
        <v>2010</v>
      </c>
      <c r="C885" s="91">
        <v>170</v>
      </c>
      <c r="D885" s="98" t="s">
        <v>2764</v>
      </c>
      <c r="E885" s="89">
        <v>161000</v>
      </c>
    </row>
    <row r="886" spans="1:5" ht="15" customHeight="1" x14ac:dyDescent="0.2">
      <c r="A886" s="675" t="str">
        <f t="shared" si="33"/>
        <v>메타크라프트
(META)</v>
      </c>
      <c r="B886" s="261" t="s">
        <v>2010</v>
      </c>
      <c r="C886" s="262">
        <v>200</v>
      </c>
      <c r="D886" s="98" t="s">
        <v>1757</v>
      </c>
      <c r="E886" s="89">
        <v>190000</v>
      </c>
    </row>
    <row r="887" spans="1:5" ht="15" customHeight="1" x14ac:dyDescent="0.2">
      <c r="A887" s="675" t="str">
        <f t="shared" si="33"/>
        <v>메타크라프트
(META)</v>
      </c>
      <c r="B887" s="261" t="s">
        <v>2010</v>
      </c>
      <c r="C887" s="263">
        <v>250</v>
      </c>
      <c r="D887" s="98" t="s">
        <v>2765</v>
      </c>
      <c r="E887" s="89">
        <v>235000</v>
      </c>
    </row>
    <row r="888" spans="1:5" ht="15" customHeight="1" x14ac:dyDescent="0.2">
      <c r="A888" s="675" t="str">
        <f t="shared" si="33"/>
        <v>메타크라프트
(META)</v>
      </c>
      <c r="B888" s="261" t="s">
        <v>2010</v>
      </c>
      <c r="C888" s="91">
        <v>275</v>
      </c>
      <c r="D888" s="98" t="s">
        <v>2766</v>
      </c>
      <c r="E888" s="89">
        <v>260000</v>
      </c>
    </row>
    <row r="889" spans="1:5" ht="15" customHeight="1" x14ac:dyDescent="0.2">
      <c r="A889" s="675" t="str">
        <f t="shared" si="33"/>
        <v>메타크라프트
(META)</v>
      </c>
      <c r="B889" s="261" t="s">
        <v>2010</v>
      </c>
      <c r="C889" s="91">
        <v>300</v>
      </c>
      <c r="D889" s="98" t="s">
        <v>2767</v>
      </c>
      <c r="E889" s="89">
        <v>285000</v>
      </c>
    </row>
    <row r="890" spans="1:5" ht="15" customHeight="1" x14ac:dyDescent="0.2">
      <c r="A890" s="675" t="str">
        <f t="shared" si="33"/>
        <v>메타크라프트
(META)</v>
      </c>
      <c r="B890" s="261" t="s">
        <v>2010</v>
      </c>
      <c r="C890" s="154">
        <v>337</v>
      </c>
      <c r="D890" s="264" t="s">
        <v>2768</v>
      </c>
      <c r="E890" s="89">
        <v>320000</v>
      </c>
    </row>
    <row r="891" spans="1:5" ht="15" customHeight="1" x14ac:dyDescent="0.2">
      <c r="A891" s="675" t="str">
        <f t="shared" si="33"/>
        <v>메타크라프트
(META)</v>
      </c>
      <c r="B891" s="261" t="s">
        <v>2041</v>
      </c>
      <c r="C891" s="91">
        <v>250</v>
      </c>
      <c r="D891" s="98"/>
      <c r="E891" s="89">
        <v>118000</v>
      </c>
    </row>
    <row r="892" spans="1:5" ht="15" customHeight="1" x14ac:dyDescent="0.2">
      <c r="A892" s="675" t="str">
        <f t="shared" si="33"/>
        <v>메타크라프트
(META)</v>
      </c>
      <c r="B892" s="232" t="s">
        <v>2062</v>
      </c>
      <c r="C892" s="96">
        <v>127</v>
      </c>
      <c r="D892" s="109" t="s">
        <v>2769</v>
      </c>
      <c r="E892" s="89">
        <v>157000</v>
      </c>
    </row>
    <row r="893" spans="1:5" ht="15" customHeight="1" x14ac:dyDescent="0.2">
      <c r="A893" s="675" t="str">
        <f t="shared" si="33"/>
        <v>메타크라프트
(META)</v>
      </c>
      <c r="B893" s="232" t="s">
        <v>2062</v>
      </c>
      <c r="C893" s="91">
        <v>161</v>
      </c>
      <c r="D893" s="98" t="s">
        <v>2589</v>
      </c>
      <c r="E893" s="89">
        <v>191000</v>
      </c>
    </row>
    <row r="894" spans="1:5" ht="15" customHeight="1" x14ac:dyDescent="0.2">
      <c r="A894" s="675" t="str">
        <f t="shared" si="33"/>
        <v>메타크라프트
(META)</v>
      </c>
      <c r="B894" s="232" t="s">
        <v>2062</v>
      </c>
      <c r="C894" s="99">
        <v>170</v>
      </c>
      <c r="D894" s="105" t="s">
        <v>2590</v>
      </c>
      <c r="E894" s="89">
        <v>203000</v>
      </c>
    </row>
    <row r="895" spans="1:5" s="218" customFormat="1" ht="14.45" customHeight="1" x14ac:dyDescent="0.3">
      <c r="A895" s="675" t="str">
        <f t="shared" si="33"/>
        <v>메타크라프트
(META)</v>
      </c>
      <c r="B895" s="253" t="s">
        <v>2046</v>
      </c>
      <c r="C895" s="91">
        <v>127</v>
      </c>
      <c r="D895" s="156" t="s">
        <v>2770</v>
      </c>
    </row>
    <row r="896" spans="1:5" s="218" customFormat="1" ht="14.45" customHeight="1" x14ac:dyDescent="0.3">
      <c r="A896" s="765"/>
      <c r="B896" s="253"/>
      <c r="C896" s="265">
        <v>161170</v>
      </c>
      <c r="D896" s="156"/>
    </row>
    <row r="897" spans="1:5" s="218" customFormat="1" ht="14.45" customHeight="1" x14ac:dyDescent="0.3">
      <c r="A897" s="675">
        <f>A896</f>
        <v>0</v>
      </c>
      <c r="B897" s="253"/>
      <c r="C897" s="91">
        <v>200</v>
      </c>
      <c r="D897" s="156"/>
    </row>
    <row r="898" spans="1:5" s="218" customFormat="1" ht="14.45" customHeight="1" x14ac:dyDescent="0.2">
      <c r="A898" s="675">
        <f>A897</f>
        <v>0</v>
      </c>
      <c r="B898" s="253"/>
      <c r="C898" s="266">
        <v>250</v>
      </c>
      <c r="D898" s="156" t="s">
        <v>2765</v>
      </c>
      <c r="E898" s="218" t="s">
        <v>2008</v>
      </c>
    </row>
    <row r="899" spans="1:5" s="218" customFormat="1" ht="14.45" customHeight="1" x14ac:dyDescent="0.3">
      <c r="A899" s="675">
        <f>A898</f>
        <v>0</v>
      </c>
      <c r="B899" s="253"/>
      <c r="C899" s="91">
        <v>275</v>
      </c>
      <c r="D899" s="156" t="s">
        <v>2766</v>
      </c>
      <c r="E899" s="218" t="s">
        <v>2008</v>
      </c>
    </row>
    <row r="900" spans="1:5" s="218" customFormat="1" ht="14.45" customHeight="1" x14ac:dyDescent="0.3">
      <c r="A900" s="675">
        <f>A899</f>
        <v>0</v>
      </c>
      <c r="B900" s="253"/>
      <c r="C900" s="91">
        <v>300</v>
      </c>
      <c r="D900" s="156" t="s">
        <v>2767</v>
      </c>
      <c r="E900" s="218" t="s">
        <v>2008</v>
      </c>
    </row>
    <row r="901" spans="1:5" s="218" customFormat="1" ht="13.9" customHeight="1" x14ac:dyDescent="0.3">
      <c r="A901" s="766">
        <f>A900</f>
        <v>0</v>
      </c>
      <c r="B901" s="260" t="s">
        <v>1868</v>
      </c>
      <c r="C901" s="106">
        <v>337</v>
      </c>
      <c r="D901" s="208" t="s">
        <v>2768</v>
      </c>
      <c r="E901" s="218" t="s">
        <v>2008</v>
      </c>
    </row>
    <row r="902" spans="1:5" s="218" customFormat="1" ht="13.9" customHeight="1" x14ac:dyDescent="0.3">
      <c r="A902" s="267" t="s">
        <v>2771</v>
      </c>
      <c r="B902" s="268" t="s">
        <v>2772</v>
      </c>
      <c r="C902" s="269">
        <v>300</v>
      </c>
      <c r="D902" s="270" t="s">
        <v>2773</v>
      </c>
      <c r="E902" s="218">
        <v>580000</v>
      </c>
    </row>
    <row r="903" spans="1:5" ht="15" customHeight="1" x14ac:dyDescent="0.2">
      <c r="A903" s="735" t="s">
        <v>2774</v>
      </c>
      <c r="B903" s="216" t="s">
        <v>2772</v>
      </c>
      <c r="C903" s="213">
        <v>300</v>
      </c>
      <c r="D903" s="217" t="s">
        <v>2775</v>
      </c>
      <c r="E903" s="89">
        <v>850000</v>
      </c>
    </row>
    <row r="904" spans="1:5" ht="15" customHeight="1" x14ac:dyDescent="0.2">
      <c r="A904" s="685" t="str">
        <f t="shared" ref="A904:A919" si="34">A903</f>
        <v>메탈보드팩 플러스
(MBP3)</v>
      </c>
      <c r="B904" s="216" t="s">
        <v>2772</v>
      </c>
      <c r="C904" s="91">
        <v>300</v>
      </c>
      <c r="D904" s="98" t="s">
        <v>2776</v>
      </c>
      <c r="E904" s="89">
        <v>900000</v>
      </c>
    </row>
    <row r="905" spans="1:5" ht="15" customHeight="1" x14ac:dyDescent="0.2">
      <c r="A905" s="685" t="str">
        <f t="shared" si="34"/>
        <v>메탈보드팩 플러스
(MBP3)</v>
      </c>
      <c r="B905" s="216" t="s">
        <v>2772</v>
      </c>
      <c r="C905" s="91">
        <v>300</v>
      </c>
      <c r="D905" s="98" t="s">
        <v>2777</v>
      </c>
      <c r="E905" s="89">
        <v>1125000</v>
      </c>
    </row>
    <row r="906" spans="1:5" ht="15" customHeight="1" x14ac:dyDescent="0.2">
      <c r="A906" s="685" t="str">
        <f t="shared" si="34"/>
        <v>메탈보드팩 플러스
(MBP3)</v>
      </c>
      <c r="B906" s="216" t="s">
        <v>2772</v>
      </c>
      <c r="C906" s="91">
        <v>300</v>
      </c>
      <c r="D906" s="98" t="s">
        <v>2778</v>
      </c>
      <c r="E906" s="89">
        <v>850000</v>
      </c>
    </row>
    <row r="907" spans="1:5" ht="15" customHeight="1" x14ac:dyDescent="0.2">
      <c r="A907" s="685" t="str">
        <f t="shared" si="34"/>
        <v>메탈보드팩 플러스
(MBP3)</v>
      </c>
      <c r="B907" s="216" t="s">
        <v>2772</v>
      </c>
      <c r="C907" s="91">
        <v>300</v>
      </c>
      <c r="D907" s="98" t="s">
        <v>2779</v>
      </c>
      <c r="E907" s="89">
        <v>925000</v>
      </c>
    </row>
    <row r="908" spans="1:5" ht="15" customHeight="1" x14ac:dyDescent="0.2">
      <c r="A908" s="685" t="str">
        <f t="shared" si="34"/>
        <v>메탈보드팩 플러스
(MBP3)</v>
      </c>
      <c r="B908" s="216" t="s">
        <v>2772</v>
      </c>
      <c r="C908" s="91">
        <v>300</v>
      </c>
      <c r="D908" s="98" t="s">
        <v>1893</v>
      </c>
      <c r="E908" s="89">
        <v>875000</v>
      </c>
    </row>
    <row r="909" spans="1:5" ht="15" customHeight="1" x14ac:dyDescent="0.2">
      <c r="A909" s="685" t="str">
        <f t="shared" si="34"/>
        <v>메탈보드팩 플러스
(MBP3)</v>
      </c>
      <c r="B909" s="216" t="s">
        <v>2772</v>
      </c>
      <c r="C909" s="91">
        <v>300</v>
      </c>
      <c r="D909" s="98" t="s">
        <v>2780</v>
      </c>
      <c r="E909" s="89">
        <v>950000</v>
      </c>
    </row>
    <row r="910" spans="1:5" ht="15" customHeight="1" x14ac:dyDescent="0.2">
      <c r="A910" s="685" t="str">
        <f t="shared" si="34"/>
        <v>메탈보드팩 플러스
(MBP3)</v>
      </c>
      <c r="B910" s="216" t="s">
        <v>2772</v>
      </c>
      <c r="C910" s="91">
        <v>300</v>
      </c>
      <c r="D910" s="98" t="s">
        <v>2781</v>
      </c>
      <c r="E910" s="89">
        <v>900000</v>
      </c>
    </row>
    <row r="911" spans="1:5" ht="15" customHeight="1" x14ac:dyDescent="0.2">
      <c r="A911" s="685" t="str">
        <f t="shared" si="34"/>
        <v>메탈보드팩 플러스
(MBP3)</v>
      </c>
      <c r="B911" s="216" t="s">
        <v>2772</v>
      </c>
      <c r="C911" s="91">
        <v>310</v>
      </c>
      <c r="D911" s="98" t="s">
        <v>2782</v>
      </c>
      <c r="E911" s="89">
        <v>750000</v>
      </c>
    </row>
    <row r="912" spans="1:5" ht="15" customHeight="1" x14ac:dyDescent="0.2">
      <c r="A912" s="685" t="str">
        <f t="shared" si="34"/>
        <v>메탈보드팩 플러스
(MBP3)</v>
      </c>
      <c r="B912" s="216" t="s">
        <v>2772</v>
      </c>
      <c r="C912" s="99">
        <v>365</v>
      </c>
      <c r="D912" s="105" t="s">
        <v>2783</v>
      </c>
      <c r="E912" s="89">
        <v>800000</v>
      </c>
    </row>
    <row r="913" spans="1:5" ht="15" customHeight="1" x14ac:dyDescent="0.2">
      <c r="A913" s="685" t="str">
        <f t="shared" si="34"/>
        <v>메탈보드팩 플러스
(MBP3)</v>
      </c>
      <c r="B913" s="95" t="s">
        <v>2784</v>
      </c>
      <c r="C913" s="96">
        <v>300</v>
      </c>
      <c r="D913" s="139" t="s">
        <v>2785</v>
      </c>
      <c r="E913" s="89">
        <v>395000</v>
      </c>
    </row>
    <row r="914" spans="1:5" ht="15" customHeight="1" x14ac:dyDescent="0.2">
      <c r="A914" s="685" t="str">
        <f t="shared" si="34"/>
        <v>메탈보드팩 플러스
(MBP3)</v>
      </c>
      <c r="B914" s="94" t="s">
        <v>2786</v>
      </c>
      <c r="C914" s="99">
        <v>300</v>
      </c>
      <c r="D914" s="105" t="s">
        <v>2787</v>
      </c>
      <c r="E914" s="89">
        <v>470000</v>
      </c>
    </row>
    <row r="915" spans="1:5" ht="15" customHeight="1" x14ac:dyDescent="0.2">
      <c r="A915" s="685" t="str">
        <f t="shared" si="34"/>
        <v>메탈보드팩 플러스
(MBP3)</v>
      </c>
      <c r="B915" s="90" t="s">
        <v>2788</v>
      </c>
      <c r="C915" s="91">
        <v>350</v>
      </c>
      <c r="D915" s="92" t="s">
        <v>2789</v>
      </c>
      <c r="E915" s="89">
        <v>690000</v>
      </c>
    </row>
    <row r="916" spans="1:5" ht="15" customHeight="1" x14ac:dyDescent="0.2">
      <c r="A916" s="685" t="str">
        <f t="shared" si="34"/>
        <v>메탈보드팩 플러스
(MBP3)</v>
      </c>
      <c r="B916" s="171" t="s">
        <v>2790</v>
      </c>
      <c r="C916" s="113">
        <v>350</v>
      </c>
      <c r="D916" s="142" t="s">
        <v>2791</v>
      </c>
      <c r="E916" s="89">
        <v>345000</v>
      </c>
    </row>
    <row r="917" spans="1:5" ht="15" customHeight="1" x14ac:dyDescent="0.2">
      <c r="A917" s="685" t="str">
        <f t="shared" si="34"/>
        <v>메탈보드팩 플러스
(MBP3)</v>
      </c>
      <c r="B917" s="90" t="s">
        <v>2792</v>
      </c>
      <c r="C917" s="91">
        <v>140</v>
      </c>
      <c r="D917" s="98" t="s">
        <v>2793</v>
      </c>
      <c r="E917" s="89">
        <v>500000</v>
      </c>
    </row>
    <row r="918" spans="1:5" ht="15" customHeight="1" x14ac:dyDescent="0.2">
      <c r="A918" s="685" t="str">
        <f t="shared" si="34"/>
        <v>메탈보드팩 플러스
(MBP3)</v>
      </c>
      <c r="B918" s="90" t="s">
        <v>2792</v>
      </c>
      <c r="C918" s="91">
        <v>250</v>
      </c>
      <c r="D918" s="98" t="s">
        <v>2794</v>
      </c>
      <c r="E918" s="89">
        <v>675000</v>
      </c>
    </row>
    <row r="919" spans="1:5" ht="15" customHeight="1" x14ac:dyDescent="0.2">
      <c r="A919" s="685" t="str">
        <f t="shared" si="34"/>
        <v>메탈보드팩 플러스
(MBP3)</v>
      </c>
      <c r="B919" s="95" t="s">
        <v>2795</v>
      </c>
      <c r="C919" s="96">
        <v>140</v>
      </c>
      <c r="D919" s="109" t="s">
        <v>2796</v>
      </c>
      <c r="E919" s="89">
        <v>275000</v>
      </c>
    </row>
    <row r="920" spans="1:5" ht="15" customHeight="1" x14ac:dyDescent="0.2">
      <c r="A920" s="685"/>
      <c r="B920" s="95" t="s">
        <v>2795</v>
      </c>
      <c r="C920" s="91"/>
      <c r="D920" s="98" t="s">
        <v>2797</v>
      </c>
      <c r="E920" s="89">
        <v>300000</v>
      </c>
    </row>
    <row r="921" spans="1:5" ht="15" customHeight="1" x14ac:dyDescent="0.2">
      <c r="A921" s="687" t="str">
        <f>A919</f>
        <v>메탈보드팩 플러스
(MBP3)</v>
      </c>
      <c r="B921" s="95" t="s">
        <v>2795</v>
      </c>
      <c r="C921" s="106" t="s">
        <v>1868</v>
      </c>
      <c r="D921" s="107" t="s">
        <v>2798</v>
      </c>
      <c r="E921" s="89">
        <v>275000</v>
      </c>
    </row>
    <row r="922" spans="1:5" ht="15" customHeight="1" x14ac:dyDescent="0.2">
      <c r="A922" s="735" t="s">
        <v>2799</v>
      </c>
      <c r="B922" s="216" t="s">
        <v>1857</v>
      </c>
      <c r="C922" s="213">
        <v>110</v>
      </c>
      <c r="D922" s="217" t="s">
        <v>2800</v>
      </c>
      <c r="E922" s="89">
        <v>925000</v>
      </c>
    </row>
    <row r="923" spans="1:5" ht="15" customHeight="1" x14ac:dyDescent="0.2">
      <c r="A923" s="685" t="str">
        <f t="shared" ref="A923:A935" si="35">A922</f>
        <v>메탈크로스
(MTC)</v>
      </c>
      <c r="B923" s="216" t="s">
        <v>1857</v>
      </c>
      <c r="C923" s="91"/>
      <c r="D923" s="92" t="s">
        <v>2801</v>
      </c>
      <c r="E923" s="89">
        <v>845000</v>
      </c>
    </row>
    <row r="924" spans="1:5" ht="15" customHeight="1" x14ac:dyDescent="0.2">
      <c r="A924" s="685" t="str">
        <f t="shared" si="35"/>
        <v>메탈크로스
(MTC)</v>
      </c>
      <c r="B924" s="216" t="s">
        <v>1857</v>
      </c>
      <c r="C924" s="91"/>
      <c r="D924" s="93" t="s">
        <v>2802</v>
      </c>
      <c r="E924" s="89">
        <v>1010000</v>
      </c>
    </row>
    <row r="925" spans="1:5" ht="15" customHeight="1" x14ac:dyDescent="0.2">
      <c r="A925" s="685" t="str">
        <f t="shared" si="35"/>
        <v>메탈크로스
(MTC)</v>
      </c>
      <c r="B925" s="216" t="s">
        <v>1857</v>
      </c>
      <c r="C925" s="91"/>
      <c r="D925" s="98" t="s">
        <v>2803</v>
      </c>
      <c r="E925" s="89">
        <v>1120000</v>
      </c>
    </row>
    <row r="926" spans="1:5" ht="15" customHeight="1" x14ac:dyDescent="0.2">
      <c r="A926" s="685" t="str">
        <f t="shared" si="35"/>
        <v>메탈크로스
(MTC)</v>
      </c>
      <c r="B926" s="216" t="s">
        <v>1857</v>
      </c>
      <c r="C926" s="106"/>
      <c r="D926" s="115" t="s">
        <v>2804</v>
      </c>
      <c r="E926" s="89">
        <v>515000</v>
      </c>
    </row>
    <row r="927" spans="1:5" ht="15" customHeight="1" x14ac:dyDescent="0.2">
      <c r="A927" s="686" t="str">
        <f t="shared" si="35"/>
        <v>메탈크로스
(MTC)</v>
      </c>
      <c r="B927" s="216" t="s">
        <v>1857</v>
      </c>
      <c r="C927" s="213">
        <v>110</v>
      </c>
      <c r="D927" s="92" t="s">
        <v>2805</v>
      </c>
      <c r="E927" s="89">
        <v>775000</v>
      </c>
    </row>
    <row r="928" spans="1:5" ht="15" customHeight="1" x14ac:dyDescent="0.2">
      <c r="A928" s="686" t="str">
        <f t="shared" si="35"/>
        <v>메탈크로스
(MTC)</v>
      </c>
      <c r="B928" s="216" t="s">
        <v>1857</v>
      </c>
      <c r="C928" s="91"/>
      <c r="D928" s="92" t="s">
        <v>2806</v>
      </c>
      <c r="E928" s="89">
        <v>845000</v>
      </c>
    </row>
    <row r="929" spans="1:5" ht="15" customHeight="1" x14ac:dyDescent="0.2">
      <c r="A929" s="686" t="str">
        <f t="shared" si="35"/>
        <v>메탈크로스
(MTC)</v>
      </c>
      <c r="B929" s="216" t="s">
        <v>1857</v>
      </c>
      <c r="C929" s="91"/>
      <c r="D929" s="92" t="s">
        <v>2807</v>
      </c>
      <c r="E929" s="89">
        <v>940000</v>
      </c>
    </row>
    <row r="930" spans="1:5" ht="15" customHeight="1" x14ac:dyDescent="0.2">
      <c r="A930" s="686" t="str">
        <f t="shared" si="35"/>
        <v>메탈크로스
(MTC)</v>
      </c>
      <c r="B930" s="216" t="s">
        <v>1857</v>
      </c>
      <c r="C930" s="91"/>
      <c r="D930" s="92" t="s">
        <v>2808</v>
      </c>
      <c r="E930" s="89">
        <v>515000</v>
      </c>
    </row>
    <row r="931" spans="1:5" ht="15" customHeight="1" x14ac:dyDescent="0.2">
      <c r="A931" s="686" t="str">
        <f t="shared" si="35"/>
        <v>메탈크로스
(MTC)</v>
      </c>
      <c r="B931" s="216" t="s">
        <v>1857</v>
      </c>
      <c r="C931" s="106"/>
      <c r="D931" s="115" t="s">
        <v>2804</v>
      </c>
      <c r="E931" s="89">
        <v>515000</v>
      </c>
    </row>
    <row r="932" spans="1:5" ht="15" customHeight="1" x14ac:dyDescent="0.2">
      <c r="A932" s="686" t="str">
        <f t="shared" si="35"/>
        <v>메탈크로스
(MTC)</v>
      </c>
      <c r="B932" s="216" t="s">
        <v>1857</v>
      </c>
      <c r="C932" s="213">
        <v>110</v>
      </c>
      <c r="D932" s="92" t="s">
        <v>2809</v>
      </c>
      <c r="E932" s="89">
        <v>515000</v>
      </c>
    </row>
    <row r="933" spans="1:5" ht="15" customHeight="1" x14ac:dyDescent="0.2">
      <c r="A933" s="686" t="str">
        <f t="shared" si="35"/>
        <v>메탈크로스
(MTC)</v>
      </c>
      <c r="B933" s="216" t="s">
        <v>1857</v>
      </c>
      <c r="C933" s="91"/>
      <c r="D933" s="92" t="s">
        <v>2810</v>
      </c>
      <c r="E933" s="89">
        <v>515000</v>
      </c>
    </row>
    <row r="934" spans="1:5" ht="15" customHeight="1" x14ac:dyDescent="0.2">
      <c r="A934" s="686" t="str">
        <f t="shared" si="35"/>
        <v>메탈크로스
(MTC)</v>
      </c>
      <c r="B934" s="216" t="s">
        <v>1857</v>
      </c>
      <c r="C934" s="91"/>
      <c r="D934" s="92" t="s">
        <v>2811</v>
      </c>
      <c r="E934" s="89">
        <v>515000</v>
      </c>
    </row>
    <row r="935" spans="1:5" ht="15" customHeight="1" x14ac:dyDescent="0.2">
      <c r="A935" s="707" t="str">
        <f t="shared" si="35"/>
        <v>메탈크로스
(MTC)</v>
      </c>
      <c r="B935" s="216" t="s">
        <v>1857</v>
      </c>
      <c r="C935" s="111"/>
      <c r="D935" s="271" t="s">
        <v>2812</v>
      </c>
      <c r="E935" s="89">
        <v>515000</v>
      </c>
    </row>
    <row r="936" spans="1:5" ht="15" customHeight="1" x14ac:dyDescent="0.2">
      <c r="A936" s="702" t="s">
        <v>2813</v>
      </c>
      <c r="B936" s="272" t="s">
        <v>1857</v>
      </c>
      <c r="C936" s="209">
        <v>110</v>
      </c>
      <c r="D936" s="273" t="s">
        <v>2814</v>
      </c>
      <c r="E936" s="89">
        <v>775000</v>
      </c>
    </row>
    <row r="937" spans="1:5" ht="15" customHeight="1" x14ac:dyDescent="0.2">
      <c r="A937" s="683" t="str">
        <f t="shared" ref="A937:A940" si="36">A936</f>
        <v>메탈플러스
(MTP)</v>
      </c>
      <c r="B937" s="272" t="s">
        <v>1857</v>
      </c>
      <c r="C937" s="91"/>
      <c r="D937" s="92" t="s">
        <v>2815</v>
      </c>
      <c r="E937" s="89">
        <v>695000</v>
      </c>
    </row>
    <row r="938" spans="1:5" ht="15" customHeight="1" x14ac:dyDescent="0.2">
      <c r="A938" s="683" t="str">
        <f t="shared" si="36"/>
        <v>메탈플러스
(MTP)</v>
      </c>
      <c r="B938" s="272" t="s">
        <v>1857</v>
      </c>
      <c r="C938" s="91"/>
      <c r="D938" s="92" t="s">
        <v>2816</v>
      </c>
      <c r="E938" s="89">
        <v>730000</v>
      </c>
    </row>
    <row r="939" spans="1:5" ht="15" customHeight="1" x14ac:dyDescent="0.2">
      <c r="A939" s="683" t="str">
        <f t="shared" si="36"/>
        <v>메탈플러스
(MTP)</v>
      </c>
      <c r="B939" s="272" t="s">
        <v>1857</v>
      </c>
      <c r="C939" s="91"/>
      <c r="D939" s="93">
        <v>15</v>
      </c>
      <c r="E939" s="89">
        <v>1060000</v>
      </c>
    </row>
    <row r="940" spans="1:5" ht="15" customHeight="1" x14ac:dyDescent="0.2">
      <c r="A940" s="701" t="str">
        <f t="shared" si="36"/>
        <v>메탈플러스
(MTP)</v>
      </c>
      <c r="B940" s="272" t="s">
        <v>1857</v>
      </c>
      <c r="C940" s="111"/>
      <c r="D940" s="271" t="s">
        <v>2817</v>
      </c>
      <c r="E940" s="89">
        <v>650000</v>
      </c>
    </row>
    <row r="941" spans="1:5" ht="15" customHeight="1" x14ac:dyDescent="0.2">
      <c r="A941" s="731" t="s">
        <v>2818</v>
      </c>
      <c r="B941" s="274" t="s">
        <v>2010</v>
      </c>
      <c r="C941" s="209">
        <v>120</v>
      </c>
      <c r="D941" s="275" t="s">
        <v>2819</v>
      </c>
      <c r="E941" s="89">
        <v>370000</v>
      </c>
    </row>
    <row r="942" spans="1:5" ht="15" customHeight="1" x14ac:dyDescent="0.2">
      <c r="A942" s="710" t="s">
        <v>2820</v>
      </c>
      <c r="B942" s="274" t="s">
        <v>2010</v>
      </c>
      <c r="C942" s="91">
        <v>170</v>
      </c>
      <c r="D942" s="98" t="s">
        <v>2821</v>
      </c>
      <c r="E942" s="89">
        <v>520000</v>
      </c>
    </row>
    <row r="943" spans="1:5" ht="15" customHeight="1" x14ac:dyDescent="0.2">
      <c r="A943" s="710" t="s">
        <v>2820</v>
      </c>
      <c r="B943" s="274" t="s">
        <v>2010</v>
      </c>
      <c r="C943" s="91">
        <v>250</v>
      </c>
      <c r="D943" s="98" t="s">
        <v>2822</v>
      </c>
      <c r="E943" s="89">
        <v>765000</v>
      </c>
    </row>
    <row r="944" spans="1:5" ht="15" customHeight="1" x14ac:dyDescent="0.2">
      <c r="A944" s="711" t="s">
        <v>2820</v>
      </c>
      <c r="B944" s="274" t="s">
        <v>2010</v>
      </c>
      <c r="C944" s="106">
        <v>350</v>
      </c>
      <c r="D944" s="208" t="s">
        <v>2823</v>
      </c>
      <c r="E944" s="89">
        <v>1075000</v>
      </c>
    </row>
    <row r="945" spans="1:5" ht="15" customHeight="1" x14ac:dyDescent="0.2">
      <c r="A945" s="731" t="s">
        <v>2824</v>
      </c>
      <c r="B945" s="274" t="s">
        <v>2010</v>
      </c>
      <c r="C945" s="209">
        <v>120</v>
      </c>
      <c r="D945" s="275" t="s">
        <v>2819</v>
      </c>
      <c r="E945" s="89">
        <v>370000</v>
      </c>
    </row>
    <row r="946" spans="1:5" ht="15" customHeight="1" x14ac:dyDescent="0.2">
      <c r="A946" s="710" t="s">
        <v>2820</v>
      </c>
      <c r="B946" s="274" t="s">
        <v>2010</v>
      </c>
      <c r="C946" s="91">
        <v>170</v>
      </c>
      <c r="D946" s="98" t="s">
        <v>2821</v>
      </c>
      <c r="E946" s="89">
        <v>520000</v>
      </c>
    </row>
    <row r="947" spans="1:5" ht="15" customHeight="1" x14ac:dyDescent="0.2">
      <c r="A947" s="710" t="s">
        <v>2820</v>
      </c>
      <c r="B947" s="274" t="s">
        <v>2010</v>
      </c>
      <c r="C947" s="91">
        <v>250</v>
      </c>
      <c r="D947" s="98" t="s">
        <v>2822</v>
      </c>
      <c r="E947" s="89">
        <v>765000</v>
      </c>
    </row>
    <row r="948" spans="1:5" ht="15" customHeight="1" x14ac:dyDescent="0.2">
      <c r="A948" s="711" t="s">
        <v>2820</v>
      </c>
      <c r="B948" s="274" t="s">
        <v>2010</v>
      </c>
      <c r="C948" s="106">
        <v>320</v>
      </c>
      <c r="D948" s="208" t="s">
        <v>2823</v>
      </c>
      <c r="E948" s="89">
        <v>980000</v>
      </c>
    </row>
    <row r="949" spans="1:5" ht="15" customHeight="1" x14ac:dyDescent="0.2">
      <c r="A949" s="757" t="s">
        <v>2825</v>
      </c>
      <c r="B949" s="276" t="s">
        <v>2826</v>
      </c>
      <c r="C949" s="277">
        <v>120</v>
      </c>
      <c r="D949" s="278" t="s">
        <v>2827</v>
      </c>
      <c r="E949" s="89">
        <v>725000</v>
      </c>
    </row>
    <row r="950" spans="1:5" ht="15" customHeight="1" x14ac:dyDescent="0.2">
      <c r="A950" s="709"/>
      <c r="B950" s="276" t="s">
        <v>2826</v>
      </c>
      <c r="C950" s="91"/>
      <c r="D950" s="98" t="s">
        <v>2828</v>
      </c>
      <c r="E950" s="89">
        <v>820000</v>
      </c>
    </row>
    <row r="951" spans="1:5" ht="15" customHeight="1" x14ac:dyDescent="0.2">
      <c r="A951" s="709"/>
      <c r="B951" s="276" t="s">
        <v>2826</v>
      </c>
      <c r="C951" s="91"/>
      <c r="D951" s="98" t="s">
        <v>2652</v>
      </c>
      <c r="E951" s="89">
        <v>885000</v>
      </c>
    </row>
    <row r="952" spans="1:5" ht="15" customHeight="1" x14ac:dyDescent="0.2">
      <c r="A952" s="709"/>
      <c r="B952" s="276" t="s">
        <v>2826</v>
      </c>
      <c r="C952" s="96">
        <v>350</v>
      </c>
      <c r="D952" s="109" t="s">
        <v>2829</v>
      </c>
      <c r="E952" s="89">
        <v>2830000</v>
      </c>
    </row>
    <row r="953" spans="1:5" ht="15" customHeight="1" x14ac:dyDescent="0.2">
      <c r="A953" s="709"/>
      <c r="B953" s="276" t="s">
        <v>2826</v>
      </c>
      <c r="C953" s="91"/>
      <c r="D953" s="98" t="s">
        <v>2830</v>
      </c>
      <c r="E953" s="89">
        <v>3030000</v>
      </c>
    </row>
    <row r="954" spans="1:5" ht="15" customHeight="1" x14ac:dyDescent="0.2">
      <c r="A954" s="709"/>
      <c r="B954" s="276" t="s">
        <v>2826</v>
      </c>
      <c r="C954" s="91"/>
      <c r="D954" s="98" t="s">
        <v>2831</v>
      </c>
      <c r="E954" s="89">
        <v>3245000</v>
      </c>
    </row>
    <row r="955" spans="1:5" ht="15" customHeight="1" x14ac:dyDescent="0.2">
      <c r="A955" s="758"/>
      <c r="B955" s="215" t="s">
        <v>2832</v>
      </c>
      <c r="C955" s="239">
        <v>350</v>
      </c>
      <c r="D955" s="240" t="s">
        <v>2833</v>
      </c>
      <c r="E955" s="89">
        <v>2425000</v>
      </c>
    </row>
    <row r="956" spans="1:5" ht="15" customHeight="1" x14ac:dyDescent="0.2">
      <c r="A956" s="754" t="s">
        <v>2834</v>
      </c>
      <c r="B956" s="276" t="s">
        <v>2835</v>
      </c>
      <c r="C956" s="277">
        <v>310</v>
      </c>
      <c r="D956" s="278" t="s">
        <v>2052</v>
      </c>
      <c r="E956" s="89">
        <v>460000</v>
      </c>
    </row>
    <row r="957" spans="1:5" ht="15" customHeight="1" x14ac:dyDescent="0.2">
      <c r="A957" s="686" t="e">
        <f>#REF!</f>
        <v>#REF!</v>
      </c>
      <c r="B957" s="276" t="s">
        <v>2835</v>
      </c>
      <c r="C957" s="91">
        <v>350</v>
      </c>
      <c r="D957" s="98" t="s">
        <v>2053</v>
      </c>
      <c r="E957" s="89">
        <v>515000</v>
      </c>
    </row>
    <row r="958" spans="1:5" ht="15" customHeight="1" x14ac:dyDescent="0.2">
      <c r="A958" s="686"/>
      <c r="B958" s="276" t="s">
        <v>2835</v>
      </c>
      <c r="C958" s="91">
        <v>450</v>
      </c>
      <c r="D958" s="98" t="s">
        <v>2054</v>
      </c>
      <c r="E958" s="89">
        <v>650000</v>
      </c>
    </row>
    <row r="959" spans="1:5" ht="15" customHeight="1" x14ac:dyDescent="0.2">
      <c r="A959" s="707" t="e">
        <f t="shared" ref="A959" si="37">A957</f>
        <v>#REF!</v>
      </c>
      <c r="B959" s="276" t="s">
        <v>2835</v>
      </c>
      <c r="C959" s="106">
        <v>550</v>
      </c>
      <c r="D959" s="107" t="s">
        <v>2055</v>
      </c>
      <c r="E959" s="89">
        <v>800000</v>
      </c>
    </row>
    <row r="960" spans="1:5" ht="15" customHeight="1" x14ac:dyDescent="0.2">
      <c r="A960" s="744" t="s">
        <v>2836</v>
      </c>
      <c r="B960" s="279" t="s">
        <v>2837</v>
      </c>
      <c r="C960" s="277">
        <v>90</v>
      </c>
      <c r="D960" s="278" t="s">
        <v>2838</v>
      </c>
      <c r="E960" s="89">
        <v>195000</v>
      </c>
    </row>
    <row r="961" spans="1:5" ht="15" customHeight="1" x14ac:dyDescent="0.2">
      <c r="A961" s="710" t="str">
        <f t="shared" ref="A961:A966" si="38">A960</f>
        <v>밤부럭스
(BOO)</v>
      </c>
      <c r="B961" s="279" t="s">
        <v>2837</v>
      </c>
      <c r="C961" s="99">
        <v>120</v>
      </c>
      <c r="D961" s="105" t="s">
        <v>2839</v>
      </c>
      <c r="E961" s="89">
        <v>260000</v>
      </c>
    </row>
    <row r="962" spans="1:5" ht="15" customHeight="1" x14ac:dyDescent="0.2">
      <c r="A962" s="710" t="str">
        <f t="shared" si="38"/>
        <v>밤부럭스
(BOO)</v>
      </c>
      <c r="B962" s="118" t="s">
        <v>2010</v>
      </c>
      <c r="C962" s="91">
        <v>200</v>
      </c>
      <c r="D962" s="98" t="s">
        <v>2840</v>
      </c>
      <c r="E962" s="89">
        <v>520000</v>
      </c>
    </row>
    <row r="963" spans="1:5" ht="15" customHeight="1" x14ac:dyDescent="0.2">
      <c r="A963" s="710" t="str">
        <f t="shared" si="38"/>
        <v>밤부럭스
(BOO)</v>
      </c>
      <c r="B963" s="118" t="s">
        <v>2010</v>
      </c>
      <c r="C963" s="91">
        <v>250</v>
      </c>
      <c r="D963" s="98" t="s">
        <v>2841</v>
      </c>
      <c r="E963" s="89">
        <v>650000</v>
      </c>
    </row>
    <row r="964" spans="1:5" ht="15" customHeight="1" x14ac:dyDescent="0.2">
      <c r="A964" s="710" t="str">
        <f t="shared" si="38"/>
        <v>밤부럭스
(BOO)</v>
      </c>
      <c r="B964" s="118" t="s">
        <v>2010</v>
      </c>
      <c r="C964" s="91">
        <v>300</v>
      </c>
      <c r="D964" s="98" t="s">
        <v>2842</v>
      </c>
      <c r="E964" s="89">
        <v>780000</v>
      </c>
    </row>
    <row r="965" spans="1:5" ht="15" customHeight="1" x14ac:dyDescent="0.2">
      <c r="A965" s="710" t="str">
        <f t="shared" si="38"/>
        <v>밤부럭스
(BOO)</v>
      </c>
      <c r="B965" s="118" t="s">
        <v>2010</v>
      </c>
      <c r="C965" s="91">
        <v>350</v>
      </c>
      <c r="D965" s="98" t="s">
        <v>2843</v>
      </c>
      <c r="E965" s="89">
        <v>910000</v>
      </c>
    </row>
    <row r="966" spans="1:5" ht="15" customHeight="1" x14ac:dyDescent="0.2">
      <c r="A966" s="711" t="str">
        <f t="shared" si="38"/>
        <v>밤부럭스
(BOO)</v>
      </c>
      <c r="B966" s="118" t="s">
        <v>2010</v>
      </c>
      <c r="C966" s="106">
        <v>380</v>
      </c>
      <c r="D966" s="207" t="s">
        <v>2844</v>
      </c>
      <c r="E966" s="89">
        <v>1070000</v>
      </c>
    </row>
    <row r="967" spans="1:5" s="218" customFormat="1" ht="14.45" customHeight="1" x14ac:dyDescent="0.3">
      <c r="A967" s="685" t="s">
        <v>2845</v>
      </c>
      <c r="B967" s="90" t="s">
        <v>2010</v>
      </c>
      <c r="C967" s="91">
        <v>150</v>
      </c>
      <c r="D967" s="156" t="s">
        <v>2846</v>
      </c>
      <c r="E967" s="218">
        <v>192000</v>
      </c>
    </row>
    <row r="968" spans="1:5" s="218" customFormat="1" ht="14.45" customHeight="1" x14ac:dyDescent="0.3">
      <c r="A968" s="685" t="str">
        <f t="shared" ref="A968:A979" si="39">A967</f>
        <v xml:space="preserve">밤부팩
(BPK) 
</v>
      </c>
      <c r="B968" s="90" t="s">
        <v>2010</v>
      </c>
      <c r="C968" s="91">
        <v>170</v>
      </c>
      <c r="D968" s="156" t="s">
        <v>2847</v>
      </c>
      <c r="E968" s="218">
        <v>225000</v>
      </c>
    </row>
    <row r="969" spans="1:5" s="218" customFormat="1" ht="14.45" customHeight="1" x14ac:dyDescent="0.3">
      <c r="A969" s="685" t="str">
        <f t="shared" si="39"/>
        <v xml:space="preserve">밤부팩
(BPK) 
</v>
      </c>
      <c r="B969" s="90" t="s">
        <v>2010</v>
      </c>
      <c r="C969" s="91">
        <v>190</v>
      </c>
      <c r="D969" s="156" t="s">
        <v>2848</v>
      </c>
      <c r="E969" s="218">
        <v>250000</v>
      </c>
    </row>
    <row r="970" spans="1:5" s="218" customFormat="1" ht="14.45" customHeight="1" x14ac:dyDescent="0.3">
      <c r="A970" s="685" t="str">
        <f t="shared" si="39"/>
        <v xml:space="preserve">밤부팩
(BPK) 
</v>
      </c>
      <c r="B970" s="90" t="s">
        <v>2010</v>
      </c>
      <c r="C970" s="91">
        <v>250</v>
      </c>
      <c r="D970" s="156" t="s">
        <v>2849</v>
      </c>
      <c r="E970" s="218">
        <v>355000</v>
      </c>
    </row>
    <row r="971" spans="1:5" s="218" customFormat="1" ht="14.45" customHeight="1" x14ac:dyDescent="0.3">
      <c r="A971" s="685" t="str">
        <f t="shared" si="39"/>
        <v xml:space="preserve">밤부팩
(BPK) 
</v>
      </c>
      <c r="B971" s="90" t="s">
        <v>2010</v>
      </c>
      <c r="C971" s="91">
        <v>300</v>
      </c>
      <c r="D971" s="156" t="s">
        <v>2850</v>
      </c>
      <c r="E971" s="218">
        <v>400000</v>
      </c>
    </row>
    <row r="972" spans="1:5" s="218" customFormat="1" ht="14.45" customHeight="1" x14ac:dyDescent="0.3">
      <c r="A972" s="685" t="str">
        <f t="shared" si="39"/>
        <v xml:space="preserve">밤부팩
(BPK) 
</v>
      </c>
      <c r="B972" s="90" t="s">
        <v>2010</v>
      </c>
      <c r="C972" s="91">
        <v>320</v>
      </c>
      <c r="D972" s="280" t="s">
        <v>2851</v>
      </c>
      <c r="E972" s="218">
        <v>465000</v>
      </c>
    </row>
    <row r="973" spans="1:5" s="218" customFormat="1" ht="14.45" customHeight="1" x14ac:dyDescent="0.3">
      <c r="A973" s="685" t="str">
        <f t="shared" si="39"/>
        <v xml:space="preserve">밤부팩
(BPK) 
</v>
      </c>
      <c r="B973" s="90" t="s">
        <v>2010</v>
      </c>
      <c r="C973" s="96">
        <v>170</v>
      </c>
      <c r="D973" s="139" t="s">
        <v>2852</v>
      </c>
      <c r="E973" s="218">
        <v>220000</v>
      </c>
    </row>
    <row r="974" spans="1:5" s="218" customFormat="1" ht="14.45" customHeight="1" x14ac:dyDescent="0.3">
      <c r="A974" s="685" t="str">
        <f t="shared" si="39"/>
        <v xml:space="preserve">밤부팩
(BPK) 
</v>
      </c>
      <c r="B974" s="90" t="s">
        <v>2010</v>
      </c>
      <c r="C974" s="91">
        <v>190</v>
      </c>
      <c r="D974" s="156" t="s">
        <v>2853</v>
      </c>
      <c r="E974" s="218">
        <v>240000</v>
      </c>
    </row>
    <row r="975" spans="1:5" s="218" customFormat="1" ht="14.45" customHeight="1" x14ac:dyDescent="0.3">
      <c r="A975" s="685" t="str">
        <f t="shared" si="39"/>
        <v xml:space="preserve">밤부팩
(BPK) 
</v>
      </c>
      <c r="B975" s="90" t="s">
        <v>2010</v>
      </c>
      <c r="C975" s="91">
        <v>250</v>
      </c>
      <c r="D975" s="156" t="s">
        <v>2854</v>
      </c>
      <c r="E975" s="218">
        <v>350000</v>
      </c>
    </row>
    <row r="976" spans="1:5" s="218" customFormat="1" ht="14.45" customHeight="1" x14ac:dyDescent="0.3">
      <c r="A976" s="685" t="str">
        <f t="shared" si="39"/>
        <v xml:space="preserve">밤부팩
(BPK) 
</v>
      </c>
      <c r="B976" s="90" t="s">
        <v>2010</v>
      </c>
      <c r="C976" s="91">
        <v>300</v>
      </c>
      <c r="D976" s="156" t="s">
        <v>2855</v>
      </c>
      <c r="E976" s="218">
        <v>495000</v>
      </c>
    </row>
    <row r="977" spans="1:5" s="218" customFormat="1" ht="14.45" customHeight="1" x14ac:dyDescent="0.3">
      <c r="A977" s="685" t="str">
        <f t="shared" si="39"/>
        <v xml:space="preserve">밤부팩
(BPK) 
</v>
      </c>
      <c r="B977" s="90" t="s">
        <v>2010</v>
      </c>
      <c r="C977" s="99">
        <v>350</v>
      </c>
      <c r="D977" s="145" t="s">
        <v>2856</v>
      </c>
      <c r="E977" s="218">
        <v>500000</v>
      </c>
    </row>
    <row r="978" spans="1:5" s="218" customFormat="1" ht="14.45" customHeight="1" x14ac:dyDescent="0.3">
      <c r="A978" s="685" t="str">
        <f t="shared" si="39"/>
        <v xml:space="preserve">밤부팩
(BPK) 
</v>
      </c>
      <c r="B978" s="90" t="s">
        <v>2010</v>
      </c>
      <c r="C978" s="91">
        <v>320</v>
      </c>
      <c r="D978" s="280" t="s">
        <v>2857</v>
      </c>
    </row>
    <row r="979" spans="1:5" s="218" customFormat="1" ht="14.45" customHeight="1" x14ac:dyDescent="0.3">
      <c r="A979" s="678" t="str">
        <f t="shared" si="39"/>
        <v xml:space="preserve">밤부팩
(BPK) 
</v>
      </c>
      <c r="B979" s="90" t="s">
        <v>2010</v>
      </c>
      <c r="C979" s="111">
        <v>300</v>
      </c>
      <c r="D979" s="282" t="s">
        <v>2858</v>
      </c>
      <c r="E979" s="218" t="s">
        <v>2008</v>
      </c>
    </row>
    <row r="980" spans="1:5" ht="15" customHeight="1" x14ac:dyDescent="0.2">
      <c r="A980" s="744" t="s">
        <v>2859</v>
      </c>
      <c r="B980" s="279" t="s">
        <v>2010</v>
      </c>
      <c r="C980" s="277">
        <v>80</v>
      </c>
      <c r="D980" s="278" t="s">
        <v>2438</v>
      </c>
      <c r="E980" s="89">
        <v>84000</v>
      </c>
    </row>
    <row r="981" spans="1:5" ht="15" customHeight="1" x14ac:dyDescent="0.2">
      <c r="A981" s="710" t="str">
        <f t="shared" ref="A981:A987" si="40">A980</f>
        <v>백상지-가공용지
(BS)</v>
      </c>
      <c r="B981" s="279" t="s">
        <v>2010</v>
      </c>
      <c r="C981" s="91">
        <v>100</v>
      </c>
      <c r="D981" s="98" t="s">
        <v>2438</v>
      </c>
      <c r="E981" s="89">
        <v>113000</v>
      </c>
    </row>
    <row r="982" spans="1:5" ht="15" customHeight="1" x14ac:dyDescent="0.2">
      <c r="A982" s="710"/>
      <c r="B982" s="279" t="s">
        <v>2010</v>
      </c>
      <c r="C982" s="91">
        <v>100</v>
      </c>
      <c r="D982" s="98" t="s">
        <v>2860</v>
      </c>
      <c r="E982" s="89">
        <v>116000</v>
      </c>
    </row>
    <row r="983" spans="1:5" ht="15" customHeight="1" x14ac:dyDescent="0.2">
      <c r="A983" s="710">
        <f t="shared" si="40"/>
        <v>0</v>
      </c>
      <c r="B983" s="279" t="s">
        <v>2010</v>
      </c>
      <c r="C983" s="91">
        <v>120</v>
      </c>
      <c r="D983" s="98" t="s">
        <v>2438</v>
      </c>
      <c r="E983" s="89">
        <v>135000</v>
      </c>
    </row>
    <row r="984" spans="1:5" ht="15" customHeight="1" x14ac:dyDescent="0.2">
      <c r="A984" s="710">
        <f t="shared" si="40"/>
        <v>0</v>
      </c>
      <c r="B984" s="279" t="s">
        <v>2010</v>
      </c>
      <c r="C984" s="91">
        <v>150</v>
      </c>
      <c r="D984" s="98" t="s">
        <v>2438</v>
      </c>
      <c r="E984" s="89">
        <v>169000</v>
      </c>
    </row>
    <row r="985" spans="1:5" ht="15" customHeight="1" x14ac:dyDescent="0.2">
      <c r="A985" s="710">
        <f t="shared" si="40"/>
        <v>0</v>
      </c>
      <c r="B985" s="279" t="s">
        <v>2010</v>
      </c>
      <c r="C985" s="91">
        <v>250</v>
      </c>
      <c r="D985" s="98" t="s">
        <v>2861</v>
      </c>
      <c r="E985" s="89">
        <v>263000</v>
      </c>
    </row>
    <row r="986" spans="1:5" ht="15" customHeight="1" x14ac:dyDescent="0.2">
      <c r="A986" s="710">
        <f t="shared" si="40"/>
        <v>0</v>
      </c>
      <c r="B986" s="137" t="s">
        <v>2631</v>
      </c>
      <c r="C986" s="96">
        <v>80</v>
      </c>
      <c r="D986" s="109" t="s">
        <v>2862</v>
      </c>
      <c r="E986" s="89">
        <v>60000</v>
      </c>
    </row>
    <row r="987" spans="1:5" ht="15" customHeight="1" x14ac:dyDescent="0.2">
      <c r="A987" s="710">
        <f t="shared" si="40"/>
        <v>0</v>
      </c>
      <c r="B987" s="137" t="s">
        <v>2631</v>
      </c>
      <c r="C987" s="91">
        <v>100</v>
      </c>
      <c r="D987" s="98" t="s">
        <v>2862</v>
      </c>
      <c r="E987" s="89">
        <v>75000</v>
      </c>
    </row>
    <row r="988" spans="1:5" ht="15" customHeight="1" x14ac:dyDescent="0.2">
      <c r="A988" s="710"/>
      <c r="B988" s="137" t="s">
        <v>2631</v>
      </c>
      <c r="C988" s="91">
        <v>100</v>
      </c>
      <c r="D988" s="98" t="s">
        <v>2863</v>
      </c>
      <c r="E988" s="89">
        <v>77000</v>
      </c>
    </row>
    <row r="989" spans="1:5" ht="15" customHeight="1" x14ac:dyDescent="0.2">
      <c r="A989" s="711">
        <f>A987</f>
        <v>0</v>
      </c>
      <c r="B989" s="137" t="s">
        <v>2631</v>
      </c>
      <c r="C989" s="106">
        <v>120</v>
      </c>
      <c r="D989" s="107" t="s">
        <v>2862</v>
      </c>
      <c r="E989" s="89">
        <v>89000</v>
      </c>
    </row>
    <row r="990" spans="1:5" ht="15" customHeight="1" x14ac:dyDescent="0.2">
      <c r="A990" s="744" t="s">
        <v>2864</v>
      </c>
      <c r="B990" s="137" t="s">
        <v>2865</v>
      </c>
      <c r="C990" s="277">
        <v>303</v>
      </c>
      <c r="D990" s="278" t="s">
        <v>2866</v>
      </c>
      <c r="E990" s="89" t="s">
        <v>2008</v>
      </c>
    </row>
    <row r="991" spans="1:5" ht="15" customHeight="1" x14ac:dyDescent="0.2">
      <c r="A991" s="755" t="str">
        <f t="shared" ref="A991:A1003" si="41">A990</f>
        <v>벅스킨( BSK ) 
재고소진후 계약공급</v>
      </c>
      <c r="B991" s="137" t="s">
        <v>2865</v>
      </c>
      <c r="C991" s="91"/>
      <c r="D991" s="98" t="s">
        <v>2867</v>
      </c>
    </row>
    <row r="992" spans="1:5" ht="15" customHeight="1" x14ac:dyDescent="0.2">
      <c r="A992" s="755" t="str">
        <f t="shared" si="41"/>
        <v>벅스킨( BSK ) 
재고소진후 계약공급</v>
      </c>
      <c r="B992" s="137" t="s">
        <v>2865</v>
      </c>
      <c r="C992" s="99"/>
      <c r="D992" s="105" t="s">
        <v>1934</v>
      </c>
    </row>
    <row r="993" spans="1:5" ht="15" customHeight="1" x14ac:dyDescent="0.2">
      <c r="A993" s="755" t="str">
        <f t="shared" si="41"/>
        <v>벅스킨( BSK ) 
재고소진후 계약공급</v>
      </c>
      <c r="B993" s="118" t="s">
        <v>2865</v>
      </c>
      <c r="C993" s="91">
        <v>303</v>
      </c>
      <c r="D993" s="98" t="s">
        <v>2866</v>
      </c>
    </row>
    <row r="994" spans="1:5" ht="15" customHeight="1" x14ac:dyDescent="0.2">
      <c r="A994" s="755" t="str">
        <f t="shared" si="41"/>
        <v>벅스킨( BSK ) 
재고소진후 계약공급</v>
      </c>
      <c r="B994" s="118" t="s">
        <v>2865</v>
      </c>
      <c r="C994" s="91"/>
      <c r="D994" s="98" t="s">
        <v>2868</v>
      </c>
    </row>
    <row r="995" spans="1:5" ht="15" customHeight="1" x14ac:dyDescent="0.2">
      <c r="A995" s="755" t="str">
        <f t="shared" si="41"/>
        <v>벅스킨( BSK ) 
재고소진후 계약공급</v>
      </c>
      <c r="B995" s="118" t="s">
        <v>2865</v>
      </c>
      <c r="C995" s="99"/>
      <c r="D995" s="105" t="s">
        <v>2869</v>
      </c>
    </row>
    <row r="996" spans="1:5" ht="15" customHeight="1" x14ac:dyDescent="0.2">
      <c r="A996" s="755" t="str">
        <f t="shared" si="41"/>
        <v>벅스킨( BSK ) 
재고소진후 계약공급</v>
      </c>
      <c r="B996" s="118" t="s">
        <v>2870</v>
      </c>
      <c r="C996" s="91">
        <v>303</v>
      </c>
      <c r="D996" s="98" t="s">
        <v>2866</v>
      </c>
      <c r="E996" s="89">
        <v>2050000</v>
      </c>
    </row>
    <row r="997" spans="1:5" ht="15" customHeight="1" x14ac:dyDescent="0.2">
      <c r="A997" s="755" t="str">
        <f t="shared" si="41"/>
        <v>벅스킨( BSK ) 
재고소진후 계약공급</v>
      </c>
      <c r="B997" s="118" t="s">
        <v>2870</v>
      </c>
      <c r="C997" s="91"/>
      <c r="D997" s="98" t="s">
        <v>2868</v>
      </c>
      <c r="E997" s="89">
        <v>2400000</v>
      </c>
    </row>
    <row r="998" spans="1:5" ht="15" customHeight="1" x14ac:dyDescent="0.2">
      <c r="A998" s="755" t="str">
        <f t="shared" si="41"/>
        <v>벅스킨( BSK ) 
재고소진후 계약공급</v>
      </c>
      <c r="B998" s="118" t="s">
        <v>2870</v>
      </c>
      <c r="C998" s="91"/>
      <c r="D998" s="98" t="s">
        <v>2869</v>
      </c>
      <c r="E998" s="89">
        <v>2400000</v>
      </c>
    </row>
    <row r="999" spans="1:5" ht="15" customHeight="1" x14ac:dyDescent="0.2">
      <c r="A999" s="755" t="str">
        <f t="shared" si="41"/>
        <v>벅스킨( BSK ) 
재고소진후 계약공급</v>
      </c>
      <c r="B999" s="118" t="s">
        <v>2870</v>
      </c>
      <c r="C999" s="91"/>
      <c r="D999" s="92" t="s">
        <v>2871</v>
      </c>
    </row>
    <row r="1000" spans="1:5" ht="15" customHeight="1" x14ac:dyDescent="0.2">
      <c r="A1000" s="755" t="str">
        <f t="shared" si="41"/>
        <v>벅스킨( BSK ) 
재고소진후 계약공급</v>
      </c>
      <c r="B1000" s="118" t="s">
        <v>2870</v>
      </c>
      <c r="C1000" s="99"/>
      <c r="D1000" s="100" t="s">
        <v>2872</v>
      </c>
    </row>
    <row r="1001" spans="1:5" ht="15" customHeight="1" x14ac:dyDescent="0.2">
      <c r="A1001" s="755" t="str">
        <f t="shared" si="41"/>
        <v>벅스킨( BSK ) 
재고소진후 계약공급</v>
      </c>
      <c r="B1001" s="94" t="s">
        <v>2873</v>
      </c>
      <c r="C1001" s="99">
        <v>303</v>
      </c>
      <c r="D1001" s="100" t="s">
        <v>2874</v>
      </c>
    </row>
    <row r="1002" spans="1:5" ht="15" customHeight="1" x14ac:dyDescent="0.2">
      <c r="A1002" s="755" t="str">
        <f t="shared" si="41"/>
        <v>벅스킨( BSK ) 
재고소진후 계약공급</v>
      </c>
      <c r="B1002" s="118" t="s">
        <v>2875</v>
      </c>
      <c r="C1002" s="99">
        <v>320</v>
      </c>
      <c r="D1002" s="141" t="s">
        <v>2876</v>
      </c>
    </row>
    <row r="1003" spans="1:5" ht="15" customHeight="1" x14ac:dyDescent="0.2">
      <c r="A1003" s="756" t="str">
        <f t="shared" si="41"/>
        <v>벅스킨( BSK ) 
재고소진후 계약공급</v>
      </c>
      <c r="B1003" s="118" t="s">
        <v>2875</v>
      </c>
      <c r="C1003" s="106">
        <v>125</v>
      </c>
      <c r="D1003" s="219" t="s">
        <v>2877</v>
      </c>
    </row>
    <row r="1004" spans="1:5" ht="15" customHeight="1" x14ac:dyDescent="0.2">
      <c r="A1004" s="688" t="s">
        <v>2878</v>
      </c>
      <c r="B1004" s="90" t="s">
        <v>1879</v>
      </c>
      <c r="C1004" s="91">
        <v>115</v>
      </c>
      <c r="D1004" s="98" t="s">
        <v>1859</v>
      </c>
      <c r="E1004" s="89">
        <v>174000</v>
      </c>
    </row>
    <row r="1005" spans="1:5" ht="15" customHeight="1" x14ac:dyDescent="0.2">
      <c r="A1005" s="688" t="str">
        <f t="shared" ref="A1005:A1015" si="42">A1004</f>
        <v xml:space="preserve">베로나
(VER)                                                </v>
      </c>
      <c r="B1005" s="90" t="s">
        <v>1879</v>
      </c>
      <c r="C1005" s="91">
        <v>135</v>
      </c>
      <c r="D1005" s="98"/>
      <c r="E1005" s="89">
        <v>205000</v>
      </c>
    </row>
    <row r="1006" spans="1:5" ht="15" customHeight="1" x14ac:dyDescent="0.2">
      <c r="A1006" s="688" t="str">
        <f t="shared" si="42"/>
        <v xml:space="preserve">베로나
(VER)                                                </v>
      </c>
      <c r="B1006" s="90" t="s">
        <v>1879</v>
      </c>
      <c r="C1006" s="91">
        <v>150</v>
      </c>
      <c r="D1006" s="98"/>
      <c r="E1006" s="89">
        <v>232000</v>
      </c>
    </row>
    <row r="1007" spans="1:5" ht="15" customHeight="1" x14ac:dyDescent="0.2">
      <c r="A1007" s="688" t="str">
        <f t="shared" si="42"/>
        <v xml:space="preserve">베로나
(VER)                                                </v>
      </c>
      <c r="B1007" s="90" t="s">
        <v>1879</v>
      </c>
      <c r="C1007" s="91">
        <v>170</v>
      </c>
      <c r="D1007" s="98"/>
      <c r="E1007" s="89">
        <v>259000</v>
      </c>
    </row>
    <row r="1008" spans="1:5" ht="15" customHeight="1" x14ac:dyDescent="0.2">
      <c r="A1008" s="688"/>
      <c r="B1008" s="90" t="s">
        <v>1879</v>
      </c>
      <c r="C1008" s="91">
        <v>200</v>
      </c>
      <c r="D1008" s="98"/>
      <c r="E1008" s="89">
        <v>303000</v>
      </c>
    </row>
    <row r="1009" spans="1:5" ht="15" customHeight="1" x14ac:dyDescent="0.2">
      <c r="A1009" s="688">
        <f t="shared" si="42"/>
        <v>0</v>
      </c>
      <c r="B1009" s="90" t="s">
        <v>1879</v>
      </c>
      <c r="C1009" s="154">
        <v>250</v>
      </c>
      <c r="D1009" s="155"/>
      <c r="E1009" s="89">
        <v>380000</v>
      </c>
    </row>
    <row r="1010" spans="1:5" ht="15" customHeight="1" x14ac:dyDescent="0.2">
      <c r="A1010" s="688">
        <f t="shared" si="42"/>
        <v>0</v>
      </c>
      <c r="B1010" s="90" t="s">
        <v>1865</v>
      </c>
      <c r="C1010" s="91">
        <v>115</v>
      </c>
      <c r="D1010" s="98" t="s">
        <v>1859</v>
      </c>
      <c r="E1010" s="89">
        <v>121000</v>
      </c>
    </row>
    <row r="1011" spans="1:5" ht="15" customHeight="1" x14ac:dyDescent="0.2">
      <c r="A1011" s="688">
        <f t="shared" si="42"/>
        <v>0</v>
      </c>
      <c r="B1011" s="90" t="s">
        <v>1865</v>
      </c>
      <c r="C1011" s="91">
        <v>135</v>
      </c>
      <c r="D1011" s="98"/>
      <c r="E1011" s="89">
        <v>143000</v>
      </c>
    </row>
    <row r="1012" spans="1:5" ht="15" customHeight="1" x14ac:dyDescent="0.2">
      <c r="A1012" s="688">
        <f t="shared" si="42"/>
        <v>0</v>
      </c>
      <c r="B1012" s="90" t="s">
        <v>1865</v>
      </c>
      <c r="C1012" s="91">
        <v>150</v>
      </c>
      <c r="D1012" s="98"/>
      <c r="E1012" s="89">
        <v>159000</v>
      </c>
    </row>
    <row r="1013" spans="1:5" ht="15" customHeight="1" x14ac:dyDescent="0.2">
      <c r="A1013" s="688">
        <f t="shared" si="42"/>
        <v>0</v>
      </c>
      <c r="B1013" s="90" t="s">
        <v>1865</v>
      </c>
      <c r="C1013" s="91">
        <v>170</v>
      </c>
      <c r="D1013" s="98"/>
      <c r="E1013" s="89">
        <v>181000</v>
      </c>
    </row>
    <row r="1014" spans="1:5" ht="15" customHeight="1" x14ac:dyDescent="0.2">
      <c r="A1014" s="688">
        <f t="shared" si="42"/>
        <v>0</v>
      </c>
      <c r="B1014" s="90" t="s">
        <v>1865</v>
      </c>
      <c r="C1014" s="91">
        <v>200</v>
      </c>
      <c r="D1014" s="98"/>
      <c r="E1014" s="89">
        <v>211000</v>
      </c>
    </row>
    <row r="1015" spans="1:5" ht="15" customHeight="1" x14ac:dyDescent="0.2">
      <c r="A1015" s="688">
        <f t="shared" si="42"/>
        <v>0</v>
      </c>
      <c r="B1015" s="90" t="s">
        <v>1865</v>
      </c>
      <c r="C1015" s="106">
        <v>250</v>
      </c>
      <c r="D1015" s="107"/>
      <c r="E1015" s="89">
        <v>265000</v>
      </c>
    </row>
    <row r="1016" spans="1:5" ht="15" customHeight="1" x14ac:dyDescent="0.2">
      <c r="A1016" s="744" t="s">
        <v>2879</v>
      </c>
      <c r="B1016" s="90" t="s">
        <v>2656</v>
      </c>
      <c r="C1016" s="91">
        <v>160</v>
      </c>
      <c r="D1016" s="98"/>
      <c r="E1016" s="89">
        <v>190000</v>
      </c>
    </row>
    <row r="1017" spans="1:5" ht="15" customHeight="1" x14ac:dyDescent="0.2">
      <c r="A1017" s="685" t="str">
        <f t="shared" ref="A1017:A1022" si="43">A1016</f>
        <v>베이화이트
(BAY)</v>
      </c>
      <c r="B1017" s="90" t="s">
        <v>2656</v>
      </c>
      <c r="C1017" s="91">
        <v>175</v>
      </c>
      <c r="D1017" s="98"/>
      <c r="E1017" s="89">
        <v>210000</v>
      </c>
    </row>
    <row r="1018" spans="1:5" ht="15" customHeight="1" x14ac:dyDescent="0.2">
      <c r="A1018" s="685" t="str">
        <f t="shared" si="43"/>
        <v>베이화이트
(BAY)</v>
      </c>
      <c r="B1018" s="90" t="s">
        <v>2656</v>
      </c>
      <c r="C1018" s="91">
        <v>200</v>
      </c>
      <c r="D1018" s="98"/>
      <c r="E1018" s="89">
        <v>240000</v>
      </c>
    </row>
    <row r="1019" spans="1:5" ht="15" customHeight="1" x14ac:dyDescent="0.2">
      <c r="A1019" s="685" t="str">
        <f t="shared" si="43"/>
        <v>베이화이트
(BAY)</v>
      </c>
      <c r="B1019" s="95" t="s">
        <v>2062</v>
      </c>
      <c r="C1019" s="96">
        <v>160</v>
      </c>
      <c r="D1019" s="109"/>
      <c r="E1019" s="89">
        <v>240000</v>
      </c>
    </row>
    <row r="1020" spans="1:5" ht="15" customHeight="1" x14ac:dyDescent="0.2">
      <c r="A1020" s="685" t="str">
        <f t="shared" si="43"/>
        <v>베이화이트
(BAY)</v>
      </c>
      <c r="B1020" s="95" t="s">
        <v>2062</v>
      </c>
      <c r="C1020" s="91">
        <v>175</v>
      </c>
      <c r="D1020" s="98"/>
      <c r="E1020" s="89">
        <v>265000</v>
      </c>
    </row>
    <row r="1021" spans="1:5" ht="15" customHeight="1" x14ac:dyDescent="0.2">
      <c r="A1021" s="685" t="str">
        <f t="shared" si="43"/>
        <v>베이화이트
(BAY)</v>
      </c>
      <c r="B1021" s="95" t="s">
        <v>2062</v>
      </c>
      <c r="C1021" s="99">
        <v>200</v>
      </c>
      <c r="D1021" s="105"/>
      <c r="E1021" s="89">
        <v>300000</v>
      </c>
    </row>
    <row r="1022" spans="1:5" ht="15" customHeight="1" x14ac:dyDescent="0.2">
      <c r="A1022" s="688" t="str">
        <f t="shared" si="43"/>
        <v>베이화이트
(BAY)</v>
      </c>
      <c r="B1022" s="95"/>
      <c r="C1022" s="91" t="s">
        <v>1941</v>
      </c>
      <c r="D1022" s="98"/>
    </row>
    <row r="1023" spans="1:5" ht="15" customHeight="1" x14ac:dyDescent="0.2">
      <c r="A1023" s="744" t="s">
        <v>2880</v>
      </c>
      <c r="B1023" s="276" t="s">
        <v>1872</v>
      </c>
      <c r="C1023" s="277">
        <v>310</v>
      </c>
      <c r="D1023" s="278" t="s">
        <v>2881</v>
      </c>
      <c r="E1023" s="89">
        <v>2100000</v>
      </c>
    </row>
    <row r="1024" spans="1:5" ht="15" customHeight="1" x14ac:dyDescent="0.2">
      <c r="A1024" s="744"/>
      <c r="B1024" s="276" t="s">
        <v>1872</v>
      </c>
      <c r="C1024" s="91"/>
      <c r="D1024" s="98" t="s">
        <v>2882</v>
      </c>
      <c r="E1024" s="89">
        <v>2230000</v>
      </c>
    </row>
    <row r="1025" spans="1:5" ht="15" customHeight="1" x14ac:dyDescent="0.2">
      <c r="A1025" s="744">
        <f t="shared" ref="A1025:A1029" si="44">A1024</f>
        <v>0</v>
      </c>
      <c r="B1025" s="276" t="s">
        <v>1872</v>
      </c>
      <c r="C1025" s="91"/>
      <c r="D1025" s="98" t="s">
        <v>2883</v>
      </c>
      <c r="E1025" s="89">
        <v>3450000</v>
      </c>
    </row>
    <row r="1026" spans="1:5" ht="15" customHeight="1" x14ac:dyDescent="0.2">
      <c r="A1026" s="744">
        <f t="shared" si="44"/>
        <v>0</v>
      </c>
      <c r="B1026" s="276" t="s">
        <v>1872</v>
      </c>
      <c r="C1026" s="91"/>
      <c r="D1026" s="98" t="s">
        <v>2884</v>
      </c>
      <c r="E1026" s="89">
        <v>2600000</v>
      </c>
    </row>
    <row r="1027" spans="1:5" ht="15" customHeight="1" x14ac:dyDescent="0.2">
      <c r="A1027" s="744">
        <f t="shared" si="44"/>
        <v>0</v>
      </c>
      <c r="B1027" s="276" t="s">
        <v>1872</v>
      </c>
      <c r="C1027" s="99"/>
      <c r="D1027" s="105" t="s">
        <v>2885</v>
      </c>
      <c r="E1027" s="89">
        <v>2290000</v>
      </c>
    </row>
    <row r="1028" spans="1:5" ht="15" customHeight="1" x14ac:dyDescent="0.2">
      <c r="A1028" s="744">
        <f t="shared" si="44"/>
        <v>0</v>
      </c>
      <c r="B1028" s="276" t="s">
        <v>1872</v>
      </c>
      <c r="C1028" s="113">
        <v>250</v>
      </c>
      <c r="D1028" s="114" t="s">
        <v>2886</v>
      </c>
      <c r="E1028" s="89">
        <v>1830000</v>
      </c>
    </row>
    <row r="1029" spans="1:5" ht="15" customHeight="1" x14ac:dyDescent="0.2">
      <c r="A1029" s="753">
        <f t="shared" si="44"/>
        <v>0</v>
      </c>
      <c r="B1029" s="110" t="s">
        <v>2010</v>
      </c>
      <c r="C1029" s="111">
        <v>250</v>
      </c>
      <c r="D1029" s="112" t="s">
        <v>2887</v>
      </c>
      <c r="E1029" s="89">
        <v>2700000</v>
      </c>
    </row>
    <row r="1030" spans="1:5" ht="15" customHeight="1" x14ac:dyDescent="0.2">
      <c r="A1030" s="731" t="s">
        <v>2888</v>
      </c>
      <c r="B1030" s="272" t="s">
        <v>2656</v>
      </c>
      <c r="C1030" s="283">
        <v>250</v>
      </c>
      <c r="D1030" s="284" t="s">
        <v>2052</v>
      </c>
      <c r="E1030" s="89">
        <v>265000</v>
      </c>
    </row>
    <row r="1031" spans="1:5" ht="15" customHeight="1" x14ac:dyDescent="0.2">
      <c r="A1031" s="685" t="str">
        <f t="shared" ref="A1031:A1034" si="45">A1030</f>
        <v>비타팩
(VTP)</v>
      </c>
      <c r="B1031" s="272" t="s">
        <v>2656</v>
      </c>
      <c r="C1031" s="91">
        <v>300</v>
      </c>
      <c r="D1031" s="98" t="s">
        <v>2053</v>
      </c>
      <c r="E1031" s="89">
        <v>315000</v>
      </c>
    </row>
    <row r="1032" spans="1:5" ht="15" customHeight="1" x14ac:dyDescent="0.2">
      <c r="A1032" s="685" t="str">
        <f t="shared" si="45"/>
        <v>비타팩
(VTP)</v>
      </c>
      <c r="B1032" s="272" t="s">
        <v>2656</v>
      </c>
      <c r="C1032" s="91">
        <v>350</v>
      </c>
      <c r="D1032" s="98" t="s">
        <v>2054</v>
      </c>
      <c r="E1032" s="89">
        <v>360000</v>
      </c>
    </row>
    <row r="1033" spans="1:5" ht="15" customHeight="1" x14ac:dyDescent="0.2">
      <c r="A1033" s="685" t="str">
        <f t="shared" si="45"/>
        <v>비타팩
(VTP)</v>
      </c>
      <c r="B1033" s="272" t="s">
        <v>2656</v>
      </c>
      <c r="C1033" s="99">
        <v>375</v>
      </c>
      <c r="D1033" s="105" t="s">
        <v>2055</v>
      </c>
      <c r="E1033" s="89">
        <v>380000</v>
      </c>
    </row>
    <row r="1034" spans="1:5" ht="15" customHeight="1" x14ac:dyDescent="0.2">
      <c r="A1034" s="685" t="str">
        <f t="shared" si="45"/>
        <v>비타팩
(VTP)</v>
      </c>
      <c r="B1034" s="90" t="s">
        <v>2889</v>
      </c>
      <c r="C1034" s="265">
        <v>250</v>
      </c>
      <c r="D1034" s="98" t="s">
        <v>2890</v>
      </c>
    </row>
    <row r="1035" spans="1:5" ht="15" customHeight="1" x14ac:dyDescent="0.2">
      <c r="A1035" s="685"/>
      <c r="B1035" s="90"/>
      <c r="C1035" s="265">
        <v>300</v>
      </c>
      <c r="D1035" s="98" t="s">
        <v>2891</v>
      </c>
    </row>
    <row r="1036" spans="1:5" ht="15" customHeight="1" x14ac:dyDescent="0.2">
      <c r="A1036" s="688" t="str">
        <f>A1034</f>
        <v>비타팩
(VTP)</v>
      </c>
      <c r="B1036" s="90"/>
      <c r="C1036" s="265" t="s">
        <v>2892</v>
      </c>
      <c r="D1036" s="98" t="s">
        <v>2893</v>
      </c>
    </row>
    <row r="1037" spans="1:5" ht="15" customHeight="1" x14ac:dyDescent="0.2">
      <c r="A1037" s="744" t="s">
        <v>2894</v>
      </c>
      <c r="B1037" s="279" t="s">
        <v>1857</v>
      </c>
      <c r="C1037" s="277">
        <v>120</v>
      </c>
      <c r="D1037" s="278" t="s">
        <v>2895</v>
      </c>
      <c r="E1037" s="89">
        <v>450000</v>
      </c>
    </row>
    <row r="1038" spans="1:5" ht="15" customHeight="1" x14ac:dyDescent="0.2">
      <c r="A1038" s="685" t="str">
        <f t="shared" ref="A1038:A1064" si="46">A1037</f>
        <v>비앤비
(BNB)</v>
      </c>
      <c r="B1038" s="279" t="s">
        <v>1857</v>
      </c>
      <c r="C1038" s="96">
        <v>110</v>
      </c>
      <c r="D1038" s="109" t="s">
        <v>2896</v>
      </c>
      <c r="E1038" s="89">
        <v>450000</v>
      </c>
    </row>
    <row r="1039" spans="1:5" ht="15" customHeight="1" x14ac:dyDescent="0.2">
      <c r="A1039" s="685"/>
      <c r="B1039" s="279" t="s">
        <v>1857</v>
      </c>
      <c r="C1039" s="91"/>
      <c r="D1039" s="98" t="s">
        <v>2897</v>
      </c>
      <c r="E1039" s="89">
        <v>425000</v>
      </c>
    </row>
    <row r="1040" spans="1:5" ht="15" customHeight="1" x14ac:dyDescent="0.2">
      <c r="A1040" s="685"/>
      <c r="B1040" s="279" t="s">
        <v>1857</v>
      </c>
      <c r="C1040" s="91"/>
      <c r="D1040" s="156" t="s">
        <v>2898</v>
      </c>
      <c r="E1040" s="89">
        <v>440000</v>
      </c>
    </row>
    <row r="1041" spans="1:5" ht="15" customHeight="1" x14ac:dyDescent="0.2">
      <c r="A1041" s="685" t="str">
        <f>A1038</f>
        <v>비앤비
(BNB)</v>
      </c>
      <c r="B1041" s="279" t="s">
        <v>1857</v>
      </c>
      <c r="C1041" s="99" t="s">
        <v>1868</v>
      </c>
      <c r="D1041" s="105" t="s">
        <v>2899</v>
      </c>
      <c r="E1041" s="89">
        <v>440000</v>
      </c>
    </row>
    <row r="1042" spans="1:5" ht="15" customHeight="1" x14ac:dyDescent="0.2">
      <c r="A1042" s="685" t="str">
        <f t="shared" si="46"/>
        <v>비앤비
(BNB)</v>
      </c>
      <c r="B1042" s="279" t="s">
        <v>1857</v>
      </c>
      <c r="C1042" s="99">
        <v>230</v>
      </c>
      <c r="D1042" s="105" t="s">
        <v>2900</v>
      </c>
      <c r="E1042" s="89">
        <v>725000</v>
      </c>
    </row>
    <row r="1043" spans="1:5" ht="15" customHeight="1" x14ac:dyDescent="0.2">
      <c r="A1043" s="685" t="str">
        <f t="shared" si="46"/>
        <v>비앤비
(BNB)</v>
      </c>
      <c r="B1043" s="118" t="s">
        <v>2010</v>
      </c>
      <c r="C1043" s="113">
        <v>122</v>
      </c>
      <c r="D1043" s="114" t="s">
        <v>1893</v>
      </c>
      <c r="E1043" s="89">
        <v>615000</v>
      </c>
    </row>
    <row r="1044" spans="1:5" ht="15" customHeight="1" x14ac:dyDescent="0.2">
      <c r="A1044" s="685" t="str">
        <f t="shared" si="46"/>
        <v>비앤비
(BNB)</v>
      </c>
      <c r="B1044" s="118" t="s">
        <v>2010</v>
      </c>
      <c r="C1044" s="91">
        <v>110</v>
      </c>
      <c r="D1044" s="98" t="s">
        <v>2780</v>
      </c>
      <c r="E1044" s="89">
        <v>550000</v>
      </c>
    </row>
    <row r="1045" spans="1:5" ht="15" customHeight="1" x14ac:dyDescent="0.2">
      <c r="A1045" s="685" t="str">
        <f t="shared" si="46"/>
        <v>비앤비
(BNB)</v>
      </c>
      <c r="B1045" s="118" t="s">
        <v>2010</v>
      </c>
      <c r="C1045" s="91" t="s">
        <v>1868</v>
      </c>
      <c r="D1045" s="98" t="s">
        <v>2901</v>
      </c>
      <c r="E1045" s="89">
        <v>535000</v>
      </c>
    </row>
    <row r="1046" spans="1:5" ht="15" customHeight="1" x14ac:dyDescent="0.2">
      <c r="A1046" s="685" t="str">
        <f t="shared" si="46"/>
        <v>비앤비
(BNB)</v>
      </c>
      <c r="B1046" s="118" t="s">
        <v>2010</v>
      </c>
      <c r="C1046" s="91" t="s">
        <v>1868</v>
      </c>
      <c r="D1046" s="98" t="s">
        <v>2902</v>
      </c>
      <c r="E1046" s="89">
        <v>620000</v>
      </c>
    </row>
    <row r="1047" spans="1:5" ht="15" customHeight="1" x14ac:dyDescent="0.2">
      <c r="A1047" s="685" t="str">
        <f t="shared" si="46"/>
        <v>비앤비
(BNB)</v>
      </c>
      <c r="B1047" s="118" t="s">
        <v>2010</v>
      </c>
      <c r="C1047" s="91" t="s">
        <v>1868</v>
      </c>
      <c r="D1047" s="98" t="s">
        <v>1896</v>
      </c>
      <c r="E1047" s="89">
        <v>620000</v>
      </c>
    </row>
    <row r="1048" spans="1:5" ht="15" customHeight="1" x14ac:dyDescent="0.2">
      <c r="A1048" s="685" t="str">
        <f t="shared" si="46"/>
        <v>비앤비
(BNB)</v>
      </c>
      <c r="B1048" s="118" t="s">
        <v>2010</v>
      </c>
      <c r="C1048" s="91" t="s">
        <v>1868</v>
      </c>
      <c r="D1048" s="98" t="s">
        <v>2903</v>
      </c>
      <c r="E1048" s="89">
        <v>700000</v>
      </c>
    </row>
    <row r="1049" spans="1:5" ht="15" customHeight="1" x14ac:dyDescent="0.2">
      <c r="A1049" s="685" t="str">
        <f t="shared" si="46"/>
        <v>비앤비
(BNB)</v>
      </c>
      <c r="B1049" s="118" t="s">
        <v>2010</v>
      </c>
      <c r="C1049" s="99" t="s">
        <v>1868</v>
      </c>
      <c r="D1049" s="105" t="s">
        <v>2904</v>
      </c>
      <c r="E1049" s="89">
        <v>610000</v>
      </c>
    </row>
    <row r="1050" spans="1:5" ht="15" customHeight="1" x14ac:dyDescent="0.2">
      <c r="A1050" s="685" t="str">
        <f t="shared" si="46"/>
        <v>비앤비
(BNB)</v>
      </c>
      <c r="B1050" s="118" t="s">
        <v>2905</v>
      </c>
      <c r="C1050" s="91">
        <v>110</v>
      </c>
      <c r="D1050" s="98" t="s">
        <v>2906</v>
      </c>
      <c r="E1050" s="89">
        <v>450000</v>
      </c>
    </row>
    <row r="1051" spans="1:5" ht="15" customHeight="1" x14ac:dyDescent="0.2">
      <c r="A1051" s="685" t="str">
        <f t="shared" si="46"/>
        <v>비앤비
(BNB)</v>
      </c>
      <c r="B1051" s="137" t="s">
        <v>2826</v>
      </c>
      <c r="C1051" s="96">
        <v>125</v>
      </c>
      <c r="D1051" s="109" t="s">
        <v>2907</v>
      </c>
      <c r="E1051" s="89">
        <v>455000</v>
      </c>
    </row>
    <row r="1052" spans="1:5" s="218" customFormat="1" ht="15" customHeight="1" x14ac:dyDescent="0.3">
      <c r="A1052" s="685" t="str">
        <f t="shared" si="46"/>
        <v>비앤비
(BNB)</v>
      </c>
      <c r="B1052" s="137" t="s">
        <v>2826</v>
      </c>
      <c r="C1052" s="96">
        <v>120</v>
      </c>
      <c r="D1052" s="139" t="s">
        <v>2908</v>
      </c>
      <c r="E1052" s="218">
        <v>455000</v>
      </c>
    </row>
    <row r="1053" spans="1:5" s="218" customFormat="1" ht="15" customHeight="1" x14ac:dyDescent="0.3">
      <c r="A1053" s="685" t="str">
        <f t="shared" si="46"/>
        <v>비앤비
(BNB)</v>
      </c>
      <c r="B1053" s="137" t="s">
        <v>2826</v>
      </c>
      <c r="C1053" s="91"/>
      <c r="D1053" s="156" t="s">
        <v>2909</v>
      </c>
      <c r="E1053" s="218">
        <v>410000</v>
      </c>
    </row>
    <row r="1054" spans="1:5" s="218" customFormat="1" ht="15" customHeight="1" x14ac:dyDescent="0.3">
      <c r="A1054" s="685" t="str">
        <f t="shared" si="46"/>
        <v>비앤비
(BNB)</v>
      </c>
      <c r="B1054" s="137" t="s">
        <v>2826</v>
      </c>
      <c r="C1054" s="91"/>
      <c r="D1054" s="156" t="s">
        <v>2910</v>
      </c>
      <c r="E1054" s="218">
        <v>425000</v>
      </c>
    </row>
    <row r="1055" spans="1:5" s="218" customFormat="1" ht="15" customHeight="1" x14ac:dyDescent="0.3">
      <c r="A1055" s="685" t="str">
        <f t="shared" si="46"/>
        <v>비앤비
(BNB)</v>
      </c>
      <c r="B1055" s="137" t="s">
        <v>2826</v>
      </c>
      <c r="C1055" s="99"/>
      <c r="D1055" s="145" t="s">
        <v>2911</v>
      </c>
      <c r="E1055" s="218">
        <v>480000</v>
      </c>
    </row>
    <row r="1056" spans="1:5" s="218" customFormat="1" ht="15" customHeight="1" x14ac:dyDescent="0.3">
      <c r="A1056" s="685" t="str">
        <f t="shared" si="46"/>
        <v>비앤비
(BNB)</v>
      </c>
      <c r="B1056" s="137" t="s">
        <v>2826</v>
      </c>
      <c r="C1056" s="91">
        <v>230</v>
      </c>
      <c r="D1056" s="98" t="s">
        <v>2912</v>
      </c>
      <c r="E1056" s="218">
        <v>890000</v>
      </c>
    </row>
    <row r="1057" spans="1:5" s="218" customFormat="1" ht="15" customHeight="1" x14ac:dyDescent="0.3">
      <c r="A1057" s="685" t="str">
        <f t="shared" si="46"/>
        <v>비앤비
(BNB)</v>
      </c>
      <c r="B1057" s="137" t="s">
        <v>2826</v>
      </c>
      <c r="C1057" s="106" t="s">
        <v>1868</v>
      </c>
      <c r="D1057" s="107" t="s">
        <v>2913</v>
      </c>
      <c r="E1057" s="218">
        <v>965000</v>
      </c>
    </row>
    <row r="1058" spans="1:5" s="218" customFormat="1" ht="15" customHeight="1" x14ac:dyDescent="0.3">
      <c r="A1058" s="685" t="str">
        <f t="shared" si="46"/>
        <v>비앤비
(BNB)</v>
      </c>
      <c r="B1058" s="137" t="s">
        <v>2826</v>
      </c>
      <c r="C1058" s="277">
        <v>120</v>
      </c>
      <c r="D1058" s="278" t="s">
        <v>2775</v>
      </c>
      <c r="E1058" s="218">
        <v>460000</v>
      </c>
    </row>
    <row r="1059" spans="1:5" s="218" customFormat="1" ht="15" customHeight="1" x14ac:dyDescent="0.3">
      <c r="A1059" s="685" t="str">
        <f t="shared" si="46"/>
        <v>비앤비
(BNB)</v>
      </c>
      <c r="B1059" s="137" t="s">
        <v>2826</v>
      </c>
      <c r="C1059" s="138">
        <v>110</v>
      </c>
      <c r="D1059" s="285" t="s">
        <v>2914</v>
      </c>
      <c r="E1059" s="218">
        <v>440000</v>
      </c>
    </row>
    <row r="1060" spans="1:5" s="218" customFormat="1" ht="15" customHeight="1" x14ac:dyDescent="0.3">
      <c r="A1060" s="685" t="str">
        <f t="shared" si="46"/>
        <v>비앤비
(BNB)</v>
      </c>
      <c r="B1060" s="137" t="s">
        <v>2826</v>
      </c>
      <c r="C1060" s="91" t="s">
        <v>1868</v>
      </c>
      <c r="D1060" s="98" t="s">
        <v>2915</v>
      </c>
      <c r="E1060" s="218">
        <v>440000</v>
      </c>
    </row>
    <row r="1061" spans="1:5" s="218" customFormat="1" ht="15" customHeight="1" x14ac:dyDescent="0.3">
      <c r="A1061" s="685" t="str">
        <f t="shared" si="46"/>
        <v>비앤비
(BNB)</v>
      </c>
      <c r="B1061" s="137" t="s">
        <v>2826</v>
      </c>
      <c r="C1061" s="91" t="s">
        <v>1868</v>
      </c>
      <c r="D1061" s="98" t="s">
        <v>2916</v>
      </c>
      <c r="E1061" s="218">
        <v>450000</v>
      </c>
    </row>
    <row r="1062" spans="1:5" s="218" customFormat="1" ht="15" customHeight="1" x14ac:dyDescent="0.3">
      <c r="A1062" s="685" t="str">
        <f t="shared" si="46"/>
        <v>비앤비
(BNB)</v>
      </c>
      <c r="B1062" s="137" t="s">
        <v>2826</v>
      </c>
      <c r="C1062" s="91" t="s">
        <v>1868</v>
      </c>
      <c r="D1062" s="156" t="s">
        <v>2917</v>
      </c>
      <c r="E1062" s="218">
        <v>300000</v>
      </c>
    </row>
    <row r="1063" spans="1:5" s="218" customFormat="1" ht="15" customHeight="1" x14ac:dyDescent="0.3">
      <c r="A1063" s="685" t="str">
        <f t="shared" si="46"/>
        <v>비앤비
(BNB)</v>
      </c>
      <c r="B1063" s="137" t="s">
        <v>2826</v>
      </c>
      <c r="C1063" s="91" t="s">
        <v>1868</v>
      </c>
      <c r="D1063" s="98" t="s">
        <v>2918</v>
      </c>
      <c r="E1063" s="218">
        <v>440000</v>
      </c>
    </row>
    <row r="1064" spans="1:5" s="218" customFormat="1" ht="15" customHeight="1" x14ac:dyDescent="0.3">
      <c r="A1064" s="678" t="str">
        <f t="shared" si="46"/>
        <v>비앤비
(BNB)</v>
      </c>
      <c r="B1064" s="137" t="s">
        <v>2826</v>
      </c>
      <c r="C1064" s="111" t="s">
        <v>1868</v>
      </c>
      <c r="D1064" s="207" t="s">
        <v>2919</v>
      </c>
      <c r="E1064" s="218">
        <v>410000</v>
      </c>
    </row>
    <row r="1065" spans="1:5" s="218" customFormat="1" ht="16.5" customHeight="1" x14ac:dyDescent="0.3">
      <c r="A1065" s="744" t="s">
        <v>2920</v>
      </c>
      <c r="B1065" s="276" t="s">
        <v>1879</v>
      </c>
      <c r="C1065" s="277">
        <v>120</v>
      </c>
      <c r="D1065" s="98" t="s">
        <v>2921</v>
      </c>
      <c r="E1065" s="218">
        <v>308000</v>
      </c>
    </row>
    <row r="1066" spans="1:5" s="218" customFormat="1" ht="12" x14ac:dyDescent="0.3">
      <c r="A1066" s="685" t="str">
        <f t="shared" ref="A1066:A1074" si="47">A1065</f>
        <v>빌리지
(VIL)  11/1 이전 재고</v>
      </c>
      <c r="B1066" s="276" t="s">
        <v>1879</v>
      </c>
      <c r="C1066" s="91">
        <v>150</v>
      </c>
      <c r="D1066" s="98" t="s">
        <v>2921</v>
      </c>
      <c r="E1066" s="218">
        <v>371000</v>
      </c>
    </row>
    <row r="1067" spans="1:5" s="218" customFormat="1" ht="12" x14ac:dyDescent="0.3">
      <c r="A1067" s="685" t="str">
        <f t="shared" si="47"/>
        <v>빌리지
(VIL)  11/1 이전 재고</v>
      </c>
      <c r="B1067" s="276" t="s">
        <v>1879</v>
      </c>
      <c r="C1067" s="96">
        <v>200</v>
      </c>
      <c r="D1067" s="109" t="s">
        <v>2922</v>
      </c>
      <c r="E1067" s="218">
        <v>490000</v>
      </c>
    </row>
    <row r="1068" spans="1:5" s="218" customFormat="1" ht="12" x14ac:dyDescent="0.3">
      <c r="A1068" s="685" t="str">
        <f t="shared" si="47"/>
        <v>빌리지
(VIL)  11/1 이전 재고</v>
      </c>
      <c r="B1068" s="276" t="s">
        <v>1879</v>
      </c>
      <c r="C1068" s="91" t="s">
        <v>1868</v>
      </c>
      <c r="D1068" s="98" t="s">
        <v>2923</v>
      </c>
      <c r="E1068" s="218">
        <v>480000</v>
      </c>
    </row>
    <row r="1069" spans="1:5" s="218" customFormat="1" ht="12" x14ac:dyDescent="0.3">
      <c r="A1069" s="685" t="str">
        <f t="shared" si="47"/>
        <v>빌리지
(VIL)  11/1 이전 재고</v>
      </c>
      <c r="B1069" s="276" t="s">
        <v>1879</v>
      </c>
      <c r="C1069" s="96">
        <v>240</v>
      </c>
      <c r="D1069" s="109" t="s">
        <v>2924</v>
      </c>
      <c r="E1069" s="218">
        <v>585000</v>
      </c>
    </row>
    <row r="1070" spans="1:5" s="218" customFormat="1" ht="12" x14ac:dyDescent="0.3">
      <c r="A1070" s="685" t="str">
        <f t="shared" si="47"/>
        <v>빌리지
(VIL)  11/1 이전 재고</v>
      </c>
      <c r="B1070" s="276" t="s">
        <v>1879</v>
      </c>
      <c r="C1070" s="99" t="s">
        <v>1868</v>
      </c>
      <c r="D1070" s="105" t="s">
        <v>2923</v>
      </c>
      <c r="E1070" s="218">
        <v>575000</v>
      </c>
    </row>
    <row r="1071" spans="1:5" s="218" customFormat="1" ht="12" x14ac:dyDescent="0.3">
      <c r="A1071" s="685" t="str">
        <f t="shared" si="47"/>
        <v>빌리지
(VIL)  11/1 이전 재고</v>
      </c>
      <c r="B1071" s="90" t="s">
        <v>1998</v>
      </c>
      <c r="C1071" s="91">
        <v>120</v>
      </c>
      <c r="D1071" s="98" t="s">
        <v>2925</v>
      </c>
      <c r="E1071" s="218">
        <v>214000</v>
      </c>
    </row>
    <row r="1072" spans="1:5" s="218" customFormat="1" ht="12" x14ac:dyDescent="0.3">
      <c r="A1072" s="685" t="str">
        <f t="shared" si="47"/>
        <v>빌리지
(VIL)  11/1 이전 재고</v>
      </c>
      <c r="B1072" s="90" t="s">
        <v>1998</v>
      </c>
      <c r="C1072" s="91">
        <v>150</v>
      </c>
      <c r="D1072" s="98" t="s">
        <v>2921</v>
      </c>
      <c r="E1072" s="218">
        <v>259000</v>
      </c>
    </row>
    <row r="1073" spans="1:5" s="218" customFormat="1" ht="12" x14ac:dyDescent="0.3">
      <c r="A1073" s="685" t="str">
        <f t="shared" si="47"/>
        <v>빌리지
(VIL)  11/1 이전 재고</v>
      </c>
      <c r="B1073" s="90" t="s">
        <v>1998</v>
      </c>
      <c r="C1073" s="99">
        <v>200</v>
      </c>
      <c r="D1073" s="105" t="s">
        <v>2926</v>
      </c>
      <c r="E1073" s="218">
        <v>332000</v>
      </c>
    </row>
    <row r="1074" spans="1:5" s="218" customFormat="1" ht="12" x14ac:dyDescent="0.3">
      <c r="A1074" s="688" t="str">
        <f t="shared" si="47"/>
        <v>빌리지
(VIL)  11/1 이전 재고</v>
      </c>
      <c r="B1074" s="194" t="s">
        <v>2927</v>
      </c>
      <c r="C1074" s="106">
        <v>200</v>
      </c>
      <c r="D1074" s="219" t="s">
        <v>2928</v>
      </c>
      <c r="E1074" s="218">
        <v>332000</v>
      </c>
    </row>
    <row r="1075" spans="1:5" s="218" customFormat="1" ht="16.5" customHeight="1" x14ac:dyDescent="0.3">
      <c r="A1075" s="744" t="s">
        <v>2929</v>
      </c>
      <c r="B1075" s="276" t="s">
        <v>1879</v>
      </c>
      <c r="C1075" s="277">
        <v>120</v>
      </c>
      <c r="D1075" s="98" t="s">
        <v>2921</v>
      </c>
      <c r="E1075" s="218">
        <v>420000</v>
      </c>
    </row>
    <row r="1076" spans="1:5" s="218" customFormat="1" ht="12" x14ac:dyDescent="0.3">
      <c r="A1076" s="685" t="str">
        <f t="shared" ref="A1076:A1084" si="48">A1075</f>
        <v>빌리지2
(VIL2)  11/1 이후 입고분</v>
      </c>
      <c r="B1076" s="276" t="s">
        <v>1879</v>
      </c>
      <c r="C1076" s="91">
        <v>150</v>
      </c>
      <c r="D1076" s="98" t="s">
        <v>2921</v>
      </c>
      <c r="E1076" s="218">
        <v>510000</v>
      </c>
    </row>
    <row r="1077" spans="1:5" s="218" customFormat="1" ht="12" x14ac:dyDescent="0.3">
      <c r="A1077" s="685" t="str">
        <f t="shared" si="48"/>
        <v>빌리지2
(VIL2)  11/1 이후 입고분</v>
      </c>
      <c r="B1077" s="276" t="s">
        <v>1879</v>
      </c>
      <c r="C1077" s="96">
        <v>200</v>
      </c>
      <c r="D1077" s="109" t="s">
        <v>2922</v>
      </c>
      <c r="E1077" s="218">
        <v>670000</v>
      </c>
    </row>
    <row r="1078" spans="1:5" s="218" customFormat="1" ht="12" x14ac:dyDescent="0.3">
      <c r="A1078" s="685" t="str">
        <f t="shared" si="48"/>
        <v>빌리지2
(VIL2)  11/1 이후 입고분</v>
      </c>
      <c r="B1078" s="276" t="s">
        <v>1879</v>
      </c>
      <c r="C1078" s="91" t="s">
        <v>1868</v>
      </c>
      <c r="D1078" s="98" t="s">
        <v>2923</v>
      </c>
      <c r="E1078" s="218">
        <v>660000</v>
      </c>
    </row>
    <row r="1079" spans="1:5" s="218" customFormat="1" ht="12" x14ac:dyDescent="0.3">
      <c r="A1079" s="685" t="str">
        <f t="shared" si="48"/>
        <v>빌리지2
(VIL2)  11/1 이후 입고분</v>
      </c>
      <c r="B1079" s="276" t="s">
        <v>1879</v>
      </c>
      <c r="C1079" s="96">
        <v>240</v>
      </c>
      <c r="D1079" s="109" t="s">
        <v>2924</v>
      </c>
      <c r="E1079" s="218">
        <v>805000</v>
      </c>
    </row>
    <row r="1080" spans="1:5" s="218" customFormat="1" ht="12" x14ac:dyDescent="0.3">
      <c r="A1080" s="685" t="str">
        <f t="shared" si="48"/>
        <v>빌리지2
(VIL2)  11/1 이후 입고분</v>
      </c>
      <c r="B1080" s="276" t="s">
        <v>1879</v>
      </c>
      <c r="C1080" s="99" t="s">
        <v>1868</v>
      </c>
      <c r="D1080" s="105" t="s">
        <v>2923</v>
      </c>
      <c r="E1080" s="218">
        <v>790000</v>
      </c>
    </row>
    <row r="1081" spans="1:5" s="218" customFormat="1" ht="12" x14ac:dyDescent="0.3">
      <c r="A1081" s="685" t="str">
        <f t="shared" si="48"/>
        <v>빌리지2
(VIL2)  11/1 이후 입고분</v>
      </c>
      <c r="B1081" s="90" t="s">
        <v>1998</v>
      </c>
      <c r="C1081" s="91">
        <v>120</v>
      </c>
      <c r="D1081" s="98" t="s">
        <v>2925</v>
      </c>
      <c r="E1081" s="218">
        <v>295000</v>
      </c>
    </row>
    <row r="1082" spans="1:5" s="218" customFormat="1" ht="12" x14ac:dyDescent="0.3">
      <c r="A1082" s="685" t="str">
        <f t="shared" si="48"/>
        <v>빌리지2
(VIL2)  11/1 이후 입고분</v>
      </c>
      <c r="B1082" s="90" t="s">
        <v>1998</v>
      </c>
      <c r="C1082" s="91">
        <v>150</v>
      </c>
      <c r="D1082" s="98" t="s">
        <v>2921</v>
      </c>
      <c r="E1082" s="218">
        <v>355000</v>
      </c>
    </row>
    <row r="1083" spans="1:5" s="218" customFormat="1" ht="12" x14ac:dyDescent="0.3">
      <c r="A1083" s="685" t="str">
        <f t="shared" si="48"/>
        <v>빌리지2
(VIL2)  11/1 이후 입고분</v>
      </c>
      <c r="B1083" s="90" t="s">
        <v>1998</v>
      </c>
      <c r="C1083" s="99">
        <v>200</v>
      </c>
      <c r="D1083" s="105" t="s">
        <v>2926</v>
      </c>
      <c r="E1083" s="218">
        <v>460000</v>
      </c>
    </row>
    <row r="1084" spans="1:5" s="218" customFormat="1" ht="12" x14ac:dyDescent="0.3">
      <c r="A1084" s="688" t="str">
        <f t="shared" si="48"/>
        <v>빌리지2
(VIL2)  11/1 이후 입고분</v>
      </c>
      <c r="B1084" s="194" t="s">
        <v>2927</v>
      </c>
      <c r="C1084" s="106">
        <v>200</v>
      </c>
      <c r="D1084" s="107" t="s">
        <v>2928</v>
      </c>
      <c r="E1084" s="218">
        <v>460000</v>
      </c>
    </row>
    <row r="1085" spans="1:5" ht="15" customHeight="1" x14ac:dyDescent="0.2">
      <c r="A1085" s="744" t="s">
        <v>2930</v>
      </c>
      <c r="B1085" s="276" t="s">
        <v>1872</v>
      </c>
      <c r="C1085" s="277">
        <v>480</v>
      </c>
      <c r="D1085" s="278" t="s">
        <v>2931</v>
      </c>
      <c r="E1085" s="89">
        <v>1485000</v>
      </c>
    </row>
    <row r="1086" spans="1:5" ht="15" customHeight="1" x14ac:dyDescent="0.2">
      <c r="A1086" s="745"/>
      <c r="B1086" s="276" t="s">
        <v>1872</v>
      </c>
      <c r="C1086" s="91">
        <v>700</v>
      </c>
      <c r="D1086" s="98"/>
      <c r="E1086" s="89">
        <v>2170000</v>
      </c>
    </row>
    <row r="1087" spans="1:5" ht="15" customHeight="1" x14ac:dyDescent="0.2">
      <c r="A1087" s="735">
        <f t="shared" ref="A1087:A1091" si="49">A1086</f>
        <v>0</v>
      </c>
      <c r="B1087" s="95" t="s">
        <v>1857</v>
      </c>
      <c r="C1087" s="96">
        <v>260</v>
      </c>
      <c r="D1087" s="109" t="s">
        <v>2931</v>
      </c>
      <c r="E1087" s="89">
        <v>985000</v>
      </c>
    </row>
    <row r="1088" spans="1:5" ht="15" customHeight="1" x14ac:dyDescent="0.2">
      <c r="A1088" s="735">
        <f t="shared" si="49"/>
        <v>0</v>
      </c>
      <c r="B1088" s="95" t="s">
        <v>1857</v>
      </c>
      <c r="C1088" s="91">
        <v>290</v>
      </c>
      <c r="D1088" s="98"/>
      <c r="E1088" s="89">
        <v>1100000</v>
      </c>
    </row>
    <row r="1089" spans="1:5" ht="15" customHeight="1" x14ac:dyDescent="0.2">
      <c r="A1089" s="735">
        <f t="shared" si="49"/>
        <v>0</v>
      </c>
      <c r="B1089" s="95" t="s">
        <v>1857</v>
      </c>
      <c r="C1089" s="91">
        <v>330</v>
      </c>
      <c r="D1089" s="98"/>
      <c r="E1089" s="89">
        <v>1250000</v>
      </c>
    </row>
    <row r="1090" spans="1:5" ht="15" customHeight="1" x14ac:dyDescent="0.2">
      <c r="A1090" s="735">
        <f t="shared" si="49"/>
        <v>0</v>
      </c>
      <c r="B1090" s="95" t="s">
        <v>1857</v>
      </c>
      <c r="C1090" s="91">
        <v>380</v>
      </c>
      <c r="D1090" s="98"/>
      <c r="E1090" s="89">
        <v>1440000</v>
      </c>
    </row>
    <row r="1091" spans="1:5" ht="15" customHeight="1" x14ac:dyDescent="0.2">
      <c r="A1091" s="735">
        <f t="shared" si="49"/>
        <v>0</v>
      </c>
      <c r="B1091" s="95" t="s">
        <v>1857</v>
      </c>
      <c r="C1091" s="91">
        <v>480</v>
      </c>
      <c r="D1091" s="98"/>
      <c r="E1091" s="89">
        <v>1815000</v>
      </c>
    </row>
    <row r="1092" spans="1:5" s="218" customFormat="1" ht="16.5" customHeight="1" x14ac:dyDescent="0.3">
      <c r="A1092" s="735" t="s">
        <v>2932</v>
      </c>
      <c r="B1092" s="276" t="s">
        <v>2933</v>
      </c>
      <c r="C1092" s="277">
        <v>130</v>
      </c>
      <c r="D1092" s="286" t="s">
        <v>2934</v>
      </c>
      <c r="E1092" s="218">
        <v>440000</v>
      </c>
    </row>
    <row r="1093" spans="1:5" s="218" customFormat="1" ht="12" x14ac:dyDescent="0.3">
      <c r="A1093" s="735" t="str">
        <f t="shared" ref="A1093:A1100" si="50">A1092</f>
        <v>블랙벨벳
(VET)</v>
      </c>
      <c r="B1093" s="276" t="s">
        <v>2933</v>
      </c>
      <c r="C1093" s="91">
        <v>240</v>
      </c>
      <c r="D1093" s="156" t="s">
        <v>2934</v>
      </c>
      <c r="E1093" s="218">
        <v>620000</v>
      </c>
    </row>
    <row r="1094" spans="1:5" s="218" customFormat="1" ht="12" x14ac:dyDescent="0.3">
      <c r="A1094" s="735" t="str">
        <f t="shared" si="50"/>
        <v>블랙벨벳
(VET)</v>
      </c>
      <c r="B1094" s="276" t="s">
        <v>2933</v>
      </c>
      <c r="C1094" s="91">
        <v>300</v>
      </c>
      <c r="D1094" s="156" t="s">
        <v>2934</v>
      </c>
      <c r="E1094" s="218">
        <v>700000</v>
      </c>
    </row>
    <row r="1095" spans="1:5" s="218" customFormat="1" ht="12" x14ac:dyDescent="0.3">
      <c r="A1095" s="735" t="str">
        <f t="shared" si="50"/>
        <v>블랙벨벳
(VET)</v>
      </c>
      <c r="B1095" s="276" t="s">
        <v>2933</v>
      </c>
      <c r="C1095" s="91">
        <v>350</v>
      </c>
      <c r="D1095" s="145" t="s">
        <v>2934</v>
      </c>
      <c r="E1095" s="218">
        <v>775000</v>
      </c>
    </row>
    <row r="1096" spans="1:5" s="218" customFormat="1" ht="12" x14ac:dyDescent="0.3">
      <c r="A1096" s="735" t="str">
        <f t="shared" si="50"/>
        <v>블랙벨벳
(VET)</v>
      </c>
      <c r="B1096" s="276" t="s">
        <v>2933</v>
      </c>
      <c r="C1096" s="96">
        <v>130</v>
      </c>
      <c r="D1096" s="109" t="s">
        <v>2935</v>
      </c>
      <c r="E1096" s="218">
        <v>860000</v>
      </c>
    </row>
    <row r="1097" spans="1:5" s="218" customFormat="1" ht="12" x14ac:dyDescent="0.3">
      <c r="A1097" s="735" t="str">
        <f t="shared" si="50"/>
        <v>블랙벨벳
(VET)</v>
      </c>
      <c r="B1097" s="276" t="s">
        <v>2933</v>
      </c>
      <c r="C1097" s="91">
        <v>190</v>
      </c>
      <c r="D1097" s="98" t="s">
        <v>2936</v>
      </c>
      <c r="E1097" s="218">
        <v>690000</v>
      </c>
    </row>
    <row r="1098" spans="1:5" s="218" customFormat="1" ht="12" x14ac:dyDescent="0.3">
      <c r="A1098" s="735" t="str">
        <f t="shared" si="50"/>
        <v>블랙벨벳
(VET)</v>
      </c>
      <c r="B1098" s="276" t="s">
        <v>2933</v>
      </c>
      <c r="C1098" s="91">
        <v>240</v>
      </c>
      <c r="D1098" s="98" t="s">
        <v>2936</v>
      </c>
      <c r="E1098" s="218">
        <v>810000</v>
      </c>
    </row>
    <row r="1099" spans="1:5" s="218" customFormat="1" ht="12" x14ac:dyDescent="0.3">
      <c r="A1099" s="735" t="str">
        <f t="shared" si="50"/>
        <v>블랙벨벳
(VET)</v>
      </c>
      <c r="B1099" s="276" t="s">
        <v>2933</v>
      </c>
      <c r="C1099" s="91">
        <v>300</v>
      </c>
      <c r="D1099" s="98" t="s">
        <v>2936</v>
      </c>
      <c r="E1099" s="218">
        <v>965000</v>
      </c>
    </row>
    <row r="1100" spans="1:5" s="218" customFormat="1" ht="12" x14ac:dyDescent="0.3">
      <c r="A1100" s="746" t="str">
        <f t="shared" si="50"/>
        <v>블랙벨벳
(VET)</v>
      </c>
      <c r="B1100" s="276" t="s">
        <v>2933</v>
      </c>
      <c r="C1100" s="111">
        <v>350</v>
      </c>
      <c r="D1100" s="98" t="s">
        <v>2936</v>
      </c>
      <c r="E1100" s="218">
        <v>1070000</v>
      </c>
    </row>
    <row r="1101" spans="1:5" ht="15" customHeight="1" x14ac:dyDescent="0.2">
      <c r="A1101" s="735" t="s">
        <v>2937</v>
      </c>
      <c r="B1101" s="276" t="s">
        <v>2938</v>
      </c>
      <c r="C1101" s="277">
        <v>100</v>
      </c>
      <c r="D1101" s="278" t="s">
        <v>2939</v>
      </c>
      <c r="E1101" s="89">
        <v>300000</v>
      </c>
    </row>
    <row r="1102" spans="1:5" ht="15" customHeight="1" x14ac:dyDescent="0.2">
      <c r="A1102" s="735" t="str">
        <f t="shared" ref="A1102:A1107" si="51">A1101</f>
        <v>사빌레로우
트위드
(SRTW)</v>
      </c>
      <c r="B1102" s="276" t="s">
        <v>2938</v>
      </c>
      <c r="C1102" s="113">
        <v>160</v>
      </c>
      <c r="D1102" s="142" t="s">
        <v>2940</v>
      </c>
      <c r="E1102" s="89">
        <v>360000</v>
      </c>
    </row>
    <row r="1103" spans="1:5" ht="15" customHeight="1" x14ac:dyDescent="0.2">
      <c r="A1103" s="735" t="str">
        <f t="shared" si="51"/>
        <v>사빌레로우
트위드
(SRTW)</v>
      </c>
      <c r="B1103" s="276" t="s">
        <v>2938</v>
      </c>
      <c r="C1103" s="96">
        <v>200</v>
      </c>
      <c r="D1103" s="109" t="s">
        <v>2941</v>
      </c>
      <c r="E1103" s="89">
        <v>595000</v>
      </c>
    </row>
    <row r="1104" spans="1:5" ht="15" customHeight="1" x14ac:dyDescent="0.2">
      <c r="A1104" s="735" t="str">
        <f t="shared" si="51"/>
        <v>사빌레로우
트위드
(SRTW)</v>
      </c>
      <c r="B1104" s="276" t="s">
        <v>2938</v>
      </c>
      <c r="C1104" s="99"/>
      <c r="D1104" s="105" t="s">
        <v>2942</v>
      </c>
      <c r="E1104" s="89">
        <v>700000</v>
      </c>
    </row>
    <row r="1105" spans="1:5" ht="15" customHeight="1" x14ac:dyDescent="0.2">
      <c r="A1105" s="735" t="str">
        <f t="shared" si="51"/>
        <v>사빌레로우
트위드
(SRTW)</v>
      </c>
      <c r="B1105" s="276" t="s">
        <v>2938</v>
      </c>
      <c r="C1105" s="91">
        <v>240</v>
      </c>
      <c r="D1105" s="109" t="s">
        <v>2943</v>
      </c>
      <c r="E1105" s="89">
        <v>680000</v>
      </c>
    </row>
    <row r="1106" spans="1:5" ht="15" customHeight="1" x14ac:dyDescent="0.2">
      <c r="A1106" s="735" t="str">
        <f t="shared" si="51"/>
        <v>사빌레로우
트위드
(SRTW)</v>
      </c>
      <c r="B1106" s="276" t="s">
        <v>2938</v>
      </c>
      <c r="C1106" s="96">
        <v>300</v>
      </c>
      <c r="D1106" s="109" t="s">
        <v>2944</v>
      </c>
      <c r="E1106" s="89">
        <v>900000</v>
      </c>
    </row>
    <row r="1107" spans="1:5" ht="15" customHeight="1" x14ac:dyDescent="0.2">
      <c r="A1107" s="746" t="str">
        <f t="shared" si="51"/>
        <v>사빌레로우
트위드
(SRTW)</v>
      </c>
      <c r="B1107" s="276" t="s">
        <v>2938</v>
      </c>
      <c r="C1107" s="111"/>
      <c r="D1107" s="112" t="s">
        <v>2945</v>
      </c>
      <c r="E1107" s="89">
        <v>1065000</v>
      </c>
    </row>
    <row r="1108" spans="1:5" ht="15" customHeight="1" x14ac:dyDescent="0.2">
      <c r="A1108" s="688" t="s">
        <v>2946</v>
      </c>
      <c r="B1108" s="90" t="s">
        <v>2938</v>
      </c>
      <c r="C1108" s="91">
        <v>100</v>
      </c>
      <c r="D1108" s="98" t="s">
        <v>2947</v>
      </c>
      <c r="E1108" s="89">
        <v>275000</v>
      </c>
    </row>
    <row r="1109" spans="1:5" ht="15" customHeight="1" x14ac:dyDescent="0.2">
      <c r="A1109" s="688" t="str">
        <f t="shared" ref="A1109:A1124" si="52">A1108</f>
        <v>사빌레로우
플레인
(SRPL)</v>
      </c>
      <c r="B1109" s="90" t="s">
        <v>2938</v>
      </c>
      <c r="C1109" s="91"/>
      <c r="D1109" s="287" t="s">
        <v>2948</v>
      </c>
      <c r="E1109" s="89">
        <v>330000</v>
      </c>
    </row>
    <row r="1110" spans="1:5" ht="15" customHeight="1" x14ac:dyDescent="0.2">
      <c r="A1110" s="688" t="str">
        <f t="shared" si="52"/>
        <v>사빌레로우
플레인
(SRPL)</v>
      </c>
      <c r="B1110" s="90" t="s">
        <v>2938</v>
      </c>
      <c r="C1110" s="91"/>
      <c r="D1110" s="287" t="s">
        <v>2949</v>
      </c>
      <c r="E1110" s="89">
        <v>330000</v>
      </c>
    </row>
    <row r="1111" spans="1:5" ht="18" customHeight="1" x14ac:dyDescent="0.2">
      <c r="A1111" s="747" t="str">
        <f t="shared" si="52"/>
        <v>사빌레로우
플레인
(SRPL)</v>
      </c>
      <c r="B1111" s="90" t="s">
        <v>2938</v>
      </c>
      <c r="C1111" s="99"/>
      <c r="D1111" s="287" t="s">
        <v>2950</v>
      </c>
      <c r="E1111" s="89">
        <v>330000</v>
      </c>
    </row>
    <row r="1112" spans="1:5" ht="15" customHeight="1" x14ac:dyDescent="0.2">
      <c r="A1112" s="747" t="str">
        <f t="shared" si="52"/>
        <v>사빌레로우
플레인
(SRPL)</v>
      </c>
      <c r="B1112" s="90" t="s">
        <v>2938</v>
      </c>
      <c r="C1112" s="96">
        <v>140</v>
      </c>
      <c r="D1112" s="221" t="s">
        <v>2951</v>
      </c>
      <c r="E1112" s="89">
        <v>355000</v>
      </c>
    </row>
    <row r="1113" spans="1:5" ht="15" customHeight="1" x14ac:dyDescent="0.2">
      <c r="A1113" s="747" t="str">
        <f t="shared" si="52"/>
        <v>사빌레로우
플레인
(SRPL)</v>
      </c>
      <c r="B1113" s="90" t="s">
        <v>2938</v>
      </c>
      <c r="C1113" s="96">
        <v>200</v>
      </c>
      <c r="D1113" s="109" t="s">
        <v>2952</v>
      </c>
      <c r="E1113" s="89">
        <v>550000</v>
      </c>
    </row>
    <row r="1114" spans="1:5" ht="15" customHeight="1" x14ac:dyDescent="0.2">
      <c r="A1114" s="747" t="str">
        <f t="shared" si="52"/>
        <v>사빌레로우
플레인
(SRPL)</v>
      </c>
      <c r="B1114" s="90" t="s">
        <v>2938</v>
      </c>
      <c r="C1114" s="91"/>
      <c r="D1114" s="287" t="s">
        <v>2953</v>
      </c>
      <c r="E1114" s="89">
        <v>660000</v>
      </c>
    </row>
    <row r="1115" spans="1:5" ht="15" customHeight="1" x14ac:dyDescent="0.2">
      <c r="A1115" s="747" t="str">
        <f t="shared" si="52"/>
        <v>사빌레로우
플레인
(SRPL)</v>
      </c>
      <c r="B1115" s="90" t="s">
        <v>2938</v>
      </c>
      <c r="C1115" s="91"/>
      <c r="D1115" s="287" t="s">
        <v>2954</v>
      </c>
      <c r="E1115" s="89">
        <v>660000</v>
      </c>
    </row>
    <row r="1116" spans="1:5" ht="15" customHeight="1" x14ac:dyDescent="0.2">
      <c r="A1116" s="747" t="str">
        <f t="shared" si="52"/>
        <v>사빌레로우
플레인
(SRPL)</v>
      </c>
      <c r="B1116" s="90" t="s">
        <v>2938</v>
      </c>
      <c r="C1116" s="99"/>
      <c r="D1116" s="287" t="s">
        <v>2955</v>
      </c>
      <c r="E1116" s="89">
        <v>660000</v>
      </c>
    </row>
    <row r="1117" spans="1:5" ht="15" customHeight="1" x14ac:dyDescent="0.2">
      <c r="A1117" s="747" t="str">
        <f t="shared" si="52"/>
        <v>사빌레로우
플레인
(SRPL)</v>
      </c>
      <c r="B1117" s="90" t="s">
        <v>2938</v>
      </c>
      <c r="C1117" s="96">
        <v>250</v>
      </c>
      <c r="D1117" s="109" t="s">
        <v>2956</v>
      </c>
      <c r="E1117" s="89">
        <v>685000</v>
      </c>
    </row>
    <row r="1118" spans="1:5" ht="15" customHeight="1" x14ac:dyDescent="0.2">
      <c r="A1118" s="747" t="str">
        <f t="shared" si="52"/>
        <v>사빌레로우
플레인
(SRPL)</v>
      </c>
      <c r="B1118" s="90" t="s">
        <v>2938</v>
      </c>
      <c r="C1118" s="96">
        <v>300</v>
      </c>
      <c r="D1118" s="109" t="s">
        <v>2957</v>
      </c>
      <c r="E1118" s="89">
        <v>825000</v>
      </c>
    </row>
    <row r="1119" spans="1:5" ht="15.6" customHeight="1" x14ac:dyDescent="0.2">
      <c r="A1119" s="747" t="str">
        <f t="shared" si="52"/>
        <v>사빌레로우
플레인
(SRPL)</v>
      </c>
      <c r="B1119" s="90" t="s">
        <v>2938</v>
      </c>
      <c r="C1119" s="91"/>
      <c r="D1119" s="287" t="s">
        <v>2958</v>
      </c>
      <c r="E1119" s="89">
        <v>990000</v>
      </c>
    </row>
    <row r="1120" spans="1:5" ht="15.6" customHeight="1" x14ac:dyDescent="0.2">
      <c r="A1120" s="747" t="str">
        <f t="shared" si="52"/>
        <v>사빌레로우
플레인
(SRPL)</v>
      </c>
      <c r="B1120" s="90" t="s">
        <v>2938</v>
      </c>
      <c r="C1120" s="91"/>
      <c r="D1120" s="287" t="s">
        <v>2959</v>
      </c>
      <c r="E1120" s="89">
        <v>990000</v>
      </c>
    </row>
    <row r="1121" spans="1:5" ht="15.6" customHeight="1" x14ac:dyDescent="0.2">
      <c r="A1121" s="747" t="str">
        <f t="shared" si="52"/>
        <v>사빌레로우
플레인
(SRPL)</v>
      </c>
      <c r="B1121" s="90" t="s">
        <v>2938</v>
      </c>
      <c r="C1121" s="99"/>
      <c r="D1121" s="288" t="s">
        <v>2960</v>
      </c>
      <c r="E1121" s="89">
        <v>915000</v>
      </c>
    </row>
    <row r="1122" spans="1:5" ht="15" customHeight="1" x14ac:dyDescent="0.2">
      <c r="A1122" s="747" t="str">
        <f t="shared" si="52"/>
        <v>사빌레로우
플레인
(SRPL)</v>
      </c>
      <c r="B1122" s="95" t="s">
        <v>1857</v>
      </c>
      <c r="C1122" s="113">
        <v>200</v>
      </c>
      <c r="D1122" s="97" t="s">
        <v>2961</v>
      </c>
      <c r="E1122" s="89">
        <v>540000</v>
      </c>
    </row>
    <row r="1123" spans="1:5" ht="15" customHeight="1" x14ac:dyDescent="0.2">
      <c r="A1123" s="747" t="str">
        <f t="shared" si="52"/>
        <v>사빌레로우
플레인
(SRPL)</v>
      </c>
      <c r="B1123" s="95" t="s">
        <v>1857</v>
      </c>
      <c r="C1123" s="96">
        <v>300</v>
      </c>
      <c r="D1123" s="97" t="s">
        <v>2962</v>
      </c>
      <c r="E1123" s="89">
        <v>665000</v>
      </c>
    </row>
    <row r="1124" spans="1:5" ht="15" customHeight="1" x14ac:dyDescent="0.2">
      <c r="A1124" s="747" t="str">
        <f t="shared" si="52"/>
        <v>사빌레로우
플레인
(SRPL)</v>
      </c>
      <c r="B1124" s="95" t="s">
        <v>1857</v>
      </c>
      <c r="C1124" s="106"/>
      <c r="D1124" s="115" t="s">
        <v>2963</v>
      </c>
      <c r="E1124" s="89">
        <v>805000</v>
      </c>
    </row>
    <row r="1125" spans="1:5" ht="15" customHeight="1" x14ac:dyDescent="0.2">
      <c r="A1125" s="748" t="s">
        <v>2964</v>
      </c>
      <c r="B1125" s="289" t="s">
        <v>2965</v>
      </c>
      <c r="C1125" s="209">
        <v>135</v>
      </c>
      <c r="D1125" s="275" t="s">
        <v>2052</v>
      </c>
      <c r="E1125" s="89">
        <v>215000</v>
      </c>
    </row>
    <row r="1126" spans="1:5" ht="15" customHeight="1" x14ac:dyDescent="0.2">
      <c r="A1126" s="749" t="str">
        <f t="shared" ref="A1126:A1134" si="53">A1125</f>
        <v>사피로우
(RAW)</v>
      </c>
      <c r="B1126" s="289" t="s">
        <v>2965</v>
      </c>
      <c r="C1126" s="91">
        <v>170</v>
      </c>
      <c r="D1126" s="98" t="s">
        <v>2053</v>
      </c>
      <c r="E1126" s="89">
        <v>270000</v>
      </c>
    </row>
    <row r="1127" spans="1:5" ht="15" customHeight="1" x14ac:dyDescent="0.2">
      <c r="A1127" s="749" t="str">
        <f t="shared" si="53"/>
        <v>사피로우
(RAW)</v>
      </c>
      <c r="B1127" s="289" t="s">
        <v>2965</v>
      </c>
      <c r="C1127" s="91">
        <v>200</v>
      </c>
      <c r="D1127" s="98" t="s">
        <v>2054</v>
      </c>
      <c r="E1127" s="89">
        <v>320000</v>
      </c>
    </row>
    <row r="1128" spans="1:5" ht="15" customHeight="1" x14ac:dyDescent="0.2">
      <c r="A1128" s="749" t="str">
        <f t="shared" si="53"/>
        <v>사피로우
(RAW)</v>
      </c>
      <c r="B1128" s="289" t="s">
        <v>2965</v>
      </c>
      <c r="C1128" s="91">
        <v>250</v>
      </c>
      <c r="D1128" s="98" t="s">
        <v>2055</v>
      </c>
      <c r="E1128" s="89">
        <v>410000</v>
      </c>
    </row>
    <row r="1129" spans="1:5" ht="15" customHeight="1" x14ac:dyDescent="0.2">
      <c r="A1129" s="749" t="str">
        <f t="shared" si="53"/>
        <v>사피로우
(RAW)</v>
      </c>
      <c r="B1129" s="289" t="s">
        <v>2965</v>
      </c>
      <c r="C1129" s="99">
        <v>300</v>
      </c>
      <c r="D1129" s="105" t="s">
        <v>2056</v>
      </c>
      <c r="E1129" s="89">
        <v>490000</v>
      </c>
    </row>
    <row r="1130" spans="1:5" ht="15" customHeight="1" x14ac:dyDescent="0.2">
      <c r="A1130" s="749" t="str">
        <f t="shared" si="53"/>
        <v>사피로우
(RAW)</v>
      </c>
      <c r="B1130" s="90" t="s">
        <v>2743</v>
      </c>
      <c r="C1130" s="91">
        <v>135</v>
      </c>
      <c r="D1130" s="98" t="s">
        <v>2057</v>
      </c>
      <c r="E1130" s="89">
        <v>150000</v>
      </c>
    </row>
    <row r="1131" spans="1:5" ht="15" customHeight="1" x14ac:dyDescent="0.2">
      <c r="A1131" s="749" t="str">
        <f t="shared" si="53"/>
        <v>사피로우
(RAW)</v>
      </c>
      <c r="B1131" s="90" t="s">
        <v>2743</v>
      </c>
      <c r="C1131" s="91">
        <v>170</v>
      </c>
      <c r="D1131" s="98" t="s">
        <v>2058</v>
      </c>
      <c r="E1131" s="89">
        <v>190000</v>
      </c>
    </row>
    <row r="1132" spans="1:5" ht="15" customHeight="1" x14ac:dyDescent="0.2">
      <c r="A1132" s="749" t="str">
        <f t="shared" si="53"/>
        <v>사피로우
(RAW)</v>
      </c>
      <c r="B1132" s="90" t="s">
        <v>2743</v>
      </c>
      <c r="C1132" s="91">
        <v>200</v>
      </c>
      <c r="D1132" s="98" t="s">
        <v>2059</v>
      </c>
      <c r="E1132" s="89">
        <v>220000</v>
      </c>
    </row>
    <row r="1133" spans="1:5" ht="15" customHeight="1" x14ac:dyDescent="0.2">
      <c r="A1133" s="749" t="str">
        <f t="shared" si="53"/>
        <v>사피로우
(RAW)</v>
      </c>
      <c r="B1133" s="90" t="s">
        <v>2743</v>
      </c>
      <c r="C1133" s="91">
        <v>250</v>
      </c>
      <c r="D1133" s="98" t="s">
        <v>2060</v>
      </c>
      <c r="E1133" s="89">
        <v>285000</v>
      </c>
    </row>
    <row r="1134" spans="1:5" ht="15" customHeight="1" x14ac:dyDescent="0.2">
      <c r="A1134" s="750" t="str">
        <f t="shared" si="53"/>
        <v>사피로우
(RAW)</v>
      </c>
      <c r="B1134" s="90" t="s">
        <v>2743</v>
      </c>
      <c r="C1134" s="111">
        <v>300</v>
      </c>
      <c r="D1134" s="112" t="s">
        <v>2061</v>
      </c>
      <c r="E1134" s="89">
        <v>345000</v>
      </c>
    </row>
    <row r="1135" spans="1:5" ht="15" customHeight="1" x14ac:dyDescent="0.2">
      <c r="A1135" s="751" t="s">
        <v>2966</v>
      </c>
      <c r="B1135" s="90" t="s">
        <v>2826</v>
      </c>
      <c r="C1135" s="290">
        <v>80</v>
      </c>
      <c r="D1135" s="98" t="s">
        <v>2967</v>
      </c>
      <c r="E1135" s="89">
        <v>163000</v>
      </c>
    </row>
    <row r="1136" spans="1:5" ht="15" customHeight="1" x14ac:dyDescent="0.2">
      <c r="A1136" s="721"/>
      <c r="B1136" s="90" t="s">
        <v>2826</v>
      </c>
      <c r="C1136" s="290">
        <v>100</v>
      </c>
      <c r="D1136" s="98" t="s">
        <v>2587</v>
      </c>
      <c r="E1136" s="89">
        <v>205000</v>
      </c>
    </row>
    <row r="1137" spans="1:5" ht="15" customHeight="1" x14ac:dyDescent="0.2">
      <c r="A1137" s="721"/>
      <c r="B1137" s="90" t="s">
        <v>2826</v>
      </c>
      <c r="C1137" s="290">
        <v>120</v>
      </c>
      <c r="D1137" s="98" t="s">
        <v>2588</v>
      </c>
      <c r="E1137" s="89">
        <v>245000</v>
      </c>
    </row>
    <row r="1138" spans="1:5" ht="15" customHeight="1" x14ac:dyDescent="0.2">
      <c r="A1138" s="721"/>
      <c r="B1138" s="90" t="s">
        <v>2826</v>
      </c>
      <c r="C1138" s="290">
        <v>170</v>
      </c>
      <c r="D1138" s="98" t="s">
        <v>2586</v>
      </c>
      <c r="E1138" s="89">
        <v>350000</v>
      </c>
    </row>
    <row r="1139" spans="1:5" ht="15" customHeight="1" x14ac:dyDescent="0.2">
      <c r="A1139" s="721"/>
      <c r="B1139" s="90" t="s">
        <v>2826</v>
      </c>
      <c r="C1139" s="290">
        <v>260</v>
      </c>
      <c r="D1139" s="98" t="s">
        <v>1761</v>
      </c>
      <c r="E1139" s="89">
        <v>530000</v>
      </c>
    </row>
    <row r="1140" spans="1:5" ht="15" customHeight="1" x14ac:dyDescent="0.2">
      <c r="A1140" s="721"/>
      <c r="B1140" s="90" t="s">
        <v>2826</v>
      </c>
      <c r="C1140" s="290">
        <v>350</v>
      </c>
      <c r="D1140" s="98" t="s">
        <v>2754</v>
      </c>
      <c r="E1140" s="89">
        <v>715000</v>
      </c>
    </row>
    <row r="1141" spans="1:5" ht="15" customHeight="1" x14ac:dyDescent="0.2">
      <c r="A1141" s="721"/>
      <c r="B1141" s="152" t="s">
        <v>2490</v>
      </c>
      <c r="C1141" s="291">
        <v>80</v>
      </c>
      <c r="D1141" s="153" t="s">
        <v>2968</v>
      </c>
      <c r="E1141" s="89">
        <v>113000</v>
      </c>
    </row>
    <row r="1142" spans="1:5" ht="15" customHeight="1" x14ac:dyDescent="0.2">
      <c r="A1142" s="721"/>
      <c r="B1142" s="152" t="s">
        <v>2490</v>
      </c>
      <c r="C1142" s="290">
        <v>100</v>
      </c>
      <c r="D1142" s="98" t="s">
        <v>2969</v>
      </c>
      <c r="E1142" s="89">
        <v>142000</v>
      </c>
    </row>
    <row r="1143" spans="1:5" ht="15" customHeight="1" x14ac:dyDescent="0.2">
      <c r="A1143" s="721"/>
      <c r="B1143" s="152" t="s">
        <v>2490</v>
      </c>
      <c r="C1143" s="290">
        <v>120</v>
      </c>
      <c r="D1143" s="98" t="s">
        <v>2970</v>
      </c>
      <c r="E1143" s="89">
        <v>170000</v>
      </c>
    </row>
    <row r="1144" spans="1:5" ht="15" customHeight="1" x14ac:dyDescent="0.2">
      <c r="A1144" s="721"/>
      <c r="B1144" s="152" t="s">
        <v>2490</v>
      </c>
      <c r="C1144" s="290">
        <v>170</v>
      </c>
      <c r="D1144" s="98" t="s">
        <v>2756</v>
      </c>
      <c r="E1144" s="89">
        <v>242000</v>
      </c>
    </row>
    <row r="1145" spans="1:5" ht="15" customHeight="1" x14ac:dyDescent="0.2">
      <c r="A1145" s="721"/>
      <c r="B1145" s="152" t="s">
        <v>2490</v>
      </c>
      <c r="C1145" s="292">
        <v>260</v>
      </c>
      <c r="D1145" s="112" t="s">
        <v>2757</v>
      </c>
      <c r="E1145" s="89">
        <v>367000</v>
      </c>
    </row>
    <row r="1146" spans="1:5" ht="15" customHeight="1" x14ac:dyDescent="0.2">
      <c r="A1146" s="721"/>
      <c r="B1146" s="90" t="s">
        <v>2826</v>
      </c>
      <c r="C1146" s="290">
        <v>80</v>
      </c>
      <c r="D1146" s="98" t="s">
        <v>2971</v>
      </c>
      <c r="E1146" s="89">
        <v>163000</v>
      </c>
    </row>
    <row r="1147" spans="1:5" ht="15" customHeight="1" x14ac:dyDescent="0.2">
      <c r="A1147" s="721"/>
      <c r="B1147" s="90" t="s">
        <v>2826</v>
      </c>
      <c r="C1147" s="290">
        <v>100</v>
      </c>
      <c r="D1147" s="98" t="s">
        <v>2972</v>
      </c>
      <c r="E1147" s="89">
        <v>205000</v>
      </c>
    </row>
    <row r="1148" spans="1:5" ht="15" customHeight="1" x14ac:dyDescent="0.2">
      <c r="A1148" s="721"/>
      <c r="B1148" s="90" t="s">
        <v>2826</v>
      </c>
      <c r="C1148" s="290">
        <v>120</v>
      </c>
      <c r="D1148" s="98" t="s">
        <v>2973</v>
      </c>
      <c r="E1148" s="89">
        <v>245000</v>
      </c>
    </row>
    <row r="1149" spans="1:5" ht="15" customHeight="1" x14ac:dyDescent="0.2">
      <c r="A1149" s="721"/>
      <c r="B1149" s="90" t="s">
        <v>2826</v>
      </c>
      <c r="C1149" s="290">
        <v>170</v>
      </c>
      <c r="D1149" s="98" t="s">
        <v>2974</v>
      </c>
      <c r="E1149" s="89">
        <v>350000</v>
      </c>
    </row>
    <row r="1150" spans="1:5" ht="15" customHeight="1" x14ac:dyDescent="0.2">
      <c r="A1150" s="721"/>
      <c r="B1150" s="90" t="s">
        <v>2826</v>
      </c>
      <c r="C1150" s="290">
        <v>210</v>
      </c>
      <c r="D1150" s="98" t="s">
        <v>2975</v>
      </c>
      <c r="E1150" s="89">
        <v>430000</v>
      </c>
    </row>
    <row r="1151" spans="1:5" ht="15" customHeight="1" x14ac:dyDescent="0.2">
      <c r="A1151" s="721"/>
      <c r="B1151" s="90" t="s">
        <v>2826</v>
      </c>
      <c r="C1151" s="290">
        <v>260</v>
      </c>
      <c r="D1151" s="98" t="s">
        <v>2976</v>
      </c>
      <c r="E1151" s="89">
        <v>530000</v>
      </c>
    </row>
    <row r="1152" spans="1:5" ht="15" customHeight="1" x14ac:dyDescent="0.2">
      <c r="A1152" s="721"/>
      <c r="B1152" s="90" t="s">
        <v>2826</v>
      </c>
      <c r="C1152" s="290">
        <v>350</v>
      </c>
      <c r="D1152" s="98" t="s">
        <v>2977</v>
      </c>
      <c r="E1152" s="89">
        <v>715000</v>
      </c>
    </row>
    <row r="1153" spans="1:5" ht="15" customHeight="1" x14ac:dyDescent="0.2">
      <c r="A1153" s="721"/>
      <c r="B1153" s="152" t="s">
        <v>2490</v>
      </c>
      <c r="C1153" s="291">
        <v>80</v>
      </c>
      <c r="D1153" s="293" t="s">
        <v>2978</v>
      </c>
      <c r="E1153" s="89">
        <v>113000</v>
      </c>
    </row>
    <row r="1154" spans="1:5" ht="15" customHeight="1" x14ac:dyDescent="0.2">
      <c r="A1154" s="721"/>
      <c r="B1154" s="152" t="s">
        <v>2490</v>
      </c>
      <c r="C1154" s="290">
        <v>100</v>
      </c>
      <c r="D1154" s="98" t="s">
        <v>2979</v>
      </c>
      <c r="E1154" s="89">
        <v>142000</v>
      </c>
    </row>
    <row r="1155" spans="1:5" ht="15" customHeight="1" x14ac:dyDescent="0.2">
      <c r="A1155" s="721"/>
      <c r="B1155" s="152" t="s">
        <v>2490</v>
      </c>
      <c r="C1155" s="290">
        <v>120</v>
      </c>
      <c r="D1155" s="98" t="s">
        <v>2980</v>
      </c>
      <c r="E1155" s="89">
        <v>170000</v>
      </c>
    </row>
    <row r="1156" spans="1:5" ht="15" customHeight="1" x14ac:dyDescent="0.2">
      <c r="A1156" s="721"/>
      <c r="B1156" s="152" t="s">
        <v>2490</v>
      </c>
      <c r="C1156" s="290">
        <v>170</v>
      </c>
      <c r="D1156" s="98" t="s">
        <v>2981</v>
      </c>
      <c r="E1156" s="89">
        <v>242000</v>
      </c>
    </row>
    <row r="1157" spans="1:5" ht="15" customHeight="1" x14ac:dyDescent="0.2">
      <c r="A1157" s="721"/>
      <c r="B1157" s="152" t="s">
        <v>2490</v>
      </c>
      <c r="C1157" s="290">
        <v>210</v>
      </c>
      <c r="D1157" s="98" t="s">
        <v>2982</v>
      </c>
      <c r="E1157" s="89">
        <v>300000</v>
      </c>
    </row>
    <row r="1158" spans="1:5" ht="15" customHeight="1" x14ac:dyDescent="0.2">
      <c r="A1158" s="721"/>
      <c r="B1158" s="152" t="s">
        <v>2490</v>
      </c>
      <c r="C1158" s="290">
        <v>260</v>
      </c>
      <c r="D1158" s="98" t="s">
        <v>2983</v>
      </c>
      <c r="E1158" s="89">
        <v>367000</v>
      </c>
    </row>
    <row r="1159" spans="1:5" ht="15" customHeight="1" x14ac:dyDescent="0.2">
      <c r="A1159" s="752"/>
      <c r="B1159" s="152" t="s">
        <v>2490</v>
      </c>
      <c r="C1159" s="294">
        <v>350</v>
      </c>
      <c r="D1159" s="98" t="s">
        <v>2984</v>
      </c>
      <c r="E1159" s="89">
        <v>500000</v>
      </c>
    </row>
    <row r="1160" spans="1:5" ht="15" customHeight="1" x14ac:dyDescent="0.2">
      <c r="A1160" s="742" t="s">
        <v>2985</v>
      </c>
      <c r="B1160" s="295" t="s">
        <v>2986</v>
      </c>
      <c r="C1160" s="296">
        <v>115</v>
      </c>
      <c r="D1160" s="297" t="s">
        <v>2987</v>
      </c>
      <c r="E1160" s="89">
        <v>610000</v>
      </c>
    </row>
    <row r="1161" spans="1:5" ht="15" customHeight="1" x14ac:dyDescent="0.2">
      <c r="A1161" s="685" t="str">
        <f t="shared" ref="A1161:A1178" si="54">A1160</f>
        <v>수페이퍼
(SUPR)</v>
      </c>
      <c r="B1161" s="295" t="s">
        <v>2986</v>
      </c>
      <c r="C1161" s="91"/>
      <c r="D1161" s="88" t="s">
        <v>2447</v>
      </c>
      <c r="E1161" s="89">
        <v>445000</v>
      </c>
    </row>
    <row r="1162" spans="1:5" ht="15" customHeight="1" x14ac:dyDescent="0.2">
      <c r="A1162" s="685" t="str">
        <f t="shared" si="54"/>
        <v>수페이퍼
(SUPR)</v>
      </c>
      <c r="B1162" s="295" t="s">
        <v>2986</v>
      </c>
      <c r="C1162" s="91"/>
      <c r="D1162" s="164" t="s">
        <v>2988</v>
      </c>
      <c r="E1162" s="89">
        <v>465000</v>
      </c>
    </row>
    <row r="1163" spans="1:5" ht="15" customHeight="1" x14ac:dyDescent="0.2">
      <c r="A1163" s="685" t="str">
        <f t="shared" si="54"/>
        <v>수페이퍼
(SUPR)</v>
      </c>
      <c r="B1163" s="295" t="s">
        <v>2986</v>
      </c>
      <c r="C1163" s="91" t="s">
        <v>1868</v>
      </c>
      <c r="D1163" s="164" t="s">
        <v>2989</v>
      </c>
      <c r="E1163" s="89">
        <v>635000</v>
      </c>
    </row>
    <row r="1164" spans="1:5" ht="15" customHeight="1" x14ac:dyDescent="0.2">
      <c r="A1164" s="685" t="str">
        <f t="shared" si="54"/>
        <v>수페이퍼
(SUPR)</v>
      </c>
      <c r="B1164" s="295" t="s">
        <v>2986</v>
      </c>
      <c r="C1164" s="91"/>
      <c r="D1164" s="164" t="s">
        <v>2990</v>
      </c>
      <c r="E1164" s="89">
        <v>480000</v>
      </c>
    </row>
    <row r="1165" spans="1:5" ht="15" customHeight="1" x14ac:dyDescent="0.2">
      <c r="A1165" s="685" t="str">
        <f t="shared" si="54"/>
        <v>수페이퍼
(SUPR)</v>
      </c>
      <c r="B1165" s="295" t="s">
        <v>2986</v>
      </c>
      <c r="C1165" s="91"/>
      <c r="D1165" s="164" t="s">
        <v>2991</v>
      </c>
      <c r="E1165" s="89">
        <v>565000</v>
      </c>
    </row>
    <row r="1166" spans="1:5" ht="15" customHeight="1" x14ac:dyDescent="0.2">
      <c r="A1166" s="685" t="str">
        <f t="shared" si="54"/>
        <v>수페이퍼
(SUPR)</v>
      </c>
      <c r="B1166" s="295" t="s">
        <v>2986</v>
      </c>
      <c r="C1166" s="99"/>
      <c r="D1166" s="166" t="s">
        <v>2992</v>
      </c>
      <c r="E1166" s="89">
        <v>665000</v>
      </c>
    </row>
    <row r="1167" spans="1:5" ht="15" customHeight="1" x14ac:dyDescent="0.2">
      <c r="A1167" s="685" t="str">
        <f t="shared" si="54"/>
        <v>수페이퍼
(SUPR)</v>
      </c>
      <c r="B1167" s="295" t="s">
        <v>2986</v>
      </c>
      <c r="C1167" s="91">
        <v>150</v>
      </c>
      <c r="D1167" s="164" t="s">
        <v>2993</v>
      </c>
      <c r="E1167" s="89">
        <v>765000</v>
      </c>
    </row>
    <row r="1168" spans="1:5" ht="15" customHeight="1" x14ac:dyDescent="0.2">
      <c r="A1168" s="685" t="str">
        <f t="shared" si="54"/>
        <v>수페이퍼
(SUPR)</v>
      </c>
      <c r="B1168" s="295" t="s">
        <v>2986</v>
      </c>
      <c r="C1168" s="91"/>
      <c r="D1168" s="164" t="s">
        <v>2994</v>
      </c>
      <c r="E1168" s="89">
        <v>560000</v>
      </c>
    </row>
    <row r="1169" spans="1:5" ht="15" customHeight="1" x14ac:dyDescent="0.2">
      <c r="A1169" s="685" t="str">
        <f t="shared" si="54"/>
        <v>수페이퍼
(SUPR)</v>
      </c>
      <c r="B1169" s="295" t="s">
        <v>2986</v>
      </c>
      <c r="C1169" s="91"/>
      <c r="D1169" s="164" t="s">
        <v>2451</v>
      </c>
      <c r="E1169" s="89">
        <v>590000</v>
      </c>
    </row>
    <row r="1170" spans="1:5" ht="15" customHeight="1" x14ac:dyDescent="0.2">
      <c r="A1170" s="685" t="str">
        <f t="shared" si="54"/>
        <v>수페이퍼
(SUPR)</v>
      </c>
      <c r="B1170" s="295" t="s">
        <v>2986</v>
      </c>
      <c r="C1170" s="99"/>
      <c r="D1170" s="129" t="s">
        <v>2995</v>
      </c>
      <c r="E1170" s="89">
        <v>850000</v>
      </c>
    </row>
    <row r="1171" spans="1:5" ht="15" customHeight="1" x14ac:dyDescent="0.2">
      <c r="A1171" s="685" t="str">
        <f t="shared" si="54"/>
        <v>수페이퍼
(SUPR)</v>
      </c>
      <c r="B1171" s="295" t="s">
        <v>2986</v>
      </c>
      <c r="C1171" s="96">
        <v>200</v>
      </c>
      <c r="D1171" s="88" t="s">
        <v>1893</v>
      </c>
      <c r="E1171" s="89">
        <v>1000000</v>
      </c>
    </row>
    <row r="1172" spans="1:5" ht="15" customHeight="1" x14ac:dyDescent="0.2">
      <c r="A1172" s="685" t="str">
        <f t="shared" si="54"/>
        <v>수페이퍼
(SUPR)</v>
      </c>
      <c r="B1172" s="295" t="s">
        <v>2986</v>
      </c>
      <c r="C1172" s="91"/>
      <c r="D1172" s="88" t="s">
        <v>2996</v>
      </c>
      <c r="E1172" s="89">
        <v>735000</v>
      </c>
    </row>
    <row r="1173" spans="1:5" ht="15" customHeight="1" x14ac:dyDescent="0.2">
      <c r="A1173" s="685" t="str">
        <f t="shared" si="54"/>
        <v>수페이퍼
(SUPR)</v>
      </c>
      <c r="B1173" s="295" t="s">
        <v>2986</v>
      </c>
      <c r="C1173" s="91"/>
      <c r="D1173" s="88" t="s">
        <v>2997</v>
      </c>
      <c r="E1173" s="89">
        <v>775000</v>
      </c>
    </row>
    <row r="1174" spans="1:5" ht="15" customHeight="1" x14ac:dyDescent="0.2">
      <c r="A1174" s="685" t="str">
        <f t="shared" si="54"/>
        <v>수페이퍼
(SUPR)</v>
      </c>
      <c r="B1174" s="295" t="s">
        <v>2986</v>
      </c>
      <c r="C1174" s="91" t="s">
        <v>1868</v>
      </c>
      <c r="D1174" s="88" t="s">
        <v>2998</v>
      </c>
      <c r="E1174" s="89">
        <v>775000</v>
      </c>
    </row>
    <row r="1175" spans="1:5" ht="15" customHeight="1" x14ac:dyDescent="0.2">
      <c r="A1175" s="685" t="str">
        <f t="shared" si="54"/>
        <v>수페이퍼
(SUPR)</v>
      </c>
      <c r="B1175" s="295" t="s">
        <v>2986</v>
      </c>
      <c r="C1175" s="91"/>
      <c r="D1175" s="88" t="s">
        <v>2999</v>
      </c>
      <c r="E1175" s="89">
        <v>1120000</v>
      </c>
    </row>
    <row r="1176" spans="1:5" ht="15" customHeight="1" x14ac:dyDescent="0.2">
      <c r="A1176" s="685" t="str">
        <f t="shared" si="54"/>
        <v>수페이퍼
(SUPR)</v>
      </c>
      <c r="B1176" s="295" t="s">
        <v>2986</v>
      </c>
      <c r="C1176" s="91"/>
      <c r="D1176" s="88" t="s">
        <v>3000</v>
      </c>
      <c r="E1176" s="89">
        <v>850000</v>
      </c>
    </row>
    <row r="1177" spans="1:5" ht="15" customHeight="1" x14ac:dyDescent="0.2">
      <c r="A1177" s="685" t="str">
        <f t="shared" si="54"/>
        <v>수페이퍼
(SUPR)</v>
      </c>
      <c r="B1177" s="295" t="s">
        <v>2986</v>
      </c>
      <c r="C1177" s="99"/>
      <c r="D1177" s="88" t="s">
        <v>3001</v>
      </c>
      <c r="E1177" s="89">
        <v>815000</v>
      </c>
    </row>
    <row r="1178" spans="1:5" ht="15" customHeight="1" x14ac:dyDescent="0.2">
      <c r="A1178" s="685" t="str">
        <f t="shared" si="54"/>
        <v>수페이퍼
(SUPR)</v>
      </c>
      <c r="B1178" s="295" t="s">
        <v>2986</v>
      </c>
      <c r="C1178" s="96">
        <v>300</v>
      </c>
      <c r="D1178" s="298" t="s">
        <v>3002</v>
      </c>
      <c r="E1178" s="89">
        <v>1160000</v>
      </c>
    </row>
    <row r="1179" spans="1:5" ht="15" customHeight="1" x14ac:dyDescent="0.2">
      <c r="A1179" s="731" t="s">
        <v>3003</v>
      </c>
      <c r="B1179" s="289" t="s">
        <v>2010</v>
      </c>
      <c r="C1179" s="299">
        <v>120</v>
      </c>
      <c r="D1179" s="300" t="s">
        <v>3004</v>
      </c>
      <c r="E1179" s="89">
        <v>141000</v>
      </c>
    </row>
    <row r="1180" spans="1:5" ht="15" customHeight="1" x14ac:dyDescent="0.2">
      <c r="A1180" s="685" t="str">
        <f t="shared" ref="A1180:A1196" si="55">A1179</f>
        <v>슈가릿
(SUG)</v>
      </c>
      <c r="B1180" s="289" t="s">
        <v>2010</v>
      </c>
      <c r="C1180" s="91">
        <v>160</v>
      </c>
      <c r="D1180" s="98" t="s">
        <v>3005</v>
      </c>
      <c r="E1180" s="89">
        <v>184000</v>
      </c>
    </row>
    <row r="1181" spans="1:5" ht="15" customHeight="1" x14ac:dyDescent="0.2">
      <c r="A1181" s="685" t="str">
        <f t="shared" si="55"/>
        <v>슈가릿
(SUG)</v>
      </c>
      <c r="B1181" s="289" t="s">
        <v>2010</v>
      </c>
      <c r="C1181" s="91">
        <v>200</v>
      </c>
      <c r="D1181" s="98" t="s">
        <v>3006</v>
      </c>
      <c r="E1181" s="89">
        <v>230000</v>
      </c>
    </row>
    <row r="1182" spans="1:5" ht="15" customHeight="1" x14ac:dyDescent="0.2">
      <c r="A1182" s="685" t="str">
        <f t="shared" si="55"/>
        <v>슈가릿
(SUG)</v>
      </c>
      <c r="B1182" s="289" t="s">
        <v>2010</v>
      </c>
      <c r="C1182" s="91">
        <v>260</v>
      </c>
      <c r="D1182" s="98" t="s">
        <v>3007</v>
      </c>
      <c r="E1182" s="89">
        <v>324000</v>
      </c>
    </row>
    <row r="1183" spans="1:5" ht="15" customHeight="1" x14ac:dyDescent="0.2">
      <c r="A1183" s="685" t="str">
        <f t="shared" si="55"/>
        <v>슈가릿
(SUG)</v>
      </c>
      <c r="B1183" s="289" t="s">
        <v>2010</v>
      </c>
      <c r="C1183" s="91">
        <v>320</v>
      </c>
      <c r="D1183" s="98" t="s">
        <v>3008</v>
      </c>
      <c r="E1183" s="89">
        <v>375000</v>
      </c>
    </row>
    <row r="1184" spans="1:5" ht="15" customHeight="1" x14ac:dyDescent="0.2">
      <c r="A1184" s="685" t="str">
        <f t="shared" si="55"/>
        <v>슈가릿
(SUG)</v>
      </c>
      <c r="B1184" s="289" t="s">
        <v>2010</v>
      </c>
      <c r="C1184" s="91">
        <v>360</v>
      </c>
      <c r="D1184" s="119" t="s">
        <v>2057</v>
      </c>
      <c r="E1184" s="89">
        <v>510000</v>
      </c>
    </row>
    <row r="1185" spans="1:5" ht="15" customHeight="1" x14ac:dyDescent="0.2">
      <c r="A1185" s="685" t="str">
        <f t="shared" si="55"/>
        <v>슈가릿
(SUG)</v>
      </c>
      <c r="B1185" s="301" t="s">
        <v>2490</v>
      </c>
      <c r="C1185" s="138">
        <v>120</v>
      </c>
      <c r="D1185" s="285" t="s">
        <v>3009</v>
      </c>
      <c r="E1185" s="89">
        <v>97500</v>
      </c>
    </row>
    <row r="1186" spans="1:5" ht="15" customHeight="1" x14ac:dyDescent="0.2">
      <c r="A1186" s="685" t="str">
        <f t="shared" si="55"/>
        <v>슈가릿
(SUG)</v>
      </c>
      <c r="B1186" s="301" t="s">
        <v>2490</v>
      </c>
      <c r="C1186" s="91">
        <v>160</v>
      </c>
      <c r="D1186" s="98" t="s">
        <v>3010</v>
      </c>
      <c r="E1186" s="89">
        <v>130000</v>
      </c>
    </row>
    <row r="1187" spans="1:5" ht="15" customHeight="1" x14ac:dyDescent="0.2">
      <c r="A1187" s="685" t="str">
        <f t="shared" si="55"/>
        <v>슈가릿
(SUG)</v>
      </c>
      <c r="B1187" s="301" t="s">
        <v>2490</v>
      </c>
      <c r="C1187" s="91">
        <v>200</v>
      </c>
      <c r="D1187" s="98" t="s">
        <v>3011</v>
      </c>
      <c r="E1187" s="89">
        <v>159000</v>
      </c>
    </row>
    <row r="1188" spans="1:5" ht="15" customHeight="1" x14ac:dyDescent="0.2">
      <c r="A1188" s="685" t="str">
        <f t="shared" si="55"/>
        <v>슈가릿
(SUG)</v>
      </c>
      <c r="B1188" s="301" t="s">
        <v>2490</v>
      </c>
      <c r="C1188" s="91">
        <v>260</v>
      </c>
      <c r="D1188" s="98" t="s">
        <v>3012</v>
      </c>
      <c r="E1188" s="89">
        <v>212000</v>
      </c>
    </row>
    <row r="1189" spans="1:5" ht="15" customHeight="1" x14ac:dyDescent="0.2">
      <c r="A1189" s="685" t="str">
        <f t="shared" si="55"/>
        <v>슈가릿
(SUG)</v>
      </c>
      <c r="B1189" s="301" t="s">
        <v>2490</v>
      </c>
      <c r="C1189" s="91">
        <v>320</v>
      </c>
      <c r="D1189" s="98" t="s">
        <v>3013</v>
      </c>
      <c r="E1189" s="89">
        <v>255000</v>
      </c>
    </row>
    <row r="1190" spans="1:5" ht="15" customHeight="1" x14ac:dyDescent="0.2">
      <c r="A1190" s="685" t="str">
        <f t="shared" si="55"/>
        <v>슈가릿
(SUG)</v>
      </c>
      <c r="B1190" s="301" t="s">
        <v>2490</v>
      </c>
      <c r="C1190" s="302">
        <v>360</v>
      </c>
      <c r="D1190" s="303" t="s">
        <v>2751</v>
      </c>
      <c r="E1190" s="89">
        <v>350000</v>
      </c>
    </row>
    <row r="1191" spans="1:5" ht="15" customHeight="1" x14ac:dyDescent="0.2">
      <c r="A1191" s="685" t="str">
        <f t="shared" si="55"/>
        <v>슈가릿
(SUG)</v>
      </c>
      <c r="B1191" s="90" t="s">
        <v>2826</v>
      </c>
      <c r="C1191" s="91">
        <v>90</v>
      </c>
      <c r="D1191" s="98" t="s">
        <v>3014</v>
      </c>
      <c r="E1191" s="89">
        <v>127500</v>
      </c>
    </row>
    <row r="1192" spans="1:5" ht="15" customHeight="1" x14ac:dyDescent="0.2">
      <c r="A1192" s="685" t="str">
        <f t="shared" si="55"/>
        <v>슈가릿
(SUG)</v>
      </c>
      <c r="B1192" s="304" t="s">
        <v>1921</v>
      </c>
      <c r="C1192" s="305">
        <v>90</v>
      </c>
      <c r="D1192" s="306" t="s">
        <v>3015</v>
      </c>
      <c r="E1192" s="89">
        <v>87500</v>
      </c>
    </row>
    <row r="1193" spans="1:5" ht="15" customHeight="1" x14ac:dyDescent="0.2">
      <c r="A1193" s="685" t="str">
        <f t="shared" si="55"/>
        <v>슈가릿
(SUG)</v>
      </c>
      <c r="B1193" s="304" t="s">
        <v>2927</v>
      </c>
      <c r="C1193" s="305">
        <v>90</v>
      </c>
      <c r="D1193" s="306" t="s">
        <v>3016</v>
      </c>
      <c r="E1193" s="89">
        <v>75000</v>
      </c>
    </row>
    <row r="1194" spans="1:5" ht="15" customHeight="1" x14ac:dyDescent="0.2">
      <c r="A1194" s="685" t="str">
        <f t="shared" si="55"/>
        <v>슈가릿
(SUG)</v>
      </c>
      <c r="B1194" s="307" t="s">
        <v>2062</v>
      </c>
      <c r="C1194" s="308">
        <v>160</v>
      </c>
      <c r="D1194" s="309" t="s">
        <v>3017</v>
      </c>
      <c r="E1194" s="89">
        <v>260000</v>
      </c>
    </row>
    <row r="1195" spans="1:5" ht="15" customHeight="1" x14ac:dyDescent="0.2">
      <c r="A1195" s="685" t="str">
        <f t="shared" si="55"/>
        <v>슈가릿
(SUG)</v>
      </c>
      <c r="B1195" s="95" t="s">
        <v>2723</v>
      </c>
      <c r="C1195" s="310">
        <v>90360</v>
      </c>
      <c r="D1195" s="139" t="s">
        <v>3018</v>
      </c>
    </row>
    <row r="1196" spans="1:5" ht="15" customHeight="1" x14ac:dyDescent="0.2">
      <c r="A1196" s="688" t="str">
        <f t="shared" si="55"/>
        <v>슈가릿
(SUG)</v>
      </c>
      <c r="B1196" s="101" t="s">
        <v>2724</v>
      </c>
      <c r="C1196" s="106" t="s">
        <v>3019</v>
      </c>
      <c r="D1196" s="208" t="s">
        <v>3020</v>
      </c>
    </row>
    <row r="1197" spans="1:5" ht="15" customHeight="1" x14ac:dyDescent="0.2">
      <c r="A1197" s="736" t="s">
        <v>3021</v>
      </c>
      <c r="B1197" s="276" t="s">
        <v>1879</v>
      </c>
      <c r="C1197" s="277">
        <v>118</v>
      </c>
      <c r="D1197" s="278" t="s">
        <v>3022</v>
      </c>
      <c r="E1197" s="89">
        <v>475000</v>
      </c>
    </row>
    <row r="1198" spans="1:5" ht="15" customHeight="1" x14ac:dyDescent="0.2">
      <c r="A1198" s="736" t="str">
        <f t="shared" ref="A1198:A1212" si="56">A1197</f>
        <v xml:space="preserve">슈퍼파인
(SUF) </v>
      </c>
      <c r="B1198" s="276" t="s">
        <v>1879</v>
      </c>
      <c r="C1198" s="91">
        <v>148</v>
      </c>
      <c r="D1198" s="98"/>
      <c r="E1198" s="89">
        <v>595000</v>
      </c>
    </row>
    <row r="1199" spans="1:5" ht="15" customHeight="1" x14ac:dyDescent="0.2">
      <c r="A1199" s="736" t="str">
        <f t="shared" si="56"/>
        <v xml:space="preserve">슈퍼파인
(SUF) </v>
      </c>
      <c r="B1199" s="276" t="s">
        <v>1879</v>
      </c>
      <c r="C1199" s="91">
        <v>216</v>
      </c>
      <c r="D1199" s="98"/>
      <c r="E1199" s="89">
        <v>910000</v>
      </c>
    </row>
    <row r="1200" spans="1:5" ht="15" customHeight="1" x14ac:dyDescent="0.2">
      <c r="A1200" s="736" t="str">
        <f t="shared" si="56"/>
        <v xml:space="preserve">슈퍼파인
(SUF) </v>
      </c>
      <c r="B1200" s="276" t="s">
        <v>1879</v>
      </c>
      <c r="C1200" s="91">
        <v>270</v>
      </c>
      <c r="D1200" s="98"/>
      <c r="E1200" s="89">
        <v>1140000</v>
      </c>
    </row>
    <row r="1201" spans="1:5" ht="15" customHeight="1" x14ac:dyDescent="0.2">
      <c r="A1201" s="736" t="str">
        <f t="shared" si="56"/>
        <v xml:space="preserve">슈퍼파인
(SUF) </v>
      </c>
      <c r="B1201" s="276" t="s">
        <v>1879</v>
      </c>
      <c r="C1201" s="91">
        <v>324</v>
      </c>
      <c r="D1201" s="98"/>
      <c r="E1201" s="89">
        <v>1325000</v>
      </c>
    </row>
    <row r="1202" spans="1:5" ht="15" customHeight="1" x14ac:dyDescent="0.2">
      <c r="A1202" s="736" t="str">
        <f t="shared" si="56"/>
        <v xml:space="preserve">슈퍼파인
(SUF) </v>
      </c>
      <c r="B1202" s="276" t="s">
        <v>1879</v>
      </c>
      <c r="C1202" s="91" t="s">
        <v>3023</v>
      </c>
      <c r="D1202" s="92"/>
      <c r="E1202" s="89">
        <v>1150000</v>
      </c>
    </row>
    <row r="1203" spans="1:5" ht="15" customHeight="1" x14ac:dyDescent="0.2">
      <c r="A1203" s="736" t="str">
        <f t="shared" si="56"/>
        <v xml:space="preserve">슈퍼파인
(SUF) </v>
      </c>
      <c r="B1203" s="276" t="s">
        <v>1879</v>
      </c>
      <c r="C1203" s="99" t="s">
        <v>3024</v>
      </c>
      <c r="D1203" s="100"/>
      <c r="E1203" s="89">
        <v>1285000</v>
      </c>
    </row>
    <row r="1204" spans="1:5" ht="15" customHeight="1" x14ac:dyDescent="0.2">
      <c r="A1204" s="736" t="str">
        <f t="shared" si="56"/>
        <v xml:space="preserve">슈퍼파인
(SUF) </v>
      </c>
      <c r="B1204" s="95" t="s">
        <v>1865</v>
      </c>
      <c r="C1204" s="91">
        <v>118</v>
      </c>
      <c r="D1204" s="98" t="s">
        <v>3022</v>
      </c>
      <c r="E1204" s="89">
        <v>330000</v>
      </c>
    </row>
    <row r="1205" spans="1:5" ht="15" customHeight="1" x14ac:dyDescent="0.2">
      <c r="A1205" s="736" t="str">
        <f t="shared" si="56"/>
        <v xml:space="preserve">슈퍼파인
(SUF) </v>
      </c>
      <c r="B1205" s="95" t="s">
        <v>1865</v>
      </c>
      <c r="C1205" s="91">
        <v>148</v>
      </c>
      <c r="D1205" s="98"/>
      <c r="E1205" s="89">
        <v>415000</v>
      </c>
    </row>
    <row r="1206" spans="1:5" ht="15" customHeight="1" x14ac:dyDescent="0.2">
      <c r="A1206" s="736" t="str">
        <f t="shared" si="56"/>
        <v xml:space="preserve">슈퍼파인
(SUF) </v>
      </c>
      <c r="B1206" s="95" t="s">
        <v>1865</v>
      </c>
      <c r="C1206" s="91">
        <v>216</v>
      </c>
      <c r="D1206" s="98"/>
      <c r="E1206" s="89">
        <v>635000</v>
      </c>
    </row>
    <row r="1207" spans="1:5" ht="15" customHeight="1" x14ac:dyDescent="0.2">
      <c r="A1207" s="736" t="str">
        <f t="shared" si="56"/>
        <v xml:space="preserve">슈퍼파인
(SUF) </v>
      </c>
      <c r="B1207" s="95" t="s">
        <v>3025</v>
      </c>
      <c r="C1207" s="96">
        <v>216</v>
      </c>
      <c r="D1207" s="109" t="s">
        <v>3026</v>
      </c>
      <c r="E1207" s="89">
        <v>910000</v>
      </c>
    </row>
    <row r="1208" spans="1:5" ht="15" customHeight="1" x14ac:dyDescent="0.2">
      <c r="A1208" s="736" t="str">
        <f t="shared" si="56"/>
        <v xml:space="preserve">슈퍼파인
(SUF) </v>
      </c>
      <c r="B1208" s="95" t="s">
        <v>3025</v>
      </c>
      <c r="C1208" s="91">
        <v>270</v>
      </c>
      <c r="D1208" s="98"/>
      <c r="E1208" s="89">
        <v>1140000</v>
      </c>
    </row>
    <row r="1209" spans="1:5" ht="15" customHeight="1" x14ac:dyDescent="0.2">
      <c r="A1209" s="736" t="str">
        <f t="shared" si="56"/>
        <v xml:space="preserve">슈퍼파인
(SUF) </v>
      </c>
      <c r="B1209" s="95" t="s">
        <v>3025</v>
      </c>
      <c r="C1209" s="99">
        <v>324</v>
      </c>
      <c r="D1209" s="105"/>
      <c r="E1209" s="89">
        <v>1325000</v>
      </c>
    </row>
    <row r="1210" spans="1:5" ht="15" customHeight="1" x14ac:dyDescent="0.2">
      <c r="A1210" s="736" t="str">
        <f t="shared" si="56"/>
        <v xml:space="preserve">슈퍼파인
(SUF) </v>
      </c>
      <c r="B1210" s="95" t="s">
        <v>3027</v>
      </c>
      <c r="C1210" s="91">
        <v>118</v>
      </c>
      <c r="D1210" s="98" t="s">
        <v>3026</v>
      </c>
      <c r="E1210" s="89">
        <v>330000</v>
      </c>
    </row>
    <row r="1211" spans="1:5" ht="15" customHeight="1" x14ac:dyDescent="0.2">
      <c r="A1211" s="736" t="str">
        <f t="shared" si="56"/>
        <v xml:space="preserve">슈퍼파인
(SUF) </v>
      </c>
      <c r="B1211" s="95" t="s">
        <v>3027</v>
      </c>
      <c r="C1211" s="91">
        <v>216</v>
      </c>
      <c r="D1211" s="98"/>
      <c r="E1211" s="89">
        <v>635000</v>
      </c>
    </row>
    <row r="1212" spans="1:5" ht="15" customHeight="1" x14ac:dyDescent="0.2">
      <c r="A1212" s="736" t="str">
        <f t="shared" si="56"/>
        <v xml:space="preserve">슈퍼파인
(SUF) </v>
      </c>
      <c r="B1212" s="95" t="s">
        <v>3027</v>
      </c>
      <c r="C1212" s="106">
        <v>270</v>
      </c>
      <c r="D1212" s="107"/>
      <c r="E1212" s="89">
        <v>790000</v>
      </c>
    </row>
    <row r="1213" spans="1:5" ht="15" customHeight="1" x14ac:dyDescent="0.2">
      <c r="A1213" s="743" t="s">
        <v>3028</v>
      </c>
      <c r="B1213" s="90" t="s">
        <v>2490</v>
      </c>
      <c r="C1213" s="243">
        <v>300</v>
      </c>
      <c r="D1213" s="98" t="s">
        <v>2438</v>
      </c>
      <c r="E1213" s="89">
        <v>226000</v>
      </c>
    </row>
    <row r="1214" spans="1:5" ht="15" customHeight="1" x14ac:dyDescent="0.2">
      <c r="A1214" s="682" t="str">
        <f t="shared" ref="A1214:A1218" si="57">A1213</f>
        <v>스노우 화이트
(SW)</v>
      </c>
      <c r="B1214" s="95" t="s">
        <v>2010</v>
      </c>
      <c r="C1214" s="143">
        <v>120</v>
      </c>
      <c r="D1214" s="109" t="s">
        <v>2438</v>
      </c>
      <c r="E1214" s="89">
        <v>128000</v>
      </c>
    </row>
    <row r="1215" spans="1:5" ht="15" customHeight="1" x14ac:dyDescent="0.2">
      <c r="A1215" s="682" t="str">
        <f t="shared" si="57"/>
        <v>스노우 화이트
(SW)</v>
      </c>
      <c r="B1215" s="95" t="s">
        <v>2010</v>
      </c>
      <c r="C1215" s="243">
        <v>150</v>
      </c>
      <c r="D1215" s="98"/>
      <c r="E1215" s="89">
        <v>163000</v>
      </c>
    </row>
    <row r="1216" spans="1:5" ht="15" customHeight="1" x14ac:dyDescent="0.2">
      <c r="A1216" s="682" t="str">
        <f t="shared" si="57"/>
        <v>스노우 화이트
(SW)</v>
      </c>
      <c r="B1216" s="95" t="s">
        <v>2010</v>
      </c>
      <c r="C1216" s="243">
        <v>200</v>
      </c>
      <c r="D1216" s="98"/>
      <c r="E1216" s="89">
        <v>217000</v>
      </c>
    </row>
    <row r="1217" spans="1:5" ht="15" customHeight="1" x14ac:dyDescent="0.2">
      <c r="A1217" s="682" t="str">
        <f t="shared" si="57"/>
        <v>스노우 화이트
(SW)</v>
      </c>
      <c r="B1217" s="95" t="s">
        <v>2010</v>
      </c>
      <c r="C1217" s="243">
        <v>250</v>
      </c>
      <c r="D1217" s="98"/>
      <c r="E1217" s="89">
        <v>271000</v>
      </c>
    </row>
    <row r="1218" spans="1:5" ht="15" customHeight="1" x14ac:dyDescent="0.2">
      <c r="A1218" s="683" t="str">
        <f t="shared" si="57"/>
        <v>스노우 화이트
(SW)</v>
      </c>
      <c r="B1218" s="95" t="s">
        <v>2010</v>
      </c>
      <c r="C1218" s="229">
        <v>300</v>
      </c>
      <c r="D1218" s="107"/>
      <c r="E1218" s="89">
        <v>325000</v>
      </c>
    </row>
    <row r="1219" spans="1:5" ht="15" customHeight="1" x14ac:dyDescent="0.2">
      <c r="A1219" s="735" t="s">
        <v>3029</v>
      </c>
      <c r="B1219" s="90" t="s">
        <v>2010</v>
      </c>
      <c r="C1219" s="91">
        <v>220</v>
      </c>
      <c r="D1219" s="98" t="s">
        <v>3030</v>
      </c>
      <c r="E1219" s="89">
        <v>320000</v>
      </c>
    </row>
    <row r="1220" spans="1:5" ht="15" customHeight="1" x14ac:dyDescent="0.2">
      <c r="A1220" s="685" t="str">
        <f t="shared" ref="A1220:A1225" si="58">A1219</f>
        <v>스타일리쉬 엠보스
(SEB)</v>
      </c>
      <c r="B1220" s="90" t="s">
        <v>2010</v>
      </c>
      <c r="C1220" s="91"/>
      <c r="D1220" s="98" t="s">
        <v>3031</v>
      </c>
      <c r="E1220" s="89">
        <v>320000</v>
      </c>
    </row>
    <row r="1221" spans="1:5" ht="15" customHeight="1" x14ac:dyDescent="0.2">
      <c r="A1221" s="685" t="str">
        <f t="shared" si="58"/>
        <v>스타일리쉬 엠보스
(SEB)</v>
      </c>
      <c r="B1221" s="90" t="s">
        <v>2010</v>
      </c>
      <c r="C1221" s="99"/>
      <c r="D1221" s="105" t="s">
        <v>3032</v>
      </c>
      <c r="E1221" s="89">
        <v>410000</v>
      </c>
    </row>
    <row r="1222" spans="1:5" ht="15" customHeight="1" x14ac:dyDescent="0.2">
      <c r="A1222" s="685" t="str">
        <f t="shared" si="58"/>
        <v>스타일리쉬 엠보스
(SEB)</v>
      </c>
      <c r="B1222" s="90" t="s">
        <v>2010</v>
      </c>
      <c r="C1222" s="91">
        <v>270</v>
      </c>
      <c r="D1222" s="98" t="s">
        <v>3033</v>
      </c>
      <c r="E1222" s="89">
        <v>395000</v>
      </c>
    </row>
    <row r="1223" spans="1:5" ht="15" customHeight="1" x14ac:dyDescent="0.2">
      <c r="A1223" s="685" t="str">
        <f t="shared" si="58"/>
        <v>스타일리쉬 엠보스
(SEB)</v>
      </c>
      <c r="B1223" s="90" t="s">
        <v>2010</v>
      </c>
      <c r="C1223" s="99"/>
      <c r="D1223" s="105" t="s">
        <v>3034</v>
      </c>
      <c r="E1223" s="89">
        <v>395000</v>
      </c>
    </row>
    <row r="1224" spans="1:5" ht="15" customHeight="1" x14ac:dyDescent="0.2">
      <c r="A1224" s="685" t="str">
        <f t="shared" si="58"/>
        <v>스타일리쉬 엠보스
(SEB)</v>
      </c>
      <c r="B1224" s="90" t="s">
        <v>2490</v>
      </c>
      <c r="C1224" s="91">
        <v>220</v>
      </c>
      <c r="D1224" s="98" t="s">
        <v>3035</v>
      </c>
      <c r="E1224" s="89">
        <v>285000</v>
      </c>
    </row>
    <row r="1225" spans="1:5" ht="15" customHeight="1" x14ac:dyDescent="0.2">
      <c r="A1225" s="688" t="str">
        <f t="shared" si="58"/>
        <v>스타일리쉬 엠보스
(SEB)</v>
      </c>
      <c r="B1225" s="311" t="s">
        <v>1921</v>
      </c>
      <c r="C1225" s="312"/>
      <c r="D1225" s="313" t="s">
        <v>3036</v>
      </c>
      <c r="E1225" s="89">
        <v>285000</v>
      </c>
    </row>
    <row r="1226" spans="1:5" ht="15" customHeight="1" x14ac:dyDescent="0.2">
      <c r="A1226" s="736" t="s">
        <v>3037</v>
      </c>
      <c r="B1226" s="276" t="s">
        <v>1879</v>
      </c>
      <c r="C1226" s="277">
        <v>103</v>
      </c>
      <c r="D1226" s="278" t="s">
        <v>3038</v>
      </c>
      <c r="E1226" s="89">
        <v>345000</v>
      </c>
    </row>
    <row r="1227" spans="1:5" ht="15" customHeight="1" x14ac:dyDescent="0.2">
      <c r="A1227" s="736" t="str">
        <f t="shared" ref="A1227:A1238" si="59">A1226</f>
        <v>스타화이트
(STA)*</v>
      </c>
      <c r="B1227" s="276" t="s">
        <v>1879</v>
      </c>
      <c r="C1227" s="91">
        <v>118</v>
      </c>
      <c r="D1227" s="98" t="s">
        <v>3038</v>
      </c>
      <c r="E1227" s="89">
        <v>395000</v>
      </c>
    </row>
    <row r="1228" spans="1:5" ht="15" customHeight="1" x14ac:dyDescent="0.2">
      <c r="A1228" s="736" t="str">
        <f t="shared" si="59"/>
        <v>스타화이트
(STA)*</v>
      </c>
      <c r="B1228" s="276" t="s">
        <v>1879</v>
      </c>
      <c r="C1228" s="91">
        <v>148</v>
      </c>
      <c r="D1228" s="98" t="s">
        <v>3038</v>
      </c>
      <c r="E1228" s="89">
        <v>490000</v>
      </c>
    </row>
    <row r="1229" spans="1:5" ht="15" customHeight="1" x14ac:dyDescent="0.2">
      <c r="A1229" s="736" t="str">
        <f t="shared" si="59"/>
        <v>스타화이트
(STA)*</v>
      </c>
      <c r="B1229" s="276" t="s">
        <v>1879</v>
      </c>
      <c r="C1229" s="91">
        <v>216</v>
      </c>
      <c r="D1229" s="98" t="s">
        <v>3038</v>
      </c>
      <c r="E1229" s="89">
        <v>730000</v>
      </c>
    </row>
    <row r="1230" spans="1:5" ht="15" customHeight="1" x14ac:dyDescent="0.2">
      <c r="A1230" s="736" t="str">
        <f t="shared" si="59"/>
        <v>스타화이트
(STA)*</v>
      </c>
      <c r="B1230" s="276" t="s">
        <v>1879</v>
      </c>
      <c r="C1230" s="91">
        <v>297</v>
      </c>
      <c r="D1230" s="92" t="s">
        <v>3039</v>
      </c>
      <c r="E1230" s="89">
        <v>820000</v>
      </c>
    </row>
    <row r="1231" spans="1:5" ht="15" customHeight="1" x14ac:dyDescent="0.2">
      <c r="A1231" s="736" t="str">
        <f t="shared" si="59"/>
        <v>스타화이트
(STA)*</v>
      </c>
      <c r="B1231" s="95" t="s">
        <v>1865</v>
      </c>
      <c r="C1231" s="96">
        <v>103</v>
      </c>
      <c r="D1231" s="221" t="s">
        <v>3040</v>
      </c>
      <c r="E1231" s="89">
        <v>240000</v>
      </c>
    </row>
    <row r="1232" spans="1:5" ht="15" customHeight="1" x14ac:dyDescent="0.2">
      <c r="A1232" s="736" t="str">
        <f t="shared" si="59"/>
        <v>스타화이트
(STA)*</v>
      </c>
      <c r="B1232" s="95" t="s">
        <v>1865</v>
      </c>
      <c r="C1232" s="91">
        <v>103</v>
      </c>
      <c r="D1232" s="92" t="s">
        <v>3041</v>
      </c>
      <c r="E1232" s="89">
        <v>275000</v>
      </c>
    </row>
    <row r="1233" spans="1:5" ht="15" customHeight="1" x14ac:dyDescent="0.2">
      <c r="A1233" s="736" t="str">
        <f t="shared" si="59"/>
        <v>스타화이트
(STA)*</v>
      </c>
      <c r="B1233" s="95" t="s">
        <v>1865</v>
      </c>
      <c r="C1233" s="91">
        <v>118</v>
      </c>
      <c r="D1233" s="98" t="s">
        <v>3038</v>
      </c>
      <c r="E1233" s="89">
        <v>275000</v>
      </c>
    </row>
    <row r="1234" spans="1:5" ht="15" customHeight="1" x14ac:dyDescent="0.2">
      <c r="A1234" s="736" t="str">
        <f t="shared" si="59"/>
        <v>스타화이트
(STA)*</v>
      </c>
      <c r="B1234" s="95" t="s">
        <v>1865</v>
      </c>
      <c r="C1234" s="91">
        <v>148</v>
      </c>
      <c r="D1234" s="93" t="s">
        <v>3040</v>
      </c>
      <c r="E1234" s="89">
        <v>345000</v>
      </c>
    </row>
    <row r="1235" spans="1:5" ht="15" customHeight="1" x14ac:dyDescent="0.2">
      <c r="A1235" s="736" t="str">
        <f t="shared" si="59"/>
        <v>스타화이트
(STA)*</v>
      </c>
      <c r="B1235" s="95" t="s">
        <v>1865</v>
      </c>
      <c r="C1235" s="91">
        <v>148</v>
      </c>
      <c r="D1235" s="92" t="s">
        <v>3041</v>
      </c>
      <c r="E1235" s="89">
        <v>300000</v>
      </c>
    </row>
    <row r="1236" spans="1:5" ht="15" customHeight="1" x14ac:dyDescent="0.2">
      <c r="A1236" s="736" t="str">
        <f t="shared" si="59"/>
        <v>스타화이트
(STA)*</v>
      </c>
      <c r="B1236" s="95" t="s">
        <v>1865</v>
      </c>
      <c r="C1236" s="91">
        <v>216</v>
      </c>
      <c r="D1236" s="93" t="s">
        <v>3040</v>
      </c>
      <c r="E1236" s="89">
        <v>510000</v>
      </c>
    </row>
    <row r="1237" spans="1:5" ht="15" customHeight="1" x14ac:dyDescent="0.2">
      <c r="A1237" s="736" t="str">
        <f t="shared" si="59"/>
        <v>스타화이트
(STA)*</v>
      </c>
      <c r="B1237" s="95" t="s">
        <v>1865</v>
      </c>
      <c r="C1237" s="91">
        <v>216</v>
      </c>
      <c r="D1237" s="92" t="s">
        <v>3041</v>
      </c>
      <c r="E1237" s="89">
        <v>445000</v>
      </c>
    </row>
    <row r="1238" spans="1:5" ht="15" customHeight="1" x14ac:dyDescent="0.2">
      <c r="A1238" s="736" t="str">
        <f t="shared" si="59"/>
        <v>스타화이트
(STA)*</v>
      </c>
      <c r="B1238" s="95" t="s">
        <v>1865</v>
      </c>
      <c r="C1238" s="106">
        <v>297</v>
      </c>
      <c r="D1238" s="115" t="s">
        <v>3039</v>
      </c>
      <c r="E1238" s="89">
        <v>570000</v>
      </c>
    </row>
    <row r="1239" spans="1:5" ht="15" customHeight="1" x14ac:dyDescent="0.2">
      <c r="A1239" s="735" t="s">
        <v>3042</v>
      </c>
      <c r="B1239" s="276" t="s">
        <v>2010</v>
      </c>
      <c r="C1239" s="277" t="s">
        <v>3043</v>
      </c>
      <c r="D1239" s="314" t="s">
        <v>3044</v>
      </c>
      <c r="E1239" s="89">
        <v>320000</v>
      </c>
    </row>
    <row r="1240" spans="1:5" ht="15" customHeight="1" x14ac:dyDescent="0.2">
      <c r="A1240" s="685" t="str">
        <f t="shared" ref="A1240:A1244" si="60">A1239</f>
        <v>스타화이트 HI-TECH
(STAH)</v>
      </c>
      <c r="B1240" s="276" t="s">
        <v>2010</v>
      </c>
      <c r="C1240" s="91">
        <v>216</v>
      </c>
      <c r="D1240" s="93"/>
      <c r="E1240" s="89">
        <v>870000</v>
      </c>
    </row>
    <row r="1241" spans="1:5" ht="15" customHeight="1" x14ac:dyDescent="0.2">
      <c r="A1241" s="685" t="str">
        <f t="shared" si="60"/>
        <v>스타화이트 HI-TECH
(STAH)</v>
      </c>
      <c r="B1241" s="276" t="s">
        <v>2010</v>
      </c>
      <c r="C1241" s="99">
        <v>238</v>
      </c>
      <c r="D1241" s="141"/>
      <c r="E1241" s="89">
        <v>975000</v>
      </c>
    </row>
    <row r="1242" spans="1:5" ht="15" customHeight="1" x14ac:dyDescent="0.2">
      <c r="A1242" s="685" t="str">
        <f t="shared" si="60"/>
        <v>스타화이트 HI-TECH
(STAH)</v>
      </c>
      <c r="B1242" s="90" t="s">
        <v>2490</v>
      </c>
      <c r="C1242" s="315" t="s">
        <v>3043</v>
      </c>
      <c r="D1242" s="92" t="s">
        <v>3044</v>
      </c>
      <c r="E1242" s="89">
        <v>225000</v>
      </c>
    </row>
    <row r="1243" spans="1:5" ht="15" customHeight="1" x14ac:dyDescent="0.2">
      <c r="A1243" s="685" t="str">
        <f t="shared" si="60"/>
        <v>스타화이트 HI-TECH
(STAH)</v>
      </c>
      <c r="B1243" s="90" t="s">
        <v>2490</v>
      </c>
      <c r="C1243" s="91">
        <v>216</v>
      </c>
      <c r="D1243" s="98"/>
      <c r="E1243" s="89">
        <v>600000</v>
      </c>
    </row>
    <row r="1244" spans="1:5" ht="15" customHeight="1" x14ac:dyDescent="0.2">
      <c r="A1244" s="688" t="str">
        <f t="shared" si="60"/>
        <v>스타화이트 HI-TECH
(STAH)</v>
      </c>
      <c r="B1244" s="90" t="s">
        <v>2490</v>
      </c>
      <c r="C1244" s="106">
        <v>238</v>
      </c>
      <c r="D1244" s="107"/>
      <c r="E1244" s="89">
        <v>675000</v>
      </c>
    </row>
    <row r="1245" spans="1:5" ht="15" customHeight="1" x14ac:dyDescent="0.2">
      <c r="A1245" s="735" t="s">
        <v>3045</v>
      </c>
      <c r="B1245" s="276" t="s">
        <v>1879</v>
      </c>
      <c r="C1245" s="277">
        <v>75</v>
      </c>
      <c r="D1245" s="278" t="s">
        <v>3046</v>
      </c>
      <c r="E1245" s="89">
        <v>135000</v>
      </c>
    </row>
    <row r="1246" spans="1:5" ht="15" customHeight="1" x14ac:dyDescent="0.2">
      <c r="A1246" s="685" t="str">
        <f t="shared" ref="A1246:A1265" si="61">A1245</f>
        <v>스펙트라
(SPA)</v>
      </c>
      <c r="B1246" s="276" t="s">
        <v>1879</v>
      </c>
      <c r="C1246" s="96">
        <v>80</v>
      </c>
      <c r="D1246" s="109" t="s">
        <v>3047</v>
      </c>
      <c r="E1246" s="89">
        <v>110000</v>
      </c>
    </row>
    <row r="1247" spans="1:5" ht="15" customHeight="1" x14ac:dyDescent="0.2">
      <c r="A1247" s="685" t="str">
        <f t="shared" si="61"/>
        <v>스펙트라
(SPA)</v>
      </c>
      <c r="B1247" s="276" t="s">
        <v>1879</v>
      </c>
      <c r="C1247" s="91"/>
      <c r="D1247" s="98" t="s">
        <v>3048</v>
      </c>
      <c r="E1247" s="89">
        <v>130000</v>
      </c>
    </row>
    <row r="1248" spans="1:5" ht="15" customHeight="1" x14ac:dyDescent="0.2">
      <c r="A1248" s="685" t="str">
        <f t="shared" si="61"/>
        <v>스펙트라
(SPA)</v>
      </c>
      <c r="B1248" s="276" t="s">
        <v>1879</v>
      </c>
      <c r="C1248" s="91"/>
      <c r="D1248" s="98" t="s">
        <v>3049</v>
      </c>
      <c r="E1248" s="89">
        <v>160000</v>
      </c>
    </row>
    <row r="1249" spans="1:5" ht="15" customHeight="1" x14ac:dyDescent="0.2">
      <c r="A1249" s="685" t="str">
        <f t="shared" si="61"/>
        <v>스펙트라
(SPA)</v>
      </c>
      <c r="B1249" s="276" t="s">
        <v>1879</v>
      </c>
      <c r="C1249" s="99"/>
      <c r="D1249" s="105" t="s">
        <v>3050</v>
      </c>
      <c r="E1249" s="89">
        <v>140000</v>
      </c>
    </row>
    <row r="1250" spans="1:5" ht="15" customHeight="1" x14ac:dyDescent="0.2">
      <c r="A1250" s="685" t="str">
        <f t="shared" si="61"/>
        <v>스펙트라
(SPA)</v>
      </c>
      <c r="B1250" s="276" t="s">
        <v>1879</v>
      </c>
      <c r="C1250" s="96">
        <v>120</v>
      </c>
      <c r="D1250" s="109" t="s">
        <v>3051</v>
      </c>
      <c r="E1250" s="89">
        <v>165000</v>
      </c>
    </row>
    <row r="1251" spans="1:5" ht="15" customHeight="1" x14ac:dyDescent="0.2">
      <c r="A1251" s="685" t="str">
        <f t="shared" si="61"/>
        <v>스펙트라
(SPA)</v>
      </c>
      <c r="B1251" s="276" t="s">
        <v>1879</v>
      </c>
      <c r="C1251" s="91"/>
      <c r="D1251" s="98" t="s">
        <v>3052</v>
      </c>
      <c r="E1251" s="89">
        <v>195000</v>
      </c>
    </row>
    <row r="1252" spans="1:5" ht="15" customHeight="1" x14ac:dyDescent="0.2">
      <c r="A1252" s="685" t="str">
        <f t="shared" si="61"/>
        <v>스펙트라
(SPA)</v>
      </c>
      <c r="B1252" s="276" t="s">
        <v>1879</v>
      </c>
      <c r="C1252" s="91"/>
      <c r="D1252" s="98" t="s">
        <v>3053</v>
      </c>
      <c r="E1252" s="89">
        <v>200000</v>
      </c>
    </row>
    <row r="1253" spans="1:5" ht="15" customHeight="1" x14ac:dyDescent="0.2">
      <c r="A1253" s="685" t="str">
        <f t="shared" si="61"/>
        <v>스펙트라
(SPA)</v>
      </c>
      <c r="B1253" s="276" t="s">
        <v>1879</v>
      </c>
      <c r="C1253" s="91"/>
      <c r="D1253" s="98" t="s">
        <v>3054</v>
      </c>
      <c r="E1253" s="89">
        <v>240000</v>
      </c>
    </row>
    <row r="1254" spans="1:5" ht="15" customHeight="1" x14ac:dyDescent="0.2">
      <c r="A1254" s="685" t="str">
        <f t="shared" si="61"/>
        <v>스펙트라
(SPA)</v>
      </c>
      <c r="B1254" s="276" t="s">
        <v>1879</v>
      </c>
      <c r="C1254" s="91"/>
      <c r="D1254" s="98" t="s">
        <v>3055</v>
      </c>
      <c r="E1254" s="89">
        <v>215000</v>
      </c>
    </row>
    <row r="1255" spans="1:5" ht="15" customHeight="1" x14ac:dyDescent="0.2">
      <c r="A1255" s="685" t="str">
        <f t="shared" si="61"/>
        <v>스펙트라
(SPA)</v>
      </c>
      <c r="B1255" s="276" t="s">
        <v>1879</v>
      </c>
      <c r="C1255" s="91"/>
      <c r="D1255" s="92" t="s">
        <v>3056</v>
      </c>
      <c r="E1255" s="89">
        <v>180000</v>
      </c>
    </row>
    <row r="1256" spans="1:5" ht="15" customHeight="1" x14ac:dyDescent="0.2">
      <c r="A1256" s="685" t="str">
        <f t="shared" si="61"/>
        <v>스펙트라
(SPA)</v>
      </c>
      <c r="B1256" s="171" t="s">
        <v>3057</v>
      </c>
      <c r="C1256" s="113">
        <v>75</v>
      </c>
      <c r="D1256" s="114" t="s">
        <v>3058</v>
      </c>
      <c r="E1256" s="89">
        <v>90000</v>
      </c>
    </row>
    <row r="1257" spans="1:5" ht="15" customHeight="1" x14ac:dyDescent="0.2">
      <c r="A1257" s="685" t="str">
        <f t="shared" si="61"/>
        <v>스펙트라
(SPA)</v>
      </c>
      <c r="B1257" s="90" t="s">
        <v>3059</v>
      </c>
      <c r="C1257" s="91">
        <v>80</v>
      </c>
      <c r="D1257" s="98" t="s">
        <v>3060</v>
      </c>
      <c r="E1257" s="89">
        <v>75000</v>
      </c>
    </row>
    <row r="1258" spans="1:5" ht="15" customHeight="1" x14ac:dyDescent="0.2">
      <c r="A1258" s="685" t="str">
        <f t="shared" si="61"/>
        <v>스펙트라
(SPA)</v>
      </c>
      <c r="B1258" s="90" t="s">
        <v>3059</v>
      </c>
      <c r="C1258" s="99"/>
      <c r="D1258" s="105" t="s">
        <v>3061</v>
      </c>
      <c r="E1258" s="89">
        <v>75000</v>
      </c>
    </row>
    <row r="1259" spans="1:5" ht="15" customHeight="1" x14ac:dyDescent="0.2">
      <c r="A1259" s="685" t="str">
        <f t="shared" si="61"/>
        <v>스펙트라
(SPA)</v>
      </c>
      <c r="B1259" s="316" t="s">
        <v>3062</v>
      </c>
      <c r="C1259" s="96">
        <v>80</v>
      </c>
      <c r="D1259" s="109" t="s">
        <v>3063</v>
      </c>
      <c r="E1259" s="89">
        <v>75000</v>
      </c>
    </row>
    <row r="1260" spans="1:5" ht="15" customHeight="1" x14ac:dyDescent="0.2">
      <c r="A1260" s="685" t="str">
        <f t="shared" si="61"/>
        <v>스펙트라
(SPA)</v>
      </c>
      <c r="B1260" s="90" t="s">
        <v>3064</v>
      </c>
      <c r="C1260" s="91"/>
      <c r="D1260" s="98" t="s">
        <v>3065</v>
      </c>
      <c r="E1260" s="89">
        <v>85000</v>
      </c>
    </row>
    <row r="1261" spans="1:5" ht="15" customHeight="1" x14ac:dyDescent="0.2">
      <c r="A1261" s="685" t="str">
        <f t="shared" si="61"/>
        <v>스펙트라
(SPA)</v>
      </c>
      <c r="B1261" s="90" t="s">
        <v>3064</v>
      </c>
      <c r="C1261" s="91"/>
      <c r="D1261" s="98" t="s">
        <v>3066</v>
      </c>
      <c r="E1261" s="89">
        <v>75000</v>
      </c>
    </row>
    <row r="1262" spans="1:5" ht="15" customHeight="1" x14ac:dyDescent="0.2">
      <c r="A1262" s="685" t="str">
        <f t="shared" si="61"/>
        <v>스펙트라
(SPA)</v>
      </c>
      <c r="B1262" s="90" t="s">
        <v>3064</v>
      </c>
      <c r="C1262" s="91"/>
      <c r="D1262" s="98" t="s">
        <v>3067</v>
      </c>
      <c r="E1262" s="89">
        <v>90000</v>
      </c>
    </row>
    <row r="1263" spans="1:5" ht="15" customHeight="1" x14ac:dyDescent="0.2">
      <c r="A1263" s="685" t="str">
        <f t="shared" si="61"/>
        <v>스펙트라
(SPA)</v>
      </c>
      <c r="B1263" s="159" t="s">
        <v>3057</v>
      </c>
      <c r="C1263" s="113">
        <v>80</v>
      </c>
      <c r="D1263" s="114" t="s">
        <v>3068</v>
      </c>
      <c r="E1263" s="89">
        <v>95000</v>
      </c>
    </row>
    <row r="1264" spans="1:5" ht="15" customHeight="1" x14ac:dyDescent="0.2">
      <c r="A1264" s="685" t="str">
        <f t="shared" si="61"/>
        <v>스펙트라
(SPA)</v>
      </c>
      <c r="B1264" s="253" t="s">
        <v>3069</v>
      </c>
      <c r="C1264" s="91">
        <v>120</v>
      </c>
      <c r="D1264" s="98" t="s">
        <v>3070</v>
      </c>
      <c r="E1264" s="89">
        <v>105000</v>
      </c>
    </row>
    <row r="1265" spans="1:5" ht="15" customHeight="1" x14ac:dyDescent="0.2">
      <c r="A1265" s="678" t="str">
        <f t="shared" si="61"/>
        <v>스펙트라
(SPA)</v>
      </c>
      <c r="B1265" s="253" t="s">
        <v>3069</v>
      </c>
      <c r="C1265" s="111"/>
      <c r="D1265" s="112" t="s">
        <v>3071</v>
      </c>
      <c r="E1265" s="89">
        <v>130000</v>
      </c>
    </row>
    <row r="1266" spans="1:5" ht="15" customHeight="1" x14ac:dyDescent="0.2">
      <c r="A1266" s="735" t="s">
        <v>3072</v>
      </c>
      <c r="B1266" s="276" t="s">
        <v>1872</v>
      </c>
      <c r="C1266" s="277">
        <v>250</v>
      </c>
      <c r="D1266" s="278" t="s">
        <v>3073</v>
      </c>
      <c r="E1266" s="89">
        <v>555000</v>
      </c>
    </row>
    <row r="1267" spans="1:5" ht="15" customHeight="1" x14ac:dyDescent="0.2">
      <c r="A1267" s="735" t="str">
        <f t="shared" ref="A1267:A1272" si="62">A1266</f>
        <v>스펜더룩스
(SPD)</v>
      </c>
      <c r="B1267" s="276" t="s">
        <v>1872</v>
      </c>
      <c r="C1267" s="91"/>
      <c r="D1267" s="98" t="s">
        <v>3074</v>
      </c>
      <c r="E1267" s="89">
        <v>605000</v>
      </c>
    </row>
    <row r="1268" spans="1:5" ht="15" customHeight="1" x14ac:dyDescent="0.2">
      <c r="A1268" s="735" t="str">
        <f t="shared" si="62"/>
        <v>스펜더룩스
(SPD)</v>
      </c>
      <c r="B1268" s="276" t="s">
        <v>1872</v>
      </c>
      <c r="C1268" s="91"/>
      <c r="D1268" s="98" t="s">
        <v>3075</v>
      </c>
      <c r="E1268" s="89">
        <v>825000</v>
      </c>
    </row>
    <row r="1269" spans="1:5" ht="15" customHeight="1" x14ac:dyDescent="0.2">
      <c r="A1269" s="735" t="str">
        <f t="shared" si="62"/>
        <v>스펜더룩스
(SPD)</v>
      </c>
      <c r="B1269" s="276" t="s">
        <v>1872</v>
      </c>
      <c r="C1269" s="91"/>
      <c r="D1269" s="98" t="s">
        <v>3076</v>
      </c>
      <c r="E1269" s="89">
        <v>955000</v>
      </c>
    </row>
    <row r="1270" spans="1:5" ht="15" customHeight="1" x14ac:dyDescent="0.2">
      <c r="A1270" s="735" t="str">
        <f t="shared" si="62"/>
        <v>스펜더룩스
(SPD)</v>
      </c>
      <c r="B1270" s="276" t="s">
        <v>1872</v>
      </c>
      <c r="C1270" s="91"/>
      <c r="D1270" s="98" t="s">
        <v>3077</v>
      </c>
      <c r="E1270" s="89">
        <v>760000</v>
      </c>
    </row>
    <row r="1271" spans="1:5" ht="15" customHeight="1" x14ac:dyDescent="0.2">
      <c r="A1271" s="735" t="str">
        <f t="shared" si="62"/>
        <v>스펜더룩스
(SPD)</v>
      </c>
      <c r="B1271" s="276" t="s">
        <v>1872</v>
      </c>
      <c r="C1271" s="91"/>
      <c r="D1271" s="156" t="s">
        <v>3078</v>
      </c>
      <c r="E1271" s="89">
        <v>555000</v>
      </c>
    </row>
    <row r="1272" spans="1:5" ht="15" customHeight="1" x14ac:dyDescent="0.2">
      <c r="A1272" s="735" t="str">
        <f t="shared" si="62"/>
        <v>스펜더룩스
(SPD)</v>
      </c>
      <c r="B1272" s="276" t="s">
        <v>1872</v>
      </c>
      <c r="C1272" s="91"/>
      <c r="D1272" s="208" t="s">
        <v>3079</v>
      </c>
      <c r="E1272" s="89">
        <v>760000</v>
      </c>
    </row>
    <row r="1273" spans="1:5" ht="15" customHeight="1" x14ac:dyDescent="0.2">
      <c r="A1273" s="735" t="s">
        <v>3080</v>
      </c>
      <c r="B1273" s="276" t="s">
        <v>2399</v>
      </c>
      <c r="C1273" s="277">
        <v>250</v>
      </c>
      <c r="D1273" s="278" t="s">
        <v>1893</v>
      </c>
      <c r="E1273" s="89">
        <v>880000</v>
      </c>
    </row>
    <row r="1274" spans="1:5" ht="15" customHeight="1" x14ac:dyDescent="0.2">
      <c r="A1274" s="685" t="str">
        <f t="shared" ref="A1274:A1276" si="63">A1273</f>
        <v>스펜더룩스 메탈
(SPXM) *</v>
      </c>
      <c r="B1274" s="276" t="s">
        <v>2399</v>
      </c>
      <c r="C1274" s="99"/>
      <c r="D1274" s="105" t="s">
        <v>3081</v>
      </c>
      <c r="E1274" s="89">
        <v>880000</v>
      </c>
    </row>
    <row r="1275" spans="1:5" ht="15" customHeight="1" x14ac:dyDescent="0.2">
      <c r="A1275" s="685" t="str">
        <f t="shared" si="63"/>
        <v>스펜더룩스 메탈
(SPXM) *</v>
      </c>
      <c r="B1275" s="276" t="s">
        <v>2399</v>
      </c>
      <c r="C1275" s="96">
        <v>350</v>
      </c>
      <c r="D1275" s="109" t="s">
        <v>3082</v>
      </c>
      <c r="E1275" s="89">
        <v>1230000</v>
      </c>
    </row>
    <row r="1276" spans="1:5" ht="15" customHeight="1" x14ac:dyDescent="0.2">
      <c r="A1276" s="688" t="str">
        <f t="shared" si="63"/>
        <v>스펜더룩스 메탈
(SPXM) *</v>
      </c>
      <c r="B1276" s="276" t="s">
        <v>2399</v>
      </c>
      <c r="C1276" s="106"/>
      <c r="D1276" s="107" t="s">
        <v>3083</v>
      </c>
      <c r="E1276" s="89">
        <v>1230000</v>
      </c>
    </row>
    <row r="1277" spans="1:5" ht="15" customHeight="1" x14ac:dyDescent="0.2">
      <c r="A1277" s="735" t="s">
        <v>3084</v>
      </c>
      <c r="B1277" s="276" t="s">
        <v>2832</v>
      </c>
      <c r="C1277" s="317">
        <v>120</v>
      </c>
      <c r="D1277" s="318" t="s">
        <v>3085</v>
      </c>
      <c r="E1277" s="89">
        <v>485000</v>
      </c>
    </row>
    <row r="1278" spans="1:5" ht="15" customHeight="1" x14ac:dyDescent="0.2">
      <c r="A1278" s="685" t="str">
        <f t="shared" ref="A1278:A1281" si="64">A1277</f>
        <v>스펜더룩스 버서스
(SPXV)</v>
      </c>
      <c r="B1278" s="276" t="s">
        <v>2832</v>
      </c>
      <c r="C1278" s="96">
        <v>250</v>
      </c>
      <c r="D1278" s="109" t="s">
        <v>3086</v>
      </c>
      <c r="E1278" s="89">
        <v>920000</v>
      </c>
    </row>
    <row r="1279" spans="1:5" ht="15" customHeight="1" x14ac:dyDescent="0.2">
      <c r="A1279" s="685" t="str">
        <f t="shared" si="64"/>
        <v>스펜더룩스 버서스
(SPXV)</v>
      </c>
      <c r="B1279" s="276" t="s">
        <v>2832</v>
      </c>
      <c r="C1279" s="99"/>
      <c r="D1279" s="105" t="s">
        <v>3087</v>
      </c>
      <c r="E1279" s="89">
        <v>1010000</v>
      </c>
    </row>
    <row r="1280" spans="1:5" ht="15" customHeight="1" x14ac:dyDescent="0.2">
      <c r="A1280" s="685" t="str">
        <f t="shared" si="64"/>
        <v>스펜더룩스 버서스
(SPXV)</v>
      </c>
      <c r="B1280" s="276" t="s">
        <v>2832</v>
      </c>
      <c r="C1280" s="96">
        <v>350</v>
      </c>
      <c r="D1280" s="109" t="s">
        <v>3088</v>
      </c>
      <c r="E1280" s="89">
        <v>1280000</v>
      </c>
    </row>
    <row r="1281" spans="1:5" ht="15" customHeight="1" x14ac:dyDescent="0.2">
      <c r="A1281" s="688" t="str">
        <f t="shared" si="64"/>
        <v>스펜더룩스 버서스
(SPXV)</v>
      </c>
      <c r="B1281" s="276" t="s">
        <v>2832</v>
      </c>
      <c r="C1281" s="106"/>
      <c r="D1281" s="219" t="s">
        <v>3089</v>
      </c>
      <c r="E1281" s="89">
        <v>1410000</v>
      </c>
    </row>
    <row r="1282" spans="1:5" ht="15" customHeight="1" x14ac:dyDescent="0.2">
      <c r="A1282" s="735" t="s">
        <v>3090</v>
      </c>
      <c r="B1282" s="276" t="s">
        <v>2010</v>
      </c>
      <c r="C1282" s="277">
        <v>240</v>
      </c>
      <c r="D1282" s="319" t="s">
        <v>3091</v>
      </c>
      <c r="E1282" s="89">
        <v>380000</v>
      </c>
    </row>
    <row r="1283" spans="1:5" ht="15" customHeight="1" x14ac:dyDescent="0.2">
      <c r="A1283" s="686" t="str">
        <f t="shared" ref="A1283:A1286" si="65">A1282</f>
        <v>심볼카드에코
(SYMC)</v>
      </c>
      <c r="B1283" s="276" t="s">
        <v>2010</v>
      </c>
      <c r="C1283" s="91">
        <v>300</v>
      </c>
      <c r="D1283" s="320" t="s">
        <v>3092</v>
      </c>
      <c r="E1283" s="89">
        <v>475000</v>
      </c>
    </row>
    <row r="1284" spans="1:5" ht="15" customHeight="1" x14ac:dyDescent="0.2">
      <c r="A1284" s="686" t="str">
        <f t="shared" si="65"/>
        <v>심볼카드에코
(SYMC)</v>
      </c>
      <c r="B1284" s="276" t="s">
        <v>2010</v>
      </c>
      <c r="C1284" s="99">
        <v>360</v>
      </c>
      <c r="D1284" s="321" t="s">
        <v>3093</v>
      </c>
      <c r="E1284" s="89">
        <v>575000</v>
      </c>
    </row>
    <row r="1285" spans="1:5" ht="15" customHeight="1" x14ac:dyDescent="0.2">
      <c r="A1285" s="686" t="str">
        <f t="shared" si="65"/>
        <v>심볼카드에코
(SYMC)</v>
      </c>
      <c r="B1285" s="94" t="s">
        <v>3094</v>
      </c>
      <c r="C1285" s="99">
        <v>360</v>
      </c>
      <c r="D1285" s="321" t="s">
        <v>3095</v>
      </c>
      <c r="E1285" s="89">
        <v>395000</v>
      </c>
    </row>
    <row r="1286" spans="1:5" ht="15" customHeight="1" x14ac:dyDescent="0.2">
      <c r="A1286" s="687" t="str">
        <f t="shared" si="65"/>
        <v>심볼카드에코
(SYMC)</v>
      </c>
      <c r="B1286" s="110" t="s">
        <v>3096</v>
      </c>
      <c r="C1286" s="111">
        <v>360</v>
      </c>
      <c r="D1286" s="282" t="s">
        <v>3097</v>
      </c>
      <c r="E1286" s="89">
        <v>490000</v>
      </c>
    </row>
    <row r="1287" spans="1:5" ht="15" customHeight="1" x14ac:dyDescent="0.2">
      <c r="A1287" s="735" t="s">
        <v>3098</v>
      </c>
      <c r="B1287" s="322" t="s">
        <v>3099</v>
      </c>
      <c r="C1287" s="317">
        <v>110</v>
      </c>
      <c r="D1287" s="323" t="s">
        <v>3100</v>
      </c>
      <c r="E1287" s="89">
        <v>190000</v>
      </c>
    </row>
    <row r="1288" spans="1:5" ht="15" customHeight="1" x14ac:dyDescent="0.2">
      <c r="A1288" s="685" t="str">
        <f t="shared" ref="A1288:A1316" si="66">A1287</f>
        <v>심플렉스
(SIM)</v>
      </c>
      <c r="B1288" s="737" t="s">
        <v>3101</v>
      </c>
      <c r="C1288" s="96">
        <v>260</v>
      </c>
      <c r="D1288" s="109">
        <v>101</v>
      </c>
      <c r="E1288" s="89">
        <v>735000</v>
      </c>
    </row>
    <row r="1289" spans="1:5" ht="15" customHeight="1" x14ac:dyDescent="0.2">
      <c r="A1289" s="685" t="str">
        <f t="shared" si="66"/>
        <v>심플렉스
(SIM)</v>
      </c>
      <c r="B1289" s="738"/>
      <c r="C1289" s="99"/>
      <c r="D1289" s="105" t="s">
        <v>3102</v>
      </c>
      <c r="E1289" s="89">
        <v>870000</v>
      </c>
    </row>
    <row r="1290" spans="1:5" ht="15" customHeight="1" x14ac:dyDescent="0.2">
      <c r="A1290" s="685" t="str">
        <f t="shared" si="66"/>
        <v>심플렉스
(SIM)</v>
      </c>
      <c r="B1290" s="738" t="s">
        <v>3101</v>
      </c>
      <c r="C1290" s="91">
        <v>125</v>
      </c>
      <c r="D1290" s="98" t="s">
        <v>3103</v>
      </c>
      <c r="E1290" s="89">
        <v>355000</v>
      </c>
    </row>
    <row r="1291" spans="1:5" ht="15" customHeight="1" x14ac:dyDescent="0.2">
      <c r="A1291" s="685" t="str">
        <f t="shared" si="66"/>
        <v>심플렉스
(SIM)</v>
      </c>
      <c r="B1291" s="738"/>
      <c r="C1291" s="91"/>
      <c r="D1291" s="98" t="s">
        <v>3104</v>
      </c>
      <c r="E1291" s="89">
        <v>420000</v>
      </c>
    </row>
    <row r="1292" spans="1:5" ht="15" customHeight="1" x14ac:dyDescent="0.2">
      <c r="A1292" s="685" t="str">
        <f t="shared" si="66"/>
        <v>심플렉스
(SIM)</v>
      </c>
      <c r="B1292" s="316" t="s">
        <v>2832</v>
      </c>
      <c r="C1292" s="96">
        <v>125</v>
      </c>
      <c r="D1292" s="109" t="s">
        <v>3105</v>
      </c>
      <c r="E1292" s="89">
        <v>320000</v>
      </c>
    </row>
    <row r="1293" spans="1:5" ht="15" customHeight="1" x14ac:dyDescent="0.2">
      <c r="A1293" s="685" t="str">
        <f t="shared" si="66"/>
        <v>심플렉스
(SIM)</v>
      </c>
      <c r="B1293" s="253" t="s">
        <v>3106</v>
      </c>
      <c r="C1293" s="281"/>
      <c r="D1293" s="98" t="s">
        <v>3107</v>
      </c>
      <c r="E1293" s="89">
        <v>255000</v>
      </c>
    </row>
    <row r="1294" spans="1:5" ht="15" customHeight="1" x14ac:dyDescent="0.2">
      <c r="A1294" s="685" t="str">
        <f t="shared" si="66"/>
        <v>심플렉스
(SIM)</v>
      </c>
      <c r="B1294" s="316" t="s">
        <v>2832</v>
      </c>
      <c r="C1294" s="281"/>
      <c r="D1294" s="98" t="s">
        <v>3108</v>
      </c>
      <c r="E1294" s="89">
        <v>330000</v>
      </c>
    </row>
    <row r="1295" spans="1:5" ht="15" customHeight="1" x14ac:dyDescent="0.2">
      <c r="A1295" s="685" t="str">
        <f t="shared" si="66"/>
        <v>심플렉스
(SIM)</v>
      </c>
      <c r="B1295" s="316" t="s">
        <v>2832</v>
      </c>
      <c r="C1295" s="281"/>
      <c r="D1295" s="98" t="s">
        <v>3109</v>
      </c>
      <c r="E1295" s="89">
        <v>355000</v>
      </c>
    </row>
    <row r="1296" spans="1:5" ht="15" customHeight="1" x14ac:dyDescent="0.2">
      <c r="A1296" s="685" t="str">
        <f t="shared" si="66"/>
        <v>심플렉스
(SIM)</v>
      </c>
      <c r="B1296" s="739" t="s">
        <v>3110</v>
      </c>
      <c r="C1296" s="96">
        <v>125</v>
      </c>
      <c r="D1296" s="97" t="s">
        <v>3111</v>
      </c>
      <c r="E1296" s="89">
        <v>250000</v>
      </c>
    </row>
    <row r="1297" spans="1:5" ht="15" customHeight="1" x14ac:dyDescent="0.2">
      <c r="A1297" s="685" t="str">
        <f t="shared" si="66"/>
        <v>심플렉스
(SIM)</v>
      </c>
      <c r="B1297" s="738"/>
      <c r="C1297" s="99"/>
      <c r="D1297" s="100" t="s">
        <v>3112</v>
      </c>
      <c r="E1297" s="89">
        <v>275000</v>
      </c>
    </row>
    <row r="1298" spans="1:5" ht="15" customHeight="1" x14ac:dyDescent="0.2">
      <c r="A1298" s="685" t="str">
        <f t="shared" si="66"/>
        <v>심플렉스
(SIM)</v>
      </c>
      <c r="B1298" s="316" t="s">
        <v>3113</v>
      </c>
      <c r="C1298" s="96">
        <v>125</v>
      </c>
      <c r="D1298" s="97">
        <v>1</v>
      </c>
    </row>
    <row r="1299" spans="1:5" ht="15" customHeight="1" x14ac:dyDescent="0.2">
      <c r="A1299" s="685" t="str">
        <f t="shared" si="66"/>
        <v>심플렉스
(SIM)</v>
      </c>
      <c r="B1299" s="253" t="s">
        <v>3106</v>
      </c>
      <c r="C1299" s="91"/>
      <c r="D1299" s="92">
        <v>7</v>
      </c>
    </row>
    <row r="1300" spans="1:5" ht="15" customHeight="1" x14ac:dyDescent="0.2">
      <c r="A1300" s="685" t="str">
        <f t="shared" si="66"/>
        <v>심플렉스
(SIM)</v>
      </c>
      <c r="B1300" s="94"/>
      <c r="C1300" s="99"/>
      <c r="D1300" s="100" t="s">
        <v>3114</v>
      </c>
    </row>
    <row r="1301" spans="1:5" ht="15" customHeight="1" x14ac:dyDescent="0.2">
      <c r="A1301" s="685" t="str">
        <f t="shared" si="66"/>
        <v>심플렉스
(SIM)</v>
      </c>
      <c r="B1301" s="737" t="s">
        <v>3115</v>
      </c>
      <c r="C1301" s="91">
        <v>125</v>
      </c>
      <c r="D1301" s="92" t="s">
        <v>3116</v>
      </c>
      <c r="E1301" s="89">
        <v>350000</v>
      </c>
    </row>
    <row r="1302" spans="1:5" ht="15" customHeight="1" x14ac:dyDescent="0.2">
      <c r="A1302" s="685" t="str">
        <f t="shared" si="66"/>
        <v>심플렉스
(SIM)</v>
      </c>
      <c r="B1302" s="737"/>
      <c r="C1302" s="91"/>
      <c r="D1302" s="92" t="s">
        <v>3117</v>
      </c>
      <c r="E1302" s="89">
        <v>350000</v>
      </c>
    </row>
    <row r="1303" spans="1:5" ht="15" customHeight="1" x14ac:dyDescent="0.2">
      <c r="A1303" s="685" t="str">
        <f t="shared" si="66"/>
        <v>심플렉스
(SIM)</v>
      </c>
      <c r="B1303" s="316" t="s">
        <v>3113</v>
      </c>
      <c r="C1303" s="96">
        <v>125</v>
      </c>
      <c r="D1303" s="97" t="s">
        <v>3118</v>
      </c>
    </row>
    <row r="1304" spans="1:5" ht="15" customHeight="1" x14ac:dyDescent="0.2">
      <c r="A1304" s="685" t="str">
        <f t="shared" si="66"/>
        <v>심플렉스
(SIM)</v>
      </c>
      <c r="B1304" s="253" t="s">
        <v>3119</v>
      </c>
      <c r="C1304" s="91"/>
      <c r="D1304" s="227" t="s">
        <v>3120</v>
      </c>
    </row>
    <row r="1305" spans="1:5" ht="15" customHeight="1" x14ac:dyDescent="0.2">
      <c r="A1305" s="685" t="str">
        <f t="shared" si="66"/>
        <v>심플렉스
(SIM)</v>
      </c>
      <c r="B1305" s="324"/>
      <c r="C1305" s="91"/>
      <c r="D1305" s="227" t="s">
        <v>3121</v>
      </c>
    </row>
    <row r="1306" spans="1:5" ht="15" customHeight="1" x14ac:dyDescent="0.2">
      <c r="A1306" s="685" t="str">
        <f t="shared" si="66"/>
        <v>심플렉스
(SIM)</v>
      </c>
      <c r="B1306" s="325" t="s">
        <v>3122</v>
      </c>
      <c r="C1306" s="121">
        <v>110</v>
      </c>
      <c r="D1306" s="225" t="s">
        <v>3100</v>
      </c>
      <c r="E1306" s="89">
        <v>195000</v>
      </c>
    </row>
    <row r="1307" spans="1:5" ht="15" customHeight="1" x14ac:dyDescent="0.2">
      <c r="A1307" s="685" t="str">
        <f t="shared" si="66"/>
        <v>심플렉스
(SIM)</v>
      </c>
      <c r="B1307" s="737" t="s">
        <v>3123</v>
      </c>
      <c r="C1307" s="96">
        <v>125</v>
      </c>
      <c r="D1307" s="109">
        <v>1</v>
      </c>
      <c r="E1307" s="89">
        <v>355000</v>
      </c>
    </row>
    <row r="1308" spans="1:5" ht="15" customHeight="1" x14ac:dyDescent="0.2">
      <c r="A1308" s="685" t="str">
        <f t="shared" si="66"/>
        <v>심플렉스
(SIM)</v>
      </c>
      <c r="B1308" s="737"/>
      <c r="C1308" s="99"/>
      <c r="D1308" s="105" t="s">
        <v>3124</v>
      </c>
      <c r="E1308" s="89">
        <v>420000</v>
      </c>
    </row>
    <row r="1309" spans="1:5" ht="15" customHeight="1" x14ac:dyDescent="0.2">
      <c r="A1309" s="685" t="str">
        <f t="shared" si="66"/>
        <v>심플렉스
(SIM)</v>
      </c>
      <c r="B1309" s="316" t="s">
        <v>2832</v>
      </c>
      <c r="C1309" s="91">
        <v>125</v>
      </c>
      <c r="D1309" s="98">
        <v>10</v>
      </c>
      <c r="E1309" s="89">
        <v>355000</v>
      </c>
    </row>
    <row r="1310" spans="1:5" ht="15" customHeight="1" x14ac:dyDescent="0.2">
      <c r="A1310" s="685" t="str">
        <f t="shared" si="66"/>
        <v>심플렉스
(SIM)</v>
      </c>
      <c r="B1310" s="253" t="s">
        <v>3125</v>
      </c>
      <c r="C1310" s="91"/>
      <c r="D1310" s="98">
        <v>1</v>
      </c>
      <c r="E1310" s="89">
        <v>300000</v>
      </c>
    </row>
    <row r="1311" spans="1:5" ht="15" customHeight="1" x14ac:dyDescent="0.2">
      <c r="A1311" s="685" t="str">
        <f t="shared" si="66"/>
        <v>심플렉스
(SIM)</v>
      </c>
      <c r="B1311" s="253"/>
      <c r="C1311" s="91"/>
      <c r="D1311" s="98" t="s">
        <v>3126</v>
      </c>
      <c r="E1311" s="89">
        <v>320000</v>
      </c>
    </row>
    <row r="1312" spans="1:5" ht="15" customHeight="1" x14ac:dyDescent="0.2">
      <c r="A1312" s="685" t="str">
        <f t="shared" si="66"/>
        <v>심플렉스
(SIM)</v>
      </c>
      <c r="B1312" s="326"/>
      <c r="C1312" s="91"/>
      <c r="D1312" s="98" t="s">
        <v>3127</v>
      </c>
      <c r="E1312" s="89">
        <v>330000</v>
      </c>
    </row>
    <row r="1313" spans="1:5" ht="15" customHeight="1" x14ac:dyDescent="0.2">
      <c r="A1313" s="685" t="str">
        <f t="shared" si="66"/>
        <v>심플렉스
(SIM)</v>
      </c>
      <c r="B1313" s="327"/>
      <c r="C1313" s="91"/>
      <c r="D1313" s="98" t="s">
        <v>3128</v>
      </c>
      <c r="E1313" s="89">
        <v>355000</v>
      </c>
    </row>
    <row r="1314" spans="1:5" ht="15" customHeight="1" x14ac:dyDescent="0.2">
      <c r="A1314" s="685" t="str">
        <f t="shared" si="66"/>
        <v>심플렉스
(SIM)</v>
      </c>
      <c r="B1314" s="740" t="s">
        <v>3129</v>
      </c>
      <c r="C1314" s="121">
        <v>125</v>
      </c>
      <c r="D1314" s="233">
        <v>1</v>
      </c>
      <c r="E1314" s="89">
        <v>355000</v>
      </c>
    </row>
    <row r="1315" spans="1:5" ht="15" customHeight="1" x14ac:dyDescent="0.2">
      <c r="A1315" s="685" t="str">
        <f t="shared" si="66"/>
        <v>심플렉스
(SIM)</v>
      </c>
      <c r="B1315" s="741"/>
      <c r="C1315" s="328"/>
      <c r="D1315" s="329" t="s">
        <v>3130</v>
      </c>
      <c r="E1315" s="89">
        <v>420000</v>
      </c>
    </row>
    <row r="1316" spans="1:5" ht="27.95" customHeight="1" x14ac:dyDescent="0.2">
      <c r="A1316" s="688" t="str">
        <f t="shared" si="66"/>
        <v>심플렉스
(SIM)</v>
      </c>
      <c r="B1316" s="260" t="s">
        <v>3129</v>
      </c>
      <c r="C1316" s="229">
        <v>115</v>
      </c>
      <c r="D1316" s="107" t="s">
        <v>3131</v>
      </c>
      <c r="E1316" s="89">
        <v>385000</v>
      </c>
    </row>
    <row r="1317" spans="1:5" s="333" customFormat="1" ht="15" customHeight="1" x14ac:dyDescent="0.2">
      <c r="A1317" s="732" t="s">
        <v>3132</v>
      </c>
      <c r="B1317" s="330" t="s">
        <v>3133</v>
      </c>
      <c r="C1317" s="331">
        <v>120</v>
      </c>
      <c r="D1317" s="332" t="s">
        <v>3134</v>
      </c>
      <c r="E1317" s="333">
        <v>375000</v>
      </c>
    </row>
    <row r="1318" spans="1:5" s="333" customFormat="1" ht="15" customHeight="1" x14ac:dyDescent="0.2">
      <c r="A1318" s="733" t="e">
        <f>#REF!</f>
        <v>#REF!</v>
      </c>
      <c r="B1318" s="334" t="s">
        <v>3135</v>
      </c>
      <c r="C1318" s="335"/>
      <c r="D1318" s="336" t="s">
        <v>3136</v>
      </c>
      <c r="E1318" s="333">
        <v>440000</v>
      </c>
    </row>
    <row r="1319" spans="1:5" s="333" customFormat="1" ht="15" customHeight="1" x14ac:dyDescent="0.2">
      <c r="A1319" s="733" t="e">
        <f t="shared" ref="A1319:A1335" si="67">A1318</f>
        <v>#REF!</v>
      </c>
      <c r="B1319" s="337" t="s">
        <v>3137</v>
      </c>
      <c r="C1319" s="338">
        <v>120</v>
      </c>
      <c r="D1319" s="221" t="s">
        <v>3138</v>
      </c>
      <c r="E1319" s="333">
        <v>337000</v>
      </c>
    </row>
    <row r="1320" spans="1:5" s="333" customFormat="1" ht="15" customHeight="1" x14ac:dyDescent="0.2">
      <c r="A1320" s="733" t="e">
        <f t="shared" si="67"/>
        <v>#REF!</v>
      </c>
      <c r="B1320" s="339" t="s">
        <v>3139</v>
      </c>
      <c r="C1320" s="335"/>
      <c r="D1320" s="93" t="s">
        <v>3140</v>
      </c>
      <c r="E1320" s="333">
        <v>350000</v>
      </c>
    </row>
    <row r="1321" spans="1:5" s="333" customFormat="1" ht="15" customHeight="1" x14ac:dyDescent="0.2">
      <c r="A1321" s="733" t="e">
        <f t="shared" si="67"/>
        <v>#REF!</v>
      </c>
      <c r="B1321" s="334"/>
      <c r="C1321" s="340"/>
      <c r="D1321" s="141" t="s">
        <v>3141</v>
      </c>
      <c r="E1321" s="333">
        <v>375000</v>
      </c>
    </row>
    <row r="1322" spans="1:5" s="333" customFormat="1" ht="15" customHeight="1" x14ac:dyDescent="0.2">
      <c r="A1322" s="733" t="e">
        <f t="shared" si="67"/>
        <v>#REF!</v>
      </c>
      <c r="B1322" s="337" t="s">
        <v>3133</v>
      </c>
      <c r="C1322" s="338">
        <v>210</v>
      </c>
      <c r="D1322" s="221" t="s">
        <v>3142</v>
      </c>
      <c r="E1322" s="333">
        <v>715000</v>
      </c>
    </row>
    <row r="1323" spans="1:5" s="333" customFormat="1" ht="15" customHeight="1" x14ac:dyDescent="0.2">
      <c r="A1323" s="733" t="e">
        <f>#REF!</f>
        <v>#REF!</v>
      </c>
      <c r="B1323" s="341" t="s">
        <v>3143</v>
      </c>
      <c r="C1323" s="340"/>
      <c r="D1323" s="141" t="s">
        <v>3144</v>
      </c>
      <c r="E1323" s="333">
        <v>845000</v>
      </c>
    </row>
    <row r="1324" spans="1:5" s="333" customFormat="1" ht="15" customHeight="1" x14ac:dyDescent="0.2">
      <c r="A1324" s="733"/>
      <c r="B1324" s="337" t="s">
        <v>3145</v>
      </c>
      <c r="C1324" s="338">
        <v>210</v>
      </c>
      <c r="D1324" s="221" t="s">
        <v>3146</v>
      </c>
      <c r="E1324" s="333">
        <v>675000</v>
      </c>
    </row>
    <row r="1325" spans="1:5" s="333" customFormat="1" ht="15" customHeight="1" x14ac:dyDescent="0.2">
      <c r="A1325" s="733"/>
      <c r="B1325" s="341" t="s">
        <v>3147</v>
      </c>
      <c r="C1325" s="340"/>
      <c r="D1325" s="141" t="s">
        <v>3148</v>
      </c>
      <c r="E1325" s="333">
        <v>725000</v>
      </c>
    </row>
    <row r="1326" spans="1:5" s="333" customFormat="1" ht="15" customHeight="1" x14ac:dyDescent="0.2">
      <c r="A1326" s="733"/>
      <c r="B1326" s="337" t="s">
        <v>3149</v>
      </c>
      <c r="C1326" s="338">
        <v>350</v>
      </c>
      <c r="D1326" s="221" t="s">
        <v>3150</v>
      </c>
      <c r="E1326" s="333">
        <v>1195000</v>
      </c>
    </row>
    <row r="1327" spans="1:5" s="333" customFormat="1" ht="15" customHeight="1" x14ac:dyDescent="0.2">
      <c r="A1327" s="733"/>
      <c r="B1327" s="341" t="s">
        <v>3147</v>
      </c>
      <c r="C1327" s="340"/>
      <c r="D1327" s="141" t="s">
        <v>3151</v>
      </c>
      <c r="E1327" s="333">
        <v>1400000</v>
      </c>
    </row>
    <row r="1328" spans="1:5" s="333" customFormat="1" ht="15" customHeight="1" x14ac:dyDescent="0.2">
      <c r="A1328" s="733"/>
      <c r="B1328" s="337" t="s">
        <v>3145</v>
      </c>
      <c r="C1328" s="338">
        <v>350</v>
      </c>
      <c r="D1328" s="221" t="s">
        <v>3152</v>
      </c>
      <c r="E1328" s="333">
        <v>1125000</v>
      </c>
    </row>
    <row r="1329" spans="1:5" s="333" customFormat="1" ht="15" customHeight="1" x14ac:dyDescent="0.2">
      <c r="A1329" s="733"/>
      <c r="B1329" s="341" t="s">
        <v>3147</v>
      </c>
      <c r="C1329" s="340"/>
      <c r="D1329" s="141" t="s">
        <v>3153</v>
      </c>
      <c r="E1329" s="333">
        <v>1200000</v>
      </c>
    </row>
    <row r="1330" spans="1:5" s="333" customFormat="1" ht="15" customHeight="1" x14ac:dyDescent="0.2">
      <c r="A1330" s="733" t="e">
        <f>#REF!</f>
        <v>#REF!</v>
      </c>
      <c r="B1330" s="342" t="s">
        <v>3133</v>
      </c>
      <c r="C1330" s="343">
        <v>120</v>
      </c>
      <c r="D1330" s="344" t="s">
        <v>3154</v>
      </c>
      <c r="E1330" s="333">
        <v>375000</v>
      </c>
    </row>
    <row r="1331" spans="1:5" s="333" customFormat="1" ht="15" customHeight="1" x14ac:dyDescent="0.2">
      <c r="A1331" s="733" t="e">
        <f t="shared" si="67"/>
        <v>#REF!</v>
      </c>
      <c r="B1331" s="345" t="s">
        <v>3155</v>
      </c>
      <c r="C1331" s="335"/>
      <c r="D1331" s="93" t="s">
        <v>3156</v>
      </c>
      <c r="E1331" s="333">
        <v>410000</v>
      </c>
    </row>
    <row r="1332" spans="1:5" s="333" customFormat="1" ht="15" customHeight="1" x14ac:dyDescent="0.2">
      <c r="A1332" s="733" t="e">
        <f t="shared" si="67"/>
        <v>#REF!</v>
      </c>
      <c r="B1332" s="345"/>
      <c r="C1332" s="335"/>
      <c r="D1332" s="93" t="s">
        <v>3157</v>
      </c>
      <c r="E1332" s="333">
        <v>440000</v>
      </c>
    </row>
    <row r="1333" spans="1:5" s="333" customFormat="1" ht="15" customHeight="1" x14ac:dyDescent="0.2">
      <c r="A1333" s="733" t="e">
        <f t="shared" si="67"/>
        <v>#REF!</v>
      </c>
      <c r="B1333" s="337" t="s">
        <v>3145</v>
      </c>
      <c r="C1333" s="338">
        <v>120</v>
      </c>
      <c r="D1333" s="221" t="s">
        <v>3158</v>
      </c>
      <c r="E1333" s="333">
        <v>337000</v>
      </c>
    </row>
    <row r="1334" spans="1:5" s="333" customFormat="1" ht="15" customHeight="1" x14ac:dyDescent="0.2">
      <c r="A1334" s="733" t="e">
        <f t="shared" si="67"/>
        <v>#REF!</v>
      </c>
      <c r="B1334" s="339" t="s">
        <v>3159</v>
      </c>
      <c r="C1334" s="335"/>
      <c r="D1334" s="93" t="s">
        <v>3160</v>
      </c>
      <c r="E1334" s="333">
        <v>350000</v>
      </c>
    </row>
    <row r="1335" spans="1:5" s="333" customFormat="1" ht="15" customHeight="1" x14ac:dyDescent="0.2">
      <c r="A1335" s="733" t="e">
        <f t="shared" si="67"/>
        <v>#REF!</v>
      </c>
      <c r="B1335" s="341"/>
      <c r="C1335" s="340"/>
      <c r="D1335" s="141" t="s">
        <v>3161</v>
      </c>
      <c r="E1335" s="333">
        <v>375000</v>
      </c>
    </row>
    <row r="1336" spans="1:5" s="333" customFormat="1" ht="15" customHeight="1" x14ac:dyDescent="0.2">
      <c r="A1336" s="733"/>
      <c r="B1336" s="337" t="s">
        <v>3149</v>
      </c>
      <c r="C1336" s="338">
        <v>210</v>
      </c>
      <c r="D1336" s="221" t="s">
        <v>3162</v>
      </c>
      <c r="E1336" s="333">
        <v>715000</v>
      </c>
    </row>
    <row r="1337" spans="1:5" s="333" customFormat="1" ht="15" customHeight="1" x14ac:dyDescent="0.2">
      <c r="A1337" s="733"/>
      <c r="B1337" s="339" t="s">
        <v>3163</v>
      </c>
      <c r="C1337" s="335"/>
      <c r="D1337" s="93" t="s">
        <v>3164</v>
      </c>
      <c r="E1337" s="333">
        <v>785000</v>
      </c>
    </row>
    <row r="1338" spans="1:5" s="333" customFormat="1" ht="15" customHeight="1" x14ac:dyDescent="0.2">
      <c r="A1338" s="733"/>
      <c r="B1338" s="341"/>
      <c r="C1338" s="340"/>
      <c r="D1338" s="141" t="s">
        <v>3165</v>
      </c>
      <c r="E1338" s="333">
        <v>845000</v>
      </c>
    </row>
    <row r="1339" spans="1:5" s="333" customFormat="1" ht="15" customHeight="1" x14ac:dyDescent="0.2">
      <c r="A1339" s="733"/>
      <c r="B1339" s="337" t="s">
        <v>3133</v>
      </c>
      <c r="C1339" s="338">
        <v>260</v>
      </c>
      <c r="D1339" s="221" t="s">
        <v>3166</v>
      </c>
      <c r="E1339" s="333">
        <v>805000</v>
      </c>
    </row>
    <row r="1340" spans="1:5" s="333" customFormat="1" ht="15" customHeight="1" x14ac:dyDescent="0.2">
      <c r="A1340" s="733"/>
      <c r="B1340" s="341" t="s">
        <v>3167</v>
      </c>
      <c r="C1340" s="340"/>
      <c r="D1340" s="141" t="s">
        <v>3168</v>
      </c>
      <c r="E1340" s="333">
        <v>955000</v>
      </c>
    </row>
    <row r="1341" spans="1:5" s="333" customFormat="1" ht="15" customHeight="1" x14ac:dyDescent="0.2">
      <c r="A1341" s="733"/>
      <c r="B1341" s="337" t="s">
        <v>3149</v>
      </c>
      <c r="C1341" s="338">
        <v>350</v>
      </c>
      <c r="D1341" s="221" t="s">
        <v>3169</v>
      </c>
      <c r="E1341" s="333">
        <v>1195000</v>
      </c>
    </row>
    <row r="1342" spans="1:5" s="333" customFormat="1" ht="15" customHeight="1" x14ac:dyDescent="0.2">
      <c r="A1342" s="733"/>
      <c r="B1342" s="339" t="s">
        <v>3163</v>
      </c>
      <c r="C1342" s="335"/>
      <c r="D1342" s="93" t="s">
        <v>3170</v>
      </c>
      <c r="E1342" s="333">
        <v>1310000</v>
      </c>
    </row>
    <row r="1343" spans="1:5" s="333" customFormat="1" ht="15" customHeight="1" x14ac:dyDescent="0.2">
      <c r="A1343" s="733"/>
      <c r="B1343" s="341"/>
      <c r="C1343" s="340"/>
      <c r="D1343" s="141" t="s">
        <v>3171</v>
      </c>
      <c r="E1343" s="333">
        <v>1400000</v>
      </c>
    </row>
    <row r="1344" spans="1:5" s="333" customFormat="1" ht="15" customHeight="1" x14ac:dyDescent="0.2">
      <c r="A1344" s="733" t="e">
        <f>A1335</f>
        <v>#REF!</v>
      </c>
      <c r="B1344" s="337" t="s">
        <v>3133</v>
      </c>
      <c r="C1344" s="338">
        <v>130</v>
      </c>
      <c r="D1344" s="221" t="s">
        <v>3172</v>
      </c>
      <c r="E1344" s="333">
        <v>460000</v>
      </c>
    </row>
    <row r="1345" spans="1:5" s="333" customFormat="1" ht="15" customHeight="1" x14ac:dyDescent="0.2">
      <c r="A1345" s="733"/>
      <c r="B1345" s="339" t="s">
        <v>3173</v>
      </c>
      <c r="C1345" s="335"/>
      <c r="D1345" s="93" t="s">
        <v>3174</v>
      </c>
      <c r="E1345" s="333">
        <v>510000</v>
      </c>
    </row>
    <row r="1346" spans="1:5" s="333" customFormat="1" ht="15" customHeight="1" x14ac:dyDescent="0.2">
      <c r="A1346" s="733" t="e">
        <f>#REF!</f>
        <v>#REF!</v>
      </c>
      <c r="B1346" s="341"/>
      <c r="C1346" s="340"/>
      <c r="D1346" s="141" t="s">
        <v>3175</v>
      </c>
      <c r="E1346" s="333">
        <v>545000</v>
      </c>
    </row>
    <row r="1347" spans="1:5" s="333" customFormat="1" ht="15" customHeight="1" x14ac:dyDescent="0.2">
      <c r="A1347" s="733"/>
      <c r="B1347" s="339" t="s">
        <v>3149</v>
      </c>
      <c r="C1347" s="335">
        <v>120</v>
      </c>
      <c r="D1347" s="93" t="s">
        <v>3176</v>
      </c>
      <c r="E1347" s="333">
        <v>396000</v>
      </c>
    </row>
    <row r="1348" spans="1:5" s="333" customFormat="1" ht="15" customHeight="1" x14ac:dyDescent="0.2">
      <c r="A1348" s="733"/>
      <c r="B1348" s="339" t="s">
        <v>3177</v>
      </c>
      <c r="C1348" s="335"/>
      <c r="D1348" s="93" t="s">
        <v>3178</v>
      </c>
      <c r="E1348" s="333">
        <v>440000</v>
      </c>
    </row>
    <row r="1349" spans="1:5" s="333" customFormat="1" ht="15" customHeight="1" x14ac:dyDescent="0.2">
      <c r="A1349" s="733"/>
      <c r="B1349" s="337" t="s">
        <v>3149</v>
      </c>
      <c r="C1349" s="338">
        <v>120</v>
      </c>
      <c r="D1349" s="221" t="s">
        <v>3179</v>
      </c>
      <c r="E1349" s="333">
        <v>375000</v>
      </c>
    </row>
    <row r="1350" spans="1:5" s="333" customFormat="1" ht="15" customHeight="1" x14ac:dyDescent="0.2">
      <c r="A1350" s="733"/>
      <c r="B1350" s="339" t="s">
        <v>3180</v>
      </c>
      <c r="C1350" s="335"/>
      <c r="D1350" s="93" t="s">
        <v>3181</v>
      </c>
      <c r="E1350" s="333">
        <v>410000</v>
      </c>
    </row>
    <row r="1351" spans="1:5" s="333" customFormat="1" ht="15" customHeight="1" x14ac:dyDescent="0.2">
      <c r="A1351" s="733"/>
      <c r="B1351" s="341"/>
      <c r="C1351" s="340"/>
      <c r="D1351" s="141" t="s">
        <v>3182</v>
      </c>
      <c r="E1351" s="333">
        <v>440000</v>
      </c>
    </row>
    <row r="1352" spans="1:5" s="333" customFormat="1" ht="15" customHeight="1" x14ac:dyDescent="0.2">
      <c r="A1352" s="733"/>
      <c r="B1352" s="337" t="s">
        <v>3145</v>
      </c>
      <c r="C1352" s="338">
        <v>120</v>
      </c>
      <c r="D1352" s="221" t="s">
        <v>3183</v>
      </c>
      <c r="E1352" s="333">
        <v>337000</v>
      </c>
    </row>
    <row r="1353" spans="1:5" s="333" customFormat="1" ht="15" customHeight="1" x14ac:dyDescent="0.2">
      <c r="A1353" s="733"/>
      <c r="B1353" s="339" t="s">
        <v>3180</v>
      </c>
      <c r="C1353" s="335"/>
      <c r="D1353" s="93" t="s">
        <v>3184</v>
      </c>
      <c r="E1353" s="333">
        <v>350000</v>
      </c>
    </row>
    <row r="1354" spans="1:5" s="333" customFormat="1" ht="15" customHeight="1" x14ac:dyDescent="0.2">
      <c r="A1354" s="733"/>
      <c r="B1354" s="341"/>
      <c r="C1354" s="340"/>
      <c r="D1354" s="141" t="s">
        <v>3185</v>
      </c>
      <c r="E1354" s="333">
        <v>375000</v>
      </c>
    </row>
    <row r="1355" spans="1:5" s="333" customFormat="1" ht="15" customHeight="1" x14ac:dyDescent="0.2">
      <c r="A1355" s="733"/>
      <c r="B1355" s="337" t="s">
        <v>3149</v>
      </c>
      <c r="C1355" s="338">
        <v>120</v>
      </c>
      <c r="D1355" s="221" t="s">
        <v>3186</v>
      </c>
      <c r="E1355" s="333">
        <v>375000</v>
      </c>
    </row>
    <row r="1356" spans="1:5" s="333" customFormat="1" ht="15" customHeight="1" x14ac:dyDescent="0.2">
      <c r="A1356" s="733"/>
      <c r="B1356" s="341" t="s">
        <v>3187</v>
      </c>
      <c r="C1356" s="340"/>
      <c r="D1356" s="141" t="s">
        <v>3188</v>
      </c>
      <c r="E1356" s="333">
        <v>440000</v>
      </c>
    </row>
    <row r="1357" spans="1:5" s="333" customFormat="1" ht="15" customHeight="1" x14ac:dyDescent="0.2">
      <c r="A1357" s="733"/>
      <c r="B1357" s="345" t="s">
        <v>3145</v>
      </c>
      <c r="C1357" s="335">
        <v>120</v>
      </c>
      <c r="D1357" s="93" t="s">
        <v>3189</v>
      </c>
      <c r="E1357" s="333">
        <v>350000</v>
      </c>
    </row>
    <row r="1358" spans="1:5" s="333" customFormat="1" ht="15" customHeight="1" x14ac:dyDescent="0.2">
      <c r="A1358" s="734" t="e">
        <f>A1346</f>
        <v>#REF!</v>
      </c>
      <c r="B1358" s="346" t="s">
        <v>3190</v>
      </c>
      <c r="C1358" s="347"/>
      <c r="D1358" s="348" t="s">
        <v>3191</v>
      </c>
      <c r="E1358" s="333">
        <v>375000</v>
      </c>
    </row>
    <row r="1359" spans="1:5" ht="15" customHeight="1" x14ac:dyDescent="0.2">
      <c r="A1359" s="735" t="s">
        <v>3192</v>
      </c>
      <c r="B1359" s="349" t="s">
        <v>2837</v>
      </c>
      <c r="C1359" s="350">
        <v>70</v>
      </c>
      <c r="D1359" s="318" t="s">
        <v>3193</v>
      </c>
      <c r="E1359" s="89">
        <v>72500</v>
      </c>
    </row>
    <row r="1360" spans="1:5" ht="15" customHeight="1" x14ac:dyDescent="0.2">
      <c r="A1360" s="685" t="str">
        <f t="shared" ref="A1360:A1374" si="68">A1359</f>
        <v>싸이클러스*
(CYC)</v>
      </c>
      <c r="B1360" s="232" t="s">
        <v>2826</v>
      </c>
      <c r="C1360" s="143">
        <v>80</v>
      </c>
      <c r="D1360" s="109" t="s">
        <v>3194</v>
      </c>
      <c r="E1360" s="89">
        <v>100000</v>
      </c>
    </row>
    <row r="1361" spans="1:5" ht="15" customHeight="1" x14ac:dyDescent="0.2">
      <c r="A1361" s="685" t="str">
        <f t="shared" si="68"/>
        <v>싸이클러스*
(CYC)</v>
      </c>
      <c r="B1361" s="232" t="s">
        <v>2826</v>
      </c>
      <c r="C1361" s="243">
        <v>100</v>
      </c>
      <c r="D1361" s="98"/>
      <c r="E1361" s="89">
        <v>125000</v>
      </c>
    </row>
    <row r="1362" spans="1:5" ht="15" customHeight="1" x14ac:dyDescent="0.2">
      <c r="A1362" s="685" t="str">
        <f t="shared" si="68"/>
        <v>싸이클러스*
(CYC)</v>
      </c>
      <c r="B1362" s="232" t="s">
        <v>2826</v>
      </c>
      <c r="C1362" s="243">
        <v>140</v>
      </c>
      <c r="D1362" s="98"/>
      <c r="E1362" s="89">
        <v>175000</v>
      </c>
    </row>
    <row r="1363" spans="1:5" ht="15" customHeight="1" x14ac:dyDescent="0.2">
      <c r="A1363" s="685" t="str">
        <f t="shared" si="68"/>
        <v>싸이클러스*
(CYC)</v>
      </c>
      <c r="B1363" s="232" t="s">
        <v>2826</v>
      </c>
      <c r="C1363" s="243">
        <v>170</v>
      </c>
      <c r="D1363" s="98"/>
      <c r="E1363" s="89">
        <v>215000</v>
      </c>
    </row>
    <row r="1364" spans="1:5" ht="15" customHeight="1" x14ac:dyDescent="0.2">
      <c r="A1364" s="685" t="str">
        <f t="shared" si="68"/>
        <v>싸이클러스*
(CYC)</v>
      </c>
      <c r="B1364" s="232" t="s">
        <v>2826</v>
      </c>
      <c r="C1364" s="243">
        <v>200</v>
      </c>
      <c r="D1364" s="98"/>
      <c r="E1364" s="89">
        <v>257500</v>
      </c>
    </row>
    <row r="1365" spans="1:5" ht="15" customHeight="1" x14ac:dyDescent="0.2">
      <c r="A1365" s="685" t="str">
        <f t="shared" si="68"/>
        <v>싸이클러스*
(CYC)</v>
      </c>
      <c r="B1365" s="232" t="s">
        <v>2826</v>
      </c>
      <c r="C1365" s="243">
        <v>250</v>
      </c>
      <c r="D1365" s="98"/>
      <c r="E1365" s="89">
        <v>320000</v>
      </c>
    </row>
    <row r="1366" spans="1:5" ht="15" customHeight="1" x14ac:dyDescent="0.2">
      <c r="A1366" s="685" t="str">
        <f t="shared" si="68"/>
        <v>싸이클러스*
(CYC)</v>
      </c>
      <c r="B1366" s="232" t="s">
        <v>2826</v>
      </c>
      <c r="C1366" s="144">
        <v>300</v>
      </c>
      <c r="D1366" s="105"/>
      <c r="E1366" s="89">
        <v>390000</v>
      </c>
    </row>
    <row r="1367" spans="1:5" ht="15" customHeight="1" x14ac:dyDescent="0.2">
      <c r="A1367" s="685" t="str">
        <f t="shared" si="68"/>
        <v>싸이클러스*
(CYC)</v>
      </c>
      <c r="B1367" s="232" t="s">
        <v>2490</v>
      </c>
      <c r="C1367" s="143">
        <v>80</v>
      </c>
      <c r="D1367" s="109" t="s">
        <v>3194</v>
      </c>
      <c r="E1367" s="89">
        <v>70000</v>
      </c>
    </row>
    <row r="1368" spans="1:5" ht="15" customHeight="1" x14ac:dyDescent="0.2">
      <c r="A1368" s="685" t="str">
        <f t="shared" si="68"/>
        <v>싸이클러스*
(CYC)</v>
      </c>
      <c r="B1368" s="232" t="s">
        <v>2490</v>
      </c>
      <c r="C1368" s="243">
        <v>90</v>
      </c>
      <c r="D1368" s="98"/>
      <c r="E1368" s="89">
        <v>77500</v>
      </c>
    </row>
    <row r="1369" spans="1:5" ht="15" customHeight="1" x14ac:dyDescent="0.2">
      <c r="A1369" s="685" t="str">
        <f t="shared" si="68"/>
        <v>싸이클러스*
(CYC)</v>
      </c>
      <c r="B1369" s="232" t="s">
        <v>2490</v>
      </c>
      <c r="C1369" s="243">
        <v>100</v>
      </c>
      <c r="D1369" s="98"/>
      <c r="E1369" s="89">
        <v>87500</v>
      </c>
    </row>
    <row r="1370" spans="1:5" ht="15" customHeight="1" x14ac:dyDescent="0.2">
      <c r="A1370" s="685" t="str">
        <f t="shared" si="68"/>
        <v>싸이클러스*
(CYC)</v>
      </c>
      <c r="B1370" s="232" t="s">
        <v>2490</v>
      </c>
      <c r="C1370" s="243">
        <v>140</v>
      </c>
      <c r="D1370" s="98"/>
      <c r="E1370" s="89">
        <v>120000</v>
      </c>
    </row>
    <row r="1371" spans="1:5" ht="15" customHeight="1" x14ac:dyDescent="0.2">
      <c r="A1371" s="685" t="str">
        <f t="shared" si="68"/>
        <v>싸이클러스*
(CYC)</v>
      </c>
      <c r="B1371" s="232" t="s">
        <v>2490</v>
      </c>
      <c r="C1371" s="243">
        <v>170</v>
      </c>
      <c r="D1371" s="98"/>
      <c r="E1371" s="89">
        <v>150000</v>
      </c>
    </row>
    <row r="1372" spans="1:5" ht="15" customHeight="1" x14ac:dyDescent="0.2">
      <c r="A1372" s="685" t="str">
        <f t="shared" si="68"/>
        <v>싸이클러스*
(CYC)</v>
      </c>
      <c r="B1372" s="232" t="s">
        <v>2490</v>
      </c>
      <c r="C1372" s="243">
        <v>200</v>
      </c>
      <c r="D1372" s="98"/>
      <c r="E1372" s="89">
        <v>177500</v>
      </c>
    </row>
    <row r="1373" spans="1:5" ht="15" customHeight="1" x14ac:dyDescent="0.2">
      <c r="A1373" s="685" t="str">
        <f t="shared" si="68"/>
        <v>싸이클러스*
(CYC)</v>
      </c>
      <c r="B1373" s="232" t="s">
        <v>2490</v>
      </c>
      <c r="C1373" s="243">
        <v>250</v>
      </c>
      <c r="D1373" s="98"/>
      <c r="E1373" s="89">
        <v>220000</v>
      </c>
    </row>
    <row r="1374" spans="1:5" ht="15" customHeight="1" x14ac:dyDescent="0.2">
      <c r="A1374" s="688" t="str">
        <f t="shared" si="68"/>
        <v>싸이클러스*
(CYC)</v>
      </c>
      <c r="B1374" s="232" t="s">
        <v>2490</v>
      </c>
      <c r="C1374" s="229">
        <v>300</v>
      </c>
      <c r="D1374" s="107"/>
      <c r="E1374" s="89">
        <v>275000</v>
      </c>
    </row>
    <row r="1375" spans="1:5" ht="15" customHeight="1" x14ac:dyDescent="0.2">
      <c r="A1375" s="688" t="s">
        <v>3195</v>
      </c>
      <c r="B1375" s="276" t="s">
        <v>2986</v>
      </c>
      <c r="C1375" s="91">
        <v>100</v>
      </c>
      <c r="D1375" s="98" t="s">
        <v>3196</v>
      </c>
      <c r="E1375" s="89">
        <v>189000</v>
      </c>
    </row>
    <row r="1376" spans="1:5" ht="15" customHeight="1" x14ac:dyDescent="0.2">
      <c r="A1376" s="688" t="str">
        <f t="shared" ref="A1376:A1382" si="69">A1375</f>
        <v>썬샤인
(SUN)</v>
      </c>
      <c r="B1376" s="276" t="s">
        <v>2986</v>
      </c>
      <c r="C1376" s="91">
        <v>115</v>
      </c>
      <c r="D1376" s="98"/>
      <c r="E1376" s="89">
        <v>216000</v>
      </c>
    </row>
    <row r="1377" spans="1:5" ht="15" customHeight="1" x14ac:dyDescent="0.2">
      <c r="A1377" s="688" t="str">
        <f t="shared" si="69"/>
        <v>썬샤인
(SUN)</v>
      </c>
      <c r="B1377" s="276" t="s">
        <v>2986</v>
      </c>
      <c r="C1377" s="91">
        <v>160</v>
      </c>
      <c r="D1377" s="98"/>
      <c r="E1377" s="89">
        <v>302000</v>
      </c>
    </row>
    <row r="1378" spans="1:5" ht="15" customHeight="1" x14ac:dyDescent="0.2">
      <c r="A1378" s="688" t="str">
        <f t="shared" si="69"/>
        <v>썬샤인
(SUN)</v>
      </c>
      <c r="B1378" s="276" t="s">
        <v>2986</v>
      </c>
      <c r="C1378" s="91">
        <v>190</v>
      </c>
      <c r="D1378" s="98"/>
      <c r="E1378" s="89">
        <v>359000</v>
      </c>
    </row>
    <row r="1379" spans="1:5" ht="15" customHeight="1" x14ac:dyDescent="0.2">
      <c r="A1379" s="688" t="str">
        <f t="shared" si="69"/>
        <v>썬샤인
(SUN)</v>
      </c>
      <c r="B1379" s="276" t="s">
        <v>2986</v>
      </c>
      <c r="C1379" s="91">
        <v>230</v>
      </c>
      <c r="D1379" s="98"/>
      <c r="E1379" s="89">
        <v>435000</v>
      </c>
    </row>
    <row r="1380" spans="1:5" ht="15" customHeight="1" x14ac:dyDescent="0.2">
      <c r="A1380" s="688" t="str">
        <f t="shared" si="69"/>
        <v>썬샤인
(SUN)</v>
      </c>
      <c r="B1380" s="276" t="s">
        <v>2986</v>
      </c>
      <c r="C1380" s="91">
        <v>270</v>
      </c>
      <c r="D1380" s="98"/>
      <c r="E1380" s="89">
        <v>510000</v>
      </c>
    </row>
    <row r="1381" spans="1:5" ht="15" customHeight="1" x14ac:dyDescent="0.2">
      <c r="A1381" s="688" t="str">
        <f t="shared" si="69"/>
        <v>썬샤인
(SUN)</v>
      </c>
      <c r="B1381" s="276" t="s">
        <v>2986</v>
      </c>
      <c r="C1381" s="91">
        <v>300</v>
      </c>
      <c r="D1381" s="98"/>
      <c r="E1381" s="89">
        <v>565000</v>
      </c>
    </row>
    <row r="1382" spans="1:5" ht="15" customHeight="1" x14ac:dyDescent="0.2">
      <c r="A1382" s="688" t="str">
        <f t="shared" si="69"/>
        <v>썬샤인
(SUN)</v>
      </c>
      <c r="B1382" s="276" t="s">
        <v>2986</v>
      </c>
      <c r="C1382" s="106">
        <v>340</v>
      </c>
      <c r="D1382" s="107"/>
      <c r="E1382" s="89">
        <v>640000</v>
      </c>
    </row>
    <row r="1383" spans="1:5" ht="15" customHeight="1" x14ac:dyDescent="0.2">
      <c r="A1383" s="736" t="s">
        <v>3197</v>
      </c>
      <c r="B1383" s="276" t="s">
        <v>1872</v>
      </c>
      <c r="C1383" s="277">
        <v>115</v>
      </c>
      <c r="D1383" s="278" t="s">
        <v>3198</v>
      </c>
      <c r="E1383" s="89">
        <v>360000</v>
      </c>
    </row>
    <row r="1384" spans="1:5" ht="15" customHeight="1" x14ac:dyDescent="0.2">
      <c r="A1384" s="736" t="str">
        <f>A1383</f>
        <v>시리오(SI)</v>
      </c>
      <c r="B1384" s="276" t="s">
        <v>1872</v>
      </c>
      <c r="C1384" s="106">
        <v>210</v>
      </c>
      <c r="D1384" s="107" t="s">
        <v>3198</v>
      </c>
      <c r="E1384" s="89">
        <v>660000</v>
      </c>
    </row>
    <row r="1385" spans="1:5" ht="15" customHeight="1" x14ac:dyDescent="0.2">
      <c r="A1385" s="735" t="s">
        <v>3199</v>
      </c>
      <c r="B1385" s="276" t="s">
        <v>1857</v>
      </c>
      <c r="C1385" s="277">
        <v>230</v>
      </c>
      <c r="D1385" s="314">
        <v>1</v>
      </c>
      <c r="E1385" s="89">
        <v>845000</v>
      </c>
    </row>
    <row r="1386" spans="1:5" ht="15" customHeight="1" x14ac:dyDescent="0.2">
      <c r="A1386" s="735" t="str">
        <f t="shared" ref="A1386:A1395" si="70">A1385</f>
        <v>시리오펄*
(SIP)
FSC: 일부제품</v>
      </c>
      <c r="B1386" s="276" t="s">
        <v>1857</v>
      </c>
      <c r="C1386" s="91"/>
      <c r="D1386" s="92" t="s">
        <v>3200</v>
      </c>
      <c r="E1386" s="89">
        <v>745000</v>
      </c>
    </row>
    <row r="1387" spans="1:5" ht="15" customHeight="1" x14ac:dyDescent="0.2">
      <c r="A1387" s="735" t="str">
        <f t="shared" si="70"/>
        <v>시리오펄*
(SIP)
FSC: 일부제품</v>
      </c>
      <c r="B1387" s="276" t="s">
        <v>1857</v>
      </c>
      <c r="C1387" s="91"/>
      <c r="D1387" s="92">
        <v>7</v>
      </c>
      <c r="E1387" s="89">
        <v>705000</v>
      </c>
    </row>
    <row r="1388" spans="1:5" ht="15" customHeight="1" x14ac:dyDescent="0.2">
      <c r="A1388" s="735" t="str">
        <f t="shared" si="70"/>
        <v>시리오펄*
(SIP)
FSC: 일부제품</v>
      </c>
      <c r="B1388" s="276" t="s">
        <v>1857</v>
      </c>
      <c r="C1388" s="99"/>
      <c r="D1388" s="100" t="s">
        <v>3201</v>
      </c>
      <c r="E1388" s="89">
        <v>745000</v>
      </c>
    </row>
    <row r="1389" spans="1:5" ht="15" customHeight="1" x14ac:dyDescent="0.2">
      <c r="A1389" s="735" t="str">
        <f t="shared" si="70"/>
        <v>시리오펄*
(SIP)
FSC: 일부제품</v>
      </c>
      <c r="B1389" s="90" t="s">
        <v>3202</v>
      </c>
      <c r="C1389" s="91">
        <v>110</v>
      </c>
      <c r="D1389" s="351" t="s">
        <v>2491</v>
      </c>
      <c r="E1389" s="89">
        <v>325000</v>
      </c>
    </row>
    <row r="1390" spans="1:5" ht="15" customHeight="1" x14ac:dyDescent="0.2">
      <c r="A1390" s="735" t="str">
        <f t="shared" si="70"/>
        <v>시리오펄*
(SIP)
FSC: 일부제품</v>
      </c>
      <c r="B1390" s="90" t="s">
        <v>3202</v>
      </c>
      <c r="C1390" s="91"/>
      <c r="D1390" s="92" t="s">
        <v>3203</v>
      </c>
      <c r="E1390" s="89">
        <v>260000</v>
      </c>
    </row>
    <row r="1391" spans="1:5" ht="15" customHeight="1" x14ac:dyDescent="0.2">
      <c r="A1391" s="735" t="str">
        <f t="shared" si="70"/>
        <v>시리오펄*
(SIP)
FSC: 일부제품</v>
      </c>
      <c r="B1391" s="90" t="s">
        <v>3202</v>
      </c>
      <c r="C1391" s="91">
        <v>230</v>
      </c>
      <c r="D1391" s="351" t="s">
        <v>3204</v>
      </c>
      <c r="E1391" s="89">
        <v>545000</v>
      </c>
    </row>
    <row r="1392" spans="1:5" ht="15" customHeight="1" x14ac:dyDescent="0.2">
      <c r="A1392" s="735" t="str">
        <f t="shared" si="70"/>
        <v>시리오펄*
(SIP)
FSC: 일부제품</v>
      </c>
      <c r="B1392" s="90" t="s">
        <v>3202</v>
      </c>
      <c r="C1392" s="91">
        <v>300</v>
      </c>
      <c r="D1392" s="351" t="s">
        <v>3205</v>
      </c>
      <c r="E1392" s="89">
        <v>700000</v>
      </c>
    </row>
    <row r="1393" spans="1:5" ht="15" customHeight="1" x14ac:dyDescent="0.2">
      <c r="A1393" s="735" t="str">
        <f t="shared" si="70"/>
        <v>시리오펄*
(SIP)
FSC: 일부제품</v>
      </c>
      <c r="B1393" s="90" t="s">
        <v>3202</v>
      </c>
      <c r="C1393" s="99">
        <v>350</v>
      </c>
      <c r="D1393" s="352" t="s">
        <v>3206</v>
      </c>
      <c r="E1393" s="89">
        <v>820000</v>
      </c>
    </row>
    <row r="1394" spans="1:5" ht="15" customHeight="1" x14ac:dyDescent="0.2">
      <c r="A1394" s="735" t="str">
        <f t="shared" si="70"/>
        <v>시리오펄*
(SIP)
FSC: 일부제품</v>
      </c>
      <c r="B1394" s="90" t="s">
        <v>2837</v>
      </c>
      <c r="C1394" s="91">
        <v>480</v>
      </c>
      <c r="D1394" s="98" t="s">
        <v>3207</v>
      </c>
      <c r="E1394" s="89">
        <v>1390000</v>
      </c>
    </row>
    <row r="1395" spans="1:5" ht="15" customHeight="1" x14ac:dyDescent="0.2">
      <c r="A1395" s="735" t="str">
        <f t="shared" si="70"/>
        <v>시리오펄*
(SIP)
FSC: 일부제품</v>
      </c>
      <c r="B1395" s="90" t="s">
        <v>2837</v>
      </c>
      <c r="C1395" s="106">
        <v>700</v>
      </c>
      <c r="D1395" s="98" t="s">
        <v>3208</v>
      </c>
      <c r="E1395" s="89">
        <v>2030000</v>
      </c>
    </row>
    <row r="1396" spans="1:5" ht="15" customHeight="1" x14ac:dyDescent="0.2">
      <c r="A1396" s="731" t="s">
        <v>3209</v>
      </c>
      <c r="B1396" s="289" t="s">
        <v>2826</v>
      </c>
      <c r="C1396" s="353">
        <v>125</v>
      </c>
      <c r="D1396" s="354" t="s">
        <v>3210</v>
      </c>
      <c r="E1396" s="89">
        <v>465000</v>
      </c>
    </row>
    <row r="1397" spans="1:5" ht="15" customHeight="1" x14ac:dyDescent="0.2">
      <c r="A1397" s="685" t="str">
        <f t="shared" ref="A1397:A1415" si="71">A1396</f>
        <v>시리오펄
(SIP2)</v>
      </c>
      <c r="B1397" s="289" t="s">
        <v>2826</v>
      </c>
      <c r="C1397" s="355">
        <v>230</v>
      </c>
      <c r="D1397" s="356" t="s">
        <v>3211</v>
      </c>
      <c r="E1397" s="89">
        <v>865000</v>
      </c>
    </row>
    <row r="1398" spans="1:5" ht="15" customHeight="1" x14ac:dyDescent="0.2">
      <c r="A1398" s="685" t="str">
        <f t="shared" si="71"/>
        <v>시리오펄
(SIP2)</v>
      </c>
      <c r="B1398" s="289" t="s">
        <v>2826</v>
      </c>
      <c r="C1398" s="357" t="s">
        <v>1868</v>
      </c>
      <c r="D1398" s="358" t="s">
        <v>3212</v>
      </c>
      <c r="E1398" s="89">
        <v>1085000</v>
      </c>
    </row>
    <row r="1399" spans="1:5" ht="15" customHeight="1" x14ac:dyDescent="0.2">
      <c r="A1399" s="685" t="str">
        <f t="shared" si="71"/>
        <v>시리오펄
(SIP2)</v>
      </c>
      <c r="B1399" s="289" t="s">
        <v>2826</v>
      </c>
      <c r="C1399" s="359">
        <v>300</v>
      </c>
      <c r="D1399" s="360" t="s">
        <v>1893</v>
      </c>
      <c r="E1399" s="89">
        <v>1125000</v>
      </c>
    </row>
    <row r="1400" spans="1:5" ht="15" customHeight="1" x14ac:dyDescent="0.2">
      <c r="A1400" s="685" t="str">
        <f t="shared" si="71"/>
        <v>시리오펄
(SIP2)</v>
      </c>
      <c r="B1400" s="289" t="s">
        <v>2826</v>
      </c>
      <c r="C1400" s="355">
        <v>350</v>
      </c>
      <c r="D1400" s="356" t="s">
        <v>3082</v>
      </c>
      <c r="E1400" s="89">
        <v>1315000</v>
      </c>
    </row>
    <row r="1401" spans="1:5" ht="15" customHeight="1" x14ac:dyDescent="0.2">
      <c r="A1401" s="685" t="str">
        <f t="shared" si="71"/>
        <v>시리오펄
(SIP2)</v>
      </c>
      <c r="B1401" s="152" t="s">
        <v>2010</v>
      </c>
      <c r="C1401" s="361">
        <v>125</v>
      </c>
      <c r="D1401" s="362" t="s">
        <v>3213</v>
      </c>
      <c r="E1401" s="89">
        <v>475000</v>
      </c>
    </row>
    <row r="1402" spans="1:5" ht="15" customHeight="1" x14ac:dyDescent="0.2">
      <c r="A1402" s="685" t="str">
        <f t="shared" si="71"/>
        <v>시리오펄
(SIP2)</v>
      </c>
      <c r="B1402" s="152" t="s">
        <v>2010</v>
      </c>
      <c r="C1402" s="357" t="s">
        <v>1868</v>
      </c>
      <c r="D1402" s="358" t="s">
        <v>3214</v>
      </c>
      <c r="E1402" s="89">
        <v>590000</v>
      </c>
    </row>
    <row r="1403" spans="1:5" ht="15" customHeight="1" x14ac:dyDescent="0.2">
      <c r="A1403" s="685" t="str">
        <f t="shared" si="71"/>
        <v>시리오펄
(SIP2)</v>
      </c>
      <c r="B1403" s="152" t="s">
        <v>2010</v>
      </c>
      <c r="C1403" s="363">
        <v>230</v>
      </c>
      <c r="D1403" s="364" t="s">
        <v>3215</v>
      </c>
      <c r="E1403" s="89">
        <v>915000</v>
      </c>
    </row>
    <row r="1404" spans="1:5" ht="15" customHeight="1" x14ac:dyDescent="0.2">
      <c r="A1404" s="685" t="str">
        <f t="shared" si="71"/>
        <v>시리오펄
(SIP2)</v>
      </c>
      <c r="B1404" s="152" t="s">
        <v>2010</v>
      </c>
      <c r="C1404" s="363">
        <v>300</v>
      </c>
      <c r="D1404" s="364" t="s">
        <v>2654</v>
      </c>
      <c r="E1404" s="89">
        <v>1415000</v>
      </c>
    </row>
    <row r="1405" spans="1:5" ht="15" customHeight="1" x14ac:dyDescent="0.2">
      <c r="A1405" s="685" t="str">
        <f t="shared" si="71"/>
        <v>시리오펄
(SIP2)</v>
      </c>
      <c r="B1405" s="152" t="s">
        <v>2010</v>
      </c>
      <c r="C1405" s="359">
        <v>350</v>
      </c>
      <c r="D1405" s="360" t="s">
        <v>3216</v>
      </c>
      <c r="E1405" s="89">
        <v>1650000</v>
      </c>
    </row>
    <row r="1406" spans="1:5" ht="15" customHeight="1" x14ac:dyDescent="0.2">
      <c r="A1406" s="685" t="str">
        <f t="shared" si="71"/>
        <v>시리오펄
(SIP2)</v>
      </c>
      <c r="B1406" s="152" t="s">
        <v>2399</v>
      </c>
      <c r="C1406" s="361">
        <v>125</v>
      </c>
      <c r="D1406" s="362" t="s">
        <v>3217</v>
      </c>
      <c r="E1406" s="89">
        <v>400000</v>
      </c>
    </row>
    <row r="1407" spans="1:5" ht="15" customHeight="1" x14ac:dyDescent="0.2">
      <c r="A1407" s="685" t="str">
        <f t="shared" si="71"/>
        <v>시리오펄
(SIP2)</v>
      </c>
      <c r="B1407" s="152" t="s">
        <v>2399</v>
      </c>
      <c r="C1407" s="359" t="s">
        <v>1868</v>
      </c>
      <c r="D1407" s="360" t="s">
        <v>3218</v>
      </c>
      <c r="E1407" s="89">
        <v>445000</v>
      </c>
    </row>
    <row r="1408" spans="1:5" ht="15" customHeight="1" x14ac:dyDescent="0.2">
      <c r="A1408" s="685"/>
      <c r="B1408" s="152" t="s">
        <v>2399</v>
      </c>
      <c r="C1408" s="359"/>
      <c r="D1408" s="360" t="s">
        <v>3219</v>
      </c>
      <c r="E1408" s="89">
        <v>405000</v>
      </c>
    </row>
    <row r="1409" spans="1:5" ht="15" customHeight="1" x14ac:dyDescent="0.2">
      <c r="A1409" s="685"/>
      <c r="B1409" s="152" t="s">
        <v>2399</v>
      </c>
      <c r="C1409" s="359"/>
      <c r="D1409" s="360" t="s">
        <v>3220</v>
      </c>
      <c r="E1409" s="89">
        <v>460000</v>
      </c>
    </row>
    <row r="1410" spans="1:5" ht="15" customHeight="1" x14ac:dyDescent="0.2">
      <c r="A1410" s="685" t="str">
        <f>A1407</f>
        <v>시리오펄
(SIP2)</v>
      </c>
      <c r="B1410" s="152" t="s">
        <v>2399</v>
      </c>
      <c r="C1410" s="359" t="s">
        <v>1868</v>
      </c>
      <c r="D1410" s="360" t="s">
        <v>3221</v>
      </c>
      <c r="E1410" s="89">
        <v>505000</v>
      </c>
    </row>
    <row r="1411" spans="1:5" ht="15" customHeight="1" x14ac:dyDescent="0.2">
      <c r="A1411" s="685" t="str">
        <f t="shared" si="71"/>
        <v>시리오펄
(SIP2)</v>
      </c>
      <c r="B1411" s="152" t="s">
        <v>2399</v>
      </c>
      <c r="C1411" s="355">
        <v>230</v>
      </c>
      <c r="D1411" s="356" t="s">
        <v>3222</v>
      </c>
      <c r="E1411" s="89">
        <v>780000</v>
      </c>
    </row>
    <row r="1412" spans="1:5" ht="15" customHeight="1" x14ac:dyDescent="0.2">
      <c r="A1412" s="685"/>
      <c r="B1412" s="152" t="s">
        <v>2399</v>
      </c>
      <c r="C1412" s="359"/>
      <c r="D1412" s="360" t="s">
        <v>3223</v>
      </c>
      <c r="E1412" s="89">
        <v>880000</v>
      </c>
    </row>
    <row r="1413" spans="1:5" ht="15" customHeight="1" x14ac:dyDescent="0.2">
      <c r="A1413" s="685" t="str">
        <f>A1411</f>
        <v>시리오펄
(SIP2)</v>
      </c>
      <c r="B1413" s="152" t="s">
        <v>2399</v>
      </c>
      <c r="C1413" s="357" t="s">
        <v>1868</v>
      </c>
      <c r="D1413" s="358" t="s">
        <v>3224</v>
      </c>
      <c r="E1413" s="89">
        <v>925000</v>
      </c>
    </row>
    <row r="1414" spans="1:5" ht="15" customHeight="1" x14ac:dyDescent="0.2">
      <c r="A1414" s="685" t="str">
        <f t="shared" si="71"/>
        <v>시리오펄
(SIP2)</v>
      </c>
      <c r="B1414" s="152" t="s">
        <v>2399</v>
      </c>
      <c r="C1414" s="359">
        <v>300</v>
      </c>
      <c r="D1414" s="360" t="s">
        <v>3225</v>
      </c>
      <c r="E1414" s="89">
        <v>960000</v>
      </c>
    </row>
    <row r="1415" spans="1:5" ht="15" customHeight="1" x14ac:dyDescent="0.2">
      <c r="A1415" s="678" t="str">
        <f t="shared" si="71"/>
        <v>시리오펄
(SIP2)</v>
      </c>
      <c r="B1415" s="152" t="s">
        <v>2399</v>
      </c>
      <c r="C1415" s="365" t="s">
        <v>1868</v>
      </c>
      <c r="D1415" s="366" t="s">
        <v>2902</v>
      </c>
      <c r="E1415" s="89">
        <v>1015000</v>
      </c>
    </row>
    <row r="1416" spans="1:5" ht="15" customHeight="1" x14ac:dyDescent="0.2">
      <c r="A1416" s="728" t="s">
        <v>3226</v>
      </c>
      <c r="B1416" s="367" t="s">
        <v>2651</v>
      </c>
      <c r="C1416" s="209">
        <v>115</v>
      </c>
      <c r="D1416" s="300" t="s">
        <v>3227</v>
      </c>
      <c r="E1416" s="89">
        <v>248000</v>
      </c>
    </row>
    <row r="1417" spans="1:5" ht="15" customHeight="1" x14ac:dyDescent="0.2">
      <c r="A1417" s="729"/>
      <c r="B1417" s="367" t="s">
        <v>2651</v>
      </c>
      <c r="C1417" s="91"/>
      <c r="D1417" s="98" t="s">
        <v>3228</v>
      </c>
      <c r="E1417" s="89">
        <v>282000</v>
      </c>
    </row>
    <row r="1418" spans="1:5" ht="15" customHeight="1" x14ac:dyDescent="0.2">
      <c r="A1418" s="729"/>
      <c r="B1418" s="367" t="s">
        <v>2651</v>
      </c>
      <c r="C1418" s="91"/>
      <c r="D1418" s="98" t="s">
        <v>3229</v>
      </c>
      <c r="E1418" s="89">
        <v>295000</v>
      </c>
    </row>
    <row r="1419" spans="1:5" ht="15" customHeight="1" x14ac:dyDescent="0.2">
      <c r="A1419" s="729"/>
      <c r="B1419" s="367" t="s">
        <v>2651</v>
      </c>
      <c r="C1419" s="91"/>
      <c r="D1419" s="98" t="s">
        <v>3230</v>
      </c>
      <c r="E1419" s="89">
        <v>355000</v>
      </c>
    </row>
    <row r="1420" spans="1:5" ht="15" customHeight="1" x14ac:dyDescent="0.2">
      <c r="A1420" s="729"/>
      <c r="B1420" s="367" t="s">
        <v>2651</v>
      </c>
      <c r="C1420" s="96">
        <v>210</v>
      </c>
      <c r="D1420" s="109" t="s">
        <v>2453</v>
      </c>
      <c r="E1420" s="89">
        <v>450000</v>
      </c>
    </row>
    <row r="1421" spans="1:5" ht="15" customHeight="1" x14ac:dyDescent="0.2">
      <c r="A1421" s="729"/>
      <c r="B1421" s="367" t="s">
        <v>2651</v>
      </c>
      <c r="C1421" s="91"/>
      <c r="D1421" s="98" t="s">
        <v>3231</v>
      </c>
      <c r="E1421" s="89">
        <v>515000</v>
      </c>
    </row>
    <row r="1422" spans="1:5" ht="15" customHeight="1" x14ac:dyDescent="0.2">
      <c r="A1422" s="729"/>
      <c r="B1422" s="367" t="s">
        <v>2651</v>
      </c>
      <c r="C1422" s="91"/>
      <c r="D1422" s="98" t="s">
        <v>3232</v>
      </c>
      <c r="E1422" s="89">
        <v>540000</v>
      </c>
    </row>
    <row r="1423" spans="1:5" ht="15" customHeight="1" x14ac:dyDescent="0.2">
      <c r="A1423" s="729"/>
      <c r="B1423" s="367" t="s">
        <v>2651</v>
      </c>
      <c r="C1423" s="99"/>
      <c r="D1423" s="105" t="s">
        <v>3233</v>
      </c>
      <c r="E1423" s="89">
        <v>650000</v>
      </c>
    </row>
    <row r="1424" spans="1:5" ht="15" customHeight="1" x14ac:dyDescent="0.2">
      <c r="A1424" s="729"/>
      <c r="B1424" s="367" t="s">
        <v>2651</v>
      </c>
      <c r="C1424" s="91">
        <v>350</v>
      </c>
      <c r="D1424" s="98" t="s">
        <v>3234</v>
      </c>
      <c r="E1424" s="89">
        <v>750000</v>
      </c>
    </row>
    <row r="1425" spans="1:5" ht="15" customHeight="1" x14ac:dyDescent="0.2">
      <c r="A1425" s="729"/>
      <c r="B1425" s="367" t="s">
        <v>2651</v>
      </c>
      <c r="C1425" s="91"/>
      <c r="D1425" s="98" t="s">
        <v>3235</v>
      </c>
      <c r="E1425" s="89">
        <v>860000</v>
      </c>
    </row>
    <row r="1426" spans="1:5" ht="15" customHeight="1" x14ac:dyDescent="0.2">
      <c r="A1426" s="729"/>
      <c r="B1426" s="367" t="s">
        <v>2651</v>
      </c>
      <c r="C1426" s="91"/>
      <c r="D1426" s="98" t="s">
        <v>3236</v>
      </c>
      <c r="E1426" s="89">
        <v>895000</v>
      </c>
    </row>
    <row r="1427" spans="1:5" ht="15" customHeight="1" x14ac:dyDescent="0.2">
      <c r="A1427" s="729"/>
      <c r="B1427" s="367" t="s">
        <v>2651</v>
      </c>
      <c r="C1427" s="91"/>
      <c r="D1427" s="98" t="s">
        <v>3237</v>
      </c>
      <c r="E1427" s="89">
        <v>1080000</v>
      </c>
    </row>
    <row r="1428" spans="1:5" ht="15" customHeight="1" x14ac:dyDescent="0.2">
      <c r="A1428" s="729"/>
      <c r="B1428" s="120" t="s">
        <v>2656</v>
      </c>
      <c r="C1428" s="121">
        <v>115</v>
      </c>
      <c r="D1428" s="285" t="s">
        <v>3238</v>
      </c>
      <c r="E1428" s="89">
        <v>350000</v>
      </c>
    </row>
    <row r="1429" spans="1:5" ht="15" customHeight="1" x14ac:dyDescent="0.2">
      <c r="A1429" s="729"/>
      <c r="B1429" s="120" t="s">
        <v>2656</v>
      </c>
      <c r="C1429" s="91"/>
      <c r="D1429" s="98" t="s">
        <v>3239</v>
      </c>
      <c r="E1429" s="89">
        <v>365000</v>
      </c>
    </row>
    <row r="1430" spans="1:5" ht="15" customHeight="1" x14ac:dyDescent="0.2">
      <c r="A1430" s="729"/>
      <c r="B1430" s="120" t="s">
        <v>2656</v>
      </c>
      <c r="C1430" s="96">
        <v>210</v>
      </c>
      <c r="D1430" s="109" t="s">
        <v>3240</v>
      </c>
      <c r="E1430" s="89">
        <v>640000</v>
      </c>
    </row>
    <row r="1431" spans="1:5" ht="15" customHeight="1" x14ac:dyDescent="0.2">
      <c r="A1431" s="729"/>
      <c r="B1431" s="120" t="s">
        <v>2656</v>
      </c>
      <c r="C1431" s="99"/>
      <c r="D1431" s="105" t="s">
        <v>3241</v>
      </c>
      <c r="E1431" s="89">
        <v>660000</v>
      </c>
    </row>
    <row r="1432" spans="1:5" ht="15" customHeight="1" x14ac:dyDescent="0.2">
      <c r="A1432" s="729"/>
      <c r="B1432" s="120" t="s">
        <v>2656</v>
      </c>
      <c r="C1432" s="91">
        <v>350</v>
      </c>
      <c r="D1432" s="98" t="s">
        <v>3242</v>
      </c>
      <c r="E1432" s="89">
        <v>1070000</v>
      </c>
    </row>
    <row r="1433" spans="1:5" ht="15" customHeight="1" x14ac:dyDescent="0.2">
      <c r="A1433" s="730"/>
      <c r="B1433" s="120" t="s">
        <v>2656</v>
      </c>
      <c r="C1433" s="111"/>
      <c r="D1433" s="112" t="s">
        <v>3243</v>
      </c>
      <c r="E1433" s="89">
        <v>1100000</v>
      </c>
    </row>
    <row r="1434" spans="1:5" ht="15" customHeight="1" x14ac:dyDescent="0.2">
      <c r="A1434" s="731" t="s">
        <v>3244</v>
      </c>
      <c r="B1434" s="367" t="s">
        <v>2826</v>
      </c>
      <c r="C1434" s="368">
        <v>240</v>
      </c>
      <c r="D1434" s="300" t="s">
        <v>3245</v>
      </c>
      <c r="E1434" s="89">
        <v>495000</v>
      </c>
    </row>
    <row r="1435" spans="1:5" ht="15" customHeight="1" x14ac:dyDescent="0.2">
      <c r="A1435" s="723" t="str">
        <f t="shared" ref="A1435:A1438" si="72">A1434</f>
        <v xml:space="preserve">시리오 화이트 화이트
(SIW) </v>
      </c>
      <c r="B1435" s="367" t="s">
        <v>2826</v>
      </c>
      <c r="C1435" s="243">
        <v>280</v>
      </c>
      <c r="D1435" s="98"/>
      <c r="E1435" s="89">
        <v>580000</v>
      </c>
    </row>
    <row r="1436" spans="1:5" ht="15" customHeight="1" x14ac:dyDescent="0.2">
      <c r="A1436" s="723" t="str">
        <f t="shared" si="72"/>
        <v xml:space="preserve">시리오 화이트 화이트
(SIW) </v>
      </c>
      <c r="B1436" s="367" t="s">
        <v>2826</v>
      </c>
      <c r="C1436" s="243">
        <v>350</v>
      </c>
      <c r="D1436" s="98"/>
      <c r="E1436" s="89">
        <v>725000</v>
      </c>
    </row>
    <row r="1437" spans="1:5" ht="15" customHeight="1" x14ac:dyDescent="0.2">
      <c r="A1437" s="723" t="str">
        <f t="shared" si="72"/>
        <v xml:space="preserve">시리오 화이트 화이트
(SIW) </v>
      </c>
      <c r="B1437" s="367" t="s">
        <v>2826</v>
      </c>
      <c r="C1437" s="144">
        <v>400</v>
      </c>
      <c r="D1437" s="105"/>
      <c r="E1437" s="89">
        <v>825000</v>
      </c>
    </row>
    <row r="1438" spans="1:5" ht="15" customHeight="1" x14ac:dyDescent="0.2">
      <c r="A1438" s="723" t="str">
        <f t="shared" si="72"/>
        <v xml:space="preserve">시리오 화이트 화이트
(SIW) </v>
      </c>
      <c r="B1438" s="123" t="s">
        <v>3246</v>
      </c>
      <c r="C1438" s="257">
        <v>700</v>
      </c>
      <c r="D1438" s="112"/>
      <c r="E1438" s="89">
        <v>1210000</v>
      </c>
    </row>
    <row r="1439" spans="1:5" ht="15" customHeight="1" x14ac:dyDescent="0.2">
      <c r="A1439" s="731" t="s">
        <v>3247</v>
      </c>
      <c r="B1439" s="118" t="s">
        <v>2826</v>
      </c>
      <c r="C1439" s="243" t="s">
        <v>3248</v>
      </c>
      <c r="D1439" s="92" t="s">
        <v>3245</v>
      </c>
      <c r="E1439" s="89">
        <v>745000</v>
      </c>
    </row>
    <row r="1440" spans="1:5" ht="15" customHeight="1" x14ac:dyDescent="0.2">
      <c r="A1440" s="685" t="str">
        <f t="shared" ref="A1440:A1447" si="73">A1439</f>
        <v>시리오 블랙
(SIB)</v>
      </c>
      <c r="B1440" s="118" t="s">
        <v>2826</v>
      </c>
      <c r="C1440" s="243" t="s">
        <v>3249</v>
      </c>
      <c r="D1440" s="92"/>
      <c r="E1440" s="89">
        <v>890000</v>
      </c>
    </row>
    <row r="1441" spans="1:5" ht="15" customHeight="1" x14ac:dyDescent="0.2">
      <c r="A1441" s="685" t="str">
        <f t="shared" si="73"/>
        <v>시리오 블랙
(SIB)</v>
      </c>
      <c r="B1441" s="118" t="s">
        <v>2826</v>
      </c>
      <c r="C1441" s="243" t="s">
        <v>3250</v>
      </c>
      <c r="D1441" s="92"/>
      <c r="E1441" s="89">
        <v>1025000</v>
      </c>
    </row>
    <row r="1442" spans="1:5" ht="15" customHeight="1" x14ac:dyDescent="0.2">
      <c r="A1442" s="685" t="str">
        <f t="shared" si="73"/>
        <v>시리오 블랙
(SIB)</v>
      </c>
      <c r="B1442" s="120" t="s">
        <v>2826</v>
      </c>
      <c r="C1442" s="242">
        <v>115</v>
      </c>
      <c r="D1442" s="344" t="s">
        <v>3245</v>
      </c>
      <c r="E1442" s="89">
        <v>615000</v>
      </c>
    </row>
    <row r="1443" spans="1:5" ht="15" customHeight="1" x14ac:dyDescent="0.2">
      <c r="A1443" s="685" t="str">
        <f t="shared" si="73"/>
        <v>시리오 블랙
(SIB)</v>
      </c>
      <c r="B1443" s="118" t="s">
        <v>2826</v>
      </c>
      <c r="C1443" s="243">
        <v>115</v>
      </c>
      <c r="D1443" s="98" t="s">
        <v>3251</v>
      </c>
      <c r="E1443" s="89">
        <v>685000</v>
      </c>
    </row>
    <row r="1444" spans="1:5" ht="15" customHeight="1" x14ac:dyDescent="0.2">
      <c r="A1444" s="685" t="str">
        <f t="shared" si="73"/>
        <v>시리오 블랙
(SIB)</v>
      </c>
      <c r="B1444" s="118" t="s">
        <v>2826</v>
      </c>
      <c r="C1444" s="243">
        <v>185</v>
      </c>
      <c r="D1444" s="98" t="s">
        <v>3245</v>
      </c>
      <c r="E1444" s="89">
        <v>995000</v>
      </c>
    </row>
    <row r="1445" spans="1:5" ht="15" customHeight="1" x14ac:dyDescent="0.2">
      <c r="A1445" s="685" t="str">
        <f t="shared" si="73"/>
        <v>시리오 블랙
(SIB)</v>
      </c>
      <c r="B1445" s="118" t="s">
        <v>2826</v>
      </c>
      <c r="C1445" s="243">
        <v>280</v>
      </c>
      <c r="D1445" s="98"/>
      <c r="E1445" s="89">
        <v>1500000</v>
      </c>
    </row>
    <row r="1446" spans="1:5" ht="15" customHeight="1" x14ac:dyDescent="0.2">
      <c r="A1446" s="685" t="str">
        <f t="shared" si="73"/>
        <v>시리오 블랙
(SIB)</v>
      </c>
      <c r="B1446" s="118" t="s">
        <v>2826</v>
      </c>
      <c r="C1446" s="243">
        <v>370</v>
      </c>
      <c r="D1446" s="98"/>
      <c r="E1446" s="89">
        <v>1990000</v>
      </c>
    </row>
    <row r="1447" spans="1:5" ht="15" customHeight="1" x14ac:dyDescent="0.2">
      <c r="A1447" s="678" t="str">
        <f t="shared" si="73"/>
        <v>시리오 블랙
(SIB)</v>
      </c>
      <c r="B1447" s="118" t="s">
        <v>2826</v>
      </c>
      <c r="C1447" s="257">
        <v>460</v>
      </c>
      <c r="D1447" s="112"/>
      <c r="E1447" s="89">
        <v>2470000</v>
      </c>
    </row>
    <row r="1448" spans="1:5" ht="15" customHeight="1" x14ac:dyDescent="0.2">
      <c r="A1448" s="731" t="s">
        <v>3252</v>
      </c>
      <c r="B1448" s="369" t="s">
        <v>2010</v>
      </c>
      <c r="C1448" s="370">
        <v>85</v>
      </c>
      <c r="D1448" s="371" t="s">
        <v>2052</v>
      </c>
      <c r="E1448" s="89">
        <v>90000</v>
      </c>
    </row>
    <row r="1449" spans="1:5" ht="15" customHeight="1" x14ac:dyDescent="0.2">
      <c r="A1449" s="685" t="s">
        <v>3253</v>
      </c>
      <c r="B1449" s="369" t="s">
        <v>2010</v>
      </c>
      <c r="C1449" s="243">
        <v>115</v>
      </c>
      <c r="D1449" s="98" t="s">
        <v>2054</v>
      </c>
      <c r="E1449" s="89">
        <v>120000</v>
      </c>
    </row>
    <row r="1450" spans="1:5" ht="15" customHeight="1" x14ac:dyDescent="0.2">
      <c r="A1450" s="685" t="str">
        <f t="shared" ref="A1450:A1453" si="74">A1449</f>
        <v>(CEK)</v>
      </c>
      <c r="B1450" s="120" t="s">
        <v>2062</v>
      </c>
      <c r="C1450" s="242">
        <v>85</v>
      </c>
      <c r="D1450" s="153" t="s">
        <v>2053</v>
      </c>
      <c r="E1450" s="89">
        <v>110000</v>
      </c>
    </row>
    <row r="1451" spans="1:5" ht="15" customHeight="1" x14ac:dyDescent="0.2">
      <c r="A1451" s="685" t="str">
        <f t="shared" si="74"/>
        <v>(CEK)</v>
      </c>
      <c r="B1451" s="120" t="s">
        <v>2062</v>
      </c>
      <c r="C1451" s="373">
        <v>115</v>
      </c>
      <c r="D1451" s="155" t="s">
        <v>2055</v>
      </c>
      <c r="E1451" s="89">
        <v>150000</v>
      </c>
    </row>
    <row r="1452" spans="1:5" ht="15" customHeight="1" x14ac:dyDescent="0.2">
      <c r="A1452" s="685" t="str">
        <f t="shared" si="74"/>
        <v>(CEK)</v>
      </c>
      <c r="B1452" s="118" t="s">
        <v>3254</v>
      </c>
      <c r="C1452" s="243">
        <v>85</v>
      </c>
      <c r="D1452" s="98" t="s">
        <v>3255</v>
      </c>
      <c r="E1452" s="89">
        <v>1100000000</v>
      </c>
    </row>
    <row r="1453" spans="1:5" ht="15" customHeight="1" x14ac:dyDescent="0.2">
      <c r="A1453" s="678" t="str">
        <f t="shared" si="74"/>
        <v>(CEK)</v>
      </c>
      <c r="B1453" s="118" t="s">
        <v>3254</v>
      </c>
      <c r="C1453" s="257">
        <v>115</v>
      </c>
      <c r="D1453" s="112" t="s">
        <v>2893</v>
      </c>
      <c r="E1453" s="89">
        <v>1100000000</v>
      </c>
    </row>
    <row r="1454" spans="1:5" ht="15" customHeight="1" x14ac:dyDescent="0.2">
      <c r="A1454" s="679" t="s">
        <v>3256</v>
      </c>
      <c r="B1454" s="369" t="s">
        <v>2010</v>
      </c>
      <c r="C1454" s="243">
        <v>300</v>
      </c>
      <c r="D1454" s="98"/>
      <c r="E1454" s="89">
        <v>385000</v>
      </c>
    </row>
    <row r="1455" spans="1:5" ht="15" customHeight="1" x14ac:dyDescent="0.2">
      <c r="A1455" s="680"/>
      <c r="B1455" s="369" t="s">
        <v>2010</v>
      </c>
      <c r="C1455" s="243">
        <v>330</v>
      </c>
      <c r="D1455" s="98"/>
      <c r="E1455" s="89">
        <v>425000</v>
      </c>
    </row>
    <row r="1456" spans="1:5" ht="15" customHeight="1" x14ac:dyDescent="0.2">
      <c r="A1456" s="680"/>
      <c r="B1456" s="369" t="s">
        <v>2010</v>
      </c>
      <c r="C1456" s="243">
        <v>360</v>
      </c>
      <c r="D1456" s="98"/>
      <c r="E1456" s="89">
        <v>460000</v>
      </c>
    </row>
    <row r="1457" spans="1:5" ht="15" customHeight="1" x14ac:dyDescent="0.2">
      <c r="A1457" s="680"/>
      <c r="B1457" s="118"/>
      <c r="C1457" s="143" t="s">
        <v>2046</v>
      </c>
      <c r="D1457" s="109"/>
    </row>
    <row r="1458" spans="1:5" ht="15" customHeight="1" x14ac:dyDescent="0.2">
      <c r="A1458" s="680"/>
      <c r="B1458" s="120" t="s">
        <v>2010</v>
      </c>
      <c r="C1458" s="242">
        <v>300</v>
      </c>
      <c r="D1458" s="153"/>
    </row>
    <row r="1459" spans="1:5" ht="15" customHeight="1" x14ac:dyDescent="0.2">
      <c r="A1459" s="680"/>
      <c r="B1459" s="120" t="s">
        <v>2010</v>
      </c>
      <c r="C1459" s="243">
        <v>330</v>
      </c>
      <c r="D1459" s="98"/>
    </row>
    <row r="1460" spans="1:5" ht="15" customHeight="1" x14ac:dyDescent="0.2">
      <c r="A1460" s="680"/>
      <c r="B1460" s="120" t="s">
        <v>2010</v>
      </c>
      <c r="C1460" s="243">
        <v>360</v>
      </c>
      <c r="D1460" s="98"/>
    </row>
    <row r="1461" spans="1:5" ht="15" customHeight="1" x14ac:dyDescent="0.2">
      <c r="A1461" s="680"/>
      <c r="B1461" s="118"/>
      <c r="C1461" s="143" t="s">
        <v>2046</v>
      </c>
      <c r="D1461" s="109"/>
    </row>
    <row r="1462" spans="1:5" s="218" customFormat="1" ht="16.5" customHeight="1" x14ac:dyDescent="0.3">
      <c r="A1462" s="731" t="s">
        <v>3257</v>
      </c>
      <c r="B1462" s="367" t="s">
        <v>3258</v>
      </c>
      <c r="C1462" s="374">
        <v>120</v>
      </c>
      <c r="D1462" s="375" t="s">
        <v>3259</v>
      </c>
      <c r="E1462" s="218">
        <v>1200000</v>
      </c>
    </row>
    <row r="1463" spans="1:5" s="218" customFormat="1" ht="12" x14ac:dyDescent="0.3">
      <c r="A1463" s="723" t="str">
        <f t="shared" ref="A1463:A1465" si="75">A1462</f>
        <v>아르쉐 익스프레션
(ARE)</v>
      </c>
      <c r="B1463" s="367" t="s">
        <v>3258</v>
      </c>
      <c r="C1463" s="91">
        <v>160</v>
      </c>
      <c r="D1463" s="98" t="s">
        <v>3260</v>
      </c>
      <c r="E1463" s="218">
        <v>1500000</v>
      </c>
    </row>
    <row r="1464" spans="1:5" s="218" customFormat="1" ht="12" x14ac:dyDescent="0.3">
      <c r="A1464" s="723" t="str">
        <f t="shared" si="75"/>
        <v>아르쉐 익스프레션
(ARE)</v>
      </c>
      <c r="B1464" s="367" t="s">
        <v>3258</v>
      </c>
      <c r="C1464" s="91">
        <v>250</v>
      </c>
      <c r="D1464" s="98" t="s">
        <v>3261</v>
      </c>
      <c r="E1464" s="218">
        <v>2300000</v>
      </c>
    </row>
    <row r="1465" spans="1:5" s="218" customFormat="1" ht="12" x14ac:dyDescent="0.3">
      <c r="A1465" s="727" t="str">
        <f t="shared" si="75"/>
        <v>아르쉐 익스프레션
(ARE)</v>
      </c>
      <c r="B1465" s="367" t="s">
        <v>3258</v>
      </c>
      <c r="C1465" s="106">
        <v>400</v>
      </c>
      <c r="D1465" s="107" t="s">
        <v>3262</v>
      </c>
      <c r="E1465" s="218">
        <v>3700000</v>
      </c>
    </row>
    <row r="1466" spans="1:5" s="218" customFormat="1" ht="16.5" customHeight="1" x14ac:dyDescent="0.3">
      <c r="A1466" s="723" t="s">
        <v>3263</v>
      </c>
      <c r="B1466" s="376" t="s">
        <v>3258</v>
      </c>
      <c r="C1466" s="91">
        <v>120</v>
      </c>
      <c r="D1466" s="98" t="s">
        <v>3264</v>
      </c>
      <c r="E1466" s="218">
        <v>1200000</v>
      </c>
    </row>
    <row r="1467" spans="1:5" s="218" customFormat="1" ht="12" x14ac:dyDescent="0.3">
      <c r="A1467" s="685" t="str">
        <f t="shared" ref="A1467:A1470" si="76">A1466</f>
        <v>아르쉐벨루어
(AREV)</v>
      </c>
      <c r="B1467" s="376" t="s">
        <v>3258</v>
      </c>
      <c r="C1467" s="91">
        <v>250</v>
      </c>
      <c r="D1467" s="98" t="s">
        <v>3265</v>
      </c>
      <c r="E1467" s="218">
        <v>2300000</v>
      </c>
    </row>
    <row r="1468" spans="1:5" s="218" customFormat="1" ht="12" x14ac:dyDescent="0.3">
      <c r="A1468" s="685" t="str">
        <f t="shared" si="76"/>
        <v>아르쉐벨루어
(AREV)</v>
      </c>
      <c r="B1468" s="376" t="s">
        <v>3258</v>
      </c>
      <c r="C1468" s="91">
        <v>400</v>
      </c>
      <c r="D1468" s="98" t="s">
        <v>3266</v>
      </c>
      <c r="E1468" s="218">
        <v>3700000</v>
      </c>
    </row>
    <row r="1469" spans="1:5" s="218" customFormat="1" ht="12" x14ac:dyDescent="0.3">
      <c r="A1469" s="685" t="str">
        <f t="shared" si="76"/>
        <v>아르쉐벨루어
(AREV)</v>
      </c>
      <c r="B1469" s="377" t="s">
        <v>3267</v>
      </c>
      <c r="C1469" s="378">
        <v>300</v>
      </c>
      <c r="D1469" s="379" t="s">
        <v>3268</v>
      </c>
      <c r="E1469" s="218">
        <v>2075000</v>
      </c>
    </row>
    <row r="1470" spans="1:5" s="218" customFormat="1" ht="12" x14ac:dyDescent="0.3">
      <c r="A1470" s="678" t="str">
        <f t="shared" si="76"/>
        <v>아르쉐벨루어
(AREV)</v>
      </c>
      <c r="B1470" s="123" t="s">
        <v>3269</v>
      </c>
      <c r="C1470" s="111">
        <v>300</v>
      </c>
      <c r="D1470" s="380" t="s">
        <v>1969</v>
      </c>
      <c r="E1470" s="218">
        <v>5250000</v>
      </c>
    </row>
    <row r="1471" spans="1:5" s="218" customFormat="1" ht="12" customHeight="1" x14ac:dyDescent="0.3">
      <c r="A1471" s="724" t="s">
        <v>3270</v>
      </c>
      <c r="B1471" s="118" t="s">
        <v>3267</v>
      </c>
      <c r="C1471" s="91">
        <v>300</v>
      </c>
      <c r="D1471" s="93" t="s">
        <v>3271</v>
      </c>
      <c r="E1471" s="218">
        <v>2550000</v>
      </c>
    </row>
    <row r="1472" spans="1:5" s="218" customFormat="1" ht="12" x14ac:dyDescent="0.3">
      <c r="A1472" s="725"/>
      <c r="B1472" s="118" t="s">
        <v>3272</v>
      </c>
      <c r="C1472" s="91">
        <v>300</v>
      </c>
      <c r="D1472" s="93" t="s">
        <v>3273</v>
      </c>
      <c r="E1472" s="218">
        <v>4750000</v>
      </c>
    </row>
    <row r="1473" spans="1:5" ht="13.15" customHeight="1" thickBot="1" x14ac:dyDescent="0.25">
      <c r="A1473" s="726" t="s">
        <v>3274</v>
      </c>
      <c r="B1473" s="369" t="s">
        <v>1879</v>
      </c>
      <c r="C1473" s="381">
        <v>176</v>
      </c>
      <c r="D1473" s="382" t="s">
        <v>3275</v>
      </c>
      <c r="E1473" s="89">
        <v>445000</v>
      </c>
    </row>
    <row r="1474" spans="1:5" ht="13.15" customHeight="1" x14ac:dyDescent="0.2">
      <c r="A1474" s="723" t="str">
        <f t="shared" ref="A1474:A1476" si="77">A1473</f>
        <v xml:space="preserve">     아스트로 브라이트
(AST2)*</v>
      </c>
      <c r="B1474" s="369" t="s">
        <v>1879</v>
      </c>
      <c r="C1474" s="91"/>
      <c r="D1474" s="98" t="s">
        <v>3276</v>
      </c>
      <c r="E1474" s="89">
        <v>750000</v>
      </c>
    </row>
    <row r="1475" spans="1:5" ht="13.15" customHeight="1" x14ac:dyDescent="0.2">
      <c r="A1475" s="723" t="str">
        <f t="shared" si="77"/>
        <v xml:space="preserve">     아스트로 브라이트
(AST2)*</v>
      </c>
      <c r="B1475" s="159" t="s">
        <v>3277</v>
      </c>
      <c r="C1475" s="113">
        <v>176</v>
      </c>
      <c r="D1475" s="114" t="s">
        <v>3276</v>
      </c>
      <c r="E1475" s="89">
        <v>450000</v>
      </c>
    </row>
    <row r="1476" spans="1:5" ht="15.6" customHeight="1" x14ac:dyDescent="0.2">
      <c r="A1476" s="727" t="str">
        <f t="shared" si="77"/>
        <v xml:space="preserve">     아스트로 브라이트
(AST2)*</v>
      </c>
      <c r="B1476" s="194" t="s">
        <v>3278</v>
      </c>
      <c r="C1476" s="106"/>
      <c r="D1476" s="115" t="s">
        <v>3279</v>
      </c>
      <c r="E1476" s="89">
        <v>345000</v>
      </c>
    </row>
    <row r="1477" spans="1:5" ht="15" customHeight="1" x14ac:dyDescent="0.2">
      <c r="A1477" s="685" t="s">
        <v>3280</v>
      </c>
      <c r="B1477" s="90" t="s">
        <v>1881</v>
      </c>
      <c r="C1477" s="91">
        <v>300</v>
      </c>
      <c r="D1477" s="92" t="s">
        <v>3281</v>
      </c>
      <c r="E1477" s="89">
        <v>920000</v>
      </c>
    </row>
    <row r="1478" spans="1:5" ht="15" customHeight="1" x14ac:dyDescent="0.2">
      <c r="A1478" s="685" t="str">
        <f t="shared" ref="A1478:A1484" si="78">A1477</f>
        <v>아이린*
(IRE)</v>
      </c>
      <c r="B1478" s="90" t="s">
        <v>1881</v>
      </c>
      <c r="C1478" s="91">
        <v>300</v>
      </c>
      <c r="D1478" s="92" t="s">
        <v>3282</v>
      </c>
      <c r="E1478" s="89">
        <v>880000</v>
      </c>
    </row>
    <row r="1479" spans="1:5" ht="15" customHeight="1" x14ac:dyDescent="0.2">
      <c r="A1479" s="685" t="str">
        <f t="shared" si="78"/>
        <v>아이린*
(IRE)</v>
      </c>
      <c r="B1479" s="90" t="s">
        <v>1881</v>
      </c>
      <c r="C1479" s="91">
        <v>250</v>
      </c>
      <c r="D1479" s="92" t="s">
        <v>3283</v>
      </c>
      <c r="E1479" s="89">
        <v>720000</v>
      </c>
    </row>
    <row r="1480" spans="1:5" ht="15" customHeight="1" x14ac:dyDescent="0.2">
      <c r="A1480" s="685" t="str">
        <f t="shared" si="78"/>
        <v>아이린*
(IRE)</v>
      </c>
      <c r="B1480" s="90" t="s">
        <v>1881</v>
      </c>
      <c r="C1480" s="91">
        <v>310</v>
      </c>
      <c r="D1480" s="92" t="s">
        <v>3284</v>
      </c>
      <c r="E1480" s="89">
        <v>1535000</v>
      </c>
    </row>
    <row r="1481" spans="1:5" ht="15" customHeight="1" x14ac:dyDescent="0.2">
      <c r="A1481" s="685" t="str">
        <f t="shared" si="78"/>
        <v>아이린*
(IRE)</v>
      </c>
      <c r="B1481" s="90" t="s">
        <v>1881</v>
      </c>
      <c r="C1481" s="96">
        <v>250</v>
      </c>
      <c r="D1481" s="221" t="s">
        <v>3285</v>
      </c>
      <c r="E1481" s="89">
        <v>925000</v>
      </c>
    </row>
    <row r="1482" spans="1:5" ht="15" customHeight="1" x14ac:dyDescent="0.2">
      <c r="A1482" s="685" t="str">
        <f t="shared" si="78"/>
        <v>아이린*
(IRE)</v>
      </c>
      <c r="B1482" s="90" t="s">
        <v>1881</v>
      </c>
      <c r="C1482" s="91">
        <v>300</v>
      </c>
      <c r="D1482" s="92" t="s">
        <v>3286</v>
      </c>
      <c r="E1482" s="89">
        <v>880000</v>
      </c>
    </row>
    <row r="1483" spans="1:5" ht="15" customHeight="1" x14ac:dyDescent="0.2">
      <c r="A1483" s="685" t="str">
        <f t="shared" si="78"/>
        <v>아이린*
(IRE)</v>
      </c>
      <c r="B1483" s="90" t="s">
        <v>1881</v>
      </c>
      <c r="C1483" s="91">
        <v>310</v>
      </c>
      <c r="D1483" s="92" t="s">
        <v>5</v>
      </c>
      <c r="E1483" s="89">
        <v>1535000</v>
      </c>
    </row>
    <row r="1484" spans="1:5" ht="15" customHeight="1" x14ac:dyDescent="0.2">
      <c r="A1484" s="685" t="str">
        <f t="shared" si="78"/>
        <v>아이린*
(IRE)</v>
      </c>
      <c r="B1484" s="90" t="s">
        <v>1881</v>
      </c>
      <c r="C1484" s="91">
        <v>310</v>
      </c>
      <c r="D1484" s="92" t="s">
        <v>3287</v>
      </c>
      <c r="E1484" s="89">
        <v>1790000</v>
      </c>
    </row>
    <row r="1485" spans="1:5" ht="15" customHeight="1" x14ac:dyDescent="0.2">
      <c r="A1485" s="720" t="s">
        <v>3288</v>
      </c>
      <c r="B1485" s="376" t="s">
        <v>2010</v>
      </c>
      <c r="C1485" s="91">
        <v>90</v>
      </c>
      <c r="D1485" s="98" t="s">
        <v>3289</v>
      </c>
      <c r="E1485" s="89">
        <v>141000</v>
      </c>
    </row>
    <row r="1486" spans="1:5" ht="15" customHeight="1" x14ac:dyDescent="0.2">
      <c r="A1486" s="721"/>
      <c r="B1486" s="376" t="s">
        <v>2010</v>
      </c>
      <c r="C1486" s="91">
        <v>120</v>
      </c>
      <c r="D1486" s="98" t="s">
        <v>3290</v>
      </c>
      <c r="E1486" s="89">
        <v>189000</v>
      </c>
    </row>
    <row r="1487" spans="1:5" ht="15" customHeight="1" x14ac:dyDescent="0.2">
      <c r="A1487" s="721"/>
      <c r="B1487" s="95" t="s">
        <v>2826</v>
      </c>
      <c r="C1487" s="96">
        <v>170</v>
      </c>
      <c r="D1487" s="109" t="s">
        <v>3291</v>
      </c>
      <c r="E1487" s="89">
        <v>266000</v>
      </c>
    </row>
    <row r="1488" spans="1:5" ht="15" customHeight="1" x14ac:dyDescent="0.2">
      <c r="A1488" s="721"/>
      <c r="B1488" s="95" t="s">
        <v>2826</v>
      </c>
      <c r="C1488" s="91">
        <v>200</v>
      </c>
      <c r="D1488" s="98" t="s">
        <v>3292</v>
      </c>
      <c r="E1488" s="89">
        <v>313000</v>
      </c>
    </row>
    <row r="1489" spans="1:5" ht="15" customHeight="1" x14ac:dyDescent="0.2">
      <c r="A1489" s="721"/>
      <c r="B1489" s="95" t="s">
        <v>2826</v>
      </c>
      <c r="C1489" s="243">
        <v>230</v>
      </c>
      <c r="D1489" s="98" t="s">
        <v>3293</v>
      </c>
      <c r="E1489" s="89">
        <v>358000</v>
      </c>
    </row>
    <row r="1490" spans="1:5" ht="15" customHeight="1" x14ac:dyDescent="0.2">
      <c r="A1490" s="721"/>
      <c r="B1490" s="95" t="s">
        <v>2826</v>
      </c>
      <c r="C1490" s="243">
        <v>260</v>
      </c>
      <c r="D1490" s="119" t="s">
        <v>3294</v>
      </c>
      <c r="E1490" s="89">
        <v>405000</v>
      </c>
    </row>
    <row r="1491" spans="1:5" ht="15" customHeight="1" x14ac:dyDescent="0.2">
      <c r="A1491" s="721"/>
      <c r="B1491" s="95" t="s">
        <v>2826</v>
      </c>
      <c r="C1491" s="243">
        <v>300</v>
      </c>
      <c r="D1491" s="98" t="s">
        <v>3295</v>
      </c>
      <c r="E1491" s="89">
        <v>470000</v>
      </c>
    </row>
    <row r="1492" spans="1:5" ht="15" customHeight="1" x14ac:dyDescent="0.2">
      <c r="A1492" s="721"/>
      <c r="B1492" s="95" t="s">
        <v>2826</v>
      </c>
      <c r="C1492" s="144">
        <v>350</v>
      </c>
      <c r="D1492" s="105" t="s">
        <v>3296</v>
      </c>
      <c r="E1492" s="89">
        <v>550000</v>
      </c>
    </row>
    <row r="1493" spans="1:5" ht="15" customHeight="1" x14ac:dyDescent="0.2">
      <c r="A1493" s="721"/>
      <c r="B1493" s="90" t="s">
        <v>2490</v>
      </c>
      <c r="C1493" s="243">
        <v>90</v>
      </c>
      <c r="D1493" s="98" t="s">
        <v>3297</v>
      </c>
      <c r="E1493" s="89">
        <v>98000</v>
      </c>
    </row>
    <row r="1494" spans="1:5" ht="15" customHeight="1" x14ac:dyDescent="0.2">
      <c r="A1494" s="721"/>
      <c r="B1494" s="90" t="s">
        <v>2490</v>
      </c>
      <c r="C1494" s="243">
        <v>120</v>
      </c>
      <c r="D1494" s="98" t="s">
        <v>3298</v>
      </c>
      <c r="E1494" s="89">
        <v>130000</v>
      </c>
    </row>
    <row r="1495" spans="1:5" ht="15" customHeight="1" x14ac:dyDescent="0.2">
      <c r="A1495" s="721"/>
      <c r="B1495" s="90" t="s">
        <v>2490</v>
      </c>
      <c r="C1495" s="243">
        <v>140</v>
      </c>
      <c r="D1495" s="98" t="s">
        <v>3299</v>
      </c>
      <c r="E1495" s="89">
        <v>152000</v>
      </c>
    </row>
    <row r="1496" spans="1:5" ht="15" customHeight="1" x14ac:dyDescent="0.2">
      <c r="A1496" s="721"/>
      <c r="B1496" s="90" t="s">
        <v>2490</v>
      </c>
      <c r="C1496" s="243">
        <v>170</v>
      </c>
      <c r="D1496" s="98" t="s">
        <v>3300</v>
      </c>
      <c r="E1496" s="89">
        <v>185000</v>
      </c>
    </row>
    <row r="1497" spans="1:5" ht="15" customHeight="1" x14ac:dyDescent="0.2">
      <c r="A1497" s="721"/>
      <c r="B1497" s="90" t="s">
        <v>2490</v>
      </c>
      <c r="C1497" s="243">
        <v>200</v>
      </c>
      <c r="D1497" s="98" t="s">
        <v>3301</v>
      </c>
      <c r="E1497" s="89">
        <v>218000</v>
      </c>
    </row>
    <row r="1498" spans="1:5" ht="15" customHeight="1" x14ac:dyDescent="0.2">
      <c r="A1498" s="721"/>
      <c r="B1498" s="90" t="s">
        <v>2490</v>
      </c>
      <c r="C1498" s="243">
        <v>300</v>
      </c>
      <c r="D1498" s="156" t="s">
        <v>3302</v>
      </c>
      <c r="E1498" s="89">
        <v>325000</v>
      </c>
    </row>
    <row r="1499" spans="1:5" ht="15" customHeight="1" x14ac:dyDescent="0.2">
      <c r="A1499" s="721"/>
      <c r="B1499" s="90" t="s">
        <v>2490</v>
      </c>
      <c r="C1499" s="243">
        <v>350</v>
      </c>
      <c r="D1499" s="156" t="s">
        <v>3303</v>
      </c>
      <c r="E1499" s="89">
        <v>380000</v>
      </c>
    </row>
    <row r="1500" spans="1:5" ht="15" customHeight="1" x14ac:dyDescent="0.2">
      <c r="A1500" s="721"/>
      <c r="B1500" s="90" t="s">
        <v>2490</v>
      </c>
      <c r="C1500" s="243">
        <v>400</v>
      </c>
      <c r="D1500" s="156" t="s">
        <v>3304</v>
      </c>
      <c r="E1500" s="89">
        <v>435000</v>
      </c>
    </row>
    <row r="1501" spans="1:5" ht="15" customHeight="1" x14ac:dyDescent="0.2">
      <c r="A1501" s="383" t="s">
        <v>3305</v>
      </c>
      <c r="B1501" s="384" t="s">
        <v>3306</v>
      </c>
      <c r="C1501" s="385">
        <v>160</v>
      </c>
      <c r="D1501" s="386" t="s">
        <v>3307</v>
      </c>
      <c r="E1501" s="89">
        <v>150000</v>
      </c>
    </row>
    <row r="1502" spans="1:5" ht="15" customHeight="1" x14ac:dyDescent="0.2">
      <c r="A1502" s="677" t="s">
        <v>3308</v>
      </c>
      <c r="B1502" s="387" t="s">
        <v>2826</v>
      </c>
      <c r="C1502" s="388">
        <v>120</v>
      </c>
      <c r="D1502" s="389" t="s">
        <v>3309</v>
      </c>
      <c r="E1502" s="89">
        <v>189000</v>
      </c>
    </row>
    <row r="1503" spans="1:5" ht="15" customHeight="1" x14ac:dyDescent="0.2">
      <c r="A1503" s="685" t="str">
        <f t="shared" ref="A1503:A1526" si="79">A1502</f>
        <v xml:space="preserve">아코팩
 (APK)                </v>
      </c>
      <c r="B1503" s="387" t="s">
        <v>2826</v>
      </c>
      <c r="C1503" s="91">
        <v>140</v>
      </c>
      <c r="D1503" s="98" t="s">
        <v>3310</v>
      </c>
      <c r="E1503" s="89">
        <v>219000</v>
      </c>
    </row>
    <row r="1504" spans="1:5" ht="15" customHeight="1" x14ac:dyDescent="0.2">
      <c r="A1504" s="685" t="str">
        <f t="shared" si="79"/>
        <v xml:space="preserve">아코팩
 (APK)                </v>
      </c>
      <c r="B1504" s="387" t="s">
        <v>2826</v>
      </c>
      <c r="C1504" s="91">
        <v>170</v>
      </c>
      <c r="D1504" s="98" t="s">
        <v>3309</v>
      </c>
      <c r="E1504" s="89">
        <v>266000</v>
      </c>
    </row>
    <row r="1505" spans="1:5" ht="15" customHeight="1" x14ac:dyDescent="0.2">
      <c r="A1505" s="685" t="str">
        <f t="shared" si="79"/>
        <v xml:space="preserve">아코팩
 (APK)                </v>
      </c>
      <c r="B1505" s="387" t="s">
        <v>2826</v>
      </c>
      <c r="C1505" s="91">
        <v>200</v>
      </c>
      <c r="D1505" s="98" t="s">
        <v>3309</v>
      </c>
      <c r="E1505" s="89">
        <v>313000</v>
      </c>
    </row>
    <row r="1506" spans="1:5" ht="15" customHeight="1" x14ac:dyDescent="0.2">
      <c r="A1506" s="685" t="str">
        <f t="shared" si="79"/>
        <v xml:space="preserve">아코팩
 (APK)                </v>
      </c>
      <c r="B1506" s="387" t="s">
        <v>2826</v>
      </c>
      <c r="C1506" s="243">
        <v>250</v>
      </c>
      <c r="D1506" s="98" t="s">
        <v>3309</v>
      </c>
      <c r="E1506" s="89">
        <v>395000</v>
      </c>
    </row>
    <row r="1507" spans="1:5" ht="15" customHeight="1" x14ac:dyDescent="0.2">
      <c r="A1507" s="685" t="str">
        <f t="shared" si="79"/>
        <v xml:space="preserve">아코팩
 (APK)                </v>
      </c>
      <c r="B1507" s="387" t="s">
        <v>2826</v>
      </c>
      <c r="C1507" s="243">
        <v>300</v>
      </c>
      <c r="D1507" s="98" t="s">
        <v>3309</v>
      </c>
      <c r="E1507" s="89">
        <v>470000</v>
      </c>
    </row>
    <row r="1508" spans="1:5" ht="15" customHeight="1" x14ac:dyDescent="0.2">
      <c r="A1508" s="685" t="str">
        <f t="shared" si="79"/>
        <v xml:space="preserve">아코팩
 (APK)                </v>
      </c>
      <c r="B1508" s="387" t="s">
        <v>2826</v>
      </c>
      <c r="C1508" s="243">
        <v>350</v>
      </c>
      <c r="D1508" s="98" t="s">
        <v>3309</v>
      </c>
      <c r="E1508" s="89">
        <v>550000</v>
      </c>
    </row>
    <row r="1509" spans="1:5" ht="15" customHeight="1" x14ac:dyDescent="0.2">
      <c r="A1509" s="685" t="str">
        <f t="shared" si="79"/>
        <v xml:space="preserve">아코팩
 (APK)                </v>
      </c>
      <c r="B1509" s="387" t="s">
        <v>2826</v>
      </c>
      <c r="C1509" s="144">
        <v>400</v>
      </c>
      <c r="D1509" s="105" t="s">
        <v>3311</v>
      </c>
      <c r="E1509" s="89">
        <v>625000</v>
      </c>
    </row>
    <row r="1510" spans="1:5" ht="15" customHeight="1" x14ac:dyDescent="0.2">
      <c r="A1510" s="685" t="str">
        <f t="shared" si="79"/>
        <v xml:space="preserve">아코팩
 (APK)                </v>
      </c>
      <c r="B1510" s="95" t="s">
        <v>3312</v>
      </c>
      <c r="C1510" s="143">
        <v>300</v>
      </c>
      <c r="D1510" s="109" t="s">
        <v>3311</v>
      </c>
      <c r="E1510" s="89">
        <v>235000</v>
      </c>
    </row>
    <row r="1511" spans="1:5" ht="15" customHeight="1" x14ac:dyDescent="0.2">
      <c r="A1511" s="685" t="str">
        <f t="shared" si="79"/>
        <v xml:space="preserve">아코팩
 (APK)                </v>
      </c>
      <c r="B1511" s="95" t="s">
        <v>3312</v>
      </c>
      <c r="C1511" s="243">
        <v>350</v>
      </c>
      <c r="D1511" s="98"/>
      <c r="E1511" s="89">
        <v>275000</v>
      </c>
    </row>
    <row r="1512" spans="1:5" ht="15" customHeight="1" x14ac:dyDescent="0.2">
      <c r="A1512" s="685" t="str">
        <f t="shared" si="79"/>
        <v xml:space="preserve">아코팩
 (APK)                </v>
      </c>
      <c r="B1512" s="95" t="s">
        <v>3312</v>
      </c>
      <c r="C1512" s="144">
        <v>400</v>
      </c>
      <c r="D1512" s="105"/>
      <c r="E1512" s="89">
        <v>315000</v>
      </c>
    </row>
    <row r="1513" spans="1:5" ht="15" customHeight="1" x14ac:dyDescent="0.2">
      <c r="A1513" s="685" t="str">
        <f t="shared" si="79"/>
        <v xml:space="preserve">아코팩
 (APK)                </v>
      </c>
      <c r="B1513" s="90" t="s">
        <v>2490</v>
      </c>
      <c r="C1513" s="243">
        <v>80</v>
      </c>
      <c r="D1513" s="98" t="s">
        <v>3311</v>
      </c>
      <c r="E1513" s="89">
        <v>88000</v>
      </c>
    </row>
    <row r="1514" spans="1:5" ht="15" customHeight="1" x14ac:dyDescent="0.2">
      <c r="A1514" s="685" t="str">
        <f t="shared" si="79"/>
        <v xml:space="preserve">아코팩
 (APK)                </v>
      </c>
      <c r="B1514" s="90" t="s">
        <v>2490</v>
      </c>
      <c r="C1514" s="243">
        <v>100</v>
      </c>
      <c r="D1514" s="98" t="s">
        <v>3311</v>
      </c>
      <c r="E1514" s="89">
        <v>109000</v>
      </c>
    </row>
    <row r="1515" spans="1:5" ht="15" customHeight="1" x14ac:dyDescent="0.2">
      <c r="A1515" s="685" t="str">
        <f t="shared" si="79"/>
        <v xml:space="preserve">아코팩
 (APK)                </v>
      </c>
      <c r="B1515" s="90" t="s">
        <v>2490</v>
      </c>
      <c r="C1515" s="243">
        <v>120</v>
      </c>
      <c r="D1515" s="98" t="s">
        <v>3311</v>
      </c>
      <c r="E1515" s="89">
        <v>130000</v>
      </c>
    </row>
    <row r="1516" spans="1:5" ht="15" customHeight="1" x14ac:dyDescent="0.2">
      <c r="A1516" s="685" t="str">
        <f t="shared" si="79"/>
        <v xml:space="preserve">아코팩
 (APK)                </v>
      </c>
      <c r="B1516" s="90" t="s">
        <v>2490</v>
      </c>
      <c r="C1516" s="243">
        <v>140</v>
      </c>
      <c r="D1516" s="98" t="s">
        <v>3311</v>
      </c>
      <c r="E1516" s="89">
        <v>152000</v>
      </c>
    </row>
    <row r="1517" spans="1:5" ht="15" customHeight="1" x14ac:dyDescent="0.2">
      <c r="A1517" s="685" t="str">
        <f t="shared" si="79"/>
        <v xml:space="preserve">아코팩
 (APK)                </v>
      </c>
      <c r="B1517" s="90" t="s">
        <v>2490</v>
      </c>
      <c r="C1517" s="243">
        <v>170</v>
      </c>
      <c r="D1517" s="98" t="s">
        <v>3311</v>
      </c>
      <c r="E1517" s="89">
        <v>185000</v>
      </c>
    </row>
    <row r="1518" spans="1:5" ht="15" customHeight="1" x14ac:dyDescent="0.2">
      <c r="A1518" s="685" t="str">
        <f t="shared" si="79"/>
        <v xml:space="preserve">아코팩
 (APK)                </v>
      </c>
      <c r="B1518" s="90" t="s">
        <v>2490</v>
      </c>
      <c r="C1518" s="243">
        <v>200</v>
      </c>
      <c r="D1518" s="98" t="s">
        <v>3311</v>
      </c>
      <c r="E1518" s="89">
        <v>218000</v>
      </c>
    </row>
    <row r="1519" spans="1:5" ht="15" customHeight="1" x14ac:dyDescent="0.2">
      <c r="A1519" s="685" t="str">
        <f t="shared" si="79"/>
        <v xml:space="preserve">아코팩
 (APK)                </v>
      </c>
      <c r="B1519" s="90" t="s">
        <v>2490</v>
      </c>
      <c r="C1519" s="243">
        <v>250</v>
      </c>
      <c r="D1519" s="98" t="s">
        <v>3311</v>
      </c>
      <c r="E1519" s="89">
        <v>272000</v>
      </c>
    </row>
    <row r="1520" spans="1:5" ht="15" customHeight="1" x14ac:dyDescent="0.2">
      <c r="A1520" s="685" t="str">
        <f t="shared" si="79"/>
        <v xml:space="preserve">아코팩
 (APK)                </v>
      </c>
      <c r="B1520" s="90" t="s">
        <v>2490</v>
      </c>
      <c r="C1520" s="243">
        <v>300</v>
      </c>
      <c r="D1520" s="98" t="s">
        <v>3311</v>
      </c>
      <c r="E1520" s="89">
        <v>325000</v>
      </c>
    </row>
    <row r="1521" spans="1:5" ht="15" customHeight="1" x14ac:dyDescent="0.2">
      <c r="A1521" s="685" t="str">
        <f t="shared" si="79"/>
        <v xml:space="preserve">아코팩
 (APK)                </v>
      </c>
      <c r="B1521" s="90" t="s">
        <v>2490</v>
      </c>
      <c r="C1521" s="144">
        <v>350</v>
      </c>
      <c r="D1521" s="105" t="s">
        <v>3311</v>
      </c>
      <c r="E1521" s="89">
        <v>380000</v>
      </c>
    </row>
    <row r="1522" spans="1:5" ht="15" customHeight="1" x14ac:dyDescent="0.2">
      <c r="A1522" s="685" t="e">
        <f>#REF!</f>
        <v>#REF!</v>
      </c>
      <c r="B1522" s="90" t="s">
        <v>2826</v>
      </c>
      <c r="C1522" s="91">
        <v>200</v>
      </c>
      <c r="D1522" s="98" t="s">
        <v>3313</v>
      </c>
      <c r="E1522" s="89">
        <v>313000</v>
      </c>
    </row>
    <row r="1523" spans="1:5" ht="15" customHeight="1" x14ac:dyDescent="0.2">
      <c r="A1523" s="685" t="e">
        <f t="shared" si="79"/>
        <v>#REF!</v>
      </c>
      <c r="B1523" s="90" t="s">
        <v>2826</v>
      </c>
      <c r="C1523" s="243">
        <v>250</v>
      </c>
      <c r="D1523" s="98" t="s">
        <v>3314</v>
      </c>
      <c r="E1523" s="89">
        <v>395000</v>
      </c>
    </row>
    <row r="1524" spans="1:5" ht="15" customHeight="1" x14ac:dyDescent="0.2">
      <c r="A1524" s="685" t="e">
        <f t="shared" si="79"/>
        <v>#REF!</v>
      </c>
      <c r="B1524" s="90" t="s">
        <v>2826</v>
      </c>
      <c r="C1524" s="243">
        <v>300</v>
      </c>
      <c r="D1524" s="98" t="s">
        <v>3315</v>
      </c>
      <c r="E1524" s="89">
        <v>470000</v>
      </c>
    </row>
    <row r="1525" spans="1:5" ht="15" customHeight="1" x14ac:dyDescent="0.2">
      <c r="A1525" s="685" t="e">
        <f t="shared" si="79"/>
        <v>#REF!</v>
      </c>
      <c r="B1525" s="90" t="s">
        <v>2826</v>
      </c>
      <c r="C1525" s="243">
        <v>350</v>
      </c>
      <c r="D1525" s="98" t="s">
        <v>3316</v>
      </c>
      <c r="E1525" s="89">
        <v>550000</v>
      </c>
    </row>
    <row r="1526" spans="1:5" ht="15" customHeight="1" x14ac:dyDescent="0.2">
      <c r="A1526" s="678" t="e">
        <f t="shared" si="79"/>
        <v>#REF!</v>
      </c>
      <c r="B1526" s="90" t="s">
        <v>2826</v>
      </c>
      <c r="C1526" s="257">
        <v>400</v>
      </c>
      <c r="D1526" s="112" t="s">
        <v>3317</v>
      </c>
      <c r="E1526" s="89">
        <v>625000</v>
      </c>
    </row>
    <row r="1527" spans="1:5" ht="15" customHeight="1" x14ac:dyDescent="0.2">
      <c r="A1527" s="677" t="s">
        <v>3318</v>
      </c>
      <c r="B1527" s="387" t="s">
        <v>2826</v>
      </c>
      <c r="C1527" s="388">
        <v>120</v>
      </c>
      <c r="D1527" s="390" t="s">
        <v>3319</v>
      </c>
      <c r="E1527" s="89">
        <v>165000</v>
      </c>
    </row>
    <row r="1528" spans="1:5" ht="15" customHeight="1" x14ac:dyDescent="0.2">
      <c r="A1528" s="685" t="str">
        <f t="shared" ref="A1528:A1553" si="80">A1527</f>
        <v xml:space="preserve">아코팩2
 (APK2)                </v>
      </c>
      <c r="B1528" s="387" t="s">
        <v>2826</v>
      </c>
      <c r="C1528" s="91">
        <v>140</v>
      </c>
      <c r="D1528" s="98" t="s">
        <v>3320</v>
      </c>
      <c r="E1528" s="89">
        <v>192000</v>
      </c>
    </row>
    <row r="1529" spans="1:5" ht="15" customHeight="1" x14ac:dyDescent="0.2">
      <c r="A1529" s="685" t="str">
        <f t="shared" si="80"/>
        <v xml:space="preserve">아코팩2
 (APK2)                </v>
      </c>
      <c r="B1529" s="387" t="s">
        <v>2826</v>
      </c>
      <c r="C1529" s="91">
        <v>170</v>
      </c>
      <c r="D1529" s="98" t="s">
        <v>3321</v>
      </c>
      <c r="E1529" s="89">
        <v>233000</v>
      </c>
    </row>
    <row r="1530" spans="1:5" ht="15" customHeight="1" x14ac:dyDescent="0.2">
      <c r="A1530" s="685" t="str">
        <f t="shared" si="80"/>
        <v xml:space="preserve">아코팩2
 (APK2)                </v>
      </c>
      <c r="B1530" s="387" t="s">
        <v>2826</v>
      </c>
      <c r="C1530" s="91">
        <v>200</v>
      </c>
      <c r="D1530" s="98" t="s">
        <v>3321</v>
      </c>
      <c r="E1530" s="89">
        <v>275000</v>
      </c>
    </row>
    <row r="1531" spans="1:5" ht="15" customHeight="1" x14ac:dyDescent="0.2">
      <c r="A1531" s="685" t="str">
        <f t="shared" si="80"/>
        <v xml:space="preserve">아코팩2
 (APK2)                </v>
      </c>
      <c r="B1531" s="387" t="s">
        <v>2826</v>
      </c>
      <c r="C1531" s="243">
        <v>250</v>
      </c>
      <c r="D1531" s="98" t="s">
        <v>3321</v>
      </c>
      <c r="E1531" s="89">
        <v>343000</v>
      </c>
    </row>
    <row r="1532" spans="1:5" ht="15" customHeight="1" x14ac:dyDescent="0.2">
      <c r="A1532" s="685" t="str">
        <f t="shared" si="80"/>
        <v xml:space="preserve">아코팩2
 (APK2)                </v>
      </c>
      <c r="B1532" s="387" t="s">
        <v>2826</v>
      </c>
      <c r="C1532" s="243">
        <v>300</v>
      </c>
      <c r="D1532" s="98" t="s">
        <v>3321</v>
      </c>
      <c r="E1532" s="89">
        <v>412000</v>
      </c>
    </row>
    <row r="1533" spans="1:5" ht="15" customHeight="1" x14ac:dyDescent="0.2">
      <c r="A1533" s="685" t="str">
        <f t="shared" si="80"/>
        <v xml:space="preserve">아코팩2
 (APK2)                </v>
      </c>
      <c r="B1533" s="387" t="s">
        <v>2826</v>
      </c>
      <c r="C1533" s="243">
        <v>350</v>
      </c>
      <c r="D1533" s="98" t="s">
        <v>3321</v>
      </c>
      <c r="E1533" s="89">
        <v>482000</v>
      </c>
    </row>
    <row r="1534" spans="1:5" ht="15" customHeight="1" x14ac:dyDescent="0.2">
      <c r="A1534" s="685" t="str">
        <f t="shared" si="80"/>
        <v xml:space="preserve">아코팩2
 (APK2)                </v>
      </c>
      <c r="B1534" s="387" t="s">
        <v>2826</v>
      </c>
      <c r="C1534" s="144">
        <v>400</v>
      </c>
      <c r="D1534" s="105" t="s">
        <v>3322</v>
      </c>
      <c r="E1534" s="89">
        <v>565000</v>
      </c>
    </row>
    <row r="1535" spans="1:5" ht="15" customHeight="1" x14ac:dyDescent="0.2">
      <c r="A1535" s="685" t="str">
        <f t="shared" si="80"/>
        <v xml:space="preserve">아코팩2
 (APK2)                </v>
      </c>
      <c r="B1535" s="95" t="s">
        <v>3312</v>
      </c>
      <c r="C1535" s="143">
        <v>300</v>
      </c>
      <c r="D1535" s="109" t="s">
        <v>3311</v>
      </c>
      <c r="E1535" s="89">
        <v>205000</v>
      </c>
    </row>
    <row r="1536" spans="1:5" ht="15" customHeight="1" x14ac:dyDescent="0.2">
      <c r="A1536" s="685" t="str">
        <f t="shared" si="80"/>
        <v xml:space="preserve">아코팩2
 (APK2)                </v>
      </c>
      <c r="B1536" s="95" t="s">
        <v>3312</v>
      </c>
      <c r="C1536" s="243">
        <v>350</v>
      </c>
      <c r="D1536" s="98"/>
      <c r="E1536" s="89">
        <v>240000</v>
      </c>
    </row>
    <row r="1537" spans="1:5" ht="15" customHeight="1" x14ac:dyDescent="0.2">
      <c r="A1537" s="685" t="str">
        <f t="shared" si="80"/>
        <v xml:space="preserve">아코팩2
 (APK2)                </v>
      </c>
      <c r="B1537" s="95" t="s">
        <v>3312</v>
      </c>
      <c r="C1537" s="144">
        <v>400</v>
      </c>
      <c r="D1537" s="105"/>
      <c r="E1537" s="89">
        <v>281000</v>
      </c>
    </row>
    <row r="1538" spans="1:5" ht="15" customHeight="1" x14ac:dyDescent="0.2">
      <c r="A1538" s="685" t="str">
        <f t="shared" si="80"/>
        <v xml:space="preserve">아코팩2
 (APK2)                </v>
      </c>
      <c r="B1538" s="90" t="s">
        <v>2490</v>
      </c>
      <c r="C1538" s="243">
        <v>80</v>
      </c>
      <c r="D1538" s="98" t="s">
        <v>3323</v>
      </c>
      <c r="E1538" s="89">
        <v>77000</v>
      </c>
    </row>
    <row r="1539" spans="1:5" ht="15" customHeight="1" x14ac:dyDescent="0.2">
      <c r="A1539" s="685" t="str">
        <f t="shared" si="80"/>
        <v xml:space="preserve">아코팩2
 (APK2)                </v>
      </c>
      <c r="B1539" s="90" t="s">
        <v>2490</v>
      </c>
      <c r="C1539" s="243">
        <v>100</v>
      </c>
      <c r="D1539" s="98"/>
      <c r="E1539" s="89">
        <v>96000</v>
      </c>
    </row>
    <row r="1540" spans="1:5" ht="15" customHeight="1" x14ac:dyDescent="0.2">
      <c r="A1540" s="685" t="str">
        <f t="shared" si="80"/>
        <v xml:space="preserve">아코팩2
 (APK2)                </v>
      </c>
      <c r="B1540" s="90" t="s">
        <v>2490</v>
      </c>
      <c r="C1540" s="243">
        <v>120</v>
      </c>
      <c r="D1540" s="98"/>
      <c r="E1540" s="89">
        <v>115000</v>
      </c>
    </row>
    <row r="1541" spans="1:5" ht="15" customHeight="1" x14ac:dyDescent="0.2">
      <c r="A1541" s="685" t="str">
        <f t="shared" si="80"/>
        <v xml:space="preserve">아코팩2
 (APK2)                </v>
      </c>
      <c r="B1541" s="90" t="s">
        <v>2490</v>
      </c>
      <c r="C1541" s="243">
        <v>140</v>
      </c>
      <c r="D1541" s="98"/>
      <c r="E1541" s="89">
        <v>134000</v>
      </c>
    </row>
    <row r="1542" spans="1:5" ht="15" customHeight="1" x14ac:dyDescent="0.2">
      <c r="A1542" s="685" t="str">
        <f t="shared" si="80"/>
        <v xml:space="preserve">아코팩2
 (APK2)                </v>
      </c>
      <c r="B1542" s="90" t="s">
        <v>2490</v>
      </c>
      <c r="C1542" s="243">
        <v>170</v>
      </c>
      <c r="D1542" s="98"/>
      <c r="E1542" s="89">
        <v>162000</v>
      </c>
    </row>
    <row r="1543" spans="1:5" ht="15" customHeight="1" x14ac:dyDescent="0.2">
      <c r="A1543" s="685" t="str">
        <f t="shared" si="80"/>
        <v xml:space="preserve">아코팩2
 (APK2)                </v>
      </c>
      <c r="B1543" s="90" t="s">
        <v>2490</v>
      </c>
      <c r="C1543" s="243">
        <v>200</v>
      </c>
      <c r="D1543" s="98"/>
      <c r="E1543" s="89">
        <v>191000</v>
      </c>
    </row>
    <row r="1544" spans="1:5" ht="15" customHeight="1" x14ac:dyDescent="0.2">
      <c r="A1544" s="685" t="str">
        <f t="shared" si="80"/>
        <v xml:space="preserve">아코팩2
 (APK2)                </v>
      </c>
      <c r="B1544" s="90" t="s">
        <v>2490</v>
      </c>
      <c r="C1544" s="243">
        <v>250</v>
      </c>
      <c r="D1544" s="98"/>
      <c r="E1544" s="89">
        <v>239000</v>
      </c>
    </row>
    <row r="1545" spans="1:5" ht="15" customHeight="1" x14ac:dyDescent="0.2">
      <c r="A1545" s="685" t="str">
        <f t="shared" si="80"/>
        <v xml:space="preserve">아코팩2
 (APK2)                </v>
      </c>
      <c r="B1545" s="90" t="s">
        <v>2490</v>
      </c>
      <c r="C1545" s="243">
        <v>300</v>
      </c>
      <c r="D1545" s="98"/>
      <c r="E1545" s="89">
        <v>286000</v>
      </c>
    </row>
    <row r="1546" spans="1:5" ht="15" customHeight="1" x14ac:dyDescent="0.2">
      <c r="A1546" s="685" t="str">
        <f t="shared" si="80"/>
        <v xml:space="preserve">아코팩2
 (APK2)                </v>
      </c>
      <c r="B1546" s="90" t="s">
        <v>2490</v>
      </c>
      <c r="C1546" s="144">
        <v>350</v>
      </c>
      <c r="D1546" s="105"/>
      <c r="E1546" s="89">
        <v>335000</v>
      </c>
    </row>
    <row r="1547" spans="1:5" ht="15" customHeight="1" x14ac:dyDescent="0.2">
      <c r="A1547" s="685" t="str">
        <f t="shared" si="80"/>
        <v xml:space="preserve">아코팩2
 (APK2)                </v>
      </c>
      <c r="B1547" s="90" t="s">
        <v>2826</v>
      </c>
      <c r="C1547" s="91">
        <v>120</v>
      </c>
      <c r="D1547" s="98" t="s">
        <v>3324</v>
      </c>
      <c r="E1547" s="89">
        <v>165000</v>
      </c>
    </row>
    <row r="1548" spans="1:5" ht="15" customHeight="1" x14ac:dyDescent="0.2">
      <c r="A1548" s="685" t="str">
        <f t="shared" si="80"/>
        <v xml:space="preserve">아코팩2
 (APK2)                </v>
      </c>
      <c r="B1548" s="90" t="s">
        <v>2826</v>
      </c>
      <c r="C1548" s="91">
        <v>170</v>
      </c>
      <c r="D1548" s="98" t="s">
        <v>1868</v>
      </c>
      <c r="E1548" s="89">
        <v>233000</v>
      </c>
    </row>
    <row r="1549" spans="1:5" ht="15" customHeight="1" x14ac:dyDescent="0.2">
      <c r="A1549" s="685" t="str">
        <f t="shared" si="80"/>
        <v xml:space="preserve">아코팩2
 (APK2)                </v>
      </c>
      <c r="B1549" s="90" t="s">
        <v>2826</v>
      </c>
      <c r="C1549" s="91">
        <v>200</v>
      </c>
      <c r="D1549" s="98" t="s">
        <v>1868</v>
      </c>
      <c r="E1549" s="89">
        <v>275000</v>
      </c>
    </row>
    <row r="1550" spans="1:5" ht="15" customHeight="1" x14ac:dyDescent="0.2">
      <c r="A1550" s="685" t="str">
        <f t="shared" si="80"/>
        <v xml:space="preserve">아코팩2
 (APK2)                </v>
      </c>
      <c r="B1550" s="90" t="s">
        <v>2826</v>
      </c>
      <c r="C1550" s="243">
        <v>250</v>
      </c>
      <c r="D1550" s="98" t="s">
        <v>1868</v>
      </c>
      <c r="E1550" s="89">
        <v>343000</v>
      </c>
    </row>
    <row r="1551" spans="1:5" ht="15" customHeight="1" x14ac:dyDescent="0.2">
      <c r="A1551" s="685" t="str">
        <f t="shared" si="80"/>
        <v xml:space="preserve">아코팩2
 (APK2)                </v>
      </c>
      <c r="B1551" s="90" t="s">
        <v>2826</v>
      </c>
      <c r="C1551" s="243">
        <v>300</v>
      </c>
      <c r="D1551" s="98"/>
      <c r="E1551" s="89">
        <v>412000</v>
      </c>
    </row>
    <row r="1552" spans="1:5" ht="15" customHeight="1" x14ac:dyDescent="0.2">
      <c r="A1552" s="685" t="str">
        <f t="shared" si="80"/>
        <v xml:space="preserve">아코팩2
 (APK2)                </v>
      </c>
      <c r="B1552" s="90" t="s">
        <v>2826</v>
      </c>
      <c r="C1552" s="243">
        <v>350</v>
      </c>
      <c r="D1552" s="98"/>
      <c r="E1552" s="89">
        <v>482000</v>
      </c>
    </row>
    <row r="1553" spans="1:5" ht="15" customHeight="1" x14ac:dyDescent="0.2">
      <c r="A1553" s="678" t="str">
        <f t="shared" si="80"/>
        <v xml:space="preserve">아코팩2
 (APK2)                </v>
      </c>
      <c r="B1553" s="90" t="s">
        <v>2826</v>
      </c>
      <c r="C1553" s="257">
        <v>410</v>
      </c>
      <c r="D1553" s="112"/>
      <c r="E1553" s="89">
        <v>575000</v>
      </c>
    </row>
    <row r="1554" spans="1:5" ht="15" customHeight="1" x14ac:dyDescent="0.2">
      <c r="A1554" s="685" t="s">
        <v>3325</v>
      </c>
      <c r="B1554" s="90" t="s">
        <v>2826</v>
      </c>
      <c r="C1554" s="91">
        <v>250</v>
      </c>
      <c r="D1554" s="98" t="s">
        <v>3326</v>
      </c>
      <c r="E1554" s="89">
        <v>395000</v>
      </c>
    </row>
    <row r="1555" spans="1:5" ht="15" customHeight="1" x14ac:dyDescent="0.2">
      <c r="A1555" s="685" t="str">
        <f t="shared" ref="A1555:A1561" si="81">A1554</f>
        <v>아코팩 리사이클
100% (APKR)</v>
      </c>
      <c r="B1555" s="90" t="s">
        <v>2826</v>
      </c>
      <c r="C1555" s="243">
        <v>300</v>
      </c>
      <c r="D1555" s="98" t="s">
        <v>3327</v>
      </c>
      <c r="E1555" s="89">
        <v>470000</v>
      </c>
    </row>
    <row r="1556" spans="1:5" ht="15" customHeight="1" x14ac:dyDescent="0.2">
      <c r="A1556" s="685" t="str">
        <f t="shared" si="81"/>
        <v>아코팩 리사이클
100% (APKR)</v>
      </c>
      <c r="B1556" s="90" t="s">
        <v>2826</v>
      </c>
      <c r="C1556" s="243">
        <v>350</v>
      </c>
      <c r="D1556" s="98" t="s">
        <v>3328</v>
      </c>
      <c r="E1556" s="89">
        <v>550000</v>
      </c>
    </row>
    <row r="1557" spans="1:5" ht="15" customHeight="1" x14ac:dyDescent="0.2">
      <c r="A1557" s="685" t="str">
        <f t="shared" si="81"/>
        <v>아코팩 리사이클
100% (APKR)</v>
      </c>
      <c r="B1557" s="90" t="s">
        <v>2826</v>
      </c>
      <c r="C1557" s="144">
        <v>400</v>
      </c>
      <c r="D1557" s="105" t="s">
        <v>3329</v>
      </c>
      <c r="E1557" s="89">
        <v>625000</v>
      </c>
    </row>
    <row r="1558" spans="1:5" ht="15" customHeight="1" x14ac:dyDescent="0.2">
      <c r="A1558" s="685"/>
      <c r="B1558" s="391" t="s">
        <v>3330</v>
      </c>
      <c r="C1558" s="392">
        <v>350</v>
      </c>
      <c r="D1558" s="393" t="s">
        <v>3331</v>
      </c>
      <c r="E1558" s="89">
        <v>275000</v>
      </c>
    </row>
    <row r="1559" spans="1:5" ht="15" customHeight="1" x14ac:dyDescent="0.2">
      <c r="A1559" s="685" t="str">
        <f>A1557</f>
        <v>아코팩 리사이클
100% (APKR)</v>
      </c>
      <c r="B1559" s="90" t="s">
        <v>2743</v>
      </c>
      <c r="C1559" s="243">
        <v>250</v>
      </c>
      <c r="D1559" s="98" t="s">
        <v>3332</v>
      </c>
      <c r="E1559" s="89">
        <v>272000</v>
      </c>
    </row>
    <row r="1560" spans="1:5" ht="15" customHeight="1" x14ac:dyDescent="0.2">
      <c r="A1560" s="685" t="str">
        <f t="shared" si="81"/>
        <v>아코팩 리사이클
100% (APKR)</v>
      </c>
      <c r="B1560" s="90" t="s">
        <v>2743</v>
      </c>
      <c r="C1560" s="243">
        <v>300</v>
      </c>
      <c r="D1560" s="98" t="s">
        <v>3333</v>
      </c>
      <c r="E1560" s="89">
        <v>325000</v>
      </c>
    </row>
    <row r="1561" spans="1:5" ht="15" customHeight="1" x14ac:dyDescent="0.2">
      <c r="A1561" s="685" t="str">
        <f t="shared" si="81"/>
        <v>아코팩 리사이클
100% (APKR)</v>
      </c>
      <c r="B1561" s="90" t="s">
        <v>2743</v>
      </c>
      <c r="C1561" s="243">
        <v>350</v>
      </c>
      <c r="D1561" s="98" t="s">
        <v>3334</v>
      </c>
      <c r="E1561" s="89">
        <v>380000</v>
      </c>
    </row>
    <row r="1562" spans="1:5" ht="15" customHeight="1" thickBot="1" x14ac:dyDescent="0.25">
      <c r="A1562" s="695" t="s">
        <v>3335</v>
      </c>
      <c r="B1562" s="394" t="s">
        <v>2826</v>
      </c>
      <c r="C1562" s="395">
        <v>330</v>
      </c>
      <c r="D1562" s="396" t="s">
        <v>3336</v>
      </c>
      <c r="E1562" s="89">
        <v>640000</v>
      </c>
    </row>
    <row r="1563" spans="1:5" ht="15" customHeight="1" x14ac:dyDescent="0.2">
      <c r="A1563" s="722" t="str">
        <f>A1562</f>
        <v>아코프린트 1
(APT-계약공급)</v>
      </c>
      <c r="B1563" s="394" t="s">
        <v>2826</v>
      </c>
      <c r="C1563" s="111">
        <v>350</v>
      </c>
      <c r="D1563" s="112" t="s">
        <v>1868</v>
      </c>
      <c r="E1563" s="89">
        <v>680000</v>
      </c>
    </row>
    <row r="1564" spans="1:5" ht="15" customHeight="1" x14ac:dyDescent="0.2">
      <c r="A1564" s="693" t="s">
        <v>3337</v>
      </c>
      <c r="B1564" s="397" t="s">
        <v>2826</v>
      </c>
      <c r="C1564" s="395">
        <v>70</v>
      </c>
      <c r="D1564" s="398" t="s">
        <v>3338</v>
      </c>
      <c r="E1564" s="89">
        <v>127000</v>
      </c>
    </row>
    <row r="1565" spans="1:5" ht="15" customHeight="1" x14ac:dyDescent="0.2">
      <c r="A1565" s="682" t="str">
        <f t="shared" ref="A1565:A1576" si="82">A1564</f>
        <v>아코프린트 1.5
(APT2)</v>
      </c>
      <c r="B1565" s="397" t="s">
        <v>2826</v>
      </c>
      <c r="C1565" s="91">
        <v>85</v>
      </c>
      <c r="D1565" s="400"/>
      <c r="E1565" s="89">
        <v>154000</v>
      </c>
    </row>
    <row r="1566" spans="1:5" ht="15" customHeight="1" x14ac:dyDescent="0.2">
      <c r="A1566" s="682" t="str">
        <f t="shared" si="82"/>
        <v>아코프린트 1.5
(APT2)</v>
      </c>
      <c r="B1566" s="397" t="s">
        <v>2826</v>
      </c>
      <c r="C1566" s="91">
        <v>100</v>
      </c>
      <c r="D1566" s="400"/>
      <c r="E1566" s="89">
        <v>181000</v>
      </c>
    </row>
    <row r="1567" spans="1:5" ht="15" customHeight="1" x14ac:dyDescent="0.2">
      <c r="A1567" s="682" t="str">
        <f t="shared" si="82"/>
        <v>아코프린트 1.5
(APT2)</v>
      </c>
      <c r="B1567" s="397" t="s">
        <v>2826</v>
      </c>
      <c r="C1567" s="91">
        <v>120</v>
      </c>
      <c r="D1567" s="400"/>
      <c r="E1567" s="89">
        <v>219000</v>
      </c>
    </row>
    <row r="1568" spans="1:5" ht="15" customHeight="1" x14ac:dyDescent="0.2">
      <c r="A1568" s="682" t="str">
        <f t="shared" si="82"/>
        <v>아코프린트 1.5
(APT2)</v>
      </c>
      <c r="B1568" s="397" t="s">
        <v>2826</v>
      </c>
      <c r="C1568" s="91">
        <v>150</v>
      </c>
      <c r="D1568" s="400"/>
      <c r="E1568" s="89">
        <v>272000</v>
      </c>
    </row>
    <row r="1569" spans="1:5" ht="15" customHeight="1" x14ac:dyDescent="0.2">
      <c r="A1569" s="682" t="str">
        <f t="shared" si="82"/>
        <v>아코프린트 1.5
(APT2)</v>
      </c>
      <c r="B1569" s="397" t="s">
        <v>2826</v>
      </c>
      <c r="C1569" s="91">
        <v>200</v>
      </c>
      <c r="D1569" s="400"/>
      <c r="E1569" s="89">
        <v>362000</v>
      </c>
    </row>
    <row r="1570" spans="1:5" ht="15" customHeight="1" x14ac:dyDescent="0.2">
      <c r="A1570" s="682" t="str">
        <f t="shared" si="82"/>
        <v>아코프린트 1.5
(APT2)</v>
      </c>
      <c r="B1570" s="397" t="s">
        <v>2826</v>
      </c>
      <c r="C1570" s="99">
        <v>300</v>
      </c>
      <c r="D1570" s="401"/>
      <c r="E1570" s="89">
        <v>545000</v>
      </c>
    </row>
    <row r="1571" spans="1:5" ht="15" customHeight="1" x14ac:dyDescent="0.2">
      <c r="A1571" s="682" t="str">
        <f t="shared" si="82"/>
        <v>아코프린트 1.5
(APT2)</v>
      </c>
      <c r="B1571" s="399" t="s">
        <v>2490</v>
      </c>
      <c r="C1571" s="91">
        <v>70</v>
      </c>
      <c r="D1571" s="400" t="s">
        <v>3338</v>
      </c>
      <c r="E1571" s="89">
        <v>88000</v>
      </c>
    </row>
    <row r="1572" spans="1:5" ht="15" customHeight="1" x14ac:dyDescent="0.2">
      <c r="A1572" s="682" t="str">
        <f t="shared" si="82"/>
        <v>아코프린트 1.5
(APT2)</v>
      </c>
      <c r="B1572" s="399" t="s">
        <v>2490</v>
      </c>
      <c r="C1572" s="91">
        <v>85</v>
      </c>
      <c r="D1572" s="400"/>
      <c r="E1572" s="89">
        <v>107000</v>
      </c>
    </row>
    <row r="1573" spans="1:5" ht="15" customHeight="1" x14ac:dyDescent="0.2">
      <c r="A1573" s="682" t="str">
        <f t="shared" si="82"/>
        <v>아코프린트 1.5
(APT2)</v>
      </c>
      <c r="B1573" s="399" t="s">
        <v>2490</v>
      </c>
      <c r="C1573" s="91">
        <v>100</v>
      </c>
      <c r="D1573" s="400"/>
      <c r="E1573" s="89">
        <v>126000</v>
      </c>
    </row>
    <row r="1574" spans="1:5" ht="15" customHeight="1" x14ac:dyDescent="0.2">
      <c r="A1574" s="682" t="str">
        <f t="shared" si="82"/>
        <v>아코프린트 1.5
(APT2)</v>
      </c>
      <c r="B1574" s="399" t="s">
        <v>2490</v>
      </c>
      <c r="C1574" s="91">
        <v>120</v>
      </c>
      <c r="D1574" s="400"/>
      <c r="E1574" s="89">
        <v>151000</v>
      </c>
    </row>
    <row r="1575" spans="1:5" ht="15" customHeight="1" x14ac:dyDescent="0.2">
      <c r="A1575" s="682" t="str">
        <f t="shared" si="82"/>
        <v>아코프린트 1.5
(APT2)</v>
      </c>
      <c r="B1575" s="399" t="s">
        <v>2490</v>
      </c>
      <c r="C1575" s="91">
        <v>150</v>
      </c>
      <c r="D1575" s="400"/>
      <c r="E1575" s="89">
        <v>189000</v>
      </c>
    </row>
    <row r="1576" spans="1:5" ht="15" customHeight="1" x14ac:dyDescent="0.2">
      <c r="A1576" s="683" t="str">
        <f t="shared" si="82"/>
        <v>아코프린트 1.5
(APT2)</v>
      </c>
      <c r="B1576" s="399" t="s">
        <v>2490</v>
      </c>
      <c r="C1576" s="111">
        <v>200</v>
      </c>
      <c r="D1576" s="402"/>
      <c r="E1576" s="89">
        <v>253000</v>
      </c>
    </row>
    <row r="1577" spans="1:5" ht="15" customHeight="1" x14ac:dyDescent="0.2">
      <c r="A1577" s="696" t="s">
        <v>3339</v>
      </c>
      <c r="B1577" s="90" t="s">
        <v>1857</v>
      </c>
      <c r="C1577" s="91">
        <v>120</v>
      </c>
      <c r="D1577" s="98" t="s">
        <v>3340</v>
      </c>
      <c r="E1577" s="89">
        <v>319000</v>
      </c>
    </row>
    <row r="1578" spans="1:5" ht="15" customHeight="1" x14ac:dyDescent="0.2">
      <c r="A1578" s="696" t="str">
        <f t="shared" ref="A1578:A1582" si="83">A1577</f>
        <v xml:space="preserve">아큐렐로
(AQ) </v>
      </c>
      <c r="B1578" s="90" t="s">
        <v>1857</v>
      </c>
      <c r="C1578" s="91">
        <v>200</v>
      </c>
      <c r="D1578" s="98"/>
      <c r="E1578" s="89">
        <v>535000</v>
      </c>
    </row>
    <row r="1579" spans="1:5" ht="15" customHeight="1" x14ac:dyDescent="0.2">
      <c r="A1579" s="696" t="str">
        <f t="shared" si="83"/>
        <v xml:space="preserve">아큐렐로
(AQ) </v>
      </c>
      <c r="B1579" s="90" t="s">
        <v>1857</v>
      </c>
      <c r="C1579" s="91">
        <v>240</v>
      </c>
      <c r="D1579" s="98"/>
      <c r="E1579" s="89">
        <v>640000</v>
      </c>
    </row>
    <row r="1580" spans="1:5" ht="15" customHeight="1" x14ac:dyDescent="0.2">
      <c r="A1580" s="696" t="str">
        <f t="shared" si="83"/>
        <v xml:space="preserve">아큐렐로
(AQ) </v>
      </c>
      <c r="B1580" s="90" t="s">
        <v>1857</v>
      </c>
      <c r="C1580" s="91">
        <v>300</v>
      </c>
      <c r="D1580" s="98"/>
      <c r="E1580" s="89">
        <v>800000</v>
      </c>
    </row>
    <row r="1581" spans="1:5" ht="15" customHeight="1" x14ac:dyDescent="0.2">
      <c r="A1581" s="696" t="str">
        <f t="shared" si="83"/>
        <v xml:space="preserve">아큐렐로
(AQ) </v>
      </c>
      <c r="B1581" s="90" t="s">
        <v>1857</v>
      </c>
      <c r="C1581" s="91">
        <v>390</v>
      </c>
      <c r="D1581" s="98"/>
      <c r="E1581" s="89">
        <v>1040000</v>
      </c>
    </row>
    <row r="1582" spans="1:5" ht="15" customHeight="1" x14ac:dyDescent="0.2">
      <c r="A1582" s="696" t="str">
        <f t="shared" si="83"/>
        <v xml:space="preserve">아큐렐로
(AQ) </v>
      </c>
      <c r="B1582" s="403" t="s">
        <v>3341</v>
      </c>
      <c r="C1582" s="404">
        <v>200</v>
      </c>
      <c r="D1582" s="177" t="s">
        <v>3342</v>
      </c>
      <c r="E1582" s="89">
        <v>280000</v>
      </c>
    </row>
    <row r="1583" spans="1:5" ht="15" customHeight="1" x14ac:dyDescent="0.2">
      <c r="A1583" s="688" t="s">
        <v>3343</v>
      </c>
      <c r="B1583" s="90" t="s">
        <v>2010</v>
      </c>
      <c r="C1583" s="91">
        <v>270</v>
      </c>
      <c r="D1583" s="119" t="s">
        <v>3344</v>
      </c>
      <c r="E1583" s="89">
        <v>310000</v>
      </c>
    </row>
    <row r="1584" spans="1:5" ht="15" customHeight="1" x14ac:dyDescent="0.2">
      <c r="A1584" s="688" t="str">
        <f t="shared" ref="A1584:A1596" si="84">A1583</f>
        <v>알그로 디자인
( ALD )</v>
      </c>
      <c r="B1584" s="90" t="s">
        <v>2010</v>
      </c>
      <c r="C1584" s="91">
        <v>300</v>
      </c>
      <c r="D1584" s="119" t="s">
        <v>3345</v>
      </c>
      <c r="E1584" s="89">
        <v>445000</v>
      </c>
    </row>
    <row r="1585" spans="1:5" ht="15" customHeight="1" x14ac:dyDescent="0.2">
      <c r="A1585" s="688" t="str">
        <f t="shared" si="84"/>
        <v>알그로 디자인
( ALD )</v>
      </c>
      <c r="B1585" s="90" t="s">
        <v>2010</v>
      </c>
      <c r="C1585" s="91" t="s">
        <v>1868</v>
      </c>
      <c r="D1585" s="98" t="s">
        <v>3346</v>
      </c>
      <c r="E1585" s="89">
        <v>350000</v>
      </c>
    </row>
    <row r="1586" spans="1:5" ht="15" customHeight="1" x14ac:dyDescent="0.2">
      <c r="A1586" s="688" t="str">
        <f t="shared" si="84"/>
        <v>알그로 디자인
( ALD )</v>
      </c>
      <c r="B1586" s="90" t="s">
        <v>2010</v>
      </c>
      <c r="C1586" s="91">
        <v>330</v>
      </c>
      <c r="D1586" s="119" t="s">
        <v>3347</v>
      </c>
      <c r="E1586" s="89">
        <v>450000</v>
      </c>
    </row>
    <row r="1587" spans="1:5" ht="15" customHeight="1" x14ac:dyDescent="0.2">
      <c r="A1587" s="688" t="str">
        <f t="shared" si="84"/>
        <v>알그로 디자인
( ALD )</v>
      </c>
      <c r="B1587" s="90" t="s">
        <v>2010</v>
      </c>
      <c r="C1587" s="91" t="s">
        <v>1868</v>
      </c>
      <c r="D1587" s="119" t="s">
        <v>2053</v>
      </c>
      <c r="E1587" s="89">
        <v>485000</v>
      </c>
    </row>
    <row r="1588" spans="1:5" ht="15" customHeight="1" x14ac:dyDescent="0.2">
      <c r="A1588" s="688" t="str">
        <f t="shared" si="84"/>
        <v>알그로 디자인
( ALD )</v>
      </c>
      <c r="B1588" s="90" t="s">
        <v>2010</v>
      </c>
      <c r="C1588" s="91">
        <v>350</v>
      </c>
      <c r="D1588" s="98" t="s">
        <v>3348</v>
      </c>
      <c r="E1588" s="89">
        <v>475000</v>
      </c>
    </row>
    <row r="1589" spans="1:5" ht="15" customHeight="1" x14ac:dyDescent="0.2">
      <c r="A1589" s="688" t="str">
        <f t="shared" si="84"/>
        <v>알그로 디자인
( ALD )</v>
      </c>
      <c r="B1589" s="90" t="s">
        <v>2010</v>
      </c>
      <c r="C1589" s="91" t="s">
        <v>1868</v>
      </c>
      <c r="D1589" s="119" t="s">
        <v>3349</v>
      </c>
      <c r="E1589" s="89">
        <v>520000</v>
      </c>
    </row>
    <row r="1590" spans="1:5" ht="15" customHeight="1" x14ac:dyDescent="0.2">
      <c r="A1590" s="688" t="str">
        <f t="shared" si="84"/>
        <v>알그로 디자인
( ALD )</v>
      </c>
      <c r="B1590" s="90" t="s">
        <v>2010</v>
      </c>
      <c r="C1590" s="99">
        <v>400</v>
      </c>
      <c r="D1590" s="405" t="s">
        <v>3350</v>
      </c>
      <c r="E1590" s="89">
        <v>475000</v>
      </c>
    </row>
    <row r="1591" spans="1:5" ht="15" customHeight="1" x14ac:dyDescent="0.2">
      <c r="A1591" s="688" t="str">
        <f t="shared" si="84"/>
        <v>알그로 디자인
( ALD )</v>
      </c>
      <c r="B1591" s="90" t="s">
        <v>3351</v>
      </c>
      <c r="C1591" s="91">
        <v>300</v>
      </c>
      <c r="D1591" s="98" t="s">
        <v>3352</v>
      </c>
      <c r="E1591" s="89">
        <v>245000</v>
      </c>
    </row>
    <row r="1592" spans="1:5" ht="15" customHeight="1" x14ac:dyDescent="0.2">
      <c r="A1592" s="688" t="str">
        <f t="shared" si="84"/>
        <v>알그로 디자인
( ALD )</v>
      </c>
      <c r="B1592" s="90" t="s">
        <v>3351</v>
      </c>
      <c r="C1592" s="91">
        <v>330</v>
      </c>
      <c r="D1592" s="119" t="s">
        <v>3353</v>
      </c>
      <c r="E1592" s="89">
        <v>265000</v>
      </c>
    </row>
    <row r="1593" spans="1:5" ht="15" customHeight="1" x14ac:dyDescent="0.2">
      <c r="A1593" s="688" t="str">
        <f t="shared" si="84"/>
        <v>알그로 디자인
( ALD )</v>
      </c>
      <c r="B1593" s="90" t="s">
        <v>3351</v>
      </c>
      <c r="C1593" s="91" t="s">
        <v>1868</v>
      </c>
      <c r="D1593" s="119" t="s">
        <v>3354</v>
      </c>
      <c r="E1593" s="89">
        <v>335000</v>
      </c>
    </row>
    <row r="1594" spans="1:5" ht="15" customHeight="1" x14ac:dyDescent="0.2">
      <c r="A1594" s="688" t="str">
        <f t="shared" si="84"/>
        <v>알그로 디자인
( ALD )</v>
      </c>
      <c r="B1594" s="90" t="s">
        <v>3351</v>
      </c>
      <c r="C1594" s="91">
        <v>350</v>
      </c>
      <c r="D1594" s="119" t="s">
        <v>3355</v>
      </c>
      <c r="E1594" s="89">
        <v>285000</v>
      </c>
    </row>
    <row r="1595" spans="1:5" ht="15" customHeight="1" x14ac:dyDescent="0.2">
      <c r="A1595" s="688" t="str">
        <f t="shared" si="84"/>
        <v>알그로 디자인
( ALD )</v>
      </c>
      <c r="B1595" s="90" t="s">
        <v>3351</v>
      </c>
      <c r="C1595" s="99" t="s">
        <v>1868</v>
      </c>
      <c r="D1595" s="405" t="s">
        <v>3356</v>
      </c>
      <c r="E1595" s="89">
        <v>355000</v>
      </c>
    </row>
    <row r="1596" spans="1:5" ht="15" customHeight="1" x14ac:dyDescent="0.2">
      <c r="A1596" s="678" t="str">
        <f t="shared" si="84"/>
        <v>알그로 디자인
( ALD )</v>
      </c>
      <c r="B1596" s="110" t="s">
        <v>3357</v>
      </c>
      <c r="C1596" s="111" t="s">
        <v>1868</v>
      </c>
      <c r="D1596" s="112"/>
      <c r="E1596" s="89" t="s">
        <v>2008</v>
      </c>
    </row>
    <row r="1597" spans="1:5" ht="14.45" customHeight="1" x14ac:dyDescent="0.2">
      <c r="A1597" s="677" t="s">
        <v>3358</v>
      </c>
      <c r="B1597" s="406" t="s">
        <v>2837</v>
      </c>
      <c r="C1597" s="91">
        <v>125</v>
      </c>
      <c r="D1597" s="98" t="s">
        <v>3359</v>
      </c>
      <c r="E1597" s="89">
        <v>1025000</v>
      </c>
    </row>
    <row r="1598" spans="1:5" ht="14.45" customHeight="1" x14ac:dyDescent="0.2">
      <c r="A1598" s="686" t="str">
        <f t="shared" ref="A1598:A1607" si="85">A1597</f>
        <v>어반(UBA)</v>
      </c>
      <c r="B1598" s="406" t="s">
        <v>2837</v>
      </c>
      <c r="C1598" s="91"/>
      <c r="D1598" s="98" t="s">
        <v>3360</v>
      </c>
      <c r="E1598" s="89">
        <v>900000</v>
      </c>
    </row>
    <row r="1599" spans="1:5" ht="14.45" customHeight="1" x14ac:dyDescent="0.2">
      <c r="A1599" s="686" t="str">
        <f t="shared" si="85"/>
        <v>어반(UBA)</v>
      </c>
      <c r="B1599" s="406" t="s">
        <v>2837</v>
      </c>
      <c r="C1599" s="91"/>
      <c r="D1599" s="98" t="s">
        <v>3361</v>
      </c>
      <c r="E1599" s="89">
        <v>1200000</v>
      </c>
    </row>
    <row r="1600" spans="1:5" ht="14.45" customHeight="1" x14ac:dyDescent="0.2">
      <c r="A1600" s="686" t="str">
        <f t="shared" si="85"/>
        <v>어반(UBA)</v>
      </c>
      <c r="B1600" s="406" t="s">
        <v>2837</v>
      </c>
      <c r="C1600" s="91"/>
      <c r="D1600" s="98" t="s">
        <v>3362</v>
      </c>
      <c r="E1600" s="89">
        <v>925000</v>
      </c>
    </row>
    <row r="1601" spans="1:5" ht="14.45" customHeight="1" x14ac:dyDescent="0.2">
      <c r="A1601" s="686" t="str">
        <f t="shared" si="85"/>
        <v>어반(UBA)</v>
      </c>
      <c r="B1601" s="406" t="s">
        <v>2837</v>
      </c>
      <c r="C1601" s="99"/>
      <c r="D1601" s="105" t="s">
        <v>3363</v>
      </c>
      <c r="E1601" s="89">
        <v>925000</v>
      </c>
    </row>
    <row r="1602" spans="1:5" ht="14.45" customHeight="1" x14ac:dyDescent="0.2">
      <c r="A1602" s="686" t="str">
        <f t="shared" si="85"/>
        <v>어반(UBA)</v>
      </c>
      <c r="B1602" s="406" t="s">
        <v>2837</v>
      </c>
      <c r="C1602" s="91">
        <v>250</v>
      </c>
      <c r="D1602" s="98" t="s">
        <v>3364</v>
      </c>
      <c r="E1602" s="89">
        <v>2050000</v>
      </c>
    </row>
    <row r="1603" spans="1:5" ht="14.45" customHeight="1" x14ac:dyDescent="0.2">
      <c r="A1603" s="686" t="str">
        <f t="shared" si="85"/>
        <v>어반(UBA)</v>
      </c>
      <c r="B1603" s="406" t="s">
        <v>2837</v>
      </c>
      <c r="C1603" s="99"/>
      <c r="D1603" s="105" t="s">
        <v>3365</v>
      </c>
      <c r="E1603" s="89">
        <v>2150000</v>
      </c>
    </row>
    <row r="1604" spans="1:5" ht="14.45" customHeight="1" x14ac:dyDescent="0.2">
      <c r="A1604" s="686" t="str">
        <f t="shared" si="85"/>
        <v>어반(UBA)</v>
      </c>
      <c r="B1604" s="406" t="s">
        <v>2837</v>
      </c>
      <c r="C1604" s="91">
        <v>310</v>
      </c>
      <c r="D1604" s="98" t="s">
        <v>3366</v>
      </c>
      <c r="E1604" s="89">
        <v>2525000</v>
      </c>
    </row>
    <row r="1605" spans="1:5" ht="14.45" customHeight="1" x14ac:dyDescent="0.2">
      <c r="A1605" s="686" t="str">
        <f t="shared" si="85"/>
        <v>어반(UBA)</v>
      </c>
      <c r="B1605" s="406" t="s">
        <v>2837</v>
      </c>
      <c r="C1605" s="91"/>
      <c r="D1605" s="98" t="s">
        <v>3367</v>
      </c>
      <c r="E1605" s="89">
        <v>3425000</v>
      </c>
    </row>
    <row r="1606" spans="1:5" ht="14.45" customHeight="1" x14ac:dyDescent="0.2">
      <c r="A1606" s="686" t="str">
        <f t="shared" si="85"/>
        <v>어반(UBA)</v>
      </c>
      <c r="B1606" s="406" t="s">
        <v>2837</v>
      </c>
      <c r="C1606" s="91"/>
      <c r="D1606" s="98" t="s">
        <v>3368</v>
      </c>
      <c r="E1606" s="89">
        <v>2675000</v>
      </c>
    </row>
    <row r="1607" spans="1:5" ht="14.45" customHeight="1" x14ac:dyDescent="0.2">
      <c r="A1607" s="707" t="str">
        <f t="shared" si="85"/>
        <v>어반(UBA)</v>
      </c>
      <c r="B1607" s="406" t="s">
        <v>2837</v>
      </c>
      <c r="C1607" s="106"/>
      <c r="D1607" s="107" t="s">
        <v>2902</v>
      </c>
      <c r="E1607" s="89">
        <v>3600000</v>
      </c>
    </row>
    <row r="1608" spans="1:5" s="218" customFormat="1" ht="14.45" customHeight="1" x14ac:dyDescent="0.3">
      <c r="A1608" s="685" t="s">
        <v>3369</v>
      </c>
      <c r="B1608" s="406" t="s">
        <v>3370</v>
      </c>
      <c r="C1608" s="395" t="s">
        <v>1941</v>
      </c>
      <c r="D1608" s="396" t="s">
        <v>3371</v>
      </c>
      <c r="E1608" s="218" t="s">
        <v>4369</v>
      </c>
    </row>
    <row r="1609" spans="1:5" s="218" customFormat="1" ht="14.45" customHeight="1" x14ac:dyDescent="0.3">
      <c r="A1609" s="685" t="str">
        <f t="shared" ref="A1609:A1672" si="86">A1608</f>
        <v>얼스팩(EAP)
계약품목(g/㎡)
Offset : 90,263
PVP C1S : 245,310
Kit 7 : 207,270</v>
      </c>
      <c r="B1609" s="118" t="s">
        <v>3372</v>
      </c>
      <c r="C1609" s="91" t="s">
        <v>1941</v>
      </c>
      <c r="D1609" s="98" t="s">
        <v>1868</v>
      </c>
      <c r="E1609" s="218" t="s">
        <v>4369</v>
      </c>
    </row>
    <row r="1610" spans="1:5" s="218" customFormat="1" ht="14.45" customHeight="1" x14ac:dyDescent="0.3">
      <c r="A1610" s="685" t="str">
        <f t="shared" si="86"/>
        <v>얼스팩(EAP)
계약품목(g/㎡)
Offset : 90,263
PVP C1S : 245,310
Kit 7 : 207,270</v>
      </c>
      <c r="B1610" s="118" t="s">
        <v>3373</v>
      </c>
      <c r="C1610" s="91">
        <v>295</v>
      </c>
      <c r="D1610" s="92" t="s">
        <v>1937</v>
      </c>
      <c r="E1610" s="218">
        <v>260000</v>
      </c>
    </row>
    <row r="1611" spans="1:5" s="218" customFormat="1" ht="14.45" customHeight="1" x14ac:dyDescent="0.3">
      <c r="A1611" s="685" t="str">
        <f t="shared" si="86"/>
        <v>얼스팩(EAP)
계약품목(g/㎡)
Offset : 90,263
PVP C1S : 245,310
Kit 7 : 207,270</v>
      </c>
      <c r="B1611" s="118" t="s">
        <v>3374</v>
      </c>
      <c r="C1611" s="91" t="s">
        <v>1941</v>
      </c>
      <c r="D1611" s="92" t="s">
        <v>1937</v>
      </c>
      <c r="E1611" s="218" t="s">
        <v>2008</v>
      </c>
    </row>
    <row r="1612" spans="1:5" s="218" customFormat="1" ht="14.45" customHeight="1" x14ac:dyDescent="0.3">
      <c r="A1612" s="685" t="str">
        <f t="shared" si="86"/>
        <v>얼스팩(EAP)
계약품목(g/㎡)
Offset : 90,263
PVP C1S : 245,310
Kit 7 : 207,270</v>
      </c>
      <c r="B1612" s="120" t="s">
        <v>3375</v>
      </c>
      <c r="C1612" s="121">
        <v>72</v>
      </c>
      <c r="D1612" s="225" t="s">
        <v>3376</v>
      </c>
      <c r="E1612" s="218" t="s">
        <v>4370</v>
      </c>
    </row>
    <row r="1613" spans="1:5" s="218" customFormat="1" ht="14.45" customHeight="1" x14ac:dyDescent="0.3">
      <c r="A1613" s="685" t="str">
        <f t="shared" si="86"/>
        <v>얼스팩(EAP)
계약품목(g/㎡)
Offset : 90,263
PVP C1S : 245,310
Kit 7 : 207,270</v>
      </c>
      <c r="B1613" s="120" t="s">
        <v>3375</v>
      </c>
      <c r="C1613" s="154">
        <v>75</v>
      </c>
      <c r="D1613" s="407" t="s">
        <v>3377</v>
      </c>
      <c r="E1613" s="218" t="s">
        <v>4370</v>
      </c>
    </row>
    <row r="1614" spans="1:5" s="218" customFormat="1" ht="14.45" customHeight="1" x14ac:dyDescent="0.3">
      <c r="A1614" s="685"/>
      <c r="B1614" s="377" t="s">
        <v>3378</v>
      </c>
      <c r="C1614" s="378">
        <v>72</v>
      </c>
      <c r="D1614" s="379" t="s">
        <v>3379</v>
      </c>
      <c r="E1614" s="218">
        <v>87000</v>
      </c>
    </row>
    <row r="1615" spans="1:5" s="218" customFormat="1" ht="14.45" customHeight="1" x14ac:dyDescent="0.3">
      <c r="A1615" s="685"/>
      <c r="B1615" s="377" t="s">
        <v>3380</v>
      </c>
      <c r="C1615" s="378">
        <v>72</v>
      </c>
      <c r="D1615" s="379"/>
      <c r="E1615" s="218">
        <v>60000</v>
      </c>
    </row>
    <row r="1616" spans="1:5" s="218" customFormat="1" ht="14.45" customHeight="1" x14ac:dyDescent="0.3">
      <c r="A1616" s="685"/>
      <c r="B1616" s="120" t="s">
        <v>3381</v>
      </c>
      <c r="C1616" s="121">
        <v>70</v>
      </c>
      <c r="D1616" s="344" t="s">
        <v>3382</v>
      </c>
      <c r="E1616" s="218">
        <v>84000</v>
      </c>
    </row>
    <row r="1617" spans="1:5" s="218" customFormat="1" ht="14.45" customHeight="1" x14ac:dyDescent="0.3">
      <c r="A1617" s="685"/>
      <c r="B1617" s="120" t="s">
        <v>3381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 x14ac:dyDescent="0.3">
      <c r="A1618" s="685" t="e">
        <f>#REF!</f>
        <v>#REF!</v>
      </c>
      <c r="B1618" s="118" t="s">
        <v>3378</v>
      </c>
      <c r="C1618" s="91">
        <v>70</v>
      </c>
      <c r="D1618" s="98" t="s">
        <v>3383</v>
      </c>
      <c r="E1618" s="218">
        <v>84000</v>
      </c>
    </row>
    <row r="1619" spans="1:5" s="218" customFormat="1" ht="14.45" customHeight="1" x14ac:dyDescent="0.3">
      <c r="A1619" s="685" t="e">
        <f t="shared" si="86"/>
        <v>#REF!</v>
      </c>
      <c r="B1619" s="118" t="s">
        <v>3378</v>
      </c>
      <c r="C1619" s="91">
        <v>90</v>
      </c>
      <c r="D1619" s="98" t="s">
        <v>2053</v>
      </c>
      <c r="E1619" s="218">
        <v>108000</v>
      </c>
    </row>
    <row r="1620" spans="1:5" s="218" customFormat="1" ht="14.45" customHeight="1" x14ac:dyDescent="0.3">
      <c r="A1620" s="685" t="e">
        <f t="shared" si="86"/>
        <v>#REF!</v>
      </c>
      <c r="B1620" s="118" t="s">
        <v>3378</v>
      </c>
      <c r="C1620" s="91">
        <v>127</v>
      </c>
      <c r="D1620" s="92" t="s">
        <v>1937</v>
      </c>
      <c r="E1620" s="218">
        <v>117000</v>
      </c>
    </row>
    <row r="1621" spans="1:5" s="218" customFormat="1" ht="14.45" customHeight="1" x14ac:dyDescent="0.3">
      <c r="A1621" s="685" t="e">
        <f t="shared" si="86"/>
        <v>#REF!</v>
      </c>
      <c r="B1621" s="118" t="s">
        <v>3378</v>
      </c>
      <c r="C1621" s="91">
        <v>150</v>
      </c>
      <c r="D1621" s="98" t="s">
        <v>2054</v>
      </c>
      <c r="E1621" s="218">
        <v>166000</v>
      </c>
    </row>
    <row r="1622" spans="1:5" s="218" customFormat="1" ht="14.45" customHeight="1" x14ac:dyDescent="0.3">
      <c r="A1622" s="685" t="e">
        <f t="shared" si="86"/>
        <v>#REF!</v>
      </c>
      <c r="B1622" s="118" t="s">
        <v>3378</v>
      </c>
      <c r="C1622" s="91">
        <v>200</v>
      </c>
      <c r="D1622" s="98" t="s">
        <v>2055</v>
      </c>
      <c r="E1622" s="218">
        <v>222000</v>
      </c>
    </row>
    <row r="1623" spans="1:5" s="218" customFormat="1" ht="14.45" customHeight="1" x14ac:dyDescent="0.3">
      <c r="A1623" s="685" t="e">
        <f t="shared" si="86"/>
        <v>#REF!</v>
      </c>
      <c r="B1623" s="118" t="s">
        <v>3378</v>
      </c>
      <c r="C1623" s="91">
        <v>226</v>
      </c>
      <c r="D1623" s="98" t="s">
        <v>2056</v>
      </c>
      <c r="E1623" s="218">
        <v>250000</v>
      </c>
    </row>
    <row r="1624" spans="1:5" s="218" customFormat="1" ht="14.45" customHeight="1" x14ac:dyDescent="0.3">
      <c r="A1624" s="685" t="e">
        <f t="shared" si="86"/>
        <v>#REF!</v>
      </c>
      <c r="B1624" s="118" t="s">
        <v>3378</v>
      </c>
      <c r="C1624" s="91">
        <v>263</v>
      </c>
      <c r="D1624" s="156" t="s">
        <v>2057</v>
      </c>
      <c r="E1624" s="218">
        <v>290000</v>
      </c>
    </row>
    <row r="1625" spans="1:5" s="218" customFormat="1" ht="14.45" customHeight="1" x14ac:dyDescent="0.3">
      <c r="A1625" s="685" t="e">
        <f t="shared" si="86"/>
        <v>#REF!</v>
      </c>
      <c r="B1625" s="118" t="s">
        <v>3378</v>
      </c>
      <c r="C1625" s="91">
        <v>295</v>
      </c>
      <c r="D1625" s="156" t="s">
        <v>2058</v>
      </c>
      <c r="E1625" s="218">
        <v>327000</v>
      </c>
    </row>
    <row r="1626" spans="1:5" s="218" customFormat="1" ht="14.45" customHeight="1" x14ac:dyDescent="0.3">
      <c r="A1626" s="685"/>
      <c r="B1626" s="377" t="s">
        <v>3384</v>
      </c>
      <c r="C1626" s="378">
        <v>200</v>
      </c>
      <c r="D1626" s="408" t="s">
        <v>3385</v>
      </c>
      <c r="E1626" s="218">
        <v>280000</v>
      </c>
    </row>
    <row r="1627" spans="1:5" s="218" customFormat="1" ht="14.45" customHeight="1" x14ac:dyDescent="0.3">
      <c r="A1627" s="685" t="e">
        <f>A1625</f>
        <v>#REF!</v>
      </c>
      <c r="B1627" s="118" t="s">
        <v>3386</v>
      </c>
      <c r="C1627" s="91">
        <v>295</v>
      </c>
      <c r="D1627" s="156" t="s">
        <v>3387</v>
      </c>
      <c r="E1627" s="218">
        <v>168000</v>
      </c>
    </row>
    <row r="1628" spans="1:5" s="218" customFormat="1" ht="14.45" customHeight="1" x14ac:dyDescent="0.3">
      <c r="A1628" s="685"/>
      <c r="B1628" s="120" t="s">
        <v>3388</v>
      </c>
      <c r="C1628" s="121">
        <v>90</v>
      </c>
      <c r="D1628" s="233" t="s">
        <v>3389</v>
      </c>
      <c r="E1628" s="218">
        <v>76000</v>
      </c>
    </row>
    <row r="1629" spans="1:5" s="218" customFormat="1" ht="14.45" customHeight="1" x14ac:dyDescent="0.3">
      <c r="A1629" s="685"/>
      <c r="B1629" s="372" t="s">
        <v>3390</v>
      </c>
      <c r="C1629" s="154">
        <v>295</v>
      </c>
      <c r="D1629" s="409" t="s">
        <v>3391</v>
      </c>
      <c r="E1629" s="218">
        <v>226000</v>
      </c>
    </row>
    <row r="1630" spans="1:5" s="218" customFormat="1" ht="14.45" customHeight="1" x14ac:dyDescent="0.3">
      <c r="A1630" s="685" t="e">
        <f>#REF!</f>
        <v>#REF!</v>
      </c>
      <c r="B1630" s="120" t="s">
        <v>3380</v>
      </c>
      <c r="C1630" s="121">
        <v>70</v>
      </c>
      <c r="D1630" s="233" t="s">
        <v>3392</v>
      </c>
      <c r="E1630" s="218">
        <v>58000</v>
      </c>
    </row>
    <row r="1631" spans="1:5" s="218" customFormat="1" ht="14.45" customHeight="1" x14ac:dyDescent="0.3">
      <c r="A1631" s="685" t="e">
        <f>#REF!</f>
        <v>#REF!</v>
      </c>
      <c r="B1631" s="120" t="s">
        <v>3380</v>
      </c>
      <c r="C1631" s="91">
        <v>150</v>
      </c>
      <c r="D1631" s="156" t="s">
        <v>3393</v>
      </c>
      <c r="E1631" s="218">
        <v>115000</v>
      </c>
    </row>
    <row r="1632" spans="1:5" s="218" customFormat="1" ht="14.45" customHeight="1" x14ac:dyDescent="0.3">
      <c r="A1632" s="685" t="e">
        <f t="shared" si="86"/>
        <v>#REF!</v>
      </c>
      <c r="B1632" s="120" t="s">
        <v>3380</v>
      </c>
      <c r="C1632" s="91">
        <v>200</v>
      </c>
      <c r="D1632" s="156" t="s">
        <v>3394</v>
      </c>
      <c r="E1632" s="218">
        <v>153000</v>
      </c>
    </row>
    <row r="1633" spans="1:5" s="218" customFormat="1" ht="14.45" customHeight="1" x14ac:dyDescent="0.3">
      <c r="A1633" s="685" t="e">
        <f t="shared" si="86"/>
        <v>#REF!</v>
      </c>
      <c r="B1633" s="120" t="s">
        <v>3380</v>
      </c>
      <c r="C1633" s="91">
        <v>226</v>
      </c>
      <c r="D1633" s="156" t="s">
        <v>2059</v>
      </c>
      <c r="E1633" s="218">
        <v>173000</v>
      </c>
    </row>
    <row r="1634" spans="1:5" s="218" customFormat="1" ht="14.45" customHeight="1" x14ac:dyDescent="0.3">
      <c r="A1634" s="685" t="e">
        <f t="shared" si="86"/>
        <v>#REF!</v>
      </c>
      <c r="B1634" s="120" t="s">
        <v>3380</v>
      </c>
      <c r="C1634" s="91">
        <v>263</v>
      </c>
      <c r="D1634" s="156" t="s">
        <v>3395</v>
      </c>
      <c r="E1634" s="218">
        <v>202000</v>
      </c>
    </row>
    <row r="1635" spans="1:5" s="218" customFormat="1" ht="14.45" customHeight="1" x14ac:dyDescent="0.3">
      <c r="A1635" s="685" t="e">
        <f t="shared" si="86"/>
        <v>#REF!</v>
      </c>
      <c r="B1635" s="120" t="s">
        <v>3380</v>
      </c>
      <c r="C1635" s="99">
        <v>295</v>
      </c>
      <c r="D1635" s="145" t="s">
        <v>2060</v>
      </c>
      <c r="E1635" s="218">
        <v>226000</v>
      </c>
    </row>
    <row r="1636" spans="1:5" s="218" customFormat="1" ht="14.45" customHeight="1" x14ac:dyDescent="0.3">
      <c r="A1636" s="685" t="e">
        <f t="shared" si="86"/>
        <v>#REF!</v>
      </c>
      <c r="B1636" s="159" t="s">
        <v>3396</v>
      </c>
      <c r="C1636" s="113">
        <v>70</v>
      </c>
      <c r="D1636" s="147" t="s">
        <v>1937</v>
      </c>
      <c r="E1636" s="218">
        <v>278000</v>
      </c>
    </row>
    <row r="1637" spans="1:5" s="218" customFormat="1" ht="14.45" customHeight="1" x14ac:dyDescent="0.3">
      <c r="A1637" s="685"/>
      <c r="B1637" s="410" t="s">
        <v>3357</v>
      </c>
      <c r="C1637" s="338" t="s">
        <v>3397</v>
      </c>
      <c r="D1637" s="411" t="s">
        <v>3398</v>
      </c>
    </row>
    <row r="1638" spans="1:5" s="218" customFormat="1" ht="14.45" customHeight="1" x14ac:dyDescent="0.3">
      <c r="A1638" s="685"/>
      <c r="B1638" s="412"/>
      <c r="C1638" s="413" t="s">
        <v>3399</v>
      </c>
      <c r="D1638" s="414"/>
    </row>
    <row r="1639" spans="1:5" s="218" customFormat="1" ht="14.45" customHeight="1" x14ac:dyDescent="0.3">
      <c r="A1639" s="685" t="e">
        <f>A1636</f>
        <v>#REF!</v>
      </c>
      <c r="B1639" s="118" t="s">
        <v>3400</v>
      </c>
      <c r="C1639" s="415" t="s">
        <v>3397</v>
      </c>
      <c r="D1639" s="156" t="s">
        <v>3401</v>
      </c>
      <c r="E1639" s="218" t="s">
        <v>2008</v>
      </c>
    </row>
    <row r="1640" spans="1:5" s="218" customFormat="1" ht="14.45" customHeight="1" x14ac:dyDescent="0.3">
      <c r="A1640" s="685" t="e">
        <f t="shared" si="86"/>
        <v>#REF!</v>
      </c>
      <c r="B1640" s="118" t="s">
        <v>1868</v>
      </c>
      <c r="C1640" s="415" t="s">
        <v>3399</v>
      </c>
      <c r="D1640" s="156" t="s">
        <v>3402</v>
      </c>
      <c r="E1640" s="218" t="s">
        <v>2008</v>
      </c>
    </row>
    <row r="1641" spans="1:5" s="218" customFormat="1" ht="14.45" customHeight="1" x14ac:dyDescent="0.3">
      <c r="A1641" s="685" t="e">
        <f t="shared" si="86"/>
        <v>#REF!</v>
      </c>
      <c r="B1641" s="120" t="s">
        <v>3378</v>
      </c>
      <c r="C1641" s="121">
        <v>245</v>
      </c>
      <c r="D1641" s="225" t="s">
        <v>3403</v>
      </c>
      <c r="E1641" s="218">
        <v>260000</v>
      </c>
    </row>
    <row r="1642" spans="1:5" s="218" customFormat="1" ht="14.45" customHeight="1" x14ac:dyDescent="0.3">
      <c r="A1642" s="685" t="e">
        <f t="shared" si="86"/>
        <v>#REF!</v>
      </c>
      <c r="B1642" s="120" t="s">
        <v>3378</v>
      </c>
      <c r="C1642" s="91">
        <v>272</v>
      </c>
      <c r="D1642" s="247" t="s">
        <v>3404</v>
      </c>
      <c r="E1642" s="218">
        <v>325000</v>
      </c>
    </row>
    <row r="1643" spans="1:5" s="218" customFormat="1" ht="14.45" customHeight="1" x14ac:dyDescent="0.3">
      <c r="A1643" s="685" t="e">
        <f t="shared" si="86"/>
        <v>#REF!</v>
      </c>
      <c r="B1643" s="120" t="s">
        <v>3378</v>
      </c>
      <c r="C1643" s="91">
        <v>310</v>
      </c>
      <c r="D1643" s="247" t="s">
        <v>2751</v>
      </c>
      <c r="E1643" s="218">
        <v>370000</v>
      </c>
    </row>
    <row r="1644" spans="1:5" s="218" customFormat="1" ht="14.45" customHeight="1" x14ac:dyDescent="0.3">
      <c r="A1644" s="685" t="e">
        <f t="shared" si="86"/>
        <v>#REF!</v>
      </c>
      <c r="B1644" s="120" t="s">
        <v>3378</v>
      </c>
      <c r="C1644" s="91">
        <v>342</v>
      </c>
      <c r="D1644" s="156" t="s">
        <v>3405</v>
      </c>
      <c r="E1644" s="218">
        <v>395000</v>
      </c>
    </row>
    <row r="1645" spans="1:5" s="218" customFormat="1" ht="14.45" customHeight="1" x14ac:dyDescent="0.3">
      <c r="A1645" s="685"/>
      <c r="B1645" s="172" t="s">
        <v>3406</v>
      </c>
      <c r="C1645" s="173">
        <v>310</v>
      </c>
      <c r="D1645" s="206" t="s">
        <v>3407</v>
      </c>
      <c r="E1645" s="218">
        <v>370000</v>
      </c>
    </row>
    <row r="1646" spans="1:5" s="218" customFormat="1" ht="14.45" customHeight="1" x14ac:dyDescent="0.3">
      <c r="A1646" s="685" t="e">
        <f>A1644</f>
        <v>#REF!</v>
      </c>
      <c r="B1646" s="137" t="s">
        <v>3380</v>
      </c>
      <c r="C1646" s="96">
        <v>272</v>
      </c>
      <c r="D1646" s="411" t="s">
        <v>3408</v>
      </c>
      <c r="E1646" s="218">
        <v>225000</v>
      </c>
    </row>
    <row r="1647" spans="1:5" s="218" customFormat="1" ht="14.45" customHeight="1" x14ac:dyDescent="0.3">
      <c r="A1647" s="685" t="e">
        <f t="shared" si="86"/>
        <v>#REF!</v>
      </c>
      <c r="B1647" s="137" t="s">
        <v>3380</v>
      </c>
      <c r="C1647" s="91">
        <v>310</v>
      </c>
      <c r="D1647" s="247" t="s">
        <v>3409</v>
      </c>
      <c r="E1647" s="218">
        <v>255000</v>
      </c>
    </row>
    <row r="1648" spans="1:5" s="218" customFormat="1" ht="14.45" customHeight="1" x14ac:dyDescent="0.3">
      <c r="A1648" s="685" t="e">
        <f t="shared" si="86"/>
        <v>#REF!</v>
      </c>
      <c r="B1648" s="137" t="s">
        <v>3380</v>
      </c>
      <c r="C1648" s="99">
        <v>342</v>
      </c>
      <c r="D1648" s="145" t="s">
        <v>3410</v>
      </c>
      <c r="E1648" s="218">
        <v>275000</v>
      </c>
    </row>
    <row r="1649" spans="1:5" s="218" customFormat="1" ht="14.45" customHeight="1" x14ac:dyDescent="0.3">
      <c r="A1649" s="685" t="e">
        <f t="shared" si="86"/>
        <v>#REF!</v>
      </c>
      <c r="B1649" s="118" t="s">
        <v>3411</v>
      </c>
      <c r="C1649" s="91" t="s">
        <v>1941</v>
      </c>
      <c r="D1649" s="156" t="s">
        <v>3412</v>
      </c>
      <c r="E1649" s="218" t="s">
        <v>2008</v>
      </c>
    </row>
    <row r="1650" spans="1:5" s="218" customFormat="1" ht="14.45" customHeight="1" x14ac:dyDescent="0.3">
      <c r="A1650" s="685" t="e">
        <f t="shared" si="86"/>
        <v>#REF!</v>
      </c>
      <c r="B1650" s="172" t="s">
        <v>3378</v>
      </c>
      <c r="C1650" s="173">
        <v>308</v>
      </c>
      <c r="D1650" s="416" t="s">
        <v>3413</v>
      </c>
      <c r="E1650" s="218">
        <v>320000</v>
      </c>
    </row>
    <row r="1651" spans="1:5" s="218" customFormat="1" ht="14.45" customHeight="1" x14ac:dyDescent="0.3">
      <c r="A1651" s="685" t="e">
        <f t="shared" si="86"/>
        <v>#REF!</v>
      </c>
      <c r="B1651" s="95" t="s">
        <v>3411</v>
      </c>
      <c r="C1651" s="91">
        <v>308</v>
      </c>
      <c r="D1651" s="227" t="s">
        <v>3413</v>
      </c>
      <c r="E1651" s="218" t="s">
        <v>2008</v>
      </c>
    </row>
    <row r="1652" spans="1:5" s="218" customFormat="1" ht="14.45" customHeight="1" x14ac:dyDescent="0.3">
      <c r="A1652" s="685" t="e">
        <f t="shared" si="86"/>
        <v>#REF!</v>
      </c>
      <c r="B1652" s="120" t="s">
        <v>3378</v>
      </c>
      <c r="C1652" s="121">
        <v>207</v>
      </c>
      <c r="D1652" s="226" t="s">
        <v>3414</v>
      </c>
      <c r="E1652" s="218">
        <v>235000</v>
      </c>
    </row>
    <row r="1653" spans="1:5" s="218" customFormat="1" ht="14.45" customHeight="1" x14ac:dyDescent="0.3">
      <c r="A1653" s="685" t="e">
        <f t="shared" si="86"/>
        <v>#REF!</v>
      </c>
      <c r="B1653" s="120" t="s">
        <v>3378</v>
      </c>
      <c r="C1653" s="91">
        <v>233</v>
      </c>
      <c r="D1653" s="227" t="s">
        <v>3415</v>
      </c>
      <c r="E1653" s="218">
        <v>380000</v>
      </c>
    </row>
    <row r="1654" spans="1:5" s="218" customFormat="1" ht="14.45" customHeight="1" x14ac:dyDescent="0.3">
      <c r="A1654" s="685" t="e">
        <f t="shared" si="86"/>
        <v>#REF!</v>
      </c>
      <c r="B1654" s="120" t="s">
        <v>3378</v>
      </c>
      <c r="C1654" s="91">
        <v>270</v>
      </c>
      <c r="D1654" s="227" t="s">
        <v>1937</v>
      </c>
      <c r="E1654" s="218">
        <v>305000</v>
      </c>
    </row>
    <row r="1655" spans="1:5" s="218" customFormat="1" ht="14.45" customHeight="1" x14ac:dyDescent="0.3">
      <c r="A1655" s="685" t="e">
        <f t="shared" si="86"/>
        <v>#REF!</v>
      </c>
      <c r="B1655" s="120" t="s">
        <v>3378</v>
      </c>
      <c r="C1655" s="91">
        <v>302</v>
      </c>
      <c r="D1655" s="156" t="s">
        <v>3416</v>
      </c>
      <c r="E1655" s="218">
        <v>365000</v>
      </c>
    </row>
    <row r="1656" spans="1:5" s="218" customFormat="1" ht="14.45" customHeight="1" x14ac:dyDescent="0.3">
      <c r="A1656" s="685"/>
      <c r="B1656" s="377" t="s">
        <v>3417</v>
      </c>
      <c r="C1656" s="378">
        <v>233</v>
      </c>
      <c r="D1656" s="408" t="s">
        <v>3418</v>
      </c>
      <c r="E1656" s="218">
        <v>180000</v>
      </c>
    </row>
    <row r="1657" spans="1:5" s="218" customFormat="1" ht="14.45" customHeight="1" x14ac:dyDescent="0.3">
      <c r="A1657" s="685" t="e">
        <f>A1655</f>
        <v>#REF!</v>
      </c>
      <c r="B1657" s="118" t="s">
        <v>3380</v>
      </c>
      <c r="C1657" s="91">
        <v>233</v>
      </c>
      <c r="D1657" s="227" t="s">
        <v>3419</v>
      </c>
      <c r="E1657" s="218">
        <v>245000</v>
      </c>
    </row>
    <row r="1658" spans="1:5" s="218" customFormat="1" ht="14.45" customHeight="1" x14ac:dyDescent="0.3">
      <c r="A1658" s="685" t="e">
        <f t="shared" si="86"/>
        <v>#REF!</v>
      </c>
      <c r="B1658" s="118" t="s">
        <v>3380</v>
      </c>
      <c r="C1658" s="99">
        <v>302</v>
      </c>
      <c r="D1658" s="145" t="s">
        <v>3420</v>
      </c>
      <c r="E1658" s="218">
        <v>255000</v>
      </c>
    </row>
    <row r="1659" spans="1:5" s="218" customFormat="1" ht="14.45" customHeight="1" x14ac:dyDescent="0.3">
      <c r="A1659" s="685" t="e">
        <f t="shared" si="86"/>
        <v>#REF!</v>
      </c>
      <c r="B1659" s="137" t="s">
        <v>3421</v>
      </c>
      <c r="C1659" s="96">
        <v>233</v>
      </c>
      <c r="D1659" s="228" t="s">
        <v>3419</v>
      </c>
      <c r="E1659" s="218" t="s">
        <v>2008</v>
      </c>
    </row>
    <row r="1660" spans="1:5" s="218" customFormat="1" ht="14.45" customHeight="1" x14ac:dyDescent="0.3">
      <c r="A1660" s="685"/>
      <c r="B1660" s="377" t="s">
        <v>3378</v>
      </c>
      <c r="C1660" s="378">
        <v>315</v>
      </c>
      <c r="D1660" s="408" t="s">
        <v>3422</v>
      </c>
      <c r="E1660" s="218">
        <v>430000</v>
      </c>
    </row>
    <row r="1661" spans="1:5" s="218" customFormat="1" ht="14.45" customHeight="1" x14ac:dyDescent="0.3">
      <c r="A1661" s="685"/>
      <c r="B1661" s="377" t="s">
        <v>3380</v>
      </c>
      <c r="C1661" s="378">
        <v>315</v>
      </c>
      <c r="D1661" s="408" t="s">
        <v>3422</v>
      </c>
      <c r="E1661" s="218">
        <v>300000</v>
      </c>
    </row>
    <row r="1662" spans="1:5" s="218" customFormat="1" ht="14.45" customHeight="1" x14ac:dyDescent="0.3">
      <c r="A1662" s="685"/>
      <c r="B1662" s="417" t="s">
        <v>1935</v>
      </c>
      <c r="C1662" s="418">
        <v>315</v>
      </c>
      <c r="D1662" s="419" t="s">
        <v>3415</v>
      </c>
    </row>
    <row r="1663" spans="1:5" s="218" customFormat="1" ht="14.45" customHeight="1" x14ac:dyDescent="0.3">
      <c r="A1663" s="686" t="e">
        <f>A1659</f>
        <v>#REF!</v>
      </c>
      <c r="B1663" s="120" t="s">
        <v>1935</v>
      </c>
      <c r="C1663" s="121">
        <v>30</v>
      </c>
      <c r="D1663" s="420" t="s">
        <v>3423</v>
      </c>
    </row>
    <row r="1664" spans="1:5" s="218" customFormat="1" ht="14.45" customHeight="1" x14ac:dyDescent="0.3">
      <c r="A1664" s="686" t="e">
        <f t="shared" si="86"/>
        <v>#REF!</v>
      </c>
      <c r="B1664" s="118"/>
      <c r="C1664" s="91">
        <v>35</v>
      </c>
      <c r="D1664" s="98" t="s">
        <v>3424</v>
      </c>
    </row>
    <row r="1665" spans="1:5" s="218" customFormat="1" ht="14.45" customHeight="1" x14ac:dyDescent="0.3">
      <c r="A1665" s="686" t="e">
        <f t="shared" si="86"/>
        <v>#REF!</v>
      </c>
      <c r="B1665" s="118"/>
      <c r="C1665" s="91">
        <v>40</v>
      </c>
      <c r="D1665" s="98"/>
    </row>
    <row r="1666" spans="1:5" s="218" customFormat="1" ht="14.45" customHeight="1" x14ac:dyDescent="0.3">
      <c r="A1666" s="686" t="e">
        <f t="shared" si="86"/>
        <v>#REF!</v>
      </c>
      <c r="B1666" s="118"/>
      <c r="C1666" s="91">
        <v>45</v>
      </c>
      <c r="D1666" s="98"/>
    </row>
    <row r="1667" spans="1:5" s="218" customFormat="1" ht="14.45" customHeight="1" x14ac:dyDescent="0.3">
      <c r="A1667" s="686" t="e">
        <f t="shared" si="86"/>
        <v>#REF!</v>
      </c>
      <c r="B1667" s="118"/>
      <c r="C1667" s="91">
        <v>50</v>
      </c>
      <c r="D1667" s="98"/>
    </row>
    <row r="1668" spans="1:5" s="218" customFormat="1" ht="14.45" customHeight="1" x14ac:dyDescent="0.3">
      <c r="A1668" s="686" t="e">
        <f t="shared" si="86"/>
        <v>#REF!</v>
      </c>
      <c r="B1668" s="118"/>
      <c r="C1668" s="91">
        <v>55</v>
      </c>
      <c r="D1668" s="98"/>
    </row>
    <row r="1669" spans="1:5" s="218" customFormat="1" ht="14.45" customHeight="1" x14ac:dyDescent="0.3">
      <c r="A1669" s="686" t="e">
        <f t="shared" si="86"/>
        <v>#REF!</v>
      </c>
      <c r="B1669" s="118"/>
      <c r="C1669" s="91">
        <v>60</v>
      </c>
      <c r="D1669" s="98"/>
    </row>
    <row r="1670" spans="1:5" s="218" customFormat="1" ht="14.45" customHeight="1" x14ac:dyDescent="0.3">
      <c r="A1670" s="686" t="e">
        <f t="shared" si="86"/>
        <v>#REF!</v>
      </c>
      <c r="B1670" s="120" t="s">
        <v>1935</v>
      </c>
      <c r="C1670" s="121">
        <v>30</v>
      </c>
      <c r="D1670" s="153" t="s">
        <v>3425</v>
      </c>
    </row>
    <row r="1671" spans="1:5" s="218" customFormat="1" ht="14.45" customHeight="1" x14ac:dyDescent="0.3">
      <c r="A1671" s="686" t="e">
        <f t="shared" si="86"/>
        <v>#REF!</v>
      </c>
      <c r="B1671" s="118"/>
      <c r="C1671" s="91">
        <v>35</v>
      </c>
      <c r="D1671" s="98" t="s">
        <v>3426</v>
      </c>
    </row>
    <row r="1672" spans="1:5" s="218" customFormat="1" ht="14.45" customHeight="1" x14ac:dyDescent="0.3">
      <c r="A1672" s="686" t="e">
        <f t="shared" si="86"/>
        <v>#REF!</v>
      </c>
      <c r="B1672" s="118"/>
      <c r="C1672" s="91">
        <v>40</v>
      </c>
      <c r="D1672" s="92"/>
    </row>
    <row r="1673" spans="1:5" s="218" customFormat="1" ht="14.45" customHeight="1" x14ac:dyDescent="0.3">
      <c r="A1673" s="686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 x14ac:dyDescent="0.3">
      <c r="A1674" s="686" t="e">
        <f t="shared" si="87"/>
        <v>#REF!</v>
      </c>
      <c r="B1674" s="118"/>
      <c r="C1674" s="91">
        <v>50</v>
      </c>
      <c r="D1674" s="92"/>
    </row>
    <row r="1675" spans="1:5" s="218" customFormat="1" ht="14.45" customHeight="1" x14ac:dyDescent="0.3">
      <c r="A1675" s="686" t="e">
        <f t="shared" si="87"/>
        <v>#REF!</v>
      </c>
      <c r="B1675" s="118"/>
      <c r="C1675" s="91">
        <v>55</v>
      </c>
      <c r="D1675" s="92"/>
    </row>
    <row r="1676" spans="1:5" s="218" customFormat="1" ht="14.45" customHeight="1" x14ac:dyDescent="0.3">
      <c r="A1676" s="687" t="e">
        <f t="shared" si="87"/>
        <v>#REF!</v>
      </c>
      <c r="B1676" s="194"/>
      <c r="C1676" s="106">
        <v>60</v>
      </c>
      <c r="D1676" s="115"/>
    </row>
    <row r="1677" spans="1:5" ht="14.1" customHeight="1" x14ac:dyDescent="0.2">
      <c r="A1677" s="719" t="s">
        <v>3427</v>
      </c>
      <c r="B1677" s="421" t="s">
        <v>2010</v>
      </c>
      <c r="C1677" s="96">
        <v>100</v>
      </c>
      <c r="D1677" s="422" t="s">
        <v>3428</v>
      </c>
      <c r="E1677" s="89">
        <v>153000</v>
      </c>
    </row>
    <row r="1678" spans="1:5" ht="14.1" customHeight="1" x14ac:dyDescent="0.2">
      <c r="A1678" s="686"/>
      <c r="B1678" s="421" t="s">
        <v>4311</v>
      </c>
      <c r="C1678" s="91">
        <v>120</v>
      </c>
      <c r="D1678" s="423" t="s">
        <v>3429</v>
      </c>
      <c r="E1678" s="89">
        <v>184000</v>
      </c>
    </row>
    <row r="1679" spans="1:5" ht="14.1" customHeight="1" x14ac:dyDescent="0.2">
      <c r="A1679" s="686"/>
      <c r="B1679" s="421" t="s">
        <v>4312</v>
      </c>
      <c r="C1679" s="91">
        <v>140</v>
      </c>
      <c r="D1679" s="423" t="s">
        <v>3430</v>
      </c>
      <c r="E1679" s="89">
        <v>215000</v>
      </c>
    </row>
    <row r="1680" spans="1:5" ht="14.1" customHeight="1" x14ac:dyDescent="0.2">
      <c r="A1680" s="686"/>
      <c r="B1680" s="421" t="s">
        <v>4313</v>
      </c>
      <c r="C1680" s="91">
        <v>200</v>
      </c>
      <c r="D1680" s="423" t="s">
        <v>3431</v>
      </c>
      <c r="E1680" s="89">
        <v>306000</v>
      </c>
    </row>
    <row r="1681" spans="1:5" ht="14.1" customHeight="1" x14ac:dyDescent="0.2">
      <c r="A1681" s="686"/>
      <c r="B1681" s="421" t="s">
        <v>4314</v>
      </c>
      <c r="C1681" s="91">
        <v>250</v>
      </c>
      <c r="D1681" s="423" t="s">
        <v>3432</v>
      </c>
      <c r="E1681" s="89">
        <v>385000</v>
      </c>
    </row>
    <row r="1682" spans="1:5" ht="14.1" customHeight="1" x14ac:dyDescent="0.2">
      <c r="A1682" s="686"/>
      <c r="B1682" s="421" t="s">
        <v>4315</v>
      </c>
      <c r="C1682" s="99">
        <v>320</v>
      </c>
      <c r="D1682" s="424" t="s">
        <v>2851</v>
      </c>
      <c r="E1682" s="89">
        <v>490000</v>
      </c>
    </row>
    <row r="1683" spans="1:5" ht="14.1" customHeight="1" x14ac:dyDescent="0.2">
      <c r="A1683" s="686"/>
      <c r="B1683" s="421" t="s">
        <v>4316</v>
      </c>
      <c r="C1683" s="91">
        <v>100</v>
      </c>
      <c r="D1683" s="423" t="s">
        <v>3433</v>
      </c>
      <c r="E1683" s="89">
        <v>112000</v>
      </c>
    </row>
    <row r="1684" spans="1:5" ht="14.1" customHeight="1" x14ac:dyDescent="0.2">
      <c r="A1684" s="686"/>
      <c r="B1684" s="425" t="s">
        <v>2490</v>
      </c>
      <c r="C1684" s="121">
        <v>100</v>
      </c>
      <c r="D1684" s="426" t="s">
        <v>3434</v>
      </c>
      <c r="E1684" s="89">
        <v>107000</v>
      </c>
    </row>
    <row r="1685" spans="1:5" ht="14.1" customHeight="1" x14ac:dyDescent="0.2">
      <c r="A1685" s="686"/>
      <c r="B1685" s="425" t="s">
        <v>2490</v>
      </c>
      <c r="C1685" s="91">
        <v>120</v>
      </c>
      <c r="D1685" s="423" t="s">
        <v>3435</v>
      </c>
      <c r="E1685" s="89">
        <v>128000</v>
      </c>
    </row>
    <row r="1686" spans="1:5" ht="14.1" customHeight="1" x14ac:dyDescent="0.2">
      <c r="A1686" s="686"/>
      <c r="B1686" s="425" t="s">
        <v>2490</v>
      </c>
      <c r="C1686" s="91">
        <v>140</v>
      </c>
      <c r="D1686" s="423" t="s">
        <v>3436</v>
      </c>
      <c r="E1686" s="89">
        <v>149000</v>
      </c>
    </row>
    <row r="1687" spans="1:5" ht="14.1" customHeight="1" x14ac:dyDescent="0.2">
      <c r="A1687" s="686"/>
      <c r="B1687" s="425" t="s">
        <v>2490</v>
      </c>
      <c r="C1687" s="91">
        <v>200</v>
      </c>
      <c r="D1687" s="423" t="s">
        <v>3437</v>
      </c>
      <c r="E1687" s="89">
        <v>214000</v>
      </c>
    </row>
    <row r="1688" spans="1:5" ht="14.1" customHeight="1" x14ac:dyDescent="0.2">
      <c r="A1688" s="686"/>
      <c r="B1688" s="425" t="s">
        <v>2490</v>
      </c>
      <c r="C1688" s="91">
        <v>250</v>
      </c>
      <c r="D1688" s="423" t="s">
        <v>3438</v>
      </c>
      <c r="E1688" s="89">
        <v>267000</v>
      </c>
    </row>
    <row r="1689" spans="1:5" ht="14.1" customHeight="1" x14ac:dyDescent="0.2">
      <c r="A1689" s="686"/>
      <c r="B1689" s="425" t="s">
        <v>2490</v>
      </c>
      <c r="C1689" s="121">
        <v>100</v>
      </c>
      <c r="D1689" s="427" t="s">
        <v>3439</v>
      </c>
      <c r="E1689" s="89">
        <v>78000</v>
      </c>
    </row>
    <row r="1690" spans="1:5" ht="14.1" customHeight="1" x14ac:dyDescent="0.2">
      <c r="A1690" s="687"/>
      <c r="B1690" s="425" t="s">
        <v>2490</v>
      </c>
      <c r="C1690" s="106">
        <v>120</v>
      </c>
      <c r="D1690" s="428" t="s">
        <v>3440</v>
      </c>
      <c r="E1690" s="89">
        <v>95000</v>
      </c>
    </row>
    <row r="1691" spans="1:5" ht="15" customHeight="1" x14ac:dyDescent="0.2">
      <c r="A1691" s="696" t="s">
        <v>3441</v>
      </c>
      <c r="B1691" s="394" t="s">
        <v>3442</v>
      </c>
      <c r="C1691" s="395">
        <v>65</v>
      </c>
      <c r="D1691" s="429" t="s">
        <v>3443</v>
      </c>
      <c r="E1691" s="89">
        <v>630000</v>
      </c>
    </row>
    <row r="1692" spans="1:5" ht="15" customHeight="1" x14ac:dyDescent="0.2">
      <c r="A1692" s="696" t="str">
        <f t="shared" ref="A1692:A1697" si="88">A1691</f>
        <v>엔듀로아이스
(ENI)</v>
      </c>
      <c r="B1692" s="394" t="s">
        <v>3442</v>
      </c>
      <c r="C1692" s="91">
        <v>80</v>
      </c>
      <c r="D1692" s="93" t="s">
        <v>3444</v>
      </c>
      <c r="E1692" s="89">
        <v>900000</v>
      </c>
    </row>
    <row r="1693" spans="1:5" ht="15" customHeight="1" x14ac:dyDescent="0.2">
      <c r="A1693" s="696" t="str">
        <f t="shared" si="88"/>
        <v>엔듀로아이스
(ENI)</v>
      </c>
      <c r="B1693" s="394" t="s">
        <v>3442</v>
      </c>
      <c r="C1693" s="91">
        <v>125</v>
      </c>
      <c r="D1693" s="92" t="s">
        <v>3445</v>
      </c>
      <c r="E1693" s="89">
        <v>925000</v>
      </c>
    </row>
    <row r="1694" spans="1:5" ht="15" customHeight="1" x14ac:dyDescent="0.2">
      <c r="A1694" s="696" t="str">
        <f t="shared" si="88"/>
        <v>엔듀로아이스
(ENI)</v>
      </c>
      <c r="B1694" s="394" t="s">
        <v>3442</v>
      </c>
      <c r="C1694" s="91">
        <v>170</v>
      </c>
      <c r="D1694" s="92" t="s">
        <v>3446</v>
      </c>
      <c r="E1694" s="89">
        <v>1100000</v>
      </c>
    </row>
    <row r="1695" spans="1:5" ht="15" customHeight="1" x14ac:dyDescent="0.2">
      <c r="A1695" s="696" t="str">
        <f t="shared" si="88"/>
        <v>엔듀로아이스
(ENI)</v>
      </c>
      <c r="B1695" s="394" t="s">
        <v>3442</v>
      </c>
      <c r="C1695" s="91">
        <v>175</v>
      </c>
      <c r="D1695" s="92" t="s">
        <v>3447</v>
      </c>
      <c r="E1695" s="89">
        <v>1170000</v>
      </c>
    </row>
    <row r="1696" spans="1:5" ht="15" customHeight="1" x14ac:dyDescent="0.2">
      <c r="A1696" s="696" t="str">
        <f t="shared" si="88"/>
        <v>엔듀로아이스
(ENI)</v>
      </c>
      <c r="B1696" s="394" t="s">
        <v>3442</v>
      </c>
      <c r="C1696" s="91">
        <v>215</v>
      </c>
      <c r="D1696" s="92" t="s">
        <v>3448</v>
      </c>
      <c r="E1696" s="89">
        <v>1360000</v>
      </c>
    </row>
    <row r="1697" spans="1:5" ht="15" customHeight="1" x14ac:dyDescent="0.2">
      <c r="A1697" s="696" t="str">
        <f t="shared" si="88"/>
        <v>엔듀로아이스
(ENI)</v>
      </c>
      <c r="B1697" s="394" t="s">
        <v>3442</v>
      </c>
      <c r="C1697" s="106">
        <v>260</v>
      </c>
      <c r="D1697" s="115" t="s">
        <v>3449</v>
      </c>
      <c r="E1697" s="89">
        <v>1575000</v>
      </c>
    </row>
    <row r="1698" spans="1:5" ht="15" customHeight="1" x14ac:dyDescent="0.2">
      <c r="A1698" s="690" t="s">
        <v>3450</v>
      </c>
      <c r="B1698" s="394" t="s">
        <v>1879</v>
      </c>
      <c r="C1698" s="91">
        <v>210</v>
      </c>
      <c r="D1698" s="92" t="s">
        <v>3451</v>
      </c>
      <c r="E1698" s="89">
        <v>220000</v>
      </c>
    </row>
    <row r="1699" spans="1:5" ht="15" customHeight="1" x14ac:dyDescent="0.2">
      <c r="A1699" s="685" t="str">
        <f t="shared" ref="A1699:A1715" si="89">A1698</f>
        <v>엔소코트
(ENSO)</v>
      </c>
      <c r="B1699" s="394" t="s">
        <v>1879</v>
      </c>
      <c r="C1699" s="91">
        <v>275</v>
      </c>
      <c r="D1699" s="92" t="s">
        <v>3452</v>
      </c>
      <c r="E1699" s="89">
        <v>335000</v>
      </c>
    </row>
    <row r="1700" spans="1:5" ht="15" customHeight="1" x14ac:dyDescent="0.2">
      <c r="A1700" s="685" t="str">
        <f t="shared" si="89"/>
        <v>엔소코트
(ENSO)</v>
      </c>
      <c r="B1700" s="394" t="s">
        <v>1879</v>
      </c>
      <c r="C1700" s="91">
        <v>300</v>
      </c>
      <c r="D1700" s="92" t="s">
        <v>3006</v>
      </c>
      <c r="E1700" s="89">
        <v>365000</v>
      </c>
    </row>
    <row r="1701" spans="1:5" ht="15" customHeight="1" x14ac:dyDescent="0.2">
      <c r="A1701" s="685"/>
      <c r="B1701" s="394" t="s">
        <v>1879</v>
      </c>
      <c r="C1701" s="91"/>
      <c r="D1701" s="93" t="s">
        <v>3453</v>
      </c>
      <c r="E1701" s="89">
        <v>415000</v>
      </c>
    </row>
    <row r="1702" spans="1:5" ht="15" customHeight="1" x14ac:dyDescent="0.2">
      <c r="A1702" s="685" t="str">
        <f>A1700</f>
        <v>엔소코트
(ENSO)</v>
      </c>
      <c r="B1702" s="394" t="s">
        <v>1879</v>
      </c>
      <c r="C1702" s="96">
        <v>330</v>
      </c>
      <c r="D1702" s="97" t="s">
        <v>3007</v>
      </c>
      <c r="E1702" s="89">
        <v>480000</v>
      </c>
    </row>
    <row r="1703" spans="1:5" ht="15" customHeight="1" x14ac:dyDescent="0.2">
      <c r="A1703" s="685"/>
      <c r="B1703" s="394" t="s">
        <v>1879</v>
      </c>
      <c r="C1703" s="99">
        <v>330</v>
      </c>
      <c r="D1703" s="141" t="s">
        <v>3454</v>
      </c>
      <c r="E1703" s="89">
        <v>455000</v>
      </c>
    </row>
    <row r="1704" spans="1:5" ht="15" customHeight="1" x14ac:dyDescent="0.2">
      <c r="A1704" s="685" t="str">
        <f>A1702</f>
        <v>엔소코트
(ENSO)</v>
      </c>
      <c r="B1704" s="394" t="s">
        <v>1879</v>
      </c>
      <c r="C1704" s="91">
        <v>380</v>
      </c>
      <c r="D1704" s="92" t="s">
        <v>3455</v>
      </c>
      <c r="E1704" s="89">
        <v>550000</v>
      </c>
    </row>
    <row r="1705" spans="1:5" ht="13.9" customHeight="1" x14ac:dyDescent="0.2">
      <c r="A1705" s="685" t="str">
        <f t="shared" si="89"/>
        <v>엔소코트
(ENSO)</v>
      </c>
      <c r="B1705" s="394" t="s">
        <v>1879</v>
      </c>
      <c r="C1705" s="99">
        <v>380</v>
      </c>
      <c r="D1705" s="105" t="s">
        <v>3456</v>
      </c>
      <c r="E1705" s="89">
        <v>525000</v>
      </c>
    </row>
    <row r="1706" spans="1:5" ht="15" customHeight="1" x14ac:dyDescent="0.2">
      <c r="A1706" s="685" t="e">
        <f>#REF!</f>
        <v>#REF!</v>
      </c>
      <c r="B1706" s="90" t="s">
        <v>3457</v>
      </c>
      <c r="C1706" s="91">
        <v>330</v>
      </c>
      <c r="D1706" s="92" t="s">
        <v>3458</v>
      </c>
      <c r="E1706" s="89">
        <v>190000</v>
      </c>
    </row>
    <row r="1707" spans="1:5" ht="15" customHeight="1" x14ac:dyDescent="0.2">
      <c r="A1707" s="685"/>
      <c r="B1707" s="152" t="s">
        <v>3459</v>
      </c>
      <c r="C1707" s="121">
        <v>300</v>
      </c>
      <c r="D1707" s="344" t="s">
        <v>3460</v>
      </c>
    </row>
    <row r="1708" spans="1:5" ht="15" customHeight="1" x14ac:dyDescent="0.2">
      <c r="A1708" s="685"/>
      <c r="B1708" s="152" t="s">
        <v>3459</v>
      </c>
      <c r="C1708" s="91">
        <v>330</v>
      </c>
      <c r="D1708" s="93" t="s">
        <v>3461</v>
      </c>
    </row>
    <row r="1709" spans="1:5" ht="15" customHeight="1" x14ac:dyDescent="0.2">
      <c r="A1709" s="685"/>
      <c r="B1709" s="152" t="s">
        <v>3459</v>
      </c>
      <c r="C1709" s="91">
        <v>380</v>
      </c>
      <c r="D1709" s="93" t="s">
        <v>3462</v>
      </c>
    </row>
    <row r="1710" spans="1:5" ht="15" customHeight="1" x14ac:dyDescent="0.2">
      <c r="A1710" s="685"/>
      <c r="B1710" s="152" t="s">
        <v>3463</v>
      </c>
      <c r="C1710" s="121">
        <v>300</v>
      </c>
      <c r="D1710" s="344" t="s">
        <v>3464</v>
      </c>
    </row>
    <row r="1711" spans="1:5" ht="15" customHeight="1" x14ac:dyDescent="0.2">
      <c r="A1711" s="685"/>
      <c r="B1711" s="152" t="s">
        <v>3463</v>
      </c>
      <c r="C1711" s="91">
        <v>330</v>
      </c>
      <c r="D1711" s="93" t="s">
        <v>3465</v>
      </c>
    </row>
    <row r="1712" spans="1:5" ht="15" customHeight="1" x14ac:dyDescent="0.2">
      <c r="A1712" s="685" t="e">
        <f>A1706</f>
        <v>#REF!</v>
      </c>
      <c r="B1712" s="95" t="s">
        <v>1865</v>
      </c>
      <c r="C1712" s="96">
        <v>300</v>
      </c>
      <c r="D1712" s="97" t="s">
        <v>3466</v>
      </c>
      <c r="E1712" s="89">
        <v>255000</v>
      </c>
    </row>
    <row r="1713" spans="1:5" ht="15" customHeight="1" x14ac:dyDescent="0.2">
      <c r="A1713" s="685"/>
      <c r="B1713" s="95" t="s">
        <v>1865</v>
      </c>
      <c r="C1713" s="91"/>
      <c r="D1713" s="93" t="s">
        <v>3467</v>
      </c>
      <c r="E1713" s="89">
        <v>285000</v>
      </c>
    </row>
    <row r="1714" spans="1:5" ht="15" customHeight="1" x14ac:dyDescent="0.2">
      <c r="A1714" s="685" t="e">
        <f>A1712</f>
        <v>#REF!</v>
      </c>
      <c r="B1714" s="95" t="s">
        <v>1865</v>
      </c>
      <c r="C1714" s="96">
        <v>330</v>
      </c>
      <c r="D1714" s="97" t="s">
        <v>3468</v>
      </c>
      <c r="E1714" s="89">
        <v>325000</v>
      </c>
    </row>
    <row r="1715" spans="1:5" ht="15" customHeight="1" x14ac:dyDescent="0.2">
      <c r="A1715" s="688" t="e">
        <f t="shared" si="89"/>
        <v>#REF!</v>
      </c>
      <c r="B1715" s="95" t="s">
        <v>1865</v>
      </c>
      <c r="C1715" s="106"/>
      <c r="D1715" s="219" t="s">
        <v>3469</v>
      </c>
      <c r="E1715" s="89">
        <v>310000</v>
      </c>
    </row>
    <row r="1716" spans="1:5" ht="15" customHeight="1" x14ac:dyDescent="0.2">
      <c r="A1716" s="690" t="s">
        <v>3470</v>
      </c>
      <c r="B1716" s="394" t="s">
        <v>1879</v>
      </c>
      <c r="C1716" s="395">
        <v>50</v>
      </c>
      <c r="D1716" s="396">
        <v>0</v>
      </c>
      <c r="E1716" s="89">
        <v>60000</v>
      </c>
    </row>
    <row r="1717" spans="1:5" ht="15" customHeight="1" x14ac:dyDescent="0.2">
      <c r="A1717" s="685" t="str">
        <f t="shared" ref="A1717:A1727" si="90">A1716</f>
        <v>MF크라프트
(MF)</v>
      </c>
      <c r="B1717" s="394" t="s">
        <v>1879</v>
      </c>
      <c r="C1717" s="91">
        <v>80</v>
      </c>
      <c r="D1717" s="98">
        <v>1</v>
      </c>
      <c r="E1717" s="89">
        <v>95000</v>
      </c>
    </row>
    <row r="1718" spans="1:5" ht="15" customHeight="1" x14ac:dyDescent="0.2">
      <c r="A1718" s="685" t="str">
        <f t="shared" si="90"/>
        <v>MF크라프트
(MF)</v>
      </c>
      <c r="B1718" s="394" t="s">
        <v>1879</v>
      </c>
      <c r="C1718" s="91">
        <v>120</v>
      </c>
      <c r="D1718" s="98">
        <v>2</v>
      </c>
      <c r="E1718" s="89">
        <v>145000</v>
      </c>
    </row>
    <row r="1719" spans="1:5" ht="15" customHeight="1" x14ac:dyDescent="0.2">
      <c r="A1719" s="685" t="str">
        <f t="shared" si="90"/>
        <v>MF크라프트
(MF)</v>
      </c>
      <c r="B1719" s="394" t="s">
        <v>1879</v>
      </c>
      <c r="C1719" s="91">
        <v>120</v>
      </c>
      <c r="D1719" s="98" t="s">
        <v>3471</v>
      </c>
      <c r="E1719" s="89">
        <v>145000</v>
      </c>
    </row>
    <row r="1720" spans="1:5" ht="15" customHeight="1" x14ac:dyDescent="0.2">
      <c r="A1720" s="685" t="str">
        <f t="shared" si="90"/>
        <v>MF크라프트
(MF)</v>
      </c>
      <c r="B1720" s="95" t="s">
        <v>1999</v>
      </c>
      <c r="C1720" s="96">
        <v>80</v>
      </c>
      <c r="D1720" s="109">
        <v>3</v>
      </c>
      <c r="E1720" s="89">
        <v>120000</v>
      </c>
    </row>
    <row r="1721" spans="1:5" ht="15" customHeight="1" x14ac:dyDescent="0.2">
      <c r="A1721" s="685" t="str">
        <f t="shared" si="90"/>
        <v>MF크라프트
(MF)</v>
      </c>
      <c r="B1721" s="95" t="s">
        <v>1999</v>
      </c>
      <c r="C1721" s="91">
        <v>120</v>
      </c>
      <c r="D1721" s="98">
        <v>4</v>
      </c>
      <c r="E1721" s="89">
        <v>180000</v>
      </c>
    </row>
    <row r="1722" spans="1:5" ht="15" customHeight="1" x14ac:dyDescent="0.2">
      <c r="A1722" s="685" t="str">
        <f t="shared" si="90"/>
        <v>MF크라프트
(MF)</v>
      </c>
      <c r="B1722" s="95" t="s">
        <v>1999</v>
      </c>
      <c r="C1722" s="91">
        <v>120</v>
      </c>
      <c r="D1722" s="98" t="s">
        <v>3454</v>
      </c>
      <c r="E1722" s="89">
        <v>180000</v>
      </c>
    </row>
    <row r="1723" spans="1:5" ht="15" customHeight="1" x14ac:dyDescent="0.2">
      <c r="A1723" s="685" t="str">
        <f t="shared" si="90"/>
        <v>MF크라프트
(MF)</v>
      </c>
      <c r="B1723" s="137" t="s">
        <v>3472</v>
      </c>
      <c r="C1723" s="96">
        <v>120</v>
      </c>
      <c r="D1723" s="430" t="s">
        <v>3473</v>
      </c>
      <c r="E1723" s="89">
        <v>180000</v>
      </c>
    </row>
    <row r="1724" spans="1:5" ht="15" customHeight="1" x14ac:dyDescent="0.2">
      <c r="A1724" s="685" t="str">
        <f t="shared" si="90"/>
        <v>MF크라프트
(MF)</v>
      </c>
      <c r="B1724" s="137" t="s">
        <v>3472</v>
      </c>
      <c r="C1724" s="91">
        <v>120</v>
      </c>
      <c r="D1724" s="98" t="s">
        <v>3474</v>
      </c>
      <c r="E1724" s="89">
        <v>180000</v>
      </c>
    </row>
    <row r="1725" spans="1:5" ht="15" customHeight="1" x14ac:dyDescent="0.2">
      <c r="A1725" s="685" t="str">
        <f t="shared" si="90"/>
        <v>MF크라프트
(MF)</v>
      </c>
      <c r="B1725" s="120" t="s">
        <v>3411</v>
      </c>
      <c r="C1725" s="121">
        <v>50</v>
      </c>
      <c r="D1725" s="153" t="s">
        <v>1868</v>
      </c>
      <c r="E1725" s="89" t="s">
        <v>2008</v>
      </c>
    </row>
    <row r="1726" spans="1:5" ht="15" customHeight="1" x14ac:dyDescent="0.2">
      <c r="A1726" s="685" t="str">
        <f t="shared" si="90"/>
        <v>MF크라프트
(MF)</v>
      </c>
      <c r="B1726" s="118"/>
      <c r="C1726" s="91">
        <v>80</v>
      </c>
      <c r="D1726" s="98"/>
    </row>
    <row r="1727" spans="1:5" ht="15" customHeight="1" x14ac:dyDescent="0.2">
      <c r="A1727" s="688" t="str">
        <f t="shared" si="90"/>
        <v>MF크라프트
(MF)</v>
      </c>
      <c r="B1727" s="194" t="s">
        <v>1868</v>
      </c>
      <c r="C1727" s="106">
        <v>120</v>
      </c>
      <c r="D1727" s="107" t="s">
        <v>1868</v>
      </c>
      <c r="E1727" s="89" t="s">
        <v>2008</v>
      </c>
    </row>
    <row r="1728" spans="1:5" ht="15" customHeight="1" x14ac:dyDescent="0.2">
      <c r="A1728" s="690" t="s">
        <v>3475</v>
      </c>
      <c r="B1728" s="394" t="s">
        <v>1879</v>
      </c>
      <c r="C1728" s="395">
        <v>120</v>
      </c>
      <c r="D1728" s="429" t="s">
        <v>3476</v>
      </c>
      <c r="E1728" s="89">
        <v>100000</v>
      </c>
    </row>
    <row r="1729" spans="1:5" ht="15" customHeight="1" x14ac:dyDescent="0.2">
      <c r="A1729" s="686" t="str">
        <f t="shared" ref="A1729:A1743" si="91">A1728</f>
        <v>MG크라프트
(MG)</v>
      </c>
      <c r="B1729" s="394" t="s">
        <v>1879</v>
      </c>
      <c r="C1729" s="99">
        <v>120</v>
      </c>
      <c r="D1729" s="100" t="s">
        <v>3477</v>
      </c>
      <c r="E1729" s="89">
        <v>145000</v>
      </c>
    </row>
    <row r="1730" spans="1:5" ht="15" customHeight="1" x14ac:dyDescent="0.2">
      <c r="A1730" s="686" t="str">
        <f t="shared" si="91"/>
        <v>MG크라프트
(MG)</v>
      </c>
      <c r="B1730" s="394" t="s">
        <v>1879</v>
      </c>
      <c r="C1730" s="91">
        <v>50</v>
      </c>
      <c r="D1730" s="98" t="s">
        <v>3478</v>
      </c>
      <c r="E1730" s="89">
        <v>76000</v>
      </c>
    </row>
    <row r="1731" spans="1:5" ht="15" customHeight="1" x14ac:dyDescent="0.2">
      <c r="A1731" s="686" t="str">
        <f t="shared" si="91"/>
        <v>MG크라프트
(MG)</v>
      </c>
      <c r="B1731" s="394" t="s">
        <v>1879</v>
      </c>
      <c r="C1731" s="91">
        <v>80</v>
      </c>
      <c r="D1731" s="98"/>
      <c r="E1731" s="89">
        <v>121000</v>
      </c>
    </row>
    <row r="1732" spans="1:5" ht="15" customHeight="1" x14ac:dyDescent="0.2">
      <c r="A1732" s="686" t="str">
        <f t="shared" si="91"/>
        <v>MG크라프트
(MG)</v>
      </c>
      <c r="B1732" s="394" t="s">
        <v>1879</v>
      </c>
      <c r="C1732" s="91">
        <v>100</v>
      </c>
      <c r="D1732" s="98" t="s">
        <v>1868</v>
      </c>
      <c r="E1732" s="89">
        <v>151000</v>
      </c>
    </row>
    <row r="1733" spans="1:5" ht="15" customHeight="1" x14ac:dyDescent="0.2">
      <c r="A1733" s="686" t="str">
        <f t="shared" si="91"/>
        <v>MG크라프트
(MG)</v>
      </c>
      <c r="B1733" s="394" t="s">
        <v>1879</v>
      </c>
      <c r="C1733" s="91">
        <v>120</v>
      </c>
      <c r="D1733" s="98" t="s">
        <v>1868</v>
      </c>
      <c r="E1733" s="89">
        <v>182000</v>
      </c>
    </row>
    <row r="1734" spans="1:5" ht="15" customHeight="1" x14ac:dyDescent="0.2">
      <c r="A1734" s="686" t="str">
        <f t="shared" si="91"/>
        <v>MG크라프트
(MG)</v>
      </c>
      <c r="B1734" s="394" t="s">
        <v>1879</v>
      </c>
      <c r="C1734" s="99">
        <v>140</v>
      </c>
      <c r="D1734" s="105"/>
      <c r="E1734" s="89">
        <v>212000</v>
      </c>
    </row>
    <row r="1735" spans="1:5" ht="15" customHeight="1" x14ac:dyDescent="0.2">
      <c r="A1735" s="686" t="str">
        <f t="shared" si="91"/>
        <v>MG크라프트
(MG)</v>
      </c>
      <c r="B1735" s="90" t="s">
        <v>1999</v>
      </c>
      <c r="C1735" s="91">
        <v>50</v>
      </c>
      <c r="D1735" s="98" t="s">
        <v>3478</v>
      </c>
      <c r="E1735" s="89">
        <v>95000</v>
      </c>
    </row>
    <row r="1736" spans="1:5" ht="15" customHeight="1" x14ac:dyDescent="0.2">
      <c r="A1736" s="686" t="str">
        <f t="shared" si="91"/>
        <v>MG크라프트
(MG)</v>
      </c>
      <c r="B1736" s="90" t="s">
        <v>1999</v>
      </c>
      <c r="C1736" s="91">
        <v>80</v>
      </c>
      <c r="D1736" s="98"/>
      <c r="E1736" s="89">
        <v>152000</v>
      </c>
    </row>
    <row r="1737" spans="1:5" ht="15" customHeight="1" x14ac:dyDescent="0.2">
      <c r="A1737" s="686" t="str">
        <f t="shared" si="91"/>
        <v>MG크라프트
(MG)</v>
      </c>
      <c r="B1737" s="90" t="s">
        <v>1999</v>
      </c>
      <c r="C1737" s="91">
        <v>100</v>
      </c>
      <c r="D1737" s="98"/>
      <c r="E1737" s="89">
        <v>190000</v>
      </c>
    </row>
    <row r="1738" spans="1:5" ht="15" customHeight="1" x14ac:dyDescent="0.2">
      <c r="A1738" s="686" t="str">
        <f t="shared" si="91"/>
        <v>MG크라프트
(MG)</v>
      </c>
      <c r="B1738" s="90" t="s">
        <v>1999</v>
      </c>
      <c r="C1738" s="91">
        <v>120</v>
      </c>
      <c r="D1738" s="98"/>
      <c r="E1738" s="89">
        <v>228000</v>
      </c>
    </row>
    <row r="1739" spans="1:5" ht="15" customHeight="1" x14ac:dyDescent="0.2">
      <c r="A1739" s="686" t="str">
        <f t="shared" si="91"/>
        <v>MG크라프트
(MG)</v>
      </c>
      <c r="B1739" s="90" t="s">
        <v>1999</v>
      </c>
      <c r="C1739" s="99">
        <v>140</v>
      </c>
      <c r="D1739" s="105"/>
      <c r="E1739" s="89">
        <v>267000</v>
      </c>
    </row>
    <row r="1740" spans="1:5" ht="15" customHeight="1" x14ac:dyDescent="0.2">
      <c r="A1740" s="686" t="str">
        <f t="shared" si="91"/>
        <v>MG크라프트
(MG)</v>
      </c>
      <c r="B1740" s="95" t="s">
        <v>3472</v>
      </c>
      <c r="C1740" s="96">
        <v>120</v>
      </c>
      <c r="D1740" s="97" t="s">
        <v>3479</v>
      </c>
      <c r="E1740" s="89">
        <v>180000</v>
      </c>
    </row>
    <row r="1741" spans="1:5" ht="15" customHeight="1" x14ac:dyDescent="0.2">
      <c r="A1741" s="686" t="str">
        <f t="shared" si="91"/>
        <v>MG크라프트
(MG)</v>
      </c>
      <c r="B1741" s="95" t="s">
        <v>3472</v>
      </c>
      <c r="C1741" s="99">
        <v>140</v>
      </c>
      <c r="D1741" s="100" t="s">
        <v>3479</v>
      </c>
      <c r="E1741" s="89">
        <v>210000</v>
      </c>
    </row>
    <row r="1742" spans="1:5" ht="15" customHeight="1" x14ac:dyDescent="0.2">
      <c r="A1742" s="686" t="str">
        <f t="shared" si="91"/>
        <v>MG크라프트
(MG)</v>
      </c>
      <c r="B1742" s="90" t="s">
        <v>3357</v>
      </c>
      <c r="C1742" s="91" t="s">
        <v>1941</v>
      </c>
      <c r="D1742" s="98" t="s">
        <v>3478</v>
      </c>
      <c r="E1742" s="89" t="s">
        <v>2008</v>
      </c>
    </row>
    <row r="1743" spans="1:5" ht="15" customHeight="1" x14ac:dyDescent="0.2">
      <c r="A1743" s="686" t="str">
        <f t="shared" si="91"/>
        <v>MG크라프트
(MG)</v>
      </c>
      <c r="B1743" s="90" t="s">
        <v>2046</v>
      </c>
      <c r="C1743" s="91" t="s">
        <v>1941</v>
      </c>
      <c r="D1743" s="98" t="s">
        <v>1868</v>
      </c>
      <c r="E1743" s="89" t="s">
        <v>2008</v>
      </c>
    </row>
    <row r="1744" spans="1:5" ht="15" customHeight="1" x14ac:dyDescent="0.2">
      <c r="A1744" s="712" t="s">
        <v>3480</v>
      </c>
      <c r="B1744" s="387" t="s">
        <v>2010</v>
      </c>
      <c r="C1744" s="388">
        <v>130</v>
      </c>
      <c r="D1744" s="390" t="s">
        <v>2052</v>
      </c>
      <c r="E1744" s="89">
        <v>168000</v>
      </c>
    </row>
    <row r="1745" spans="1:5" ht="15" customHeight="1" x14ac:dyDescent="0.2">
      <c r="A1745" s="686" t="str">
        <f t="shared" ref="A1745:A1749" si="92">A1744</f>
        <v>SA크라프트
(SAK)</v>
      </c>
      <c r="B1745" s="387" t="s">
        <v>2010</v>
      </c>
      <c r="C1745" s="91">
        <v>160</v>
      </c>
      <c r="D1745" s="98" t="s">
        <v>2054</v>
      </c>
      <c r="E1745" s="89">
        <v>205000</v>
      </c>
    </row>
    <row r="1746" spans="1:5" ht="15" customHeight="1" x14ac:dyDescent="0.2">
      <c r="A1746" s="686" t="str">
        <f t="shared" si="92"/>
        <v>SA크라프트
(SAK)</v>
      </c>
      <c r="B1746" s="95" t="s">
        <v>2062</v>
      </c>
      <c r="C1746" s="96">
        <v>130</v>
      </c>
      <c r="D1746" s="109" t="s">
        <v>2053</v>
      </c>
      <c r="E1746" s="89">
        <v>210000</v>
      </c>
    </row>
    <row r="1747" spans="1:5" ht="15" customHeight="1" x14ac:dyDescent="0.2">
      <c r="A1747" s="686" t="str">
        <f t="shared" si="92"/>
        <v>SA크라프트
(SAK)</v>
      </c>
      <c r="B1747" s="95" t="s">
        <v>2062</v>
      </c>
      <c r="C1747" s="99">
        <v>160</v>
      </c>
      <c r="D1747" s="105" t="s">
        <v>2055</v>
      </c>
      <c r="E1747" s="89">
        <v>258000</v>
      </c>
    </row>
    <row r="1748" spans="1:5" ht="15" customHeight="1" x14ac:dyDescent="0.2">
      <c r="A1748" s="686" t="str">
        <f t="shared" si="92"/>
        <v>SA크라프트
(SAK)</v>
      </c>
      <c r="B1748" s="90" t="s">
        <v>3481</v>
      </c>
      <c r="C1748" s="91">
        <v>130</v>
      </c>
      <c r="D1748" s="98" t="s">
        <v>3255</v>
      </c>
      <c r="E1748" s="89">
        <v>1475000000</v>
      </c>
    </row>
    <row r="1749" spans="1:5" ht="15" customHeight="1" x14ac:dyDescent="0.2">
      <c r="A1749" s="707" t="str">
        <f t="shared" si="92"/>
        <v>SA크라프트
(SAK)</v>
      </c>
      <c r="B1749" s="90" t="s">
        <v>3481</v>
      </c>
      <c r="C1749" s="111">
        <v>160</v>
      </c>
      <c r="D1749" s="112" t="s">
        <v>2893</v>
      </c>
      <c r="E1749" s="89">
        <v>1475000000</v>
      </c>
    </row>
    <row r="1750" spans="1:5" s="333" customFormat="1" ht="15" customHeight="1" x14ac:dyDescent="0.2">
      <c r="A1750" s="716" t="s">
        <v>3482</v>
      </c>
      <c r="B1750" s="337" t="s">
        <v>2826</v>
      </c>
      <c r="C1750" s="338">
        <v>115</v>
      </c>
      <c r="D1750" s="221" t="s">
        <v>3483</v>
      </c>
      <c r="E1750" s="333">
        <v>200000</v>
      </c>
    </row>
    <row r="1751" spans="1:5" s="333" customFormat="1" ht="15" customHeight="1" x14ac:dyDescent="0.2">
      <c r="A1751" s="717"/>
      <c r="B1751" s="337" t="s">
        <v>2826</v>
      </c>
      <c r="C1751" s="335">
        <v>150</v>
      </c>
      <c r="D1751" s="93" t="s">
        <v>2053</v>
      </c>
      <c r="E1751" s="333">
        <v>260000</v>
      </c>
    </row>
    <row r="1752" spans="1:5" s="333" customFormat="1" ht="15" customHeight="1" x14ac:dyDescent="0.2">
      <c r="A1752" s="718"/>
      <c r="B1752" s="337" t="s">
        <v>2826</v>
      </c>
      <c r="C1752" s="340">
        <v>300</v>
      </c>
      <c r="D1752" s="141" t="s">
        <v>2054</v>
      </c>
      <c r="E1752" s="333">
        <v>520000</v>
      </c>
    </row>
    <row r="1753" spans="1:5" s="218" customFormat="1" ht="15" customHeight="1" x14ac:dyDescent="0.3">
      <c r="A1753" s="677" t="s">
        <v>3484</v>
      </c>
      <c r="B1753" s="431" t="s">
        <v>3485</v>
      </c>
      <c r="C1753" s="432">
        <v>100</v>
      </c>
      <c r="D1753" s="433" t="s">
        <v>3486</v>
      </c>
      <c r="E1753" s="218" t="s">
        <v>2008</v>
      </c>
    </row>
    <row r="1754" spans="1:5" s="218" customFormat="1" ht="15" customHeight="1" x14ac:dyDescent="0.3">
      <c r="A1754" s="685" t="str">
        <f t="shared" ref="A1754:A1781" si="93">A1753</f>
        <v>올드밀 
(OLD)</v>
      </c>
      <c r="B1754" s="118" t="s">
        <v>2826</v>
      </c>
      <c r="C1754" s="243">
        <v>100</v>
      </c>
      <c r="D1754" s="98" t="s">
        <v>3487</v>
      </c>
      <c r="E1754" s="218">
        <v>225000</v>
      </c>
    </row>
    <row r="1755" spans="1:5" s="218" customFormat="1" ht="15" customHeight="1" x14ac:dyDescent="0.3">
      <c r="A1755" s="685" t="str">
        <f t="shared" si="93"/>
        <v>올드밀 
(OLD)</v>
      </c>
      <c r="B1755" s="118" t="s">
        <v>2826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 x14ac:dyDescent="0.3">
      <c r="A1756" s="685" t="str">
        <f t="shared" si="93"/>
        <v>올드밀 
(OLD)</v>
      </c>
      <c r="B1756" s="118" t="s">
        <v>2826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 x14ac:dyDescent="0.3">
      <c r="A1757" s="685" t="str">
        <f t="shared" si="93"/>
        <v>올드밀 
(OLD)</v>
      </c>
      <c r="B1757" s="118" t="s">
        <v>2826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 x14ac:dyDescent="0.3">
      <c r="A1758" s="685" t="str">
        <f t="shared" si="93"/>
        <v>올드밀 
(OLD)</v>
      </c>
      <c r="B1758" s="118" t="s">
        <v>2826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 x14ac:dyDescent="0.3">
      <c r="A1759" s="685" t="str">
        <f t="shared" si="93"/>
        <v>올드밀 
(OLD)</v>
      </c>
      <c r="B1759" s="118" t="s">
        <v>2826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 x14ac:dyDescent="0.3">
      <c r="A1760" s="685" t="str">
        <f t="shared" si="93"/>
        <v>올드밀 
(OLD)</v>
      </c>
      <c r="B1760" s="118" t="s">
        <v>2826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 x14ac:dyDescent="0.3">
      <c r="A1761" s="685" t="str">
        <f t="shared" si="93"/>
        <v>올드밀 
(OLD)</v>
      </c>
      <c r="B1761" s="118" t="s">
        <v>2490</v>
      </c>
      <c r="C1761" s="243">
        <v>100</v>
      </c>
      <c r="D1761" s="434" t="s">
        <v>3488</v>
      </c>
      <c r="E1761" s="218">
        <v>157000</v>
      </c>
    </row>
    <row r="1762" spans="1:5" s="218" customFormat="1" ht="15" customHeight="1" x14ac:dyDescent="0.3">
      <c r="A1762" s="685" t="str">
        <f t="shared" si="93"/>
        <v>올드밀 
(OLD)</v>
      </c>
      <c r="B1762" s="118" t="s">
        <v>2490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 x14ac:dyDescent="0.3">
      <c r="A1763" s="685" t="str">
        <f t="shared" si="93"/>
        <v>올드밀 
(OLD)</v>
      </c>
      <c r="B1763" s="118" t="s">
        <v>2490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 x14ac:dyDescent="0.3">
      <c r="A1764" s="685"/>
      <c r="B1764" s="118" t="s">
        <v>2490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 x14ac:dyDescent="0.3">
      <c r="A1765" s="685" t="str">
        <f>A1763</f>
        <v>올드밀 
(OLD)</v>
      </c>
      <c r="B1765" s="118" t="s">
        <v>2490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 x14ac:dyDescent="0.3">
      <c r="A1766" s="685" t="e">
        <f>#REF!</f>
        <v>#REF!</v>
      </c>
      <c r="B1766" s="120" t="s">
        <v>3330</v>
      </c>
      <c r="C1766" s="143">
        <v>300</v>
      </c>
      <c r="D1766" s="435" t="s">
        <v>3489</v>
      </c>
      <c r="E1766" s="218">
        <v>338000</v>
      </c>
    </row>
    <row r="1767" spans="1:5" s="218" customFormat="1" ht="15" customHeight="1" x14ac:dyDescent="0.3">
      <c r="A1767" s="685" t="e">
        <f t="shared" si="93"/>
        <v>#REF!</v>
      </c>
      <c r="B1767" s="120" t="s">
        <v>3330</v>
      </c>
      <c r="C1767" s="436">
        <v>350</v>
      </c>
      <c r="D1767" s="437" t="s">
        <v>2582</v>
      </c>
      <c r="E1767" s="218">
        <v>395000</v>
      </c>
    </row>
    <row r="1768" spans="1:5" s="218" customFormat="1" ht="15" customHeight="1" x14ac:dyDescent="0.3">
      <c r="A1768" s="685" t="e">
        <f t="shared" si="93"/>
        <v>#REF!</v>
      </c>
      <c r="B1768" s="120" t="s">
        <v>2826</v>
      </c>
      <c r="C1768" s="242">
        <v>220</v>
      </c>
      <c r="D1768" s="438" t="s">
        <v>3490</v>
      </c>
      <c r="E1768" s="218">
        <v>495000</v>
      </c>
    </row>
    <row r="1769" spans="1:5" s="218" customFormat="1" ht="15" customHeight="1" x14ac:dyDescent="0.3">
      <c r="A1769" s="685" t="e">
        <f t="shared" si="93"/>
        <v>#REF!</v>
      </c>
      <c r="B1769" s="120" t="s">
        <v>2826</v>
      </c>
      <c r="C1769" s="243">
        <v>250</v>
      </c>
      <c r="D1769" s="434" t="s">
        <v>3491</v>
      </c>
      <c r="E1769" s="218">
        <v>565000</v>
      </c>
    </row>
    <row r="1770" spans="1:5" s="218" customFormat="1" ht="15" customHeight="1" x14ac:dyDescent="0.3">
      <c r="A1770" s="685" t="e">
        <f t="shared" si="93"/>
        <v>#REF!</v>
      </c>
      <c r="B1770" s="120" t="s">
        <v>2826</v>
      </c>
      <c r="C1770" s="243">
        <v>300</v>
      </c>
      <c r="D1770" s="434" t="s">
        <v>3492</v>
      </c>
      <c r="E1770" s="218">
        <v>675000</v>
      </c>
    </row>
    <row r="1771" spans="1:5" s="218" customFormat="1" ht="15" customHeight="1" x14ac:dyDescent="0.3">
      <c r="A1771" s="685" t="e">
        <f t="shared" si="93"/>
        <v>#REF!</v>
      </c>
      <c r="B1771" s="120" t="s">
        <v>2826</v>
      </c>
      <c r="C1771" s="243">
        <v>350</v>
      </c>
      <c r="D1771" s="434" t="s">
        <v>3493</v>
      </c>
      <c r="E1771" s="218">
        <v>790000</v>
      </c>
    </row>
    <row r="1772" spans="1:5" s="218" customFormat="1" ht="15" customHeight="1" x14ac:dyDescent="0.3">
      <c r="A1772" s="685" t="e">
        <f t="shared" si="93"/>
        <v>#REF!</v>
      </c>
      <c r="B1772" s="120" t="s">
        <v>2826</v>
      </c>
      <c r="C1772" s="243">
        <v>510</v>
      </c>
      <c r="D1772" s="434" t="s">
        <v>3494</v>
      </c>
      <c r="E1772" s="218">
        <v>1190000</v>
      </c>
    </row>
    <row r="1773" spans="1:5" s="218" customFormat="1" ht="15" customHeight="1" x14ac:dyDescent="0.3">
      <c r="A1773" s="685"/>
      <c r="B1773" s="377" t="s">
        <v>2490</v>
      </c>
      <c r="C1773" s="439">
        <v>350</v>
      </c>
      <c r="D1773" s="440" t="s">
        <v>3495</v>
      </c>
      <c r="E1773" s="218">
        <v>560000</v>
      </c>
    </row>
    <row r="1774" spans="1:5" s="218" customFormat="1" ht="15" customHeight="1" x14ac:dyDescent="0.3">
      <c r="A1774" s="685" t="e">
        <f>A1772</f>
        <v>#REF!</v>
      </c>
      <c r="B1774" s="120" t="s">
        <v>2826</v>
      </c>
      <c r="C1774" s="242">
        <v>130</v>
      </c>
      <c r="D1774" s="434" t="s">
        <v>3496</v>
      </c>
      <c r="E1774" s="218">
        <v>293000</v>
      </c>
    </row>
    <row r="1775" spans="1:5" s="218" customFormat="1" ht="15" customHeight="1" x14ac:dyDescent="0.3">
      <c r="A1775" s="685" t="e">
        <f t="shared" si="93"/>
        <v>#REF!</v>
      </c>
      <c r="B1775" s="120" t="s">
        <v>4317</v>
      </c>
      <c r="C1775" s="243">
        <v>220</v>
      </c>
      <c r="D1775" s="434" t="s">
        <v>3497</v>
      </c>
      <c r="E1775" s="218">
        <v>493000</v>
      </c>
    </row>
    <row r="1776" spans="1:5" s="218" customFormat="1" ht="15" customHeight="1" x14ac:dyDescent="0.3">
      <c r="A1776" s="685" t="e">
        <f t="shared" si="93"/>
        <v>#REF!</v>
      </c>
      <c r="B1776" s="120" t="s">
        <v>4318</v>
      </c>
      <c r="C1776" s="243">
        <v>250</v>
      </c>
      <c r="D1776" s="434" t="s">
        <v>3498</v>
      </c>
      <c r="E1776" s="218">
        <v>560000</v>
      </c>
    </row>
    <row r="1777" spans="1:5" s="218" customFormat="1" ht="15" customHeight="1" x14ac:dyDescent="0.3">
      <c r="A1777" s="685" t="e">
        <f t="shared" si="93"/>
        <v>#REF!</v>
      </c>
      <c r="B1777" s="120" t="s">
        <v>4319</v>
      </c>
      <c r="C1777" s="243">
        <v>300</v>
      </c>
      <c r="D1777" s="434" t="s">
        <v>3499</v>
      </c>
      <c r="E1777" s="218">
        <v>675000</v>
      </c>
    </row>
    <row r="1778" spans="1:5" s="218" customFormat="1" ht="15" customHeight="1" x14ac:dyDescent="0.3">
      <c r="A1778" s="685" t="e">
        <f t="shared" si="93"/>
        <v>#REF!</v>
      </c>
      <c r="B1778" s="120" t="s">
        <v>4320</v>
      </c>
      <c r="C1778" s="144">
        <v>350</v>
      </c>
      <c r="D1778" s="441" t="s">
        <v>3500</v>
      </c>
      <c r="E1778" s="218">
        <v>790000</v>
      </c>
    </row>
    <row r="1779" spans="1:5" s="218" customFormat="1" ht="15" customHeight="1" x14ac:dyDescent="0.3">
      <c r="A1779" s="685" t="e">
        <f t="shared" si="93"/>
        <v>#REF!</v>
      </c>
      <c r="B1779" s="118" t="s">
        <v>2490</v>
      </c>
      <c r="C1779" s="243">
        <v>100</v>
      </c>
      <c r="D1779" s="434" t="s">
        <v>3501</v>
      </c>
      <c r="E1779" s="218">
        <v>157000</v>
      </c>
    </row>
    <row r="1780" spans="1:5" s="218" customFormat="1" ht="15" customHeight="1" x14ac:dyDescent="0.3">
      <c r="A1780" s="685" t="e">
        <f t="shared" si="93"/>
        <v>#REF!</v>
      </c>
      <c r="B1780" s="118" t="s">
        <v>2490</v>
      </c>
      <c r="C1780" s="243">
        <v>130</v>
      </c>
      <c r="D1780" s="434" t="s">
        <v>3502</v>
      </c>
      <c r="E1780" s="218">
        <v>204000</v>
      </c>
    </row>
    <row r="1781" spans="1:5" s="218" customFormat="1" ht="15" customHeight="1" x14ac:dyDescent="0.3">
      <c r="A1781" s="685" t="e">
        <f t="shared" si="93"/>
        <v>#REF!</v>
      </c>
      <c r="B1781" s="118" t="s">
        <v>2490</v>
      </c>
      <c r="C1781" s="243">
        <v>220</v>
      </c>
      <c r="D1781" s="434" t="s">
        <v>3503</v>
      </c>
      <c r="E1781" s="218">
        <v>344000</v>
      </c>
    </row>
    <row r="1782" spans="1:5" s="218" customFormat="1" ht="15" customHeight="1" x14ac:dyDescent="0.3">
      <c r="A1782" s="685"/>
      <c r="B1782" s="118" t="s">
        <v>2490</v>
      </c>
      <c r="C1782" s="243">
        <v>250</v>
      </c>
      <c r="D1782" s="434" t="s">
        <v>3504</v>
      </c>
      <c r="E1782" s="218">
        <v>393000</v>
      </c>
    </row>
    <row r="1783" spans="1:5" s="218" customFormat="1" ht="15" customHeight="1" x14ac:dyDescent="0.3">
      <c r="A1783" s="678" t="e">
        <f>A1781</f>
        <v>#REF!</v>
      </c>
      <c r="B1783" s="118" t="s">
        <v>2490</v>
      </c>
      <c r="C1783" s="257">
        <v>350</v>
      </c>
      <c r="D1783" s="442" t="s">
        <v>3505</v>
      </c>
      <c r="E1783" s="218">
        <v>560000</v>
      </c>
    </row>
    <row r="1784" spans="1:5" s="218" customFormat="1" ht="12" customHeight="1" x14ac:dyDescent="0.3">
      <c r="A1784" s="677" t="s">
        <v>3506</v>
      </c>
      <c r="B1784" s="431" t="s">
        <v>3485</v>
      </c>
      <c r="C1784" s="432">
        <v>100</v>
      </c>
      <c r="D1784" s="433" t="s">
        <v>3507</v>
      </c>
      <c r="E1784" s="218" t="s">
        <v>2008</v>
      </c>
    </row>
    <row r="1785" spans="1:5" s="218" customFormat="1" ht="12" x14ac:dyDescent="0.3">
      <c r="A1785" s="685" t="str">
        <f t="shared" ref="A1785:A1814" si="94">A1784</f>
        <v>올드밀2 
(OLD2)</v>
      </c>
      <c r="B1785" s="118" t="s">
        <v>2826</v>
      </c>
      <c r="C1785" s="243">
        <v>100</v>
      </c>
      <c r="D1785" s="98" t="s">
        <v>3507</v>
      </c>
      <c r="E1785" s="218">
        <v>195000</v>
      </c>
    </row>
    <row r="1786" spans="1:5" s="218" customFormat="1" ht="12" x14ac:dyDescent="0.3">
      <c r="A1786" s="685" t="str">
        <f t="shared" si="94"/>
        <v>올드밀2 
(OLD2)</v>
      </c>
      <c r="B1786" s="118" t="s">
        <v>2826</v>
      </c>
      <c r="C1786" s="243">
        <v>130</v>
      </c>
      <c r="D1786" s="98"/>
      <c r="E1786" s="218">
        <v>250000</v>
      </c>
    </row>
    <row r="1787" spans="1:5" s="218" customFormat="1" ht="12" x14ac:dyDescent="0.3">
      <c r="A1787" s="685" t="str">
        <f t="shared" si="94"/>
        <v>올드밀2 
(OLD2)</v>
      </c>
      <c r="B1787" s="118" t="s">
        <v>2826</v>
      </c>
      <c r="C1787" s="243">
        <v>220</v>
      </c>
      <c r="D1787" s="98"/>
      <c r="E1787" s="218">
        <v>425000</v>
      </c>
    </row>
    <row r="1788" spans="1:5" s="218" customFormat="1" ht="12" x14ac:dyDescent="0.3">
      <c r="A1788" s="685" t="str">
        <f t="shared" si="94"/>
        <v>올드밀2 
(OLD2)</v>
      </c>
      <c r="B1788" s="118" t="s">
        <v>2826</v>
      </c>
      <c r="C1788" s="243">
        <v>250</v>
      </c>
      <c r="D1788" s="98"/>
      <c r="E1788" s="218">
        <v>480000</v>
      </c>
    </row>
    <row r="1789" spans="1:5" s="218" customFormat="1" ht="12" x14ac:dyDescent="0.3">
      <c r="A1789" s="685" t="str">
        <f t="shared" si="94"/>
        <v>올드밀2 
(OLD2)</v>
      </c>
      <c r="B1789" s="118" t="s">
        <v>2826</v>
      </c>
      <c r="C1789" s="243">
        <v>300</v>
      </c>
      <c r="D1789" s="98"/>
      <c r="E1789" s="218">
        <v>575000</v>
      </c>
    </row>
    <row r="1790" spans="1:5" s="218" customFormat="1" ht="12" x14ac:dyDescent="0.3">
      <c r="A1790" s="685" t="str">
        <f t="shared" si="94"/>
        <v>올드밀2 
(OLD2)</v>
      </c>
      <c r="B1790" s="118" t="s">
        <v>2826</v>
      </c>
      <c r="C1790" s="243">
        <v>350</v>
      </c>
      <c r="D1790" s="98"/>
      <c r="E1790" s="218">
        <v>675000</v>
      </c>
    </row>
    <row r="1791" spans="1:5" s="218" customFormat="1" ht="12" x14ac:dyDescent="0.3">
      <c r="A1791" s="685" t="str">
        <f t="shared" si="94"/>
        <v>올드밀2 
(OLD2)</v>
      </c>
      <c r="B1791" s="118" t="s">
        <v>2826</v>
      </c>
      <c r="C1791" s="144">
        <v>510</v>
      </c>
      <c r="D1791" s="145"/>
      <c r="E1791" s="218">
        <v>1135000</v>
      </c>
    </row>
    <row r="1792" spans="1:5" s="218" customFormat="1" ht="12" x14ac:dyDescent="0.3">
      <c r="A1792" s="685" t="str">
        <f t="shared" si="94"/>
        <v>올드밀2 
(OLD2)</v>
      </c>
      <c r="B1792" s="118" t="s">
        <v>2490</v>
      </c>
      <c r="C1792" s="243">
        <v>100</v>
      </c>
      <c r="D1792" s="156" t="s">
        <v>3507</v>
      </c>
      <c r="E1792" s="218">
        <v>135000</v>
      </c>
    </row>
    <row r="1793" spans="1:5" s="218" customFormat="1" ht="12" x14ac:dyDescent="0.3">
      <c r="A1793" s="685" t="str">
        <f t="shared" si="94"/>
        <v>올드밀2 
(OLD2)</v>
      </c>
      <c r="B1793" s="118" t="s">
        <v>2490</v>
      </c>
      <c r="C1793" s="243">
        <v>130</v>
      </c>
      <c r="D1793" s="156"/>
      <c r="E1793" s="218">
        <v>175000</v>
      </c>
    </row>
    <row r="1794" spans="1:5" s="218" customFormat="1" ht="12" x14ac:dyDescent="0.3">
      <c r="A1794" s="685" t="str">
        <f t="shared" si="94"/>
        <v>올드밀2 
(OLD2)</v>
      </c>
      <c r="B1794" s="118" t="s">
        <v>2490</v>
      </c>
      <c r="C1794" s="243">
        <v>220</v>
      </c>
      <c r="D1794" s="156"/>
      <c r="E1794" s="218">
        <v>295000</v>
      </c>
    </row>
    <row r="1795" spans="1:5" s="218" customFormat="1" ht="12" x14ac:dyDescent="0.3">
      <c r="A1795" s="685" t="str">
        <f t="shared" si="94"/>
        <v>올드밀2 
(OLD2)</v>
      </c>
      <c r="B1795" s="118" t="s">
        <v>2490</v>
      </c>
      <c r="C1795" s="243">
        <v>250</v>
      </c>
      <c r="D1795" s="156"/>
      <c r="E1795" s="218">
        <v>335000</v>
      </c>
    </row>
    <row r="1796" spans="1:5" s="218" customFormat="1" ht="12" x14ac:dyDescent="0.3">
      <c r="A1796" s="685" t="str">
        <f t="shared" si="94"/>
        <v>올드밀2 
(OLD2)</v>
      </c>
      <c r="B1796" s="137" t="s">
        <v>3330</v>
      </c>
      <c r="C1796" s="443">
        <v>220</v>
      </c>
      <c r="D1796" s="411" t="s">
        <v>3507</v>
      </c>
      <c r="E1796" s="218">
        <v>210000</v>
      </c>
    </row>
    <row r="1797" spans="1:5" s="218" customFormat="1" ht="12" x14ac:dyDescent="0.3">
      <c r="A1797" s="685" t="str">
        <f t="shared" si="94"/>
        <v>올드밀2 
(OLD2)</v>
      </c>
      <c r="B1797" s="137" t="s">
        <v>3330</v>
      </c>
      <c r="C1797" s="444"/>
      <c r="D1797" s="247" t="s">
        <v>3508</v>
      </c>
      <c r="E1797" s="218">
        <v>175000</v>
      </c>
    </row>
    <row r="1798" spans="1:5" s="218" customFormat="1" ht="12" x14ac:dyDescent="0.3">
      <c r="A1798" s="685" t="str">
        <f t="shared" si="94"/>
        <v>올드밀2 
(OLD2)</v>
      </c>
      <c r="B1798" s="137" t="s">
        <v>3330</v>
      </c>
      <c r="C1798" s="444">
        <v>250</v>
      </c>
      <c r="D1798" s="247"/>
      <c r="E1798" s="218">
        <v>240000</v>
      </c>
    </row>
    <row r="1799" spans="1:5" s="218" customFormat="1" ht="12" x14ac:dyDescent="0.3">
      <c r="A1799" s="685" t="str">
        <f t="shared" si="94"/>
        <v>올드밀2 
(OLD2)</v>
      </c>
      <c r="B1799" s="137" t="s">
        <v>3330</v>
      </c>
      <c r="C1799" s="243">
        <v>300</v>
      </c>
      <c r="D1799" s="156"/>
      <c r="E1799" s="218">
        <v>290000</v>
      </c>
    </row>
    <row r="1800" spans="1:5" s="218" customFormat="1" ht="12" x14ac:dyDescent="0.3">
      <c r="A1800" s="685" t="str">
        <f t="shared" si="94"/>
        <v>올드밀2 
(OLD2)</v>
      </c>
      <c r="B1800" s="137" t="s">
        <v>3330</v>
      </c>
      <c r="C1800" s="243">
        <v>350</v>
      </c>
      <c r="D1800" s="156"/>
      <c r="E1800" s="218">
        <v>335000</v>
      </c>
    </row>
    <row r="1801" spans="1:5" s="218" customFormat="1" ht="12" x14ac:dyDescent="0.3">
      <c r="A1801" s="685" t="str">
        <f t="shared" si="94"/>
        <v>올드밀2 
(OLD2)</v>
      </c>
      <c r="B1801" s="120" t="s">
        <v>2826</v>
      </c>
      <c r="C1801" s="242">
        <v>220</v>
      </c>
      <c r="D1801" s="233" t="s">
        <v>3509</v>
      </c>
      <c r="E1801" s="218">
        <v>425000</v>
      </c>
    </row>
    <row r="1802" spans="1:5" s="218" customFormat="1" ht="12" x14ac:dyDescent="0.3">
      <c r="A1802" s="685" t="str">
        <f t="shared" si="94"/>
        <v>올드밀2 
(OLD2)</v>
      </c>
      <c r="B1802" s="120" t="s">
        <v>2826</v>
      </c>
      <c r="C1802" s="243">
        <v>250</v>
      </c>
      <c r="D1802" s="156"/>
      <c r="E1802" s="218">
        <v>480000</v>
      </c>
    </row>
    <row r="1803" spans="1:5" s="218" customFormat="1" ht="12" x14ac:dyDescent="0.3">
      <c r="A1803" s="685" t="str">
        <f t="shared" si="94"/>
        <v>올드밀2 
(OLD2)</v>
      </c>
      <c r="B1803" s="120" t="s">
        <v>2826</v>
      </c>
      <c r="C1803" s="243">
        <v>300</v>
      </c>
      <c r="D1803" s="156"/>
      <c r="E1803" s="218">
        <v>575000</v>
      </c>
    </row>
    <row r="1804" spans="1:5" s="218" customFormat="1" ht="12" x14ac:dyDescent="0.3">
      <c r="A1804" s="685" t="str">
        <f t="shared" si="94"/>
        <v>올드밀2 
(OLD2)</v>
      </c>
      <c r="B1804" s="120" t="s">
        <v>2826</v>
      </c>
      <c r="C1804" s="243">
        <v>350</v>
      </c>
      <c r="D1804" s="156"/>
      <c r="E1804" s="218">
        <v>675000</v>
      </c>
    </row>
    <row r="1805" spans="1:5" s="218" customFormat="1" ht="12" x14ac:dyDescent="0.3">
      <c r="A1805" s="685" t="str">
        <f t="shared" si="94"/>
        <v>올드밀2 
(OLD2)</v>
      </c>
      <c r="B1805" s="120" t="s">
        <v>2826</v>
      </c>
      <c r="C1805" s="373">
        <v>510</v>
      </c>
      <c r="D1805" s="409"/>
      <c r="E1805" s="218">
        <v>1135000</v>
      </c>
    </row>
    <row r="1806" spans="1:5" s="218" customFormat="1" ht="12" x14ac:dyDescent="0.3">
      <c r="A1806" s="685" t="str">
        <f t="shared" si="94"/>
        <v>올드밀2 
(OLD2)</v>
      </c>
      <c r="B1806" s="118" t="s">
        <v>2826</v>
      </c>
      <c r="C1806" s="243">
        <v>130</v>
      </c>
      <c r="D1806" s="156" t="s">
        <v>3510</v>
      </c>
      <c r="E1806" s="218">
        <v>250000</v>
      </c>
    </row>
    <row r="1807" spans="1:5" s="218" customFormat="1" ht="12" x14ac:dyDescent="0.3">
      <c r="A1807" s="685" t="str">
        <f t="shared" si="94"/>
        <v>올드밀2 
(OLD2)</v>
      </c>
      <c r="B1807" s="118" t="s">
        <v>2826</v>
      </c>
      <c r="C1807" s="243">
        <v>220</v>
      </c>
      <c r="D1807" s="156"/>
      <c r="E1807" s="218">
        <v>425000</v>
      </c>
    </row>
    <row r="1808" spans="1:5" s="218" customFormat="1" ht="12" x14ac:dyDescent="0.3">
      <c r="A1808" s="685" t="str">
        <f t="shared" si="94"/>
        <v>올드밀2 
(OLD2)</v>
      </c>
      <c r="B1808" s="118" t="s">
        <v>2826</v>
      </c>
      <c r="C1808" s="243">
        <v>250</v>
      </c>
      <c r="D1808" s="156"/>
      <c r="E1808" s="218">
        <v>480000</v>
      </c>
    </row>
    <row r="1809" spans="1:5" s="218" customFormat="1" ht="12" x14ac:dyDescent="0.3">
      <c r="A1809" s="685" t="str">
        <f t="shared" si="94"/>
        <v>올드밀2 
(OLD2)</v>
      </c>
      <c r="B1809" s="118" t="s">
        <v>2826</v>
      </c>
      <c r="C1809" s="243">
        <v>300</v>
      </c>
      <c r="D1809" s="156"/>
      <c r="E1809" s="218">
        <v>575000</v>
      </c>
    </row>
    <row r="1810" spans="1:5" s="218" customFormat="1" ht="12" x14ac:dyDescent="0.3">
      <c r="A1810" s="685" t="str">
        <f t="shared" si="94"/>
        <v>올드밀2 
(OLD2)</v>
      </c>
      <c r="B1810" s="118" t="s">
        <v>2826</v>
      </c>
      <c r="C1810" s="144">
        <v>350</v>
      </c>
      <c r="D1810" s="145"/>
      <c r="E1810" s="218">
        <v>675000</v>
      </c>
    </row>
    <row r="1811" spans="1:5" s="218" customFormat="1" ht="12" x14ac:dyDescent="0.3">
      <c r="A1811" s="685" t="str">
        <f t="shared" si="94"/>
        <v>올드밀2 
(OLD2)</v>
      </c>
      <c r="B1811" s="118" t="s">
        <v>2490</v>
      </c>
      <c r="C1811" s="243">
        <v>100</v>
      </c>
      <c r="D1811" s="156" t="s">
        <v>3511</v>
      </c>
      <c r="E1811" s="218">
        <v>135000</v>
      </c>
    </row>
    <row r="1812" spans="1:5" s="218" customFormat="1" ht="12" x14ac:dyDescent="0.3">
      <c r="A1812" s="685" t="str">
        <f t="shared" si="94"/>
        <v>올드밀2 
(OLD2)</v>
      </c>
      <c r="B1812" s="118" t="s">
        <v>2490</v>
      </c>
      <c r="C1812" s="243">
        <v>130</v>
      </c>
      <c r="D1812" s="156"/>
      <c r="E1812" s="218">
        <v>175000</v>
      </c>
    </row>
    <row r="1813" spans="1:5" s="218" customFormat="1" ht="12" x14ac:dyDescent="0.3">
      <c r="A1813" s="685" t="str">
        <f t="shared" si="94"/>
        <v>올드밀2 
(OLD2)</v>
      </c>
      <c r="B1813" s="118" t="s">
        <v>2490</v>
      </c>
      <c r="C1813" s="243">
        <v>220</v>
      </c>
      <c r="D1813" s="156"/>
      <c r="E1813" s="218">
        <v>295000</v>
      </c>
    </row>
    <row r="1814" spans="1:5" s="218" customFormat="1" ht="12" x14ac:dyDescent="0.3">
      <c r="A1814" s="678" t="str">
        <f t="shared" si="94"/>
        <v>올드밀2 
(OLD2)</v>
      </c>
      <c r="B1814" s="118" t="s">
        <v>2490</v>
      </c>
      <c r="C1814" s="257">
        <v>250</v>
      </c>
      <c r="D1814" s="207"/>
      <c r="E1814" s="218">
        <v>335000</v>
      </c>
    </row>
    <row r="1815" spans="1:5" s="218" customFormat="1" ht="12" customHeight="1" x14ac:dyDescent="0.3">
      <c r="A1815" s="712" t="s">
        <v>3512</v>
      </c>
      <c r="B1815" s="445" t="s">
        <v>2826</v>
      </c>
      <c r="C1815" s="446">
        <v>250</v>
      </c>
      <c r="D1815" s="447" t="s">
        <v>3513</v>
      </c>
      <c r="E1815" s="218">
        <v>560000</v>
      </c>
    </row>
    <row r="1816" spans="1:5" s="218" customFormat="1" ht="12" x14ac:dyDescent="0.3">
      <c r="A1816" s="686" t="str">
        <f t="shared" ref="A1816" si="95">A1815</f>
        <v>올드밀 리사이클 
(OLDR)</v>
      </c>
      <c r="B1816" s="445" t="s">
        <v>2826</v>
      </c>
      <c r="C1816" s="243">
        <v>300</v>
      </c>
      <c r="D1816" s="156" t="s">
        <v>3514</v>
      </c>
      <c r="E1816" s="218">
        <v>675000</v>
      </c>
    </row>
    <row r="1817" spans="1:5" s="218" customFormat="1" ht="12" x14ac:dyDescent="0.3">
      <c r="A1817" s="686"/>
      <c r="B1817" s="445" t="s">
        <v>2826</v>
      </c>
      <c r="C1817" s="243">
        <v>350</v>
      </c>
      <c r="D1817" s="156" t="s">
        <v>3515</v>
      </c>
      <c r="E1817" s="218">
        <v>790000</v>
      </c>
    </row>
    <row r="1818" spans="1:5" s="218" customFormat="1" ht="12" x14ac:dyDescent="0.3">
      <c r="A1818" s="686"/>
      <c r="B1818" s="152" t="s">
        <v>3330</v>
      </c>
      <c r="C1818" s="143">
        <v>350</v>
      </c>
      <c r="D1818" s="139" t="s">
        <v>3516</v>
      </c>
      <c r="E1818" s="218">
        <v>395000</v>
      </c>
    </row>
    <row r="1819" spans="1:5" s="218" customFormat="1" ht="12" x14ac:dyDescent="0.3">
      <c r="A1819" s="686"/>
      <c r="B1819" s="152" t="s">
        <v>3330</v>
      </c>
      <c r="C1819" s="144">
        <v>350</v>
      </c>
      <c r="D1819" s="145" t="s">
        <v>3517</v>
      </c>
      <c r="E1819" s="218">
        <v>395000</v>
      </c>
    </row>
    <row r="1820" spans="1:5" s="218" customFormat="1" ht="12" x14ac:dyDescent="0.3">
      <c r="A1820" s="686"/>
      <c r="B1820" s="118" t="s">
        <v>2743</v>
      </c>
      <c r="C1820" s="243">
        <v>250</v>
      </c>
      <c r="D1820" s="156" t="s">
        <v>3518</v>
      </c>
      <c r="E1820" s="218">
        <v>393000</v>
      </c>
    </row>
    <row r="1821" spans="1:5" s="218" customFormat="1" ht="12" x14ac:dyDescent="0.3">
      <c r="A1821" s="686"/>
      <c r="B1821" s="118" t="s">
        <v>2743</v>
      </c>
      <c r="C1821" s="243">
        <v>300</v>
      </c>
      <c r="D1821" s="448" t="s">
        <v>3519</v>
      </c>
      <c r="E1821" s="218">
        <v>480000</v>
      </c>
    </row>
    <row r="1822" spans="1:5" s="218" customFormat="1" ht="12" x14ac:dyDescent="0.3">
      <c r="A1822" s="707" t="str">
        <f>A1816</f>
        <v>올드밀 리사이클 
(OLDR)</v>
      </c>
      <c r="B1822" s="118" t="s">
        <v>2743</v>
      </c>
      <c r="C1822" s="257">
        <v>350</v>
      </c>
      <c r="D1822" s="448" t="s">
        <v>3520</v>
      </c>
      <c r="E1822" s="218">
        <v>560000</v>
      </c>
    </row>
    <row r="1823" spans="1:5" ht="15" customHeight="1" x14ac:dyDescent="0.2">
      <c r="A1823" s="713" t="s">
        <v>3521</v>
      </c>
      <c r="B1823" s="449" t="s">
        <v>1857</v>
      </c>
      <c r="C1823" s="450">
        <v>110</v>
      </c>
      <c r="D1823" s="451" t="s">
        <v>3522</v>
      </c>
      <c r="E1823" s="89">
        <v>535000</v>
      </c>
    </row>
    <row r="1824" spans="1:5" ht="15" customHeight="1" x14ac:dyDescent="0.2">
      <c r="A1824" s="713" t="str">
        <f t="shared" ref="A1824:A1831" si="96">A1823</f>
        <v>우드스킨
(WOOD)</v>
      </c>
      <c r="B1824" s="449" t="s">
        <v>1857</v>
      </c>
      <c r="C1824" s="91"/>
      <c r="D1824" s="98" t="s">
        <v>3523</v>
      </c>
      <c r="E1824" s="89">
        <v>330000</v>
      </c>
    </row>
    <row r="1825" spans="1:5" ht="15" customHeight="1" x14ac:dyDescent="0.2">
      <c r="A1825" s="713" t="str">
        <f t="shared" si="96"/>
        <v>우드스킨
(WOOD)</v>
      </c>
      <c r="B1825" s="449" t="s">
        <v>1857</v>
      </c>
      <c r="C1825" s="91"/>
      <c r="D1825" s="98" t="s">
        <v>3524</v>
      </c>
      <c r="E1825" s="89">
        <v>495000</v>
      </c>
    </row>
    <row r="1826" spans="1:5" ht="15" customHeight="1" x14ac:dyDescent="0.2">
      <c r="A1826" s="713" t="str">
        <f t="shared" si="96"/>
        <v>우드스킨
(WOOD)</v>
      </c>
      <c r="B1826" s="449" t="s">
        <v>1857</v>
      </c>
      <c r="C1826" s="91"/>
      <c r="D1826" s="98" t="s">
        <v>3525</v>
      </c>
      <c r="E1826" s="89">
        <v>495000</v>
      </c>
    </row>
    <row r="1827" spans="1:5" ht="15" customHeight="1" x14ac:dyDescent="0.2">
      <c r="A1827" s="713" t="str">
        <f t="shared" si="96"/>
        <v>우드스킨
(WOOD)</v>
      </c>
      <c r="B1827" s="449" t="s">
        <v>1857</v>
      </c>
      <c r="C1827" s="99"/>
      <c r="D1827" s="105" t="s">
        <v>3526</v>
      </c>
      <c r="E1827" s="89">
        <v>645000</v>
      </c>
    </row>
    <row r="1828" spans="1:5" ht="15" customHeight="1" x14ac:dyDescent="0.2">
      <c r="A1828" s="713" t="str">
        <f t="shared" si="96"/>
        <v>우드스킨
(WOOD)</v>
      </c>
      <c r="B1828" s="449" t="s">
        <v>1857</v>
      </c>
      <c r="C1828" s="96">
        <v>250</v>
      </c>
      <c r="D1828" s="98" t="s">
        <v>3527</v>
      </c>
      <c r="E1828" s="89">
        <v>1225000</v>
      </c>
    </row>
    <row r="1829" spans="1:5" ht="15" customHeight="1" x14ac:dyDescent="0.2">
      <c r="A1829" s="713" t="str">
        <f t="shared" si="96"/>
        <v>우드스킨
(WOOD)</v>
      </c>
      <c r="B1829" s="449" t="s">
        <v>1857</v>
      </c>
      <c r="C1829" s="91"/>
      <c r="D1829" s="98" t="s">
        <v>3528</v>
      </c>
      <c r="E1829" s="89">
        <v>1135000</v>
      </c>
    </row>
    <row r="1830" spans="1:5" ht="15" customHeight="1" x14ac:dyDescent="0.2">
      <c r="A1830" s="713" t="str">
        <f t="shared" si="96"/>
        <v>우드스킨
(WOOD)</v>
      </c>
      <c r="B1830" s="449" t="s">
        <v>1857</v>
      </c>
      <c r="C1830" s="91"/>
      <c r="D1830" s="98" t="s">
        <v>3529</v>
      </c>
      <c r="E1830" s="89">
        <v>1475000</v>
      </c>
    </row>
    <row r="1831" spans="1:5" ht="15" customHeight="1" x14ac:dyDescent="0.2">
      <c r="A1831" s="714" t="str">
        <f t="shared" si="96"/>
        <v>우드스킨
(WOOD)</v>
      </c>
      <c r="B1831" s="449" t="s">
        <v>1857</v>
      </c>
      <c r="C1831" s="111"/>
      <c r="D1831" s="112" t="s">
        <v>3530</v>
      </c>
      <c r="E1831" s="89">
        <v>1255000</v>
      </c>
    </row>
    <row r="1832" spans="1:5" ht="15" customHeight="1" x14ac:dyDescent="0.2">
      <c r="A1832" s="702" t="s">
        <v>3531</v>
      </c>
      <c r="B1832" s="452" t="s">
        <v>3532</v>
      </c>
      <c r="C1832" s="453">
        <v>110</v>
      </c>
      <c r="D1832" s="454" t="s">
        <v>3533</v>
      </c>
      <c r="E1832" s="89">
        <v>180000</v>
      </c>
    </row>
    <row r="1833" spans="1:5" ht="15" customHeight="1" x14ac:dyDescent="0.2">
      <c r="A1833" s="683"/>
      <c r="B1833" s="452" t="s">
        <v>3532</v>
      </c>
      <c r="C1833" s="91"/>
      <c r="D1833" s="156" t="s">
        <v>3534</v>
      </c>
      <c r="E1833" s="89">
        <v>245000</v>
      </c>
    </row>
    <row r="1834" spans="1:5" ht="15" customHeight="1" x14ac:dyDescent="0.2">
      <c r="A1834" s="715" t="str">
        <f>A1832</f>
        <v>우드스탁
(WDS)</v>
      </c>
      <c r="B1834" s="452" t="s">
        <v>3532</v>
      </c>
      <c r="C1834" s="99"/>
      <c r="D1834" s="145" t="s">
        <v>3535</v>
      </c>
      <c r="E1834" s="89">
        <v>221000</v>
      </c>
    </row>
    <row r="1835" spans="1:5" ht="15" customHeight="1" x14ac:dyDescent="0.2">
      <c r="A1835" s="715" t="str">
        <f t="shared" ref="A1835:A1838" si="97">A1834</f>
        <v>우드스탁
(WDS)</v>
      </c>
      <c r="B1835" s="452" t="s">
        <v>3532</v>
      </c>
      <c r="C1835" s="91">
        <v>140</v>
      </c>
      <c r="D1835" s="98" t="s">
        <v>3536</v>
      </c>
      <c r="E1835" s="89">
        <v>310000</v>
      </c>
    </row>
    <row r="1836" spans="1:5" ht="15" customHeight="1" x14ac:dyDescent="0.2">
      <c r="A1836" s="715" t="str">
        <f t="shared" si="97"/>
        <v>우드스탁
(WDS)</v>
      </c>
      <c r="B1836" s="452" t="s">
        <v>3532</v>
      </c>
      <c r="C1836" s="96">
        <v>285</v>
      </c>
      <c r="D1836" s="109" t="s">
        <v>3537</v>
      </c>
      <c r="E1836" s="89">
        <v>500000</v>
      </c>
    </row>
    <row r="1837" spans="1:5" ht="15" customHeight="1" x14ac:dyDescent="0.2">
      <c r="A1837" s="713" t="str">
        <f t="shared" si="97"/>
        <v>우드스탁
(WDS)</v>
      </c>
      <c r="B1837" s="452" t="s">
        <v>3532</v>
      </c>
      <c r="C1837" s="91" t="s">
        <v>1868</v>
      </c>
      <c r="D1837" s="98" t="s">
        <v>3538</v>
      </c>
      <c r="E1837" s="89">
        <v>570000</v>
      </c>
    </row>
    <row r="1838" spans="1:5" ht="15" customHeight="1" x14ac:dyDescent="0.2">
      <c r="A1838" s="714" t="str">
        <f t="shared" si="97"/>
        <v>우드스탁
(WDS)</v>
      </c>
      <c r="B1838" s="452" t="s">
        <v>3532</v>
      </c>
      <c r="C1838" s="111"/>
      <c r="D1838" s="112" t="s">
        <v>3539</v>
      </c>
      <c r="E1838" s="89">
        <v>630000</v>
      </c>
    </row>
    <row r="1839" spans="1:5" ht="15" customHeight="1" x14ac:dyDescent="0.2">
      <c r="A1839" s="685" t="s">
        <v>3540</v>
      </c>
      <c r="B1839" s="605" t="s">
        <v>3541</v>
      </c>
      <c r="C1839" s="91">
        <v>90</v>
      </c>
      <c r="D1839" s="98" t="s">
        <v>3542</v>
      </c>
      <c r="E1839" s="89">
        <v>190000</v>
      </c>
    </row>
    <row r="1840" spans="1:5" ht="15" customHeight="1" x14ac:dyDescent="0.2">
      <c r="A1840" s="686" t="str">
        <f t="shared" ref="A1840:A1873" si="98">A1839</f>
        <v>위너스
(WIN)</v>
      </c>
      <c r="B1840" s="605" t="s">
        <v>3541</v>
      </c>
      <c r="C1840" s="91">
        <v>105</v>
      </c>
      <c r="D1840" s="98"/>
      <c r="E1840" s="89">
        <v>220000</v>
      </c>
    </row>
    <row r="1841" spans="1:5" ht="15" customHeight="1" x14ac:dyDescent="0.2">
      <c r="A1841" s="686" t="str">
        <f t="shared" si="98"/>
        <v>위너스
(WIN)</v>
      </c>
      <c r="B1841" s="605" t="s">
        <v>3541</v>
      </c>
      <c r="C1841" s="91">
        <v>128</v>
      </c>
      <c r="D1841" s="98"/>
      <c r="E1841" s="89">
        <v>270000</v>
      </c>
    </row>
    <row r="1842" spans="1:5" ht="15" customHeight="1" x14ac:dyDescent="0.2">
      <c r="A1842" s="686" t="str">
        <f t="shared" si="98"/>
        <v>위너스
(WIN)</v>
      </c>
      <c r="B1842" s="605" t="s">
        <v>3541</v>
      </c>
      <c r="C1842" s="91">
        <v>157</v>
      </c>
      <c r="D1842" s="98"/>
      <c r="E1842" s="89">
        <v>330000</v>
      </c>
    </row>
    <row r="1843" spans="1:5" ht="15" customHeight="1" x14ac:dyDescent="0.2">
      <c r="A1843" s="686" t="str">
        <f t="shared" si="98"/>
        <v>위너스
(WIN)</v>
      </c>
      <c r="B1843" s="605" t="s">
        <v>3541</v>
      </c>
      <c r="C1843" s="91">
        <v>186</v>
      </c>
      <c r="D1843" s="98"/>
      <c r="E1843" s="89">
        <v>395000</v>
      </c>
    </row>
    <row r="1844" spans="1:5" ht="15" customHeight="1" x14ac:dyDescent="0.2">
      <c r="A1844" s="686" t="str">
        <f t="shared" si="98"/>
        <v>위너스
(WIN)</v>
      </c>
      <c r="B1844" s="605" t="s">
        <v>3541</v>
      </c>
      <c r="C1844" s="91">
        <v>209</v>
      </c>
      <c r="D1844" s="98"/>
      <c r="E1844" s="89">
        <v>440000</v>
      </c>
    </row>
    <row r="1845" spans="1:5" ht="15" customHeight="1" x14ac:dyDescent="0.2">
      <c r="A1845" s="686" t="str">
        <f t="shared" si="98"/>
        <v>위너스
(WIN)</v>
      </c>
      <c r="B1845" s="605" t="s">
        <v>3541</v>
      </c>
      <c r="C1845" s="91">
        <v>233</v>
      </c>
      <c r="D1845" s="98"/>
      <c r="E1845" s="89">
        <v>490000</v>
      </c>
    </row>
    <row r="1846" spans="1:5" ht="15" customHeight="1" x14ac:dyDescent="0.2">
      <c r="A1846" s="686" t="str">
        <f t="shared" si="98"/>
        <v>위너스
(WIN)</v>
      </c>
      <c r="B1846" s="605" t="s">
        <v>3541</v>
      </c>
      <c r="C1846" s="96">
        <v>90</v>
      </c>
      <c r="D1846" s="97" t="s">
        <v>3543</v>
      </c>
      <c r="E1846" s="89">
        <v>155000</v>
      </c>
    </row>
    <row r="1847" spans="1:5" ht="15" customHeight="1" x14ac:dyDescent="0.2">
      <c r="A1847" s="686" t="str">
        <f t="shared" si="98"/>
        <v>위너스
(WIN)</v>
      </c>
      <c r="B1847" s="605" t="s">
        <v>3541</v>
      </c>
      <c r="C1847" s="91">
        <v>105</v>
      </c>
      <c r="D1847" s="92" t="s">
        <v>1937</v>
      </c>
      <c r="E1847" s="89">
        <v>180000</v>
      </c>
    </row>
    <row r="1848" spans="1:5" ht="15" customHeight="1" x14ac:dyDescent="0.2">
      <c r="A1848" s="686" t="str">
        <f t="shared" si="98"/>
        <v>위너스
(WIN)</v>
      </c>
      <c r="B1848" s="605" t="s">
        <v>3541</v>
      </c>
      <c r="C1848" s="91">
        <v>128</v>
      </c>
      <c r="D1848" s="92" t="s">
        <v>1937</v>
      </c>
      <c r="E1848" s="89">
        <v>220000</v>
      </c>
    </row>
    <row r="1849" spans="1:5" ht="15" customHeight="1" x14ac:dyDescent="0.2">
      <c r="A1849" s="686" t="str">
        <f t="shared" si="98"/>
        <v>위너스
(WIN)</v>
      </c>
      <c r="B1849" s="605" t="s">
        <v>3541</v>
      </c>
      <c r="C1849" s="91">
        <v>157</v>
      </c>
      <c r="D1849" s="92" t="s">
        <v>1937</v>
      </c>
      <c r="E1849" s="89">
        <v>272500</v>
      </c>
    </row>
    <row r="1850" spans="1:5" ht="15" customHeight="1" x14ac:dyDescent="0.2">
      <c r="A1850" s="686" t="str">
        <f t="shared" si="98"/>
        <v>위너스
(WIN)</v>
      </c>
      <c r="B1850" s="605" t="s">
        <v>3541</v>
      </c>
      <c r="C1850" s="91">
        <v>186</v>
      </c>
      <c r="D1850" s="92" t="s">
        <v>1937</v>
      </c>
      <c r="E1850" s="89">
        <v>325000</v>
      </c>
    </row>
    <row r="1851" spans="1:5" ht="15" customHeight="1" x14ac:dyDescent="0.2">
      <c r="A1851" s="686" t="str">
        <f t="shared" si="98"/>
        <v>위너스
(WIN)</v>
      </c>
      <c r="B1851" s="605" t="s">
        <v>3541</v>
      </c>
      <c r="C1851" s="91">
        <v>209</v>
      </c>
      <c r="D1851" s="92" t="s">
        <v>1937</v>
      </c>
      <c r="E1851" s="89">
        <v>360000</v>
      </c>
    </row>
    <row r="1852" spans="1:5" ht="15" customHeight="1" x14ac:dyDescent="0.2">
      <c r="A1852" s="686" t="str">
        <f t="shared" si="98"/>
        <v>위너스
(WIN)</v>
      </c>
      <c r="B1852" s="605" t="s">
        <v>3541</v>
      </c>
      <c r="C1852" s="91">
        <v>233</v>
      </c>
      <c r="D1852" s="92" t="s">
        <v>1937</v>
      </c>
      <c r="E1852" s="89">
        <v>405000</v>
      </c>
    </row>
    <row r="1853" spans="1:5" ht="15" customHeight="1" x14ac:dyDescent="0.2">
      <c r="A1853" s="686" t="str">
        <f t="shared" si="98"/>
        <v>위너스
(WIN)</v>
      </c>
      <c r="B1853" s="152" t="s">
        <v>3544</v>
      </c>
      <c r="C1853" s="121">
        <v>90</v>
      </c>
      <c r="D1853" s="153" t="s">
        <v>3542</v>
      </c>
      <c r="E1853" s="89">
        <v>95000</v>
      </c>
    </row>
    <row r="1854" spans="1:5" ht="15" customHeight="1" x14ac:dyDescent="0.2">
      <c r="A1854" s="686" t="str">
        <f t="shared" si="98"/>
        <v>위너스
(WIN)</v>
      </c>
      <c r="B1854" s="152" t="s">
        <v>3544</v>
      </c>
      <c r="C1854" s="91">
        <v>105</v>
      </c>
      <c r="D1854" s="98"/>
      <c r="E1854" s="89">
        <v>110000</v>
      </c>
    </row>
    <row r="1855" spans="1:5" ht="15" customHeight="1" x14ac:dyDescent="0.2">
      <c r="A1855" s="686" t="str">
        <f t="shared" si="98"/>
        <v>위너스
(WIN)</v>
      </c>
      <c r="B1855" s="152" t="s">
        <v>3544</v>
      </c>
      <c r="C1855" s="91">
        <v>128</v>
      </c>
      <c r="D1855" s="98"/>
      <c r="E1855" s="89">
        <v>135000</v>
      </c>
    </row>
    <row r="1856" spans="1:5" ht="15" customHeight="1" x14ac:dyDescent="0.2">
      <c r="A1856" s="686" t="str">
        <f t="shared" si="98"/>
        <v>위너스
(WIN)</v>
      </c>
      <c r="B1856" s="152" t="s">
        <v>3544</v>
      </c>
      <c r="C1856" s="91">
        <v>157</v>
      </c>
      <c r="D1856" s="98"/>
      <c r="E1856" s="89">
        <v>165000</v>
      </c>
    </row>
    <row r="1857" spans="1:5" ht="15" customHeight="1" x14ac:dyDescent="0.2">
      <c r="A1857" s="686" t="str">
        <f t="shared" si="98"/>
        <v>위너스
(WIN)</v>
      </c>
      <c r="B1857" s="152" t="s">
        <v>3544</v>
      </c>
      <c r="C1857" s="91">
        <v>186</v>
      </c>
      <c r="D1857" s="98"/>
      <c r="E1857" s="89">
        <v>195000</v>
      </c>
    </row>
    <row r="1858" spans="1:5" ht="15" customHeight="1" x14ac:dyDescent="0.2">
      <c r="A1858" s="686" t="str">
        <f t="shared" si="98"/>
        <v>위너스
(WIN)</v>
      </c>
      <c r="B1858" s="152" t="s">
        <v>3544</v>
      </c>
      <c r="C1858" s="91">
        <v>209</v>
      </c>
      <c r="D1858" s="98"/>
      <c r="E1858" s="89">
        <v>220000</v>
      </c>
    </row>
    <row r="1859" spans="1:5" ht="15" customHeight="1" x14ac:dyDescent="0.2">
      <c r="A1859" s="686" t="str">
        <f t="shared" si="98"/>
        <v>위너스
(WIN)</v>
      </c>
      <c r="B1859" s="152" t="s">
        <v>3544</v>
      </c>
      <c r="C1859" s="99">
        <v>233</v>
      </c>
      <c r="D1859" s="105"/>
      <c r="E1859" s="89">
        <v>245000</v>
      </c>
    </row>
    <row r="1860" spans="1:5" ht="15" customHeight="1" x14ac:dyDescent="0.2">
      <c r="A1860" s="686" t="str">
        <f t="shared" si="98"/>
        <v>위너스
(WIN)</v>
      </c>
      <c r="B1860" s="606" t="s">
        <v>3545</v>
      </c>
      <c r="C1860" s="91">
        <v>90</v>
      </c>
      <c r="D1860" s="98" t="s">
        <v>3542</v>
      </c>
      <c r="E1860" s="89">
        <v>132000</v>
      </c>
    </row>
    <row r="1861" spans="1:5" ht="15" customHeight="1" x14ac:dyDescent="0.2">
      <c r="A1861" s="686" t="str">
        <f t="shared" si="98"/>
        <v>위너스
(WIN)</v>
      </c>
      <c r="B1861" s="606" t="s">
        <v>3545</v>
      </c>
      <c r="C1861" s="91">
        <v>105</v>
      </c>
      <c r="D1861" s="98"/>
      <c r="E1861" s="89">
        <v>155000</v>
      </c>
    </row>
    <row r="1862" spans="1:5" ht="15" customHeight="1" x14ac:dyDescent="0.2">
      <c r="A1862" s="686" t="str">
        <f t="shared" si="98"/>
        <v>위너스
(WIN)</v>
      </c>
      <c r="B1862" s="606" t="s">
        <v>3545</v>
      </c>
      <c r="C1862" s="91">
        <v>128</v>
      </c>
      <c r="D1862" s="98"/>
      <c r="E1862" s="89">
        <v>190000</v>
      </c>
    </row>
    <row r="1863" spans="1:5" ht="15" customHeight="1" x14ac:dyDescent="0.2">
      <c r="A1863" s="686" t="str">
        <f t="shared" si="98"/>
        <v>위너스
(WIN)</v>
      </c>
      <c r="B1863" s="606" t="s">
        <v>3545</v>
      </c>
      <c r="C1863" s="91">
        <v>157</v>
      </c>
      <c r="D1863" s="98"/>
      <c r="E1863" s="89">
        <v>230000</v>
      </c>
    </row>
    <row r="1864" spans="1:5" ht="15" customHeight="1" x14ac:dyDescent="0.2">
      <c r="A1864" s="686" t="str">
        <f t="shared" si="98"/>
        <v>위너스
(WIN)</v>
      </c>
      <c r="B1864" s="606" t="s">
        <v>3545</v>
      </c>
      <c r="C1864" s="91">
        <v>186</v>
      </c>
      <c r="D1864" s="98"/>
      <c r="E1864" s="89">
        <v>275000</v>
      </c>
    </row>
    <row r="1865" spans="1:5" ht="15" customHeight="1" x14ac:dyDescent="0.2">
      <c r="A1865" s="686" t="str">
        <f t="shared" si="98"/>
        <v>위너스
(WIN)</v>
      </c>
      <c r="B1865" s="606" t="s">
        <v>3545</v>
      </c>
      <c r="C1865" s="91">
        <v>209</v>
      </c>
      <c r="D1865" s="98"/>
      <c r="E1865" s="89">
        <v>305000</v>
      </c>
    </row>
    <row r="1866" spans="1:5" ht="15" customHeight="1" x14ac:dyDescent="0.2">
      <c r="A1866" s="686" t="str">
        <f t="shared" si="98"/>
        <v>위너스
(WIN)</v>
      </c>
      <c r="B1866" s="606" t="s">
        <v>3545</v>
      </c>
      <c r="C1866" s="91">
        <v>233</v>
      </c>
      <c r="D1866" s="98" t="s">
        <v>1868</v>
      </c>
      <c r="E1866" s="89">
        <v>340000</v>
      </c>
    </row>
    <row r="1867" spans="1:5" ht="15" customHeight="1" x14ac:dyDescent="0.2">
      <c r="A1867" s="686" t="str">
        <f t="shared" si="98"/>
        <v>위너스
(WIN)</v>
      </c>
      <c r="B1867" s="606" t="s">
        <v>3545</v>
      </c>
      <c r="C1867" s="121">
        <v>90</v>
      </c>
      <c r="D1867" s="344" t="s">
        <v>2867</v>
      </c>
      <c r="E1867" s="89">
        <v>132000</v>
      </c>
    </row>
    <row r="1868" spans="1:5" ht="15" customHeight="1" x14ac:dyDescent="0.2">
      <c r="A1868" s="686" t="str">
        <f t="shared" si="98"/>
        <v>위너스
(WIN)</v>
      </c>
      <c r="B1868" s="606" t="s">
        <v>3545</v>
      </c>
      <c r="C1868" s="91">
        <v>105</v>
      </c>
      <c r="D1868" s="92" t="s">
        <v>1937</v>
      </c>
      <c r="E1868" s="89">
        <v>125000</v>
      </c>
    </row>
    <row r="1869" spans="1:5" ht="15" customHeight="1" x14ac:dyDescent="0.2">
      <c r="A1869" s="686" t="str">
        <f t="shared" si="98"/>
        <v>위너스
(WIN)</v>
      </c>
      <c r="B1869" s="606" t="s">
        <v>3545</v>
      </c>
      <c r="C1869" s="91">
        <v>128</v>
      </c>
      <c r="D1869" s="92" t="s">
        <v>1937</v>
      </c>
      <c r="E1869" s="89">
        <v>155000</v>
      </c>
    </row>
    <row r="1870" spans="1:5" ht="15" customHeight="1" x14ac:dyDescent="0.2">
      <c r="A1870" s="686" t="str">
        <f t="shared" si="98"/>
        <v>위너스
(WIN)</v>
      </c>
      <c r="B1870" s="606" t="s">
        <v>3545</v>
      </c>
      <c r="C1870" s="91">
        <v>157</v>
      </c>
      <c r="D1870" s="92" t="s">
        <v>1937</v>
      </c>
      <c r="E1870" s="89">
        <v>190000</v>
      </c>
    </row>
    <row r="1871" spans="1:5" ht="15" customHeight="1" x14ac:dyDescent="0.2">
      <c r="A1871" s="686" t="str">
        <f t="shared" si="98"/>
        <v>위너스
(WIN)</v>
      </c>
      <c r="B1871" s="606" t="s">
        <v>3545</v>
      </c>
      <c r="C1871" s="91">
        <v>186</v>
      </c>
      <c r="D1871" s="92" t="s">
        <v>1937</v>
      </c>
      <c r="E1871" s="89">
        <v>225000</v>
      </c>
    </row>
    <row r="1872" spans="1:5" ht="15" customHeight="1" x14ac:dyDescent="0.2">
      <c r="A1872" s="686" t="str">
        <f t="shared" si="98"/>
        <v>위너스
(WIN)</v>
      </c>
      <c r="B1872" s="606" t="s">
        <v>3545</v>
      </c>
      <c r="C1872" s="91">
        <v>209</v>
      </c>
      <c r="D1872" s="92" t="s">
        <v>1937</v>
      </c>
      <c r="E1872" s="89">
        <v>250000</v>
      </c>
    </row>
    <row r="1873" spans="1:5" ht="15" customHeight="1" x14ac:dyDescent="0.2">
      <c r="A1873" s="687" t="str">
        <f t="shared" si="98"/>
        <v>위너스
(WIN)</v>
      </c>
      <c r="B1873" s="606" t="s">
        <v>3545</v>
      </c>
      <c r="C1873" s="106">
        <v>233</v>
      </c>
      <c r="D1873" s="115" t="s">
        <v>1937</v>
      </c>
      <c r="E1873" s="89">
        <v>280000</v>
      </c>
    </row>
    <row r="1874" spans="1:5" ht="15" customHeight="1" x14ac:dyDescent="0.2">
      <c r="A1874" s="677" t="s">
        <v>3546</v>
      </c>
      <c r="B1874" s="445" t="s">
        <v>3547</v>
      </c>
      <c r="C1874" s="388">
        <v>215</v>
      </c>
      <c r="D1874" s="390" t="s">
        <v>3548</v>
      </c>
      <c r="E1874" s="89">
        <v>215000</v>
      </c>
    </row>
    <row r="1875" spans="1:5" ht="15" customHeight="1" x14ac:dyDescent="0.2">
      <c r="A1875" s="685" t="str">
        <f t="shared" ref="A1875:A1883" si="99">A1874</f>
        <v xml:space="preserve">유니크라프트
(UK) </v>
      </c>
      <c r="B1875" s="445" t="s">
        <v>3547</v>
      </c>
      <c r="C1875" s="91">
        <v>265</v>
      </c>
      <c r="D1875" s="98"/>
      <c r="E1875" s="89">
        <v>250000</v>
      </c>
    </row>
    <row r="1876" spans="1:5" ht="15" customHeight="1" x14ac:dyDescent="0.2">
      <c r="A1876" s="685" t="str">
        <f t="shared" si="99"/>
        <v xml:space="preserve">유니크라프트
(UK) </v>
      </c>
      <c r="B1876" s="445" t="s">
        <v>3547</v>
      </c>
      <c r="C1876" s="91">
        <v>305</v>
      </c>
      <c r="D1876" s="98"/>
      <c r="E1876" s="89">
        <v>285000</v>
      </c>
    </row>
    <row r="1877" spans="1:5" ht="15" customHeight="1" x14ac:dyDescent="0.2">
      <c r="A1877" s="685" t="str">
        <f t="shared" si="99"/>
        <v xml:space="preserve">유니크라프트
(UK) </v>
      </c>
      <c r="B1877" s="445" t="s">
        <v>3547</v>
      </c>
      <c r="C1877" s="91">
        <v>320</v>
      </c>
      <c r="D1877" s="98"/>
      <c r="E1877" s="89">
        <v>300000</v>
      </c>
    </row>
    <row r="1878" spans="1:5" ht="15" customHeight="1" x14ac:dyDescent="0.2">
      <c r="A1878" s="685" t="str">
        <f t="shared" si="99"/>
        <v xml:space="preserve">유니크라프트
(UK) </v>
      </c>
      <c r="B1878" s="445" t="s">
        <v>3547</v>
      </c>
      <c r="C1878" s="91">
        <v>345</v>
      </c>
      <c r="D1878" s="98"/>
      <c r="E1878" s="89">
        <v>320000</v>
      </c>
    </row>
    <row r="1879" spans="1:5" ht="15" customHeight="1" x14ac:dyDescent="0.2">
      <c r="A1879" s="685" t="str">
        <f t="shared" si="99"/>
        <v xml:space="preserve">유니크라프트
(UK) </v>
      </c>
      <c r="B1879" s="445" t="s">
        <v>3547</v>
      </c>
      <c r="C1879" s="96">
        <v>215</v>
      </c>
      <c r="D1879" s="109" t="s">
        <v>3548</v>
      </c>
    </row>
    <row r="1880" spans="1:5" ht="15" customHeight="1" x14ac:dyDescent="0.2">
      <c r="A1880" s="685" t="str">
        <f t="shared" si="99"/>
        <v xml:space="preserve">유니크라프트
(UK) </v>
      </c>
      <c r="B1880" s="445" t="s">
        <v>3547</v>
      </c>
      <c r="C1880" s="91" t="s">
        <v>3549</v>
      </c>
      <c r="D1880" s="98"/>
    </row>
    <row r="1881" spans="1:5" ht="15" customHeight="1" x14ac:dyDescent="0.2">
      <c r="A1881" s="686" t="str">
        <f t="shared" si="99"/>
        <v xml:space="preserve">유니크라프트
(UK) </v>
      </c>
      <c r="B1881" s="137" t="s">
        <v>2889</v>
      </c>
      <c r="C1881" s="96">
        <v>215</v>
      </c>
      <c r="D1881" s="109" t="s">
        <v>3548</v>
      </c>
    </row>
    <row r="1882" spans="1:5" ht="15" customHeight="1" x14ac:dyDescent="0.2">
      <c r="A1882" s="686" t="str">
        <f t="shared" si="99"/>
        <v xml:space="preserve">유니크라프트
(UK) </v>
      </c>
      <c r="B1882" s="137" t="s">
        <v>2889</v>
      </c>
      <c r="C1882" s="91" t="s">
        <v>3550</v>
      </c>
      <c r="D1882" s="98"/>
    </row>
    <row r="1883" spans="1:5" ht="14.45" customHeight="1" x14ac:dyDescent="0.2">
      <c r="A1883" s="707" t="str">
        <f t="shared" si="99"/>
        <v xml:space="preserve">유니크라프트
(UK) </v>
      </c>
      <c r="B1883" s="137" t="s">
        <v>2889</v>
      </c>
      <c r="C1883" s="106" t="s">
        <v>1868</v>
      </c>
      <c r="D1883" s="588" t="s">
        <v>3551</v>
      </c>
    </row>
    <row r="1884" spans="1:5" ht="15" customHeight="1" x14ac:dyDescent="0.2">
      <c r="A1884" s="699" t="s">
        <v>3552</v>
      </c>
      <c r="B1884" s="95" t="s">
        <v>3553</v>
      </c>
      <c r="C1884" s="455">
        <v>64</v>
      </c>
      <c r="D1884" s="456" t="s">
        <v>3554</v>
      </c>
      <c r="E1884" s="89">
        <v>290000</v>
      </c>
    </row>
    <row r="1885" spans="1:5" ht="15" customHeight="1" x14ac:dyDescent="0.2">
      <c r="A1885" s="699" t="str">
        <f t="shared" ref="A1885:A1888" si="100">A1884</f>
        <v>유브이 울트라
(UV)</v>
      </c>
      <c r="B1885" s="95" t="s">
        <v>3553</v>
      </c>
      <c r="C1885" s="91"/>
      <c r="D1885" s="98" t="s">
        <v>3555</v>
      </c>
      <c r="E1885" s="89">
        <v>290000</v>
      </c>
    </row>
    <row r="1886" spans="1:5" ht="15" customHeight="1" x14ac:dyDescent="0.2">
      <c r="A1886" s="699" t="str">
        <f t="shared" si="100"/>
        <v>유브이 울트라
(UV)</v>
      </c>
      <c r="B1886" s="95" t="s">
        <v>3553</v>
      </c>
      <c r="C1886" s="96">
        <v>105</v>
      </c>
      <c r="D1886" s="109" t="s">
        <v>3556</v>
      </c>
      <c r="E1886" s="89">
        <v>760000</v>
      </c>
    </row>
    <row r="1887" spans="1:5" ht="15" customHeight="1" x14ac:dyDescent="0.2">
      <c r="A1887" s="699" t="str">
        <f t="shared" si="100"/>
        <v>유브이 울트라
(UV)</v>
      </c>
      <c r="B1887" s="95" t="s">
        <v>3553</v>
      </c>
      <c r="C1887" s="99"/>
      <c r="D1887" s="92" t="s">
        <v>3555</v>
      </c>
      <c r="E1887" s="89">
        <v>570000</v>
      </c>
    </row>
    <row r="1888" spans="1:5" ht="15" customHeight="1" x14ac:dyDescent="0.2">
      <c r="A1888" s="699" t="str">
        <f t="shared" si="100"/>
        <v>유브이 울트라
(UV)</v>
      </c>
      <c r="B1888" s="95" t="s">
        <v>3553</v>
      </c>
      <c r="C1888" s="96">
        <v>135</v>
      </c>
      <c r="D1888" s="221" t="s">
        <v>3556</v>
      </c>
      <c r="E1888" s="89">
        <v>965000</v>
      </c>
    </row>
    <row r="1889" spans="1:5" ht="15" customHeight="1" x14ac:dyDescent="0.2">
      <c r="A1889" s="699" t="s">
        <v>3557</v>
      </c>
      <c r="B1889" s="457" t="s">
        <v>3558</v>
      </c>
      <c r="C1889" s="455"/>
      <c r="D1889" s="458" t="s">
        <v>3559</v>
      </c>
      <c r="E1889" s="89">
        <v>500000</v>
      </c>
    </row>
    <row r="1890" spans="1:5" ht="15" customHeight="1" x14ac:dyDescent="0.2">
      <c r="A1890" s="699" t="str">
        <f t="shared" ref="A1890:A1910" si="101">A1889</f>
        <v>유포
(YUPO)</v>
      </c>
      <c r="B1890" s="457" t="s">
        <v>3558</v>
      </c>
      <c r="C1890" s="91"/>
      <c r="D1890" s="98" t="s">
        <v>3560</v>
      </c>
      <c r="E1890" s="89">
        <v>600000</v>
      </c>
    </row>
    <row r="1891" spans="1:5" ht="15" customHeight="1" x14ac:dyDescent="0.2">
      <c r="A1891" s="699" t="str">
        <f t="shared" si="101"/>
        <v>유포
(YUPO)</v>
      </c>
      <c r="B1891" s="152" t="s">
        <v>3558</v>
      </c>
      <c r="C1891" s="121"/>
      <c r="D1891" s="153" t="s">
        <v>3561</v>
      </c>
      <c r="E1891" s="89">
        <v>425000</v>
      </c>
    </row>
    <row r="1892" spans="1:5" ht="15" customHeight="1" x14ac:dyDescent="0.2">
      <c r="A1892" s="699" t="str">
        <f t="shared" si="101"/>
        <v>유포
(YUPO)</v>
      </c>
      <c r="B1892" s="152" t="s">
        <v>3558</v>
      </c>
      <c r="C1892" s="91"/>
      <c r="D1892" s="98" t="s">
        <v>3562</v>
      </c>
      <c r="E1892" s="89">
        <v>475000</v>
      </c>
    </row>
    <row r="1893" spans="1:5" ht="15" customHeight="1" x14ac:dyDescent="0.2">
      <c r="A1893" s="699" t="str">
        <f t="shared" si="101"/>
        <v>유포
(YUPO)</v>
      </c>
      <c r="B1893" s="152" t="s">
        <v>3558</v>
      </c>
      <c r="C1893" s="91"/>
      <c r="D1893" s="98" t="s">
        <v>3563</v>
      </c>
      <c r="E1893" s="89">
        <v>570000</v>
      </c>
    </row>
    <row r="1894" spans="1:5" ht="15" customHeight="1" x14ac:dyDescent="0.2">
      <c r="A1894" s="699" t="str">
        <f t="shared" si="101"/>
        <v>유포
(YUPO)</v>
      </c>
      <c r="B1894" s="152" t="s">
        <v>3558</v>
      </c>
      <c r="C1894" s="91"/>
      <c r="D1894" s="98" t="s">
        <v>3564</v>
      </c>
      <c r="E1894" s="89">
        <v>655000</v>
      </c>
    </row>
    <row r="1895" spans="1:5" ht="15" customHeight="1" x14ac:dyDescent="0.2">
      <c r="A1895" s="699" t="str">
        <f t="shared" si="101"/>
        <v>유포
(YUPO)</v>
      </c>
      <c r="B1895" s="152" t="s">
        <v>3558</v>
      </c>
      <c r="C1895" s="91"/>
      <c r="D1895" s="98" t="s">
        <v>3565</v>
      </c>
      <c r="E1895" s="89">
        <v>875000</v>
      </c>
    </row>
    <row r="1896" spans="1:5" ht="15" customHeight="1" x14ac:dyDescent="0.2">
      <c r="A1896" s="699" t="str">
        <f t="shared" si="101"/>
        <v>유포
(YUPO)</v>
      </c>
      <c r="B1896" s="152" t="s">
        <v>3558</v>
      </c>
      <c r="C1896" s="91"/>
      <c r="D1896" s="98" t="s">
        <v>3566</v>
      </c>
      <c r="E1896" s="89">
        <v>1085000</v>
      </c>
    </row>
    <row r="1897" spans="1:5" ht="15" customHeight="1" x14ac:dyDescent="0.2">
      <c r="A1897" s="699" t="str">
        <f t="shared" si="101"/>
        <v>유포
(YUPO)</v>
      </c>
      <c r="B1897" s="152" t="s">
        <v>3558</v>
      </c>
      <c r="C1897" s="91"/>
      <c r="D1897" s="98" t="s">
        <v>3567</v>
      </c>
      <c r="E1897" s="89">
        <v>1400000</v>
      </c>
    </row>
    <row r="1898" spans="1:5" ht="15" customHeight="1" x14ac:dyDescent="0.2">
      <c r="A1898" s="699" t="str">
        <f t="shared" si="101"/>
        <v>유포
(YUPO)</v>
      </c>
      <c r="B1898" s="152" t="s">
        <v>3558</v>
      </c>
      <c r="C1898" s="91"/>
      <c r="D1898" s="114" t="s">
        <v>3568</v>
      </c>
      <c r="E1898" s="89">
        <v>840000</v>
      </c>
    </row>
    <row r="1899" spans="1:5" ht="15" customHeight="1" x14ac:dyDescent="0.2">
      <c r="A1899" s="699" t="str">
        <f t="shared" si="101"/>
        <v>유포
(YUPO)</v>
      </c>
      <c r="B1899" s="152" t="s">
        <v>3558</v>
      </c>
      <c r="C1899" s="91"/>
      <c r="D1899" s="139" t="s">
        <v>3569</v>
      </c>
      <c r="E1899" s="89">
        <v>600000</v>
      </c>
    </row>
    <row r="1900" spans="1:5" ht="15" customHeight="1" x14ac:dyDescent="0.2">
      <c r="A1900" s="699" t="str">
        <f t="shared" si="101"/>
        <v>유포
(YUPO)</v>
      </c>
      <c r="B1900" s="152" t="s">
        <v>3558</v>
      </c>
      <c r="C1900" s="99"/>
      <c r="D1900" s="105" t="s">
        <v>3570</v>
      </c>
      <c r="E1900" s="89">
        <v>700000</v>
      </c>
    </row>
    <row r="1901" spans="1:5" ht="15" customHeight="1" x14ac:dyDescent="0.2">
      <c r="A1901" s="699" t="str">
        <f t="shared" si="101"/>
        <v>유포
(YUPO)</v>
      </c>
      <c r="B1901" s="95" t="s">
        <v>3571</v>
      </c>
      <c r="C1901" s="96"/>
      <c r="D1901" s="109" t="s">
        <v>3572</v>
      </c>
      <c r="E1901" s="89">
        <v>330000</v>
      </c>
    </row>
    <row r="1902" spans="1:5" ht="15" customHeight="1" x14ac:dyDescent="0.2">
      <c r="A1902" s="699" t="str">
        <f t="shared" si="101"/>
        <v>유포
(YUPO)</v>
      </c>
      <c r="B1902" s="95" t="s">
        <v>3571</v>
      </c>
      <c r="C1902" s="91"/>
      <c r="D1902" s="98" t="s">
        <v>3573</v>
      </c>
      <c r="E1902" s="89">
        <v>395000</v>
      </c>
    </row>
    <row r="1903" spans="1:5" ht="15" customHeight="1" x14ac:dyDescent="0.2">
      <c r="A1903" s="699" t="str">
        <f t="shared" si="101"/>
        <v>유포
(YUPO)</v>
      </c>
      <c r="B1903" s="95" t="s">
        <v>3571</v>
      </c>
      <c r="C1903" s="91"/>
      <c r="D1903" s="98" t="s">
        <v>3574</v>
      </c>
      <c r="E1903" s="89">
        <v>615000</v>
      </c>
    </row>
    <row r="1904" spans="1:5" ht="15" customHeight="1" x14ac:dyDescent="0.2">
      <c r="A1904" s="699" t="str">
        <f t="shared" si="101"/>
        <v>유포
(YUPO)</v>
      </c>
      <c r="B1904" s="95" t="s">
        <v>3571</v>
      </c>
      <c r="C1904" s="91"/>
      <c r="D1904" s="98" t="s">
        <v>3575</v>
      </c>
      <c r="E1904" s="89">
        <v>760000</v>
      </c>
    </row>
    <row r="1905" spans="1:5" ht="15" customHeight="1" x14ac:dyDescent="0.2">
      <c r="A1905" s="699" t="str">
        <f t="shared" si="101"/>
        <v>유포
(YUPO)</v>
      </c>
      <c r="B1905" s="95" t="s">
        <v>3025</v>
      </c>
      <c r="C1905" s="96"/>
      <c r="D1905" s="109" t="s">
        <v>3576</v>
      </c>
      <c r="E1905" s="89">
        <v>1400000</v>
      </c>
    </row>
    <row r="1906" spans="1:5" ht="15" customHeight="1" x14ac:dyDescent="0.2">
      <c r="A1906" s="699" t="str">
        <f t="shared" si="101"/>
        <v>유포
(YUPO)</v>
      </c>
      <c r="B1906" s="95" t="s">
        <v>3025</v>
      </c>
      <c r="C1906" s="91"/>
      <c r="D1906" s="98" t="s">
        <v>3577</v>
      </c>
      <c r="E1906" s="89">
        <v>1800000</v>
      </c>
    </row>
    <row r="1907" spans="1:5" ht="15" customHeight="1" x14ac:dyDescent="0.2">
      <c r="A1907" s="699" t="str">
        <f t="shared" si="101"/>
        <v>유포
(YUPO)</v>
      </c>
      <c r="B1907" s="95" t="s">
        <v>3025</v>
      </c>
      <c r="C1907" s="91"/>
      <c r="D1907" s="98" t="s">
        <v>3578</v>
      </c>
      <c r="E1907" s="89">
        <v>1900000</v>
      </c>
    </row>
    <row r="1908" spans="1:5" ht="15" customHeight="1" x14ac:dyDescent="0.2">
      <c r="A1908" s="699" t="str">
        <f t="shared" si="101"/>
        <v>유포
(YUPO)</v>
      </c>
      <c r="B1908" s="171" t="s">
        <v>3579</v>
      </c>
      <c r="C1908" s="113"/>
      <c r="D1908" s="114" t="s">
        <v>3580</v>
      </c>
      <c r="E1908" s="89">
        <v>850000</v>
      </c>
    </row>
    <row r="1909" spans="1:5" ht="15" customHeight="1" x14ac:dyDescent="0.2">
      <c r="A1909" s="699" t="str">
        <f t="shared" si="101"/>
        <v>유포
(YUPO)</v>
      </c>
      <c r="B1909" s="171" t="s">
        <v>3581</v>
      </c>
      <c r="C1909" s="113"/>
      <c r="D1909" s="114" t="s">
        <v>3582</v>
      </c>
      <c r="E1909" s="89">
        <v>405000</v>
      </c>
    </row>
    <row r="1910" spans="1:5" ht="15" customHeight="1" x14ac:dyDescent="0.2">
      <c r="A1910" s="699" t="str">
        <f t="shared" si="101"/>
        <v>유포
(YUPO)</v>
      </c>
      <c r="B1910" s="101" t="s">
        <v>3583</v>
      </c>
      <c r="C1910" s="106"/>
      <c r="D1910" s="107" t="s">
        <v>3584</v>
      </c>
      <c r="E1910" s="89">
        <v>850000</v>
      </c>
    </row>
    <row r="1911" spans="1:5" ht="15" customHeight="1" x14ac:dyDescent="0.2">
      <c r="A1911" s="706" t="s">
        <v>3585</v>
      </c>
      <c r="B1911" s="457" t="s">
        <v>3586</v>
      </c>
      <c r="C1911" s="455">
        <v>120</v>
      </c>
      <c r="D1911" s="93" t="s">
        <v>3587</v>
      </c>
      <c r="E1911" s="89">
        <v>535000</v>
      </c>
    </row>
    <row r="1912" spans="1:5" ht="15" customHeight="1" x14ac:dyDescent="0.2">
      <c r="A1912" s="706" t="str">
        <f t="shared" ref="A1912:A1924" si="102">A1911</f>
        <v xml:space="preserve">이스피라
(ISP) </v>
      </c>
      <c r="B1912" s="459" t="s">
        <v>3588</v>
      </c>
      <c r="C1912" s="91"/>
      <c r="D1912" s="93" t="s">
        <v>3589</v>
      </c>
      <c r="E1912" s="89">
        <v>710000</v>
      </c>
    </row>
    <row r="1913" spans="1:5" ht="15" customHeight="1" x14ac:dyDescent="0.2">
      <c r="A1913" s="706" t="str">
        <f t="shared" si="102"/>
        <v xml:space="preserve">이스피라
(ISP) </v>
      </c>
      <c r="B1913" s="253" t="s">
        <v>3590</v>
      </c>
      <c r="C1913" s="91" t="s">
        <v>1868</v>
      </c>
      <c r="D1913" s="93" t="s">
        <v>3591</v>
      </c>
      <c r="E1913" s="89">
        <v>650000</v>
      </c>
    </row>
    <row r="1914" spans="1:5" ht="15" customHeight="1" x14ac:dyDescent="0.2">
      <c r="A1914" s="706" t="str">
        <f t="shared" si="102"/>
        <v xml:space="preserve">이스피라
(ISP) </v>
      </c>
      <c r="B1914" s="460"/>
      <c r="C1914" s="96">
        <v>250</v>
      </c>
      <c r="D1914" s="97" t="s">
        <v>3592</v>
      </c>
      <c r="E1914" s="89">
        <v>830000</v>
      </c>
    </row>
    <row r="1915" spans="1:5" ht="15" customHeight="1" x14ac:dyDescent="0.2">
      <c r="A1915" s="706" t="str">
        <f t="shared" si="102"/>
        <v xml:space="preserve">이스피라
(ISP) </v>
      </c>
      <c r="B1915" s="90"/>
      <c r="C1915" s="91" t="s">
        <v>1868</v>
      </c>
      <c r="D1915" s="98" t="s">
        <v>3593</v>
      </c>
      <c r="E1915" s="89">
        <v>1360000</v>
      </c>
    </row>
    <row r="1916" spans="1:5" ht="15" customHeight="1" x14ac:dyDescent="0.2">
      <c r="A1916" s="706" t="str">
        <f t="shared" si="102"/>
        <v xml:space="preserve">이스피라
(ISP) </v>
      </c>
      <c r="B1916" s="90"/>
      <c r="C1916" s="99" t="s">
        <v>1868</v>
      </c>
      <c r="D1916" s="100" t="s">
        <v>3594</v>
      </c>
      <c r="E1916" s="89">
        <v>1100000</v>
      </c>
    </row>
    <row r="1917" spans="1:5" ht="15" customHeight="1" x14ac:dyDescent="0.2">
      <c r="A1917" s="706" t="str">
        <f t="shared" si="102"/>
        <v xml:space="preserve">이스피라
(ISP) </v>
      </c>
      <c r="B1917" s="90"/>
      <c r="C1917" s="91">
        <v>360</v>
      </c>
      <c r="D1917" s="92" t="s">
        <v>2561</v>
      </c>
      <c r="E1917" s="89">
        <v>1200000</v>
      </c>
    </row>
    <row r="1918" spans="1:5" ht="15" customHeight="1" x14ac:dyDescent="0.2">
      <c r="A1918" s="706" t="str">
        <f t="shared" si="102"/>
        <v xml:space="preserve">이스피라
(ISP) </v>
      </c>
      <c r="B1918" s="90"/>
      <c r="C1918" s="91" t="s">
        <v>1868</v>
      </c>
      <c r="D1918" s="92" t="s">
        <v>3595</v>
      </c>
      <c r="E1918" s="89">
        <v>1575000</v>
      </c>
    </row>
    <row r="1919" spans="1:5" ht="15" customHeight="1" x14ac:dyDescent="0.2">
      <c r="A1919" s="706" t="str">
        <f t="shared" si="102"/>
        <v xml:space="preserve">이스피라
(ISP) </v>
      </c>
      <c r="B1919" s="152" t="s">
        <v>1857</v>
      </c>
      <c r="C1919" s="121">
        <v>120</v>
      </c>
      <c r="D1919" s="153" t="s">
        <v>3596</v>
      </c>
      <c r="E1919" s="89">
        <v>680000</v>
      </c>
    </row>
    <row r="1920" spans="1:5" ht="15" customHeight="1" x14ac:dyDescent="0.2">
      <c r="A1920" s="706" t="str">
        <f t="shared" si="102"/>
        <v xml:space="preserve">이스피라
(ISP) </v>
      </c>
      <c r="B1920" s="90" t="s">
        <v>3597</v>
      </c>
      <c r="C1920" s="99" t="s">
        <v>1868</v>
      </c>
      <c r="D1920" s="145" t="s">
        <v>3598</v>
      </c>
      <c r="E1920" s="89">
        <v>830000</v>
      </c>
    </row>
    <row r="1921" spans="1:5" ht="15" customHeight="1" x14ac:dyDescent="0.2">
      <c r="A1921" s="706" t="str">
        <f t="shared" si="102"/>
        <v xml:space="preserve">이스피라
(ISP) </v>
      </c>
      <c r="B1921" s="90"/>
      <c r="C1921" s="91">
        <v>245</v>
      </c>
      <c r="D1921" s="98" t="s">
        <v>3599</v>
      </c>
      <c r="E1921" s="89">
        <v>1420000</v>
      </c>
    </row>
    <row r="1922" spans="1:5" ht="15" customHeight="1" x14ac:dyDescent="0.2">
      <c r="A1922" s="706" t="str">
        <f>A1921</f>
        <v xml:space="preserve">이스피라
(ISP) </v>
      </c>
      <c r="B1922" s="134"/>
      <c r="C1922" s="99" t="s">
        <v>1868</v>
      </c>
      <c r="D1922" s="105" t="s">
        <v>3600</v>
      </c>
      <c r="E1922" s="89">
        <v>1590000</v>
      </c>
    </row>
    <row r="1923" spans="1:5" ht="15" customHeight="1" x14ac:dyDescent="0.2">
      <c r="A1923" s="706" t="str">
        <f t="shared" si="102"/>
        <v xml:space="preserve">이스피라
(ISP) </v>
      </c>
      <c r="B1923" s="134"/>
      <c r="C1923" s="91">
        <v>355</v>
      </c>
      <c r="D1923" s="98" t="s">
        <v>3601</v>
      </c>
      <c r="E1923" s="89">
        <v>2035000</v>
      </c>
    </row>
    <row r="1924" spans="1:5" ht="15" customHeight="1" x14ac:dyDescent="0.2">
      <c r="A1924" s="706" t="str">
        <f t="shared" si="102"/>
        <v xml:space="preserve">이스피라
(ISP) </v>
      </c>
      <c r="B1924" s="101"/>
      <c r="C1924" s="106" t="s">
        <v>1868</v>
      </c>
      <c r="D1924" s="107" t="s">
        <v>3602</v>
      </c>
      <c r="E1924" s="89">
        <v>2500000</v>
      </c>
    </row>
    <row r="1925" spans="1:5" s="218" customFormat="1" ht="14.45" customHeight="1" x14ac:dyDescent="0.3">
      <c r="A1925" s="685" t="s">
        <v>3603</v>
      </c>
      <c r="B1925" s="90" t="s">
        <v>2010</v>
      </c>
      <c r="C1925" s="461">
        <v>235</v>
      </c>
      <c r="D1925" s="462" t="s">
        <v>3604</v>
      </c>
      <c r="E1925" s="218">
        <v>215000</v>
      </c>
    </row>
    <row r="1926" spans="1:5" s="218" customFormat="1" ht="14.45" customHeight="1" x14ac:dyDescent="0.3">
      <c r="A1926" s="686" t="str">
        <f t="shared" ref="A1926:A1948" si="103">A1925</f>
        <v xml:space="preserve">이코노팩
 (HBB) </v>
      </c>
      <c r="B1926" s="90" t="s">
        <v>2010</v>
      </c>
      <c r="C1926" s="113">
        <v>250</v>
      </c>
      <c r="D1926" s="463" t="s">
        <v>3605</v>
      </c>
      <c r="E1926" s="218">
        <v>230000</v>
      </c>
    </row>
    <row r="1927" spans="1:5" s="218" customFormat="1" ht="14.45" customHeight="1" x14ac:dyDescent="0.3">
      <c r="A1927" s="686" t="str">
        <f t="shared" si="103"/>
        <v xml:space="preserve">이코노팩
 (HBB) </v>
      </c>
      <c r="B1927" s="90" t="s">
        <v>2010</v>
      </c>
      <c r="C1927" s="91">
        <v>270</v>
      </c>
      <c r="D1927" s="227" t="s">
        <v>3606</v>
      </c>
      <c r="E1927" s="218">
        <v>240000</v>
      </c>
    </row>
    <row r="1928" spans="1:5" s="218" customFormat="1" ht="14.45" customHeight="1" x14ac:dyDescent="0.3">
      <c r="A1928" s="686"/>
      <c r="B1928" s="90" t="s">
        <v>2010</v>
      </c>
      <c r="C1928" s="91"/>
      <c r="D1928" s="227" t="s">
        <v>3607</v>
      </c>
      <c r="E1928" s="218">
        <v>250000</v>
      </c>
    </row>
    <row r="1929" spans="1:5" s="218" customFormat="1" ht="14.45" customHeight="1" x14ac:dyDescent="0.3">
      <c r="A1929" s="686" t="str">
        <f>A1927</f>
        <v xml:space="preserve">이코노팩
 (HBB) </v>
      </c>
      <c r="B1929" s="90" t="s">
        <v>2010</v>
      </c>
      <c r="C1929" s="96">
        <v>295</v>
      </c>
      <c r="D1929" s="228" t="s">
        <v>3608</v>
      </c>
      <c r="E1929" s="218">
        <v>265000</v>
      </c>
    </row>
    <row r="1930" spans="1:5" s="218" customFormat="1" ht="14.45" customHeight="1" x14ac:dyDescent="0.3">
      <c r="A1930" s="686" t="str">
        <f t="shared" si="103"/>
        <v xml:space="preserve">이코노팩
 (HBB) </v>
      </c>
      <c r="B1930" s="90" t="s">
        <v>2010</v>
      </c>
      <c r="C1930" s="99"/>
      <c r="D1930" s="464" t="s">
        <v>3609</v>
      </c>
      <c r="E1930" s="218">
        <v>275000</v>
      </c>
    </row>
    <row r="1931" spans="1:5" s="218" customFormat="1" ht="14.45" customHeight="1" x14ac:dyDescent="0.3">
      <c r="A1931" s="686" t="str">
        <f t="shared" si="103"/>
        <v xml:space="preserve">이코노팩
 (HBB) </v>
      </c>
      <c r="B1931" s="90" t="s">
        <v>2010</v>
      </c>
      <c r="C1931" s="91">
        <v>325</v>
      </c>
      <c r="D1931" s="227" t="s">
        <v>3610</v>
      </c>
      <c r="E1931" s="218">
        <v>300000</v>
      </c>
    </row>
    <row r="1932" spans="1:5" s="218" customFormat="1" ht="14.45" customHeight="1" x14ac:dyDescent="0.3">
      <c r="A1932" s="686" t="str">
        <f t="shared" si="103"/>
        <v xml:space="preserve">이코노팩
 (HBB) </v>
      </c>
      <c r="B1932" s="90" t="s">
        <v>2010</v>
      </c>
      <c r="C1932" s="99"/>
      <c r="D1932" s="464" t="s">
        <v>3611</v>
      </c>
      <c r="E1932" s="218">
        <v>300000</v>
      </c>
    </row>
    <row r="1933" spans="1:5" s="218" customFormat="1" ht="14.45" customHeight="1" x14ac:dyDescent="0.3">
      <c r="A1933" s="686" t="str">
        <f t="shared" si="103"/>
        <v xml:space="preserve">이코노팩
 (HBB) </v>
      </c>
      <c r="B1933" s="90" t="s">
        <v>1921</v>
      </c>
      <c r="C1933" s="91">
        <v>250</v>
      </c>
      <c r="D1933" s="227" t="s">
        <v>3612</v>
      </c>
      <c r="E1933" s="218">
        <v>160000</v>
      </c>
    </row>
    <row r="1934" spans="1:5" s="218" customFormat="1" ht="14.45" customHeight="1" x14ac:dyDescent="0.3">
      <c r="A1934" s="686" t="str">
        <f t="shared" si="103"/>
        <v xml:space="preserve">이코노팩
 (HBB) </v>
      </c>
      <c r="B1934" s="90" t="s">
        <v>1921</v>
      </c>
      <c r="C1934" s="91"/>
      <c r="D1934" s="227" t="s">
        <v>3613</v>
      </c>
      <c r="E1934" s="218">
        <v>150000</v>
      </c>
    </row>
    <row r="1935" spans="1:5" s="218" customFormat="1" ht="14.45" customHeight="1" x14ac:dyDescent="0.3">
      <c r="A1935" s="686" t="str">
        <f t="shared" si="103"/>
        <v xml:space="preserve">이코노팩
 (HBB) </v>
      </c>
      <c r="B1935" s="90" t="s">
        <v>1921</v>
      </c>
      <c r="C1935" s="91"/>
      <c r="D1935" s="156" t="s">
        <v>3614</v>
      </c>
      <c r="E1935" s="218">
        <v>160000</v>
      </c>
    </row>
    <row r="1936" spans="1:5" s="218" customFormat="1" ht="14.45" customHeight="1" x14ac:dyDescent="0.3">
      <c r="A1936" s="686"/>
      <c r="B1936" s="90" t="s">
        <v>1921</v>
      </c>
      <c r="C1936" s="113">
        <v>270</v>
      </c>
      <c r="D1936" s="206" t="s">
        <v>3615</v>
      </c>
      <c r="E1936" s="218">
        <v>175000</v>
      </c>
    </row>
    <row r="1937" spans="1:5" s="218" customFormat="1" ht="14.45" customHeight="1" x14ac:dyDescent="0.3">
      <c r="A1937" s="686" t="str">
        <f>A1935</f>
        <v xml:space="preserve">이코노팩
 (HBB) </v>
      </c>
      <c r="B1937" s="90" t="s">
        <v>1921</v>
      </c>
      <c r="C1937" s="96">
        <v>295</v>
      </c>
      <c r="D1937" s="228" t="s">
        <v>3616</v>
      </c>
      <c r="E1937" s="218">
        <v>190000</v>
      </c>
    </row>
    <row r="1938" spans="1:5" s="218" customFormat="1" ht="14.45" customHeight="1" x14ac:dyDescent="0.3">
      <c r="A1938" s="686" t="str">
        <f t="shared" si="103"/>
        <v xml:space="preserve">이코노팩
 (HBB) </v>
      </c>
      <c r="B1938" s="90" t="s">
        <v>1921</v>
      </c>
      <c r="C1938" s="91"/>
      <c r="D1938" s="227" t="s">
        <v>3617</v>
      </c>
      <c r="E1938" s="218">
        <v>190000</v>
      </c>
    </row>
    <row r="1939" spans="1:5" s="218" customFormat="1" ht="14.45" customHeight="1" x14ac:dyDescent="0.3">
      <c r="A1939" s="686" t="str">
        <f t="shared" si="103"/>
        <v xml:space="preserve">이코노팩
 (HBB) </v>
      </c>
      <c r="B1939" s="90" t="s">
        <v>1921</v>
      </c>
      <c r="C1939" s="91"/>
      <c r="D1939" s="247" t="s">
        <v>3618</v>
      </c>
      <c r="E1939" s="218">
        <v>190000</v>
      </c>
    </row>
    <row r="1940" spans="1:5" s="218" customFormat="1" ht="14.45" customHeight="1" x14ac:dyDescent="0.3">
      <c r="A1940" s="686" t="str">
        <f t="shared" si="103"/>
        <v xml:space="preserve">이코노팩
 (HBB) </v>
      </c>
      <c r="B1940" s="90" t="s">
        <v>1921</v>
      </c>
      <c r="C1940" s="96">
        <v>325</v>
      </c>
      <c r="D1940" s="228" t="s">
        <v>3619</v>
      </c>
      <c r="E1940" s="218">
        <v>225000</v>
      </c>
    </row>
    <row r="1941" spans="1:5" s="218" customFormat="1" ht="14.45" customHeight="1" x14ac:dyDescent="0.3">
      <c r="A1941" s="686" t="str">
        <f t="shared" si="103"/>
        <v xml:space="preserve">이코노팩
 (HBB) </v>
      </c>
      <c r="B1941" s="90" t="s">
        <v>1921</v>
      </c>
      <c r="C1941" s="154"/>
      <c r="D1941" s="414" t="s">
        <v>3620</v>
      </c>
      <c r="E1941" s="218">
        <v>210000</v>
      </c>
    </row>
    <row r="1942" spans="1:5" s="218" customFormat="1" ht="14.45" customHeight="1" x14ac:dyDescent="0.2">
      <c r="A1942" s="686"/>
      <c r="B1942" s="465" t="s">
        <v>3621</v>
      </c>
      <c r="C1942" s="91">
        <v>250</v>
      </c>
      <c r="D1942" s="247"/>
      <c r="E1942" s="218">
        <v>116000</v>
      </c>
    </row>
    <row r="1943" spans="1:5" s="218" customFormat="1" ht="14.45" customHeight="1" x14ac:dyDescent="0.2">
      <c r="A1943" s="686"/>
      <c r="B1943" s="465" t="s">
        <v>3621</v>
      </c>
      <c r="C1943" s="91">
        <v>295</v>
      </c>
      <c r="D1943" s="247"/>
      <c r="E1943" s="218">
        <v>137000</v>
      </c>
    </row>
    <row r="1944" spans="1:5" s="218" customFormat="1" ht="14.45" customHeight="1" x14ac:dyDescent="0.2">
      <c r="A1944" s="686"/>
      <c r="B1944" s="465" t="s">
        <v>3621</v>
      </c>
      <c r="C1944" s="154">
        <v>325</v>
      </c>
      <c r="D1944" s="414"/>
      <c r="E1944" s="218">
        <v>150000</v>
      </c>
    </row>
    <row r="1945" spans="1:5" s="218" customFormat="1" ht="14.45" customHeight="1" x14ac:dyDescent="0.3">
      <c r="A1945" s="686"/>
      <c r="B1945" s="196" t="s">
        <v>3622</v>
      </c>
      <c r="C1945" s="378">
        <v>295</v>
      </c>
      <c r="D1945" s="466"/>
      <c r="E1945" s="218">
        <v>137000</v>
      </c>
    </row>
    <row r="1946" spans="1:5" s="218" customFormat="1" ht="14.45" customHeight="1" x14ac:dyDescent="0.3">
      <c r="A1946" s="686" t="str">
        <f>A1941</f>
        <v xml:space="preserve">이코노팩
 (HBB) </v>
      </c>
      <c r="B1946" s="196" t="s">
        <v>3623</v>
      </c>
      <c r="C1946" s="378">
        <v>250</v>
      </c>
      <c r="D1946" s="467" t="s">
        <v>3624</v>
      </c>
      <c r="E1946" s="218">
        <v>171000</v>
      </c>
    </row>
    <row r="1947" spans="1:5" s="218" customFormat="1" ht="14.45" customHeight="1" x14ac:dyDescent="0.3">
      <c r="A1947" s="686" t="str">
        <f t="shared" si="103"/>
        <v xml:space="preserve">이코노팩
 (HBB) </v>
      </c>
      <c r="B1947" s="94" t="s">
        <v>3625</v>
      </c>
      <c r="C1947" s="154">
        <v>325</v>
      </c>
      <c r="D1947" s="468" t="s">
        <v>3626</v>
      </c>
      <c r="E1947" s="218">
        <v>125000</v>
      </c>
    </row>
    <row r="1948" spans="1:5" s="218" customFormat="1" ht="14.45" customHeight="1" x14ac:dyDescent="0.3">
      <c r="A1948" s="707" t="str">
        <f t="shared" si="103"/>
        <v xml:space="preserve">이코노팩
 (HBB) </v>
      </c>
      <c r="B1948" s="110" t="s">
        <v>3627</v>
      </c>
      <c r="C1948" s="111">
        <v>295</v>
      </c>
      <c r="D1948" s="469" t="s">
        <v>3628</v>
      </c>
      <c r="E1948" s="218">
        <v>195000</v>
      </c>
    </row>
    <row r="1949" spans="1:5" ht="15" customHeight="1" x14ac:dyDescent="0.2">
      <c r="A1949" s="681" t="s">
        <v>3629</v>
      </c>
      <c r="B1949" s="387" t="s">
        <v>1879</v>
      </c>
      <c r="C1949" s="470">
        <v>104</v>
      </c>
      <c r="D1949" s="471" t="s">
        <v>3630</v>
      </c>
      <c r="E1949" s="89">
        <v>275000</v>
      </c>
    </row>
    <row r="1950" spans="1:5" ht="15" customHeight="1" x14ac:dyDescent="0.2">
      <c r="A1950" s="682" t="str">
        <f t="shared" ref="A1950:A1974" si="104">A1949</f>
        <v>인바이런먼트
(ENV)</v>
      </c>
      <c r="B1950" s="387" t="s">
        <v>1879</v>
      </c>
      <c r="C1950" s="96">
        <v>118</v>
      </c>
      <c r="D1950" s="221" t="s">
        <v>3631</v>
      </c>
      <c r="E1950" s="89">
        <v>505000</v>
      </c>
    </row>
    <row r="1951" spans="1:5" ht="15" customHeight="1" x14ac:dyDescent="0.2">
      <c r="A1951" s="682" t="str">
        <f t="shared" si="104"/>
        <v>인바이런먼트
(ENV)</v>
      </c>
      <c r="B1951" s="387" t="s">
        <v>1879</v>
      </c>
      <c r="C1951" s="91"/>
      <c r="D1951" s="92" t="s">
        <v>3632</v>
      </c>
      <c r="E1951" s="89">
        <v>320000</v>
      </c>
    </row>
    <row r="1952" spans="1:5" ht="15" customHeight="1" x14ac:dyDescent="0.2">
      <c r="A1952" s="682" t="str">
        <f t="shared" si="104"/>
        <v>인바이런먼트
(ENV)</v>
      </c>
      <c r="B1952" s="387" t="s">
        <v>1879</v>
      </c>
      <c r="C1952" s="91"/>
      <c r="D1952" s="98" t="s">
        <v>3633</v>
      </c>
      <c r="E1952" s="89">
        <v>495000</v>
      </c>
    </row>
    <row r="1953" spans="1:5" ht="15" customHeight="1" x14ac:dyDescent="0.2">
      <c r="A1953" s="682" t="str">
        <f t="shared" si="104"/>
        <v>인바이런먼트
(ENV)</v>
      </c>
      <c r="B1953" s="387" t="s">
        <v>1879</v>
      </c>
      <c r="C1953" s="91"/>
      <c r="D1953" s="156" t="s">
        <v>3634</v>
      </c>
      <c r="E1953" s="89">
        <v>485000</v>
      </c>
    </row>
    <row r="1954" spans="1:5" ht="15" customHeight="1" x14ac:dyDescent="0.2">
      <c r="A1954" s="682" t="str">
        <f t="shared" si="104"/>
        <v>인바이런먼트
(ENV)</v>
      </c>
      <c r="B1954" s="387" t="s">
        <v>1879</v>
      </c>
      <c r="C1954" s="113">
        <v>148</v>
      </c>
      <c r="D1954" s="114" t="s">
        <v>3635</v>
      </c>
      <c r="E1954" s="89">
        <v>610000</v>
      </c>
    </row>
    <row r="1955" spans="1:5" ht="15" customHeight="1" x14ac:dyDescent="0.2">
      <c r="A1955" s="682" t="str">
        <f t="shared" si="104"/>
        <v>인바이런먼트
(ENV)</v>
      </c>
      <c r="B1955" s="387" t="s">
        <v>1879</v>
      </c>
      <c r="C1955" s="91">
        <v>216</v>
      </c>
      <c r="D1955" s="98" t="s">
        <v>3636</v>
      </c>
      <c r="E1955" s="89">
        <v>905000</v>
      </c>
    </row>
    <row r="1956" spans="1:5" ht="15" customHeight="1" x14ac:dyDescent="0.2">
      <c r="A1956" s="682" t="str">
        <f t="shared" si="104"/>
        <v>인바이런먼트
(ENV)</v>
      </c>
      <c r="B1956" s="387" t="s">
        <v>1879</v>
      </c>
      <c r="C1956" s="91"/>
      <c r="D1956" s="92" t="s">
        <v>3637</v>
      </c>
      <c r="E1956" s="89">
        <v>570000</v>
      </c>
    </row>
    <row r="1957" spans="1:5" ht="15" customHeight="1" x14ac:dyDescent="0.2">
      <c r="A1957" s="682" t="str">
        <f t="shared" si="104"/>
        <v>인바이런먼트
(ENV)</v>
      </c>
      <c r="B1957" s="387" t="s">
        <v>1879</v>
      </c>
      <c r="C1957" s="91"/>
      <c r="D1957" s="93" t="s">
        <v>2780</v>
      </c>
      <c r="E1957" s="89">
        <v>930000</v>
      </c>
    </row>
    <row r="1958" spans="1:5" ht="15" customHeight="1" x14ac:dyDescent="0.2">
      <c r="A1958" s="682" t="str">
        <f t="shared" si="104"/>
        <v>인바이런먼트
(ENV)</v>
      </c>
      <c r="B1958" s="387" t="s">
        <v>1879</v>
      </c>
      <c r="C1958" s="91"/>
      <c r="D1958" s="92" t="s">
        <v>3638</v>
      </c>
      <c r="E1958" s="89">
        <v>570000</v>
      </c>
    </row>
    <row r="1959" spans="1:5" ht="15" customHeight="1" x14ac:dyDescent="0.2">
      <c r="A1959" s="682" t="str">
        <f t="shared" si="104"/>
        <v>인바이런먼트
(ENV)</v>
      </c>
      <c r="B1959" s="387" t="s">
        <v>1879</v>
      </c>
      <c r="C1959" s="91"/>
      <c r="D1959" s="93" t="s">
        <v>3639</v>
      </c>
      <c r="E1959" s="89">
        <v>900000</v>
      </c>
    </row>
    <row r="1960" spans="1:5" ht="15" customHeight="1" x14ac:dyDescent="0.2">
      <c r="A1960" s="682" t="str">
        <f t="shared" si="104"/>
        <v>인바이런먼트
(ENV)</v>
      </c>
      <c r="B1960" s="387" t="s">
        <v>1879</v>
      </c>
      <c r="C1960" s="91"/>
      <c r="D1960" s="93" t="s">
        <v>3640</v>
      </c>
      <c r="E1960" s="89">
        <v>930000</v>
      </c>
    </row>
    <row r="1961" spans="1:5" ht="15" customHeight="1" x14ac:dyDescent="0.2">
      <c r="A1961" s="682" t="str">
        <f t="shared" si="104"/>
        <v>인바이런먼트
(ENV)</v>
      </c>
      <c r="B1961" s="387" t="s">
        <v>1879</v>
      </c>
      <c r="C1961" s="96">
        <v>270</v>
      </c>
      <c r="D1961" s="221" t="s">
        <v>3641</v>
      </c>
      <c r="E1961" s="89">
        <v>1130000</v>
      </c>
    </row>
    <row r="1962" spans="1:5" ht="15" customHeight="1" x14ac:dyDescent="0.2">
      <c r="A1962" s="682" t="str">
        <f t="shared" si="104"/>
        <v>인바이런먼트
(ENV)</v>
      </c>
      <c r="B1962" s="387" t="s">
        <v>1879</v>
      </c>
      <c r="C1962" s="91"/>
      <c r="D1962" s="93" t="s">
        <v>3642</v>
      </c>
      <c r="E1962" s="89">
        <v>1120000</v>
      </c>
    </row>
    <row r="1963" spans="1:5" ht="15" customHeight="1" x14ac:dyDescent="0.2">
      <c r="A1963" s="682" t="str">
        <f t="shared" si="104"/>
        <v>인바이런먼트
(ENV)</v>
      </c>
      <c r="B1963" s="387" t="s">
        <v>1879</v>
      </c>
      <c r="C1963" s="91"/>
      <c r="D1963" s="227" t="s">
        <v>3643</v>
      </c>
      <c r="E1963" s="89">
        <v>715000</v>
      </c>
    </row>
    <row r="1964" spans="1:5" ht="15" customHeight="1" x14ac:dyDescent="0.2">
      <c r="A1964" s="682" t="str">
        <f t="shared" si="104"/>
        <v>인바이런먼트
(ENV)</v>
      </c>
      <c r="B1964" s="387" t="s">
        <v>1879</v>
      </c>
      <c r="C1964" s="99"/>
      <c r="D1964" s="464" t="s">
        <v>3644</v>
      </c>
      <c r="E1964" s="89">
        <v>1165000</v>
      </c>
    </row>
    <row r="1965" spans="1:5" ht="15" customHeight="1" x14ac:dyDescent="0.2">
      <c r="A1965" s="682" t="str">
        <f t="shared" si="104"/>
        <v>인바이런먼트
(ENV)</v>
      </c>
      <c r="B1965" s="387" t="s">
        <v>1879</v>
      </c>
      <c r="C1965" s="96">
        <v>324</v>
      </c>
      <c r="D1965" s="221" t="s">
        <v>3645</v>
      </c>
      <c r="E1965" s="89">
        <v>1455000</v>
      </c>
    </row>
    <row r="1966" spans="1:5" ht="15" customHeight="1" x14ac:dyDescent="0.2">
      <c r="A1966" s="682" t="str">
        <f t="shared" si="104"/>
        <v>인바이런먼트
(ENV)</v>
      </c>
      <c r="B1966" s="387" t="s">
        <v>1879</v>
      </c>
      <c r="C1966" s="91"/>
      <c r="D1966" s="92" t="s">
        <v>3646</v>
      </c>
      <c r="E1966" s="89">
        <v>940000</v>
      </c>
    </row>
    <row r="1967" spans="1:5" ht="15" customHeight="1" x14ac:dyDescent="0.2">
      <c r="A1967" s="682" t="str">
        <f t="shared" si="104"/>
        <v>인바이런먼트
(ENV)</v>
      </c>
      <c r="B1967" s="387" t="s">
        <v>1879</v>
      </c>
      <c r="C1967" s="99" t="s">
        <v>1868</v>
      </c>
      <c r="D1967" s="141" t="s">
        <v>3647</v>
      </c>
      <c r="E1967" s="89">
        <v>1490000</v>
      </c>
    </row>
    <row r="1968" spans="1:5" ht="15" customHeight="1" x14ac:dyDescent="0.2">
      <c r="A1968" s="682" t="str">
        <f t="shared" si="104"/>
        <v>인바이런먼트
(ENV)</v>
      </c>
      <c r="B1968" s="387" t="s">
        <v>1879</v>
      </c>
      <c r="C1968" s="96">
        <v>352</v>
      </c>
      <c r="D1968" s="221" t="s">
        <v>2026</v>
      </c>
      <c r="E1968" s="89">
        <v>1580000</v>
      </c>
    </row>
    <row r="1969" spans="1:5" ht="15" customHeight="1" x14ac:dyDescent="0.2">
      <c r="A1969" s="682" t="str">
        <f t="shared" si="104"/>
        <v>인바이런먼트
(ENV)</v>
      </c>
      <c r="B1969" s="387" t="s">
        <v>1879</v>
      </c>
      <c r="C1969" s="91"/>
      <c r="D1969" s="92" t="s">
        <v>3648</v>
      </c>
      <c r="E1969" s="89">
        <v>1020000</v>
      </c>
    </row>
    <row r="1970" spans="1:5" ht="15" customHeight="1" x14ac:dyDescent="0.2">
      <c r="A1970" s="682" t="str">
        <f t="shared" si="104"/>
        <v>인바이런먼트
(ENV)</v>
      </c>
      <c r="B1970" s="387" t="s">
        <v>1879</v>
      </c>
      <c r="C1970" s="99"/>
      <c r="D1970" s="141" t="s">
        <v>3649</v>
      </c>
      <c r="E1970" s="89">
        <v>1625000</v>
      </c>
    </row>
    <row r="1971" spans="1:5" ht="15" customHeight="1" x14ac:dyDescent="0.2">
      <c r="A1971" s="682" t="str">
        <f t="shared" si="104"/>
        <v>인바이런먼트
(ENV)</v>
      </c>
      <c r="B1971" s="90" t="s">
        <v>3650</v>
      </c>
      <c r="C1971" s="113">
        <v>118</v>
      </c>
      <c r="D1971" s="142" t="s">
        <v>2549</v>
      </c>
      <c r="E1971" s="89">
        <v>220000</v>
      </c>
    </row>
    <row r="1972" spans="1:5" ht="15" customHeight="1" x14ac:dyDescent="0.2">
      <c r="A1972" s="682" t="str">
        <f t="shared" si="104"/>
        <v>인바이런먼트
(ENV)</v>
      </c>
      <c r="B1972" s="95" t="s">
        <v>1865</v>
      </c>
      <c r="C1972" s="91">
        <v>118</v>
      </c>
      <c r="D1972" s="98" t="s">
        <v>3651</v>
      </c>
      <c r="E1972" s="89">
        <v>335000</v>
      </c>
    </row>
    <row r="1973" spans="1:5" ht="15" customHeight="1" x14ac:dyDescent="0.2">
      <c r="A1973" s="682" t="str">
        <f t="shared" si="104"/>
        <v>인바이런먼트
(ENV)</v>
      </c>
      <c r="B1973" s="95" t="s">
        <v>1865</v>
      </c>
      <c r="C1973" s="113">
        <v>148</v>
      </c>
      <c r="D1973" s="114" t="s">
        <v>3652</v>
      </c>
      <c r="E1973" s="89">
        <v>420000</v>
      </c>
    </row>
    <row r="1974" spans="1:5" ht="15" customHeight="1" x14ac:dyDescent="0.2">
      <c r="A1974" s="701" t="str">
        <f t="shared" si="104"/>
        <v>인바이런먼트
(ENV)</v>
      </c>
      <c r="B1974" s="95" t="s">
        <v>1865</v>
      </c>
      <c r="C1974" s="111">
        <v>216</v>
      </c>
      <c r="D1974" s="112" t="s">
        <v>3653</v>
      </c>
      <c r="E1974" s="89">
        <v>620000</v>
      </c>
    </row>
    <row r="1975" spans="1:5" ht="15" customHeight="1" x14ac:dyDescent="0.2">
      <c r="A1975" s="690" t="s">
        <v>3654</v>
      </c>
      <c r="B1975" s="472" t="s">
        <v>1857</v>
      </c>
      <c r="C1975" s="473">
        <v>115</v>
      </c>
      <c r="D1975" s="474" t="s">
        <v>3655</v>
      </c>
      <c r="E1975" s="89">
        <v>300000</v>
      </c>
    </row>
    <row r="1976" spans="1:5" ht="15" customHeight="1" x14ac:dyDescent="0.2">
      <c r="A1976" s="685"/>
      <c r="B1976" s="475" t="s">
        <v>3656</v>
      </c>
      <c r="C1976" s="476">
        <v>115</v>
      </c>
      <c r="D1976" s="477" t="s">
        <v>3657</v>
      </c>
      <c r="E1976" s="89">
        <v>425000</v>
      </c>
    </row>
    <row r="1977" spans="1:5" ht="15" customHeight="1" x14ac:dyDescent="0.2">
      <c r="A1977" s="685"/>
      <c r="B1977" s="475" t="s">
        <v>3656</v>
      </c>
      <c r="C1977" s="478"/>
      <c r="D1977" s="479" t="s">
        <v>3658</v>
      </c>
      <c r="E1977" s="89">
        <v>315000</v>
      </c>
    </row>
    <row r="1978" spans="1:5" ht="15" customHeight="1" x14ac:dyDescent="0.2">
      <c r="A1978" s="685"/>
      <c r="B1978" s="475" t="s">
        <v>3656</v>
      </c>
      <c r="C1978" s="480">
        <v>190</v>
      </c>
      <c r="D1978" s="481" t="s">
        <v>3659</v>
      </c>
      <c r="E1978" s="89">
        <v>515000</v>
      </c>
    </row>
    <row r="1979" spans="1:5" ht="15" customHeight="1" x14ac:dyDescent="0.2">
      <c r="A1979" s="685"/>
      <c r="B1979" s="475" t="s">
        <v>3656</v>
      </c>
      <c r="C1979" s="478">
        <v>215</v>
      </c>
      <c r="D1979" s="482" t="s">
        <v>3660</v>
      </c>
      <c r="E1979" s="89">
        <v>795000</v>
      </c>
    </row>
    <row r="1980" spans="1:5" ht="15" customHeight="1" x14ac:dyDescent="0.2">
      <c r="A1980" s="685"/>
      <c r="B1980" s="475" t="s">
        <v>3656</v>
      </c>
      <c r="C1980" s="478" t="s">
        <v>1868</v>
      </c>
      <c r="D1980" s="482" t="s">
        <v>3661</v>
      </c>
      <c r="E1980" s="89">
        <v>585000</v>
      </c>
    </row>
    <row r="1981" spans="1:5" ht="15" customHeight="1" x14ac:dyDescent="0.2">
      <c r="A1981" s="685"/>
      <c r="B1981" s="475" t="s">
        <v>2837</v>
      </c>
      <c r="C1981" s="476">
        <v>115</v>
      </c>
      <c r="D1981" s="483" t="s">
        <v>3662</v>
      </c>
      <c r="E1981" s="89">
        <v>270000</v>
      </c>
    </row>
    <row r="1982" spans="1:5" ht="15" customHeight="1" x14ac:dyDescent="0.2">
      <c r="A1982" s="685" t="str">
        <f>A1975</f>
        <v xml:space="preserve">쟈데
(JD) </v>
      </c>
      <c r="B1982" s="475" t="s">
        <v>2837</v>
      </c>
      <c r="C1982" s="480">
        <v>190</v>
      </c>
      <c r="D1982" s="484" t="s">
        <v>3663</v>
      </c>
      <c r="E1982" s="89">
        <v>445000</v>
      </c>
    </row>
    <row r="1983" spans="1:5" ht="15" customHeight="1" x14ac:dyDescent="0.2">
      <c r="A1983" s="685"/>
      <c r="B1983" s="475" t="s">
        <v>2837</v>
      </c>
      <c r="C1983" s="478">
        <v>215</v>
      </c>
      <c r="D1983" s="485" t="s">
        <v>3664</v>
      </c>
      <c r="E1983" s="89">
        <v>481000</v>
      </c>
    </row>
    <row r="1984" spans="1:5" ht="15" customHeight="1" x14ac:dyDescent="0.2">
      <c r="A1984" s="685" t="str">
        <f>A1982</f>
        <v xml:space="preserve">쟈데
(JD) </v>
      </c>
      <c r="B1984" s="475" t="s">
        <v>2837</v>
      </c>
      <c r="C1984" s="478"/>
      <c r="D1984" s="486" t="s">
        <v>3665</v>
      </c>
      <c r="E1984" s="89">
        <v>505000</v>
      </c>
    </row>
    <row r="1985" spans="1:5" ht="15" customHeight="1" x14ac:dyDescent="0.2">
      <c r="A1985" s="685" t="str">
        <f t="shared" ref="A1985:A1987" si="105">A1984</f>
        <v xml:space="preserve">쟈데
(JD) </v>
      </c>
      <c r="B1985" s="475" t="s">
        <v>2837</v>
      </c>
      <c r="C1985" s="480">
        <v>300</v>
      </c>
      <c r="D1985" s="481" t="s">
        <v>3666</v>
      </c>
      <c r="E1985" s="89">
        <v>690000</v>
      </c>
    </row>
    <row r="1986" spans="1:5" ht="15" customHeight="1" x14ac:dyDescent="0.2">
      <c r="A1986" s="685" t="str">
        <f t="shared" si="105"/>
        <v xml:space="preserve">쟈데
(JD) </v>
      </c>
      <c r="B1986" s="475" t="s">
        <v>2399</v>
      </c>
      <c r="C1986" s="478">
        <v>350</v>
      </c>
      <c r="D1986" s="482" t="s">
        <v>3667</v>
      </c>
      <c r="E1986" s="89">
        <v>850000</v>
      </c>
    </row>
    <row r="1987" spans="1:5" ht="15" customHeight="1" x14ac:dyDescent="0.2">
      <c r="A1987" s="707" t="str">
        <f t="shared" si="105"/>
        <v xml:space="preserve">쟈데
(JD) </v>
      </c>
      <c r="B1987" s="475" t="s">
        <v>2399</v>
      </c>
      <c r="C1987" s="487" t="s">
        <v>1868</v>
      </c>
      <c r="D1987" s="488" t="s">
        <v>3668</v>
      </c>
      <c r="E1987" s="89">
        <v>850000</v>
      </c>
    </row>
    <row r="1988" spans="1:5" ht="15" customHeight="1" x14ac:dyDescent="0.2">
      <c r="A1988" s="708" t="s">
        <v>3669</v>
      </c>
      <c r="B1988" s="387" t="s">
        <v>1879</v>
      </c>
      <c r="C1988" s="91">
        <v>120</v>
      </c>
      <c r="D1988" s="98" t="s">
        <v>3670</v>
      </c>
      <c r="E1988" s="89">
        <v>214000</v>
      </c>
    </row>
    <row r="1989" spans="1:5" ht="15" customHeight="1" x14ac:dyDescent="0.2">
      <c r="A1989" s="709"/>
      <c r="B1989" s="387" t="s">
        <v>1879</v>
      </c>
      <c r="C1989" s="91"/>
      <c r="D1989" s="98" t="s">
        <v>3671</v>
      </c>
      <c r="E1989" s="89">
        <v>178000</v>
      </c>
    </row>
    <row r="1990" spans="1:5" ht="15" customHeight="1" x14ac:dyDescent="0.2">
      <c r="A1990" s="709"/>
      <c r="B1990" s="387" t="s">
        <v>1879</v>
      </c>
      <c r="C1990" s="91"/>
      <c r="D1990" s="98" t="s">
        <v>3672</v>
      </c>
      <c r="E1990" s="89">
        <v>190000</v>
      </c>
    </row>
    <row r="1991" spans="1:5" ht="15" customHeight="1" x14ac:dyDescent="0.2">
      <c r="A1991" s="709"/>
      <c r="B1991" s="387" t="s">
        <v>1879</v>
      </c>
      <c r="C1991" s="113">
        <v>180</v>
      </c>
      <c r="D1991" s="114" t="s">
        <v>3673</v>
      </c>
      <c r="E1991" s="89">
        <v>320000</v>
      </c>
    </row>
    <row r="1992" spans="1:5" ht="15" customHeight="1" x14ac:dyDescent="0.2">
      <c r="A1992" s="709"/>
      <c r="B1992" s="387" t="s">
        <v>1879</v>
      </c>
      <c r="C1992" s="91">
        <v>220</v>
      </c>
      <c r="D1992" s="98" t="s">
        <v>3674</v>
      </c>
      <c r="E1992" s="89">
        <v>390000</v>
      </c>
    </row>
    <row r="1993" spans="1:5" ht="15" customHeight="1" x14ac:dyDescent="0.2">
      <c r="A1993" s="709"/>
      <c r="B1993" s="387" t="s">
        <v>1879</v>
      </c>
      <c r="C1993" s="91"/>
      <c r="D1993" s="98" t="s">
        <v>3675</v>
      </c>
      <c r="E1993" s="89">
        <v>325000</v>
      </c>
    </row>
    <row r="1994" spans="1:5" ht="15" customHeight="1" x14ac:dyDescent="0.2">
      <c r="A1994" s="709"/>
      <c r="B1994" s="387" t="s">
        <v>1879</v>
      </c>
      <c r="C1994" s="91"/>
      <c r="D1994" s="98" t="s">
        <v>3676</v>
      </c>
      <c r="E1994" s="89">
        <v>350000</v>
      </c>
    </row>
    <row r="1995" spans="1:5" ht="15" customHeight="1" x14ac:dyDescent="0.2">
      <c r="A1995" s="709"/>
      <c r="B1995" s="387" t="s">
        <v>1879</v>
      </c>
      <c r="C1995" s="91"/>
      <c r="D1995" s="98" t="s">
        <v>3677</v>
      </c>
      <c r="E1995" s="89">
        <v>395000</v>
      </c>
    </row>
    <row r="1996" spans="1:5" ht="15" customHeight="1" x14ac:dyDescent="0.2">
      <c r="A1996" s="709"/>
      <c r="B1996" s="387" t="s">
        <v>1879</v>
      </c>
      <c r="C1996" s="91"/>
      <c r="D1996" s="98" t="s">
        <v>3678</v>
      </c>
      <c r="E1996" s="89">
        <v>395000</v>
      </c>
    </row>
    <row r="1997" spans="1:5" ht="15" customHeight="1" x14ac:dyDescent="0.2">
      <c r="A1997" s="709"/>
      <c r="B1997" s="387" t="s">
        <v>1879</v>
      </c>
      <c r="C1997" s="99"/>
      <c r="D1997" s="105" t="s">
        <v>3679</v>
      </c>
      <c r="E1997" s="89">
        <v>440000</v>
      </c>
    </row>
    <row r="1998" spans="1:5" ht="15" customHeight="1" x14ac:dyDescent="0.2">
      <c r="A1998" s="709"/>
      <c r="B1998" s="387" t="s">
        <v>1879</v>
      </c>
      <c r="C1998" s="91">
        <v>270</v>
      </c>
      <c r="D1998" s="98" t="s">
        <v>3680</v>
      </c>
      <c r="E1998" s="89">
        <v>475000</v>
      </c>
    </row>
    <row r="1999" spans="1:5" ht="15" customHeight="1" x14ac:dyDescent="0.2">
      <c r="A1999" s="709"/>
      <c r="B1999" s="387" t="s">
        <v>1879</v>
      </c>
      <c r="C1999" s="91"/>
      <c r="D1999" s="98" t="s">
        <v>3681</v>
      </c>
      <c r="E1999" s="89">
        <v>400000</v>
      </c>
    </row>
    <row r="2000" spans="1:5" ht="15" customHeight="1" x14ac:dyDescent="0.2">
      <c r="A2000" s="709"/>
      <c r="B2000" s="387" t="s">
        <v>1879</v>
      </c>
      <c r="C2000" s="91"/>
      <c r="D2000" s="98" t="s">
        <v>3682</v>
      </c>
      <c r="E2000" s="89">
        <v>428000</v>
      </c>
    </row>
    <row r="2001" spans="1:5" ht="15" customHeight="1" x14ac:dyDescent="0.2">
      <c r="A2001" s="709"/>
      <c r="B2001" s="387" t="s">
        <v>1879</v>
      </c>
      <c r="C2001" s="91"/>
      <c r="D2001" s="98" t="s">
        <v>3683</v>
      </c>
      <c r="E2001" s="89">
        <v>485000</v>
      </c>
    </row>
    <row r="2002" spans="1:5" ht="15" customHeight="1" x14ac:dyDescent="0.2">
      <c r="A2002" s="709"/>
      <c r="B2002" s="387" t="s">
        <v>1879</v>
      </c>
      <c r="C2002" s="91"/>
      <c r="D2002" s="98" t="s">
        <v>3684</v>
      </c>
      <c r="E2002" s="89">
        <v>485000</v>
      </c>
    </row>
    <row r="2003" spans="1:5" ht="15" customHeight="1" x14ac:dyDescent="0.2">
      <c r="A2003" s="709"/>
      <c r="B2003" s="387" t="s">
        <v>1879</v>
      </c>
      <c r="C2003" s="96">
        <v>310</v>
      </c>
      <c r="D2003" s="109" t="s">
        <v>3685</v>
      </c>
      <c r="E2003" s="89">
        <v>510000</v>
      </c>
    </row>
    <row r="2004" spans="1:5" ht="15" customHeight="1" x14ac:dyDescent="0.2">
      <c r="A2004" s="709"/>
      <c r="B2004" s="387" t="s">
        <v>1879</v>
      </c>
      <c r="C2004" s="99"/>
      <c r="D2004" s="105" t="s">
        <v>3686</v>
      </c>
      <c r="E2004" s="89">
        <v>520000</v>
      </c>
    </row>
    <row r="2005" spans="1:5" ht="15" customHeight="1" x14ac:dyDescent="0.2">
      <c r="A2005" s="709"/>
      <c r="B2005" s="387" t="s">
        <v>1879</v>
      </c>
      <c r="C2005" s="91">
        <v>370</v>
      </c>
      <c r="D2005" s="98" t="s">
        <v>3687</v>
      </c>
      <c r="E2005" s="89">
        <v>610000</v>
      </c>
    </row>
    <row r="2006" spans="1:5" ht="15" customHeight="1" x14ac:dyDescent="0.2">
      <c r="A2006" s="709"/>
      <c r="B2006" s="387" t="s">
        <v>1879</v>
      </c>
      <c r="C2006" s="99"/>
      <c r="D2006" s="105" t="s">
        <v>3688</v>
      </c>
      <c r="E2006" s="89">
        <v>625000</v>
      </c>
    </row>
    <row r="2007" spans="1:5" ht="15" customHeight="1" x14ac:dyDescent="0.2">
      <c r="A2007" s="709"/>
      <c r="B2007" s="387" t="s">
        <v>1879</v>
      </c>
      <c r="C2007" s="91">
        <v>430</v>
      </c>
      <c r="D2007" s="98" t="s">
        <v>3689</v>
      </c>
      <c r="E2007" s="89">
        <v>740000</v>
      </c>
    </row>
    <row r="2008" spans="1:5" ht="15" customHeight="1" x14ac:dyDescent="0.2">
      <c r="A2008" s="709"/>
      <c r="B2008" s="152" t="s">
        <v>3690</v>
      </c>
      <c r="C2008" s="121">
        <v>220</v>
      </c>
      <c r="D2008" s="153" t="s">
        <v>3691</v>
      </c>
      <c r="E2008" s="89">
        <v>225000</v>
      </c>
    </row>
    <row r="2009" spans="1:5" ht="15" customHeight="1" x14ac:dyDescent="0.2">
      <c r="A2009" s="709"/>
      <c r="B2009" s="152" t="s">
        <v>2490</v>
      </c>
      <c r="C2009" s="121">
        <v>220</v>
      </c>
      <c r="D2009" s="153" t="s">
        <v>3692</v>
      </c>
      <c r="E2009" s="89">
        <v>305000</v>
      </c>
    </row>
    <row r="2010" spans="1:5" ht="15" customHeight="1" x14ac:dyDescent="0.2">
      <c r="A2010" s="709"/>
      <c r="B2010" s="152" t="s">
        <v>1921</v>
      </c>
      <c r="C2010" s="121">
        <v>220</v>
      </c>
      <c r="D2010" s="153" t="s">
        <v>3693</v>
      </c>
      <c r="E2010" s="89">
        <v>305000</v>
      </c>
    </row>
    <row r="2011" spans="1:5" ht="15" customHeight="1" x14ac:dyDescent="0.2">
      <c r="A2011" s="677" t="s">
        <v>3694</v>
      </c>
      <c r="B2011" s="445" t="s">
        <v>2835</v>
      </c>
      <c r="C2011" s="461">
        <v>250</v>
      </c>
      <c r="D2011" s="489" t="s">
        <v>3695</v>
      </c>
      <c r="E2011" s="89">
        <v>600000</v>
      </c>
    </row>
    <row r="2012" spans="1:5" ht="15" customHeight="1" x14ac:dyDescent="0.2">
      <c r="A2012" s="710" t="s">
        <v>2820</v>
      </c>
      <c r="B2012" s="445" t="s">
        <v>2835</v>
      </c>
      <c r="C2012" s="91">
        <v>350</v>
      </c>
      <c r="D2012" s="98" t="s">
        <v>2053</v>
      </c>
      <c r="E2012" s="89">
        <v>820000</v>
      </c>
    </row>
    <row r="2013" spans="1:5" ht="15" customHeight="1" x14ac:dyDescent="0.2">
      <c r="A2013" s="710" t="s">
        <v>2820</v>
      </c>
      <c r="B2013" s="445" t="s">
        <v>2835</v>
      </c>
      <c r="C2013" s="91">
        <v>450</v>
      </c>
      <c r="D2013" s="98" t="s">
        <v>2054</v>
      </c>
      <c r="E2013" s="89">
        <v>1050000</v>
      </c>
    </row>
    <row r="2014" spans="1:5" ht="15" customHeight="1" x14ac:dyDescent="0.2">
      <c r="A2014" s="711" t="s">
        <v>2820</v>
      </c>
      <c r="B2014" s="445" t="s">
        <v>2835</v>
      </c>
      <c r="C2014" s="106">
        <v>550</v>
      </c>
      <c r="D2014" s="208" t="s">
        <v>2055</v>
      </c>
      <c r="E2014" s="89">
        <v>1400000</v>
      </c>
    </row>
    <row r="2015" spans="1:5" ht="15" customHeight="1" x14ac:dyDescent="0.2">
      <c r="A2015" s="706" t="s">
        <v>3696</v>
      </c>
      <c r="B2015" s="457" t="s">
        <v>1857</v>
      </c>
      <c r="C2015" s="455">
        <v>216</v>
      </c>
      <c r="D2015" s="456" t="s">
        <v>1757</v>
      </c>
      <c r="E2015" s="89">
        <v>600000</v>
      </c>
    </row>
    <row r="2016" spans="1:5" ht="15" customHeight="1" x14ac:dyDescent="0.2">
      <c r="A2016" s="706" t="str">
        <f t="shared" ref="A2016:A2021" si="106">A2015</f>
        <v>카니발 린넨*
(CAR)</v>
      </c>
      <c r="B2016" s="457" t="s">
        <v>1857</v>
      </c>
      <c r="C2016" s="91"/>
      <c r="D2016" s="92" t="s">
        <v>2588</v>
      </c>
      <c r="E2016" s="89">
        <v>450000</v>
      </c>
    </row>
    <row r="2017" spans="1:5" ht="15" customHeight="1" x14ac:dyDescent="0.2">
      <c r="A2017" s="706" t="str">
        <f t="shared" si="106"/>
        <v>카니발 린넨*
(CAR)</v>
      </c>
      <c r="B2017" s="457" t="s">
        <v>1857</v>
      </c>
      <c r="C2017" s="91"/>
      <c r="D2017" s="92" t="s">
        <v>3697</v>
      </c>
      <c r="E2017" s="89">
        <v>735000</v>
      </c>
    </row>
    <row r="2018" spans="1:5" ht="15" customHeight="1" x14ac:dyDescent="0.2">
      <c r="A2018" s="706" t="str">
        <f t="shared" si="106"/>
        <v>카니발 린넨*
(CAR)</v>
      </c>
      <c r="B2018" s="457" t="s">
        <v>1857</v>
      </c>
      <c r="C2018" s="91"/>
      <c r="D2018" s="92" t="s">
        <v>1761</v>
      </c>
      <c r="E2018" s="89">
        <v>765000</v>
      </c>
    </row>
    <row r="2019" spans="1:5" ht="15" customHeight="1" x14ac:dyDescent="0.2">
      <c r="A2019" s="706" t="str">
        <f t="shared" si="106"/>
        <v>카니발 린넨*
(CAR)</v>
      </c>
      <c r="B2019" s="457" t="s">
        <v>1857</v>
      </c>
      <c r="C2019" s="91"/>
      <c r="D2019" s="92" t="s">
        <v>2058</v>
      </c>
      <c r="E2019" s="89">
        <v>650000</v>
      </c>
    </row>
    <row r="2020" spans="1:5" ht="15" customHeight="1" x14ac:dyDescent="0.2">
      <c r="A2020" s="706" t="str">
        <f t="shared" si="106"/>
        <v>카니발 린넨*
(CAR)</v>
      </c>
      <c r="B2020" s="457" t="s">
        <v>1857</v>
      </c>
      <c r="C2020" s="99"/>
      <c r="D2020" s="100" t="s">
        <v>3698</v>
      </c>
      <c r="E2020" s="89">
        <v>610000</v>
      </c>
    </row>
    <row r="2021" spans="1:5" ht="15" customHeight="1" x14ac:dyDescent="0.2">
      <c r="A2021" s="699" t="str">
        <f t="shared" si="106"/>
        <v>카니발 린넨*
(CAR)</v>
      </c>
      <c r="B2021" s="90" t="s">
        <v>1998</v>
      </c>
      <c r="C2021" s="91">
        <v>216</v>
      </c>
      <c r="D2021" s="92" t="s">
        <v>3699</v>
      </c>
      <c r="E2021" s="89">
        <v>335000</v>
      </c>
    </row>
    <row r="2022" spans="1:5" ht="15" customHeight="1" x14ac:dyDescent="0.2">
      <c r="A2022" s="712" t="s">
        <v>3700</v>
      </c>
      <c r="B2022" s="490" t="s">
        <v>3701</v>
      </c>
      <c r="C2022" s="491">
        <v>135</v>
      </c>
      <c r="D2022" s="492" t="s">
        <v>3702</v>
      </c>
      <c r="E2022" s="89">
        <v>415000</v>
      </c>
    </row>
    <row r="2023" spans="1:5" ht="15" customHeight="1" x14ac:dyDescent="0.2">
      <c r="A2023" s="686" t="str">
        <f t="shared" ref="A2023:A2064" si="107">A2022</f>
        <v>칼라플랜
(CPL)</v>
      </c>
      <c r="B2023" s="490" t="s">
        <v>3701</v>
      </c>
      <c r="C2023" s="493"/>
      <c r="D2023" s="494" t="s">
        <v>3703</v>
      </c>
      <c r="E2023" s="89">
        <v>425000</v>
      </c>
    </row>
    <row r="2024" spans="1:5" ht="24.6" customHeight="1" x14ac:dyDescent="0.2">
      <c r="A2024" s="686" t="str">
        <f t="shared" si="107"/>
        <v>칼라플랜
(CPL)</v>
      </c>
      <c r="B2024" s="490" t="s">
        <v>3701</v>
      </c>
      <c r="C2024" s="493"/>
      <c r="D2024" s="495" t="s">
        <v>3704</v>
      </c>
      <c r="E2024" s="89">
        <v>457000</v>
      </c>
    </row>
    <row r="2025" spans="1:5" ht="15" customHeight="1" x14ac:dyDescent="0.2">
      <c r="A2025" s="686" t="str">
        <f t="shared" si="107"/>
        <v>칼라플랜
(CPL)</v>
      </c>
      <c r="B2025" s="490" t="s">
        <v>3701</v>
      </c>
      <c r="C2025" s="493"/>
      <c r="D2025" s="494" t="s">
        <v>3705</v>
      </c>
      <c r="E2025" s="89">
        <v>500000</v>
      </c>
    </row>
    <row r="2026" spans="1:5" ht="15" customHeight="1" x14ac:dyDescent="0.2">
      <c r="A2026" s="686" t="str">
        <f t="shared" si="107"/>
        <v>칼라플랜
(CPL)</v>
      </c>
      <c r="B2026" s="490" t="s">
        <v>3701</v>
      </c>
      <c r="C2026" s="493"/>
      <c r="D2026" s="494" t="s">
        <v>3706</v>
      </c>
      <c r="E2026" s="89">
        <v>510000</v>
      </c>
    </row>
    <row r="2027" spans="1:5" ht="15" customHeight="1" x14ac:dyDescent="0.2">
      <c r="A2027" s="686" t="str">
        <f t="shared" si="107"/>
        <v>칼라플랜
(CPL)</v>
      </c>
      <c r="B2027" s="490" t="s">
        <v>3701</v>
      </c>
      <c r="C2027" s="493"/>
      <c r="D2027" s="494" t="s">
        <v>3707</v>
      </c>
      <c r="E2027" s="89">
        <v>535000</v>
      </c>
    </row>
    <row r="2028" spans="1:5" ht="15" customHeight="1" x14ac:dyDescent="0.2">
      <c r="A2028" s="686" t="str">
        <f t="shared" si="107"/>
        <v>칼라플랜
(CPL)</v>
      </c>
      <c r="B2028" s="490" t="s">
        <v>3701</v>
      </c>
      <c r="C2028" s="493"/>
      <c r="D2028" s="494" t="s">
        <v>3708</v>
      </c>
      <c r="E2028" s="89">
        <v>550000</v>
      </c>
    </row>
    <row r="2029" spans="1:5" ht="15" customHeight="1" x14ac:dyDescent="0.2">
      <c r="A2029" s="686" t="str">
        <f t="shared" si="107"/>
        <v>칼라플랜
(CPL)</v>
      </c>
      <c r="B2029" s="490" t="s">
        <v>3701</v>
      </c>
      <c r="C2029" s="493"/>
      <c r="D2029" s="494" t="s">
        <v>3709</v>
      </c>
      <c r="E2029" s="89">
        <v>580000</v>
      </c>
    </row>
    <row r="2030" spans="1:5" ht="15" customHeight="1" x14ac:dyDescent="0.2">
      <c r="A2030" s="686" t="str">
        <f t="shared" si="107"/>
        <v>칼라플랜
(CPL)</v>
      </c>
      <c r="B2030" s="490" t="s">
        <v>3701</v>
      </c>
      <c r="C2030" s="493"/>
      <c r="D2030" s="496" t="s">
        <v>3710</v>
      </c>
      <c r="E2030" s="89">
        <v>610000</v>
      </c>
    </row>
    <row r="2031" spans="1:5" ht="15" customHeight="1" x14ac:dyDescent="0.2">
      <c r="A2031" s="686" t="str">
        <f t="shared" si="107"/>
        <v>칼라플랜
(CPL)</v>
      </c>
      <c r="B2031" s="490" t="s">
        <v>3701</v>
      </c>
      <c r="C2031" s="497" t="s">
        <v>3711</v>
      </c>
      <c r="D2031" s="498" t="s">
        <v>3712</v>
      </c>
      <c r="E2031" s="89">
        <v>370000</v>
      </c>
    </row>
    <row r="2032" spans="1:5" ht="15" customHeight="1" x14ac:dyDescent="0.2">
      <c r="A2032" s="686" t="str">
        <f t="shared" si="107"/>
        <v>칼라플랜
(CPL)</v>
      </c>
      <c r="B2032" s="490" t="s">
        <v>3701</v>
      </c>
      <c r="C2032" s="493"/>
      <c r="D2032" s="499" t="s">
        <v>3713</v>
      </c>
      <c r="E2032" s="89">
        <v>430000</v>
      </c>
    </row>
    <row r="2033" spans="1:5" ht="15" customHeight="1" x14ac:dyDescent="0.2">
      <c r="A2033" s="686" t="str">
        <f t="shared" si="107"/>
        <v>칼라플랜
(CPL)</v>
      </c>
      <c r="B2033" s="490" t="s">
        <v>3701</v>
      </c>
      <c r="C2033" s="491">
        <v>270</v>
      </c>
      <c r="D2033" s="492" t="s">
        <v>3714</v>
      </c>
      <c r="E2033" s="89">
        <v>825000</v>
      </c>
    </row>
    <row r="2034" spans="1:5" ht="15" customHeight="1" x14ac:dyDescent="0.2">
      <c r="A2034" s="686" t="str">
        <f t="shared" si="107"/>
        <v>칼라플랜
(CPL)</v>
      </c>
      <c r="B2034" s="490" t="s">
        <v>3701</v>
      </c>
      <c r="C2034" s="493"/>
      <c r="D2034" s="494" t="s">
        <v>3715</v>
      </c>
      <c r="E2034" s="89">
        <v>855000</v>
      </c>
    </row>
    <row r="2035" spans="1:5" ht="24" customHeight="1" x14ac:dyDescent="0.2">
      <c r="A2035" s="686" t="str">
        <f t="shared" si="107"/>
        <v>칼라플랜
(CPL)</v>
      </c>
      <c r="B2035" s="490" t="s">
        <v>3701</v>
      </c>
      <c r="C2035" s="493"/>
      <c r="D2035" s="495" t="s">
        <v>3716</v>
      </c>
      <c r="E2035" s="89">
        <v>915000</v>
      </c>
    </row>
    <row r="2036" spans="1:5" ht="15" customHeight="1" x14ac:dyDescent="0.2">
      <c r="A2036" s="686" t="str">
        <f t="shared" si="107"/>
        <v>칼라플랜
(CPL)</v>
      </c>
      <c r="B2036" s="490" t="s">
        <v>3701</v>
      </c>
      <c r="C2036" s="493"/>
      <c r="D2036" s="494" t="s">
        <v>3717</v>
      </c>
      <c r="E2036" s="89">
        <v>1000000</v>
      </c>
    </row>
    <row r="2037" spans="1:5" ht="15" customHeight="1" x14ac:dyDescent="0.2">
      <c r="A2037" s="686" t="str">
        <f t="shared" si="107"/>
        <v>칼라플랜
(CPL)</v>
      </c>
      <c r="B2037" s="490" t="s">
        <v>3701</v>
      </c>
      <c r="C2037" s="493"/>
      <c r="D2037" s="494" t="s">
        <v>3718</v>
      </c>
      <c r="E2037" s="89">
        <v>1025000</v>
      </c>
    </row>
    <row r="2038" spans="1:5" ht="15" customHeight="1" x14ac:dyDescent="0.2">
      <c r="A2038" s="686" t="str">
        <f t="shared" si="107"/>
        <v>칼라플랜
(CPL)</v>
      </c>
      <c r="B2038" s="490" t="s">
        <v>3701</v>
      </c>
      <c r="C2038" s="493"/>
      <c r="D2038" s="494" t="s">
        <v>3719</v>
      </c>
      <c r="E2038" s="89">
        <v>1065000</v>
      </c>
    </row>
    <row r="2039" spans="1:5" ht="15" customHeight="1" x14ac:dyDescent="0.2">
      <c r="A2039" s="686" t="str">
        <f t="shared" si="107"/>
        <v>칼라플랜
(CPL)</v>
      </c>
      <c r="B2039" s="490" t="s">
        <v>3701</v>
      </c>
      <c r="C2039" s="493"/>
      <c r="D2039" s="494" t="s">
        <v>3720</v>
      </c>
      <c r="E2039" s="89">
        <v>1100000</v>
      </c>
    </row>
    <row r="2040" spans="1:5" ht="15" customHeight="1" x14ac:dyDescent="0.2">
      <c r="A2040" s="686" t="str">
        <f t="shared" si="107"/>
        <v>칼라플랜
(CPL)</v>
      </c>
      <c r="B2040" s="490" t="s">
        <v>3701</v>
      </c>
      <c r="C2040" s="493"/>
      <c r="D2040" s="494" t="s">
        <v>3721</v>
      </c>
      <c r="E2040" s="89">
        <v>1160000</v>
      </c>
    </row>
    <row r="2041" spans="1:5" ht="15" customHeight="1" x14ac:dyDescent="0.2">
      <c r="A2041" s="686"/>
      <c r="B2041" s="490" t="s">
        <v>3701</v>
      </c>
      <c r="C2041" s="500"/>
      <c r="D2041" s="501" t="s">
        <v>3722</v>
      </c>
      <c r="E2041" s="89">
        <v>1215000</v>
      </c>
    </row>
    <row r="2042" spans="1:5" ht="15" customHeight="1" x14ac:dyDescent="0.2">
      <c r="A2042" s="686" t="e">
        <f>#REF!</f>
        <v>#REF!</v>
      </c>
      <c r="B2042" s="490" t="s">
        <v>3701</v>
      </c>
      <c r="C2042" s="493">
        <v>350</v>
      </c>
      <c r="D2042" s="502" t="s">
        <v>3723</v>
      </c>
      <c r="E2042" s="89">
        <v>1075000</v>
      </c>
    </row>
    <row r="2043" spans="1:5" ht="15" customHeight="1" x14ac:dyDescent="0.2">
      <c r="A2043" s="686" t="e">
        <f t="shared" si="107"/>
        <v>#REF!</v>
      </c>
      <c r="B2043" s="490" t="s">
        <v>3701</v>
      </c>
      <c r="C2043" s="493"/>
      <c r="D2043" s="494" t="s">
        <v>3724</v>
      </c>
      <c r="E2043" s="89">
        <v>1110000</v>
      </c>
    </row>
    <row r="2044" spans="1:5" ht="45" customHeight="1" x14ac:dyDescent="0.2">
      <c r="A2044" s="686" t="e">
        <f t="shared" si="107"/>
        <v>#REF!</v>
      </c>
      <c r="B2044" s="490" t="s">
        <v>3701</v>
      </c>
      <c r="C2044" s="493"/>
      <c r="D2044" s="495" t="s">
        <v>3725</v>
      </c>
      <c r="E2044" s="89">
        <v>1190000</v>
      </c>
    </row>
    <row r="2045" spans="1:5" ht="15" customHeight="1" x14ac:dyDescent="0.2">
      <c r="A2045" s="686" t="e">
        <f t="shared" si="107"/>
        <v>#REF!</v>
      </c>
      <c r="B2045" s="490" t="s">
        <v>3701</v>
      </c>
      <c r="C2045" s="493"/>
      <c r="D2045" s="494" t="s">
        <v>3726</v>
      </c>
      <c r="E2045" s="89">
        <v>1305000</v>
      </c>
    </row>
    <row r="2046" spans="1:5" ht="27" customHeight="1" x14ac:dyDescent="0.2">
      <c r="A2046" s="686" t="e">
        <f t="shared" si="107"/>
        <v>#REF!</v>
      </c>
      <c r="B2046" s="490" t="s">
        <v>3701</v>
      </c>
      <c r="C2046" s="493"/>
      <c r="D2046" s="495" t="s">
        <v>3727</v>
      </c>
      <c r="E2046" s="89">
        <v>1325000</v>
      </c>
    </row>
    <row r="2047" spans="1:5" ht="25.15" customHeight="1" x14ac:dyDescent="0.2">
      <c r="A2047" s="686" t="e">
        <f t="shared" si="107"/>
        <v>#REF!</v>
      </c>
      <c r="B2047" s="490" t="s">
        <v>3701</v>
      </c>
      <c r="C2047" s="493"/>
      <c r="D2047" s="495" t="s">
        <v>3728</v>
      </c>
      <c r="E2047" s="89">
        <v>1380000</v>
      </c>
    </row>
    <row r="2048" spans="1:5" ht="15" customHeight="1" x14ac:dyDescent="0.2">
      <c r="A2048" s="686" t="e">
        <f t="shared" si="107"/>
        <v>#REF!</v>
      </c>
      <c r="B2048" s="490" t="s">
        <v>3701</v>
      </c>
      <c r="C2048" s="493"/>
      <c r="D2048" s="494" t="s">
        <v>3729</v>
      </c>
      <c r="E2048" s="89">
        <v>1420000</v>
      </c>
    </row>
    <row r="2049" spans="1:5" ht="15" customHeight="1" x14ac:dyDescent="0.2">
      <c r="A2049" s="686" t="e">
        <f t="shared" si="107"/>
        <v>#REF!</v>
      </c>
      <c r="B2049" s="490" t="s">
        <v>3701</v>
      </c>
      <c r="C2049" s="493"/>
      <c r="D2049" s="494" t="s">
        <v>3730</v>
      </c>
      <c r="E2049" s="89">
        <v>1505000</v>
      </c>
    </row>
    <row r="2050" spans="1:5" ht="15" customHeight="1" x14ac:dyDescent="0.2">
      <c r="A2050" s="686" t="e">
        <f t="shared" si="107"/>
        <v>#REF!</v>
      </c>
      <c r="B2050" s="490" t="s">
        <v>3701</v>
      </c>
      <c r="C2050" s="503"/>
      <c r="D2050" s="494" t="s">
        <v>3731</v>
      </c>
      <c r="E2050" s="89">
        <v>1580000</v>
      </c>
    </row>
    <row r="2051" spans="1:5" ht="15" customHeight="1" x14ac:dyDescent="0.2">
      <c r="A2051" s="686" t="e">
        <f t="shared" si="107"/>
        <v>#REF!</v>
      </c>
      <c r="B2051" s="490" t="s">
        <v>3701</v>
      </c>
      <c r="C2051" s="497" t="s">
        <v>3711</v>
      </c>
      <c r="D2051" s="498" t="s">
        <v>3732</v>
      </c>
      <c r="E2051" s="89">
        <v>790000</v>
      </c>
    </row>
    <row r="2052" spans="1:5" ht="15" customHeight="1" x14ac:dyDescent="0.2">
      <c r="A2052" s="686" t="e">
        <f t="shared" si="107"/>
        <v>#REF!</v>
      </c>
      <c r="B2052" s="490" t="s">
        <v>3701</v>
      </c>
      <c r="C2052" s="493"/>
      <c r="D2052" s="499" t="s">
        <v>3733</v>
      </c>
      <c r="E2052" s="89">
        <v>1200000</v>
      </c>
    </row>
    <row r="2053" spans="1:5" ht="15" customHeight="1" x14ac:dyDescent="0.2">
      <c r="A2053" s="686" t="e">
        <f t="shared" si="107"/>
        <v>#REF!</v>
      </c>
      <c r="B2053" s="490" t="s">
        <v>3701</v>
      </c>
      <c r="C2053" s="493"/>
      <c r="D2053" s="499" t="s">
        <v>3734</v>
      </c>
      <c r="E2053" s="89">
        <v>1050000</v>
      </c>
    </row>
    <row r="2054" spans="1:5" ht="15" customHeight="1" x14ac:dyDescent="0.2">
      <c r="A2054" s="686" t="e">
        <f t="shared" si="107"/>
        <v>#REF!</v>
      </c>
      <c r="B2054" s="490" t="s">
        <v>3701</v>
      </c>
      <c r="C2054" s="500"/>
      <c r="D2054" s="504" t="s">
        <v>3735</v>
      </c>
      <c r="E2054" s="89">
        <v>900000</v>
      </c>
    </row>
    <row r="2055" spans="1:5" ht="15" customHeight="1" x14ac:dyDescent="0.2">
      <c r="A2055" s="686" t="e">
        <f t="shared" si="107"/>
        <v>#REF!</v>
      </c>
      <c r="B2055" s="490" t="s">
        <v>3736</v>
      </c>
      <c r="C2055" s="493">
        <v>540</v>
      </c>
      <c r="D2055" s="502" t="s">
        <v>3737</v>
      </c>
      <c r="E2055" s="89">
        <v>2050000</v>
      </c>
    </row>
    <row r="2056" spans="1:5" ht="15" customHeight="1" x14ac:dyDescent="0.2">
      <c r="A2056" s="686" t="e">
        <f t="shared" si="107"/>
        <v>#REF!</v>
      </c>
      <c r="B2056" s="490" t="s">
        <v>3736</v>
      </c>
      <c r="C2056" s="493"/>
      <c r="D2056" s="494" t="s">
        <v>3738</v>
      </c>
      <c r="E2056" s="89">
        <v>2100000</v>
      </c>
    </row>
    <row r="2057" spans="1:5" ht="15" customHeight="1" x14ac:dyDescent="0.2">
      <c r="A2057" s="686" t="e">
        <f t="shared" si="107"/>
        <v>#REF!</v>
      </c>
      <c r="B2057" s="490" t="s">
        <v>3736</v>
      </c>
      <c r="C2057" s="493"/>
      <c r="D2057" s="494" t="s">
        <v>3739</v>
      </c>
      <c r="E2057" s="89">
        <v>2125000</v>
      </c>
    </row>
    <row r="2058" spans="1:5" ht="15" customHeight="1" x14ac:dyDescent="0.2">
      <c r="A2058" s="686" t="e">
        <f t="shared" si="107"/>
        <v>#REF!</v>
      </c>
      <c r="B2058" s="490" t="s">
        <v>3736</v>
      </c>
      <c r="C2058" s="493"/>
      <c r="D2058" s="494" t="s">
        <v>3740</v>
      </c>
      <c r="E2058" s="89">
        <v>2300000</v>
      </c>
    </row>
    <row r="2059" spans="1:5" ht="15" customHeight="1" x14ac:dyDescent="0.2">
      <c r="A2059" s="686" t="e">
        <f t="shared" si="107"/>
        <v>#REF!</v>
      </c>
      <c r="B2059" s="490" t="s">
        <v>3736</v>
      </c>
      <c r="C2059" s="493"/>
      <c r="D2059" s="494" t="s">
        <v>3741</v>
      </c>
      <c r="E2059" s="89">
        <v>2400000</v>
      </c>
    </row>
    <row r="2060" spans="1:5" ht="15" customHeight="1" x14ac:dyDescent="0.2">
      <c r="A2060" s="686" t="e">
        <f t="shared" si="107"/>
        <v>#REF!</v>
      </c>
      <c r="B2060" s="490" t="s">
        <v>3736</v>
      </c>
      <c r="C2060" s="493"/>
      <c r="D2060" s="494" t="s">
        <v>3742</v>
      </c>
      <c r="E2060" s="89">
        <v>2450000</v>
      </c>
    </row>
    <row r="2061" spans="1:5" ht="15" customHeight="1" x14ac:dyDescent="0.2">
      <c r="A2061" s="686" t="e">
        <f t="shared" si="107"/>
        <v>#REF!</v>
      </c>
      <c r="B2061" s="490" t="s">
        <v>3736</v>
      </c>
      <c r="C2061" s="493"/>
      <c r="D2061" s="496" t="s">
        <v>3743</v>
      </c>
      <c r="E2061" s="89">
        <v>2550000</v>
      </c>
    </row>
    <row r="2062" spans="1:5" ht="15" customHeight="1" x14ac:dyDescent="0.2">
      <c r="A2062" s="686" t="e">
        <f t="shared" si="107"/>
        <v>#REF!</v>
      </c>
      <c r="B2062" s="490" t="s">
        <v>3736</v>
      </c>
      <c r="C2062" s="491">
        <v>700</v>
      </c>
      <c r="D2062" s="492" t="s">
        <v>3744</v>
      </c>
      <c r="E2062" s="89">
        <v>2650000</v>
      </c>
    </row>
    <row r="2063" spans="1:5" ht="15" customHeight="1" x14ac:dyDescent="0.2">
      <c r="A2063" s="686" t="e">
        <f t="shared" si="107"/>
        <v>#REF!</v>
      </c>
      <c r="B2063" s="490" t="s">
        <v>3736</v>
      </c>
      <c r="C2063" s="500"/>
      <c r="D2063" s="501" t="s">
        <v>3745</v>
      </c>
      <c r="E2063" s="89">
        <v>3100000</v>
      </c>
    </row>
    <row r="2064" spans="1:5" ht="15" customHeight="1" x14ac:dyDescent="0.2">
      <c r="A2064" s="687" t="e">
        <f t="shared" si="107"/>
        <v>#REF!</v>
      </c>
      <c r="B2064" s="505" t="s">
        <v>3746</v>
      </c>
      <c r="C2064" s="506">
        <v>225</v>
      </c>
      <c r="D2064" s="507" t="s">
        <v>3747</v>
      </c>
      <c r="E2064" s="89">
        <v>760000</v>
      </c>
    </row>
    <row r="2065" spans="1:5" ht="15" customHeight="1" x14ac:dyDescent="0.2">
      <c r="A2065" s="699" t="s">
        <v>3748</v>
      </c>
      <c r="B2065" s="508" t="s">
        <v>2399</v>
      </c>
      <c r="C2065" s="455">
        <v>200</v>
      </c>
      <c r="D2065" s="456" t="s">
        <v>2867</v>
      </c>
      <c r="E2065" s="89">
        <v>400000</v>
      </c>
    </row>
    <row r="2066" spans="1:5" ht="15" customHeight="1" x14ac:dyDescent="0.2">
      <c r="A2066" s="685" t="str">
        <f t="shared" ref="A2066:A2069" si="108">A2065</f>
        <v>컨택팩
(CTT)</v>
      </c>
      <c r="B2066" s="508" t="s">
        <v>2399</v>
      </c>
      <c r="C2066" s="91">
        <v>250</v>
      </c>
      <c r="D2066" s="98"/>
      <c r="E2066" s="89">
        <v>500000</v>
      </c>
    </row>
    <row r="2067" spans="1:5" ht="15" customHeight="1" x14ac:dyDescent="0.2">
      <c r="A2067" s="685" t="str">
        <f t="shared" si="108"/>
        <v>컨택팩
(CTT)</v>
      </c>
      <c r="B2067" s="508" t="s">
        <v>2399</v>
      </c>
      <c r="C2067" s="91">
        <v>300</v>
      </c>
      <c r="D2067" s="98"/>
      <c r="E2067" s="89">
        <v>595000</v>
      </c>
    </row>
    <row r="2068" spans="1:5" ht="15" customHeight="1" x14ac:dyDescent="0.2">
      <c r="A2068" s="685" t="str">
        <f t="shared" si="108"/>
        <v>컨택팩
(CTT)</v>
      </c>
      <c r="B2068" s="508" t="s">
        <v>2399</v>
      </c>
      <c r="C2068" s="91">
        <v>360</v>
      </c>
      <c r="D2068" s="98"/>
      <c r="E2068" s="89">
        <v>715000</v>
      </c>
    </row>
    <row r="2069" spans="1:5" ht="15" customHeight="1" x14ac:dyDescent="0.2">
      <c r="A2069" s="688" t="str">
        <f t="shared" si="108"/>
        <v>컨택팩
(CTT)</v>
      </c>
      <c r="B2069" s="508" t="s">
        <v>2399</v>
      </c>
      <c r="C2069" s="106">
        <v>450</v>
      </c>
      <c r="D2069" s="107"/>
      <c r="E2069" s="89">
        <v>1010000</v>
      </c>
    </row>
    <row r="2070" spans="1:5" ht="15" customHeight="1" x14ac:dyDescent="0.2">
      <c r="A2070" s="699" t="s">
        <v>3749</v>
      </c>
      <c r="B2070" s="457" t="s">
        <v>1857</v>
      </c>
      <c r="C2070" s="455">
        <v>120</v>
      </c>
      <c r="D2070" s="456" t="s">
        <v>1859</v>
      </c>
      <c r="E2070" s="89">
        <v>290000</v>
      </c>
    </row>
    <row r="2071" spans="1:5" ht="15" customHeight="1" x14ac:dyDescent="0.2">
      <c r="A2071" s="699" t="str">
        <f t="shared" ref="A2071:A2075" si="109">A2070</f>
        <v>켄도
(KD)</v>
      </c>
      <c r="B2071" s="457" t="s">
        <v>1857</v>
      </c>
      <c r="C2071" s="91">
        <v>150</v>
      </c>
      <c r="D2071" s="98"/>
      <c r="E2071" s="89">
        <v>361000</v>
      </c>
    </row>
    <row r="2072" spans="1:5" ht="15" customHeight="1" x14ac:dyDescent="0.2">
      <c r="A2072" s="699" t="str">
        <f t="shared" si="109"/>
        <v>켄도
(KD)</v>
      </c>
      <c r="B2072" s="457" t="s">
        <v>1857</v>
      </c>
      <c r="C2072" s="91">
        <v>200</v>
      </c>
      <c r="D2072" s="98"/>
      <c r="E2072" s="89">
        <v>482000</v>
      </c>
    </row>
    <row r="2073" spans="1:5" ht="15" customHeight="1" x14ac:dyDescent="0.2">
      <c r="A2073" s="699" t="str">
        <f t="shared" si="109"/>
        <v>켄도
(KD)</v>
      </c>
      <c r="B2073" s="457" t="s">
        <v>1857</v>
      </c>
      <c r="C2073" s="91">
        <v>250</v>
      </c>
      <c r="D2073" s="98"/>
      <c r="E2073" s="89">
        <v>605000</v>
      </c>
    </row>
    <row r="2074" spans="1:5" ht="15" customHeight="1" x14ac:dyDescent="0.2">
      <c r="A2074" s="699" t="str">
        <f t="shared" si="109"/>
        <v>켄도
(KD)</v>
      </c>
      <c r="B2074" s="457" t="s">
        <v>1857</v>
      </c>
      <c r="C2074" s="91">
        <v>300</v>
      </c>
      <c r="D2074" s="98"/>
      <c r="E2074" s="89">
        <v>725000</v>
      </c>
    </row>
    <row r="2075" spans="1:5" ht="15" customHeight="1" x14ac:dyDescent="0.2">
      <c r="A2075" s="673" t="str">
        <f t="shared" si="109"/>
        <v>켄도
(KD)</v>
      </c>
      <c r="B2075" s="457" t="s">
        <v>1857</v>
      </c>
      <c r="C2075" s="111">
        <v>370</v>
      </c>
      <c r="D2075" s="112"/>
      <c r="E2075" s="89">
        <v>890000</v>
      </c>
    </row>
    <row r="2076" spans="1:5" ht="15" customHeight="1" x14ac:dyDescent="0.2">
      <c r="A2076" s="699" t="s">
        <v>3750</v>
      </c>
      <c r="B2076" s="457" t="s">
        <v>2399</v>
      </c>
      <c r="C2076" s="455">
        <v>90</v>
      </c>
      <c r="D2076" s="456" t="s">
        <v>3751</v>
      </c>
      <c r="E2076" s="89">
        <v>245000</v>
      </c>
    </row>
    <row r="2077" spans="1:5" ht="15" customHeight="1" x14ac:dyDescent="0.2">
      <c r="A2077" s="699" t="str">
        <f t="shared" ref="A2077:A2079" si="110">A2076</f>
        <v>카카오
(CACA)</v>
      </c>
      <c r="B2077" s="457" t="s">
        <v>2399</v>
      </c>
      <c r="C2077" s="91">
        <v>120</v>
      </c>
      <c r="D2077" s="98" t="s">
        <v>3752</v>
      </c>
      <c r="E2077" s="89">
        <v>345000</v>
      </c>
    </row>
    <row r="2078" spans="1:5" ht="15" customHeight="1" x14ac:dyDescent="0.2">
      <c r="A2078" s="699" t="str">
        <f t="shared" si="110"/>
        <v>카카오
(CACA)</v>
      </c>
      <c r="B2078" s="457" t="s">
        <v>2399</v>
      </c>
      <c r="C2078" s="91">
        <v>250</v>
      </c>
      <c r="D2078" s="98" t="s">
        <v>3753</v>
      </c>
      <c r="E2078" s="89">
        <v>715000</v>
      </c>
    </row>
    <row r="2079" spans="1:5" ht="15" customHeight="1" x14ac:dyDescent="0.2">
      <c r="A2079" s="699" t="str">
        <f t="shared" si="110"/>
        <v>카카오
(CACA)</v>
      </c>
      <c r="B2079" s="457" t="s">
        <v>2399</v>
      </c>
      <c r="C2079" s="106">
        <v>350</v>
      </c>
      <c r="D2079" s="98" t="s">
        <v>3754</v>
      </c>
      <c r="E2079" s="89">
        <v>1000000</v>
      </c>
    </row>
    <row r="2080" spans="1:5" ht="15" customHeight="1" x14ac:dyDescent="0.2">
      <c r="A2080" s="699" t="s">
        <v>3755</v>
      </c>
      <c r="B2080" s="508" t="s">
        <v>3756</v>
      </c>
      <c r="C2080" s="455">
        <v>100</v>
      </c>
      <c r="D2080" s="456" t="s">
        <v>3757</v>
      </c>
      <c r="E2080" s="89">
        <v>105000</v>
      </c>
    </row>
    <row r="2081" spans="1:5" ht="15" customHeight="1" x14ac:dyDescent="0.2">
      <c r="A2081" s="685" t="str">
        <f t="shared" ref="A2081:A2095" si="111">A2080</f>
        <v>콩코르 
레이드(CQL/CQ)*</v>
      </c>
      <c r="B2081" s="508" t="s">
        <v>3756</v>
      </c>
      <c r="C2081" s="91"/>
      <c r="D2081" s="98">
        <v>18</v>
      </c>
      <c r="E2081" s="89">
        <v>155000</v>
      </c>
    </row>
    <row r="2082" spans="1:5" ht="15" customHeight="1" x14ac:dyDescent="0.2">
      <c r="A2082" s="685" t="str">
        <f t="shared" si="111"/>
        <v>콩코르 
레이드(CQL/CQ)*</v>
      </c>
      <c r="B2082" s="508" t="s">
        <v>3756</v>
      </c>
      <c r="C2082" s="91"/>
      <c r="D2082" s="92" t="s">
        <v>3758</v>
      </c>
      <c r="E2082" s="89">
        <v>105000</v>
      </c>
    </row>
    <row r="2083" spans="1:5" ht="15" customHeight="1" x14ac:dyDescent="0.2">
      <c r="A2083" s="685" t="str">
        <f t="shared" si="111"/>
        <v>콩코르 
레이드(CQL/CQ)*</v>
      </c>
      <c r="B2083" s="159" t="s">
        <v>2667</v>
      </c>
      <c r="C2083" s="113">
        <v>100</v>
      </c>
      <c r="D2083" s="114" t="s">
        <v>3759</v>
      </c>
      <c r="E2083" s="89">
        <v>115000</v>
      </c>
    </row>
    <row r="2084" spans="1:5" ht="15" customHeight="1" x14ac:dyDescent="0.2">
      <c r="A2084" s="685" t="str">
        <f t="shared" si="111"/>
        <v>콩코르 
레이드(CQL/CQ)*</v>
      </c>
      <c r="B2084" s="137" t="s">
        <v>3760</v>
      </c>
      <c r="C2084" s="96">
        <v>100</v>
      </c>
      <c r="D2084" s="97" t="s">
        <v>3761</v>
      </c>
    </row>
    <row r="2085" spans="1:5" ht="15" customHeight="1" x14ac:dyDescent="0.2">
      <c r="A2085" s="685" t="str">
        <f t="shared" si="111"/>
        <v>콩코르 
레이드(CQL/CQ)*</v>
      </c>
      <c r="B2085" s="137" t="s">
        <v>1857</v>
      </c>
      <c r="C2085" s="96">
        <v>120</v>
      </c>
      <c r="D2085" s="109" t="s">
        <v>3762</v>
      </c>
      <c r="E2085" s="89">
        <v>425000</v>
      </c>
    </row>
    <row r="2086" spans="1:5" ht="15" customHeight="1" x14ac:dyDescent="0.2">
      <c r="A2086" s="685" t="str">
        <f t="shared" si="111"/>
        <v>콩코르 
레이드(CQL/CQ)*</v>
      </c>
      <c r="B2086" s="137" t="s">
        <v>2986</v>
      </c>
      <c r="C2086" s="96">
        <v>220</v>
      </c>
      <c r="D2086" s="109" t="s">
        <v>3763</v>
      </c>
      <c r="E2086" s="89">
        <v>1000000</v>
      </c>
    </row>
    <row r="2087" spans="1:5" ht="15" customHeight="1" x14ac:dyDescent="0.2">
      <c r="A2087" s="685" t="str">
        <f t="shared" si="111"/>
        <v>콩코르 
레이드(CQL/CQ)*</v>
      </c>
      <c r="B2087" s="137" t="s">
        <v>2986</v>
      </c>
      <c r="C2087" s="91"/>
      <c r="D2087" s="98" t="s">
        <v>3764</v>
      </c>
      <c r="E2087" s="89">
        <v>680000</v>
      </c>
    </row>
    <row r="2088" spans="1:5" ht="15" customHeight="1" x14ac:dyDescent="0.2">
      <c r="A2088" s="685" t="str">
        <f t="shared" si="111"/>
        <v>콩코르 
레이드(CQL/CQ)*</v>
      </c>
      <c r="B2088" s="137" t="s">
        <v>2986</v>
      </c>
      <c r="C2088" s="91"/>
      <c r="D2088" s="98" t="s">
        <v>1868</v>
      </c>
      <c r="E2088" s="89">
        <v>680000</v>
      </c>
    </row>
    <row r="2089" spans="1:5" ht="15" customHeight="1" x14ac:dyDescent="0.2">
      <c r="A2089" s="685" t="str">
        <f t="shared" si="111"/>
        <v>콩코르 
레이드(CQL/CQ)*</v>
      </c>
      <c r="B2089" s="137" t="s">
        <v>2986</v>
      </c>
      <c r="C2089" s="335"/>
      <c r="D2089" s="119" t="s">
        <v>3765</v>
      </c>
      <c r="E2089" s="89">
        <v>1000000</v>
      </c>
    </row>
    <row r="2090" spans="1:5" ht="15" customHeight="1" x14ac:dyDescent="0.2">
      <c r="A2090" s="685" t="str">
        <f t="shared" si="111"/>
        <v>콩코르 
레이드(CQL/CQ)*</v>
      </c>
      <c r="B2090" s="137" t="s">
        <v>1881</v>
      </c>
      <c r="C2090" s="96">
        <v>220</v>
      </c>
      <c r="D2090" s="109" t="s">
        <v>3766</v>
      </c>
      <c r="E2090" s="89">
        <v>650000</v>
      </c>
    </row>
    <row r="2091" spans="1:5" ht="15" customHeight="1" x14ac:dyDescent="0.2">
      <c r="A2091" s="685" t="str">
        <f t="shared" si="111"/>
        <v>콩코르 
레이드(CQL/CQ)*</v>
      </c>
      <c r="B2091" s="137" t="s">
        <v>1881</v>
      </c>
      <c r="C2091" s="99" t="s">
        <v>1868</v>
      </c>
      <c r="D2091" s="105" t="s">
        <v>3767</v>
      </c>
      <c r="E2091" s="89">
        <v>600000</v>
      </c>
    </row>
    <row r="2092" spans="1:5" ht="15" customHeight="1" x14ac:dyDescent="0.2">
      <c r="A2092" s="685" t="str">
        <f t="shared" si="111"/>
        <v>콩코르 
레이드(CQL/CQ)*</v>
      </c>
      <c r="B2092" s="118" t="s">
        <v>1887</v>
      </c>
      <c r="C2092" s="91">
        <v>300</v>
      </c>
      <c r="D2092" s="98" t="s">
        <v>3768</v>
      </c>
      <c r="E2092" s="89">
        <v>750000</v>
      </c>
    </row>
    <row r="2093" spans="1:5" ht="15" customHeight="1" x14ac:dyDescent="0.2">
      <c r="A2093" s="686" t="str">
        <f t="shared" si="111"/>
        <v>콩코르 
레이드(CQL/CQ)*</v>
      </c>
      <c r="B2093" s="118" t="s">
        <v>1887</v>
      </c>
      <c r="C2093" s="91" t="s">
        <v>1868</v>
      </c>
      <c r="D2093" s="98" t="s">
        <v>3769</v>
      </c>
      <c r="E2093" s="89">
        <v>850000</v>
      </c>
    </row>
    <row r="2094" spans="1:5" ht="15" customHeight="1" x14ac:dyDescent="0.2">
      <c r="A2094" s="686" t="str">
        <f t="shared" si="111"/>
        <v>콩코르 
레이드(CQL/CQ)*</v>
      </c>
      <c r="B2094" s="118" t="s">
        <v>1887</v>
      </c>
      <c r="C2094" s="91"/>
      <c r="D2094" s="98" t="s">
        <v>3770</v>
      </c>
      <c r="E2094" s="89">
        <v>875000</v>
      </c>
    </row>
    <row r="2095" spans="1:5" ht="15" customHeight="1" x14ac:dyDescent="0.2">
      <c r="A2095" s="687" t="str">
        <f t="shared" si="111"/>
        <v>콩코르 
레이드(CQL/CQ)*</v>
      </c>
      <c r="B2095" s="118" t="s">
        <v>1887</v>
      </c>
      <c r="C2095" s="111"/>
      <c r="D2095" s="112" t="s">
        <v>3771</v>
      </c>
      <c r="E2095" s="89">
        <v>900000</v>
      </c>
    </row>
    <row r="2096" spans="1:5" ht="15" customHeight="1" x14ac:dyDescent="0.2">
      <c r="A2096" s="706" t="s">
        <v>3772</v>
      </c>
      <c r="B2096" s="118" t="s">
        <v>3756</v>
      </c>
      <c r="C2096" s="91">
        <v>100</v>
      </c>
      <c r="D2096" s="98" t="s">
        <v>3773</v>
      </c>
      <c r="E2096" s="89">
        <v>105000</v>
      </c>
    </row>
    <row r="2097" spans="1:5" ht="15" customHeight="1" x14ac:dyDescent="0.2">
      <c r="A2097" s="706" t="str">
        <f t="shared" ref="A2097:A2106" si="112">A2096</f>
        <v>콩코르 
우브(CW)</v>
      </c>
      <c r="B2097" s="118" t="s">
        <v>3756</v>
      </c>
      <c r="C2097" s="91"/>
      <c r="D2097" s="98" t="s">
        <v>3774</v>
      </c>
      <c r="E2097" s="89">
        <v>160000</v>
      </c>
    </row>
    <row r="2098" spans="1:5" ht="15" customHeight="1" x14ac:dyDescent="0.2">
      <c r="A2098" s="706" t="str">
        <f t="shared" si="112"/>
        <v>콩코르 
우브(CW)</v>
      </c>
      <c r="B2098" s="159" t="s">
        <v>2667</v>
      </c>
      <c r="C2098" s="113">
        <v>100</v>
      </c>
      <c r="D2098" s="114" t="s">
        <v>3775</v>
      </c>
      <c r="E2098" s="89">
        <v>115000</v>
      </c>
    </row>
    <row r="2099" spans="1:5" ht="15" customHeight="1" x14ac:dyDescent="0.2">
      <c r="A2099" s="706" t="str">
        <f t="shared" si="112"/>
        <v>콩코르 
우브(CW)</v>
      </c>
      <c r="B2099" s="137" t="s">
        <v>2658</v>
      </c>
      <c r="C2099" s="96">
        <v>100</v>
      </c>
      <c r="D2099" s="109" t="s">
        <v>3776</v>
      </c>
    </row>
    <row r="2100" spans="1:5" ht="15" customHeight="1" x14ac:dyDescent="0.2">
      <c r="A2100" s="706" t="str">
        <f t="shared" si="112"/>
        <v>콩코르 
우브(CW)</v>
      </c>
      <c r="B2100" s="95" t="s">
        <v>1857</v>
      </c>
      <c r="C2100" s="96">
        <v>120</v>
      </c>
      <c r="D2100" s="109" t="s">
        <v>3777</v>
      </c>
      <c r="E2100" s="89">
        <v>340000</v>
      </c>
    </row>
    <row r="2101" spans="1:5" ht="15" customHeight="1" x14ac:dyDescent="0.2">
      <c r="A2101" s="706" t="str">
        <f t="shared" si="112"/>
        <v>콩코르 
우브(CW)</v>
      </c>
      <c r="B2101" s="95" t="s">
        <v>1857</v>
      </c>
      <c r="C2101" s="96">
        <v>120</v>
      </c>
      <c r="D2101" s="109" t="s">
        <v>1888</v>
      </c>
      <c r="E2101" s="89">
        <v>590000</v>
      </c>
    </row>
    <row r="2102" spans="1:5" ht="15" customHeight="1" x14ac:dyDescent="0.2">
      <c r="A2102" s="706" t="str">
        <f t="shared" si="112"/>
        <v>콩코르 
우브(CW)</v>
      </c>
      <c r="B2102" s="95" t="s">
        <v>1857</v>
      </c>
      <c r="C2102" s="91"/>
      <c r="D2102" s="98" t="s">
        <v>3778</v>
      </c>
      <c r="E2102" s="89">
        <v>390000</v>
      </c>
    </row>
    <row r="2103" spans="1:5" ht="15" customHeight="1" x14ac:dyDescent="0.2">
      <c r="A2103" s="706" t="str">
        <f t="shared" si="112"/>
        <v>콩코르 
우브(CW)</v>
      </c>
      <c r="B2103" s="95" t="s">
        <v>1857</v>
      </c>
      <c r="C2103" s="96">
        <v>220</v>
      </c>
      <c r="D2103" s="109" t="s">
        <v>2719</v>
      </c>
      <c r="E2103" s="89">
        <v>800000</v>
      </c>
    </row>
    <row r="2104" spans="1:5" ht="15" customHeight="1" x14ac:dyDescent="0.2">
      <c r="A2104" s="706" t="str">
        <f t="shared" si="112"/>
        <v>콩코르 
우브(CW)</v>
      </c>
      <c r="B2104" s="95" t="s">
        <v>1857</v>
      </c>
      <c r="C2104" s="91"/>
      <c r="D2104" s="98" t="s">
        <v>2653</v>
      </c>
      <c r="E2104" s="89">
        <v>650000</v>
      </c>
    </row>
    <row r="2105" spans="1:5" ht="15" customHeight="1" x14ac:dyDescent="0.2">
      <c r="A2105" s="706" t="str">
        <f t="shared" si="112"/>
        <v>콩코르 
우브(CW)</v>
      </c>
      <c r="B2105" s="95" t="s">
        <v>1857</v>
      </c>
      <c r="C2105" s="91"/>
      <c r="D2105" s="98" t="s">
        <v>3779</v>
      </c>
      <c r="E2105" s="89">
        <v>975000</v>
      </c>
    </row>
    <row r="2106" spans="1:5" ht="15" customHeight="1" x14ac:dyDescent="0.2">
      <c r="A2106" s="706" t="str">
        <f t="shared" si="112"/>
        <v>콩코르 
우브(CW)</v>
      </c>
      <c r="B2106" s="403" t="s">
        <v>1881</v>
      </c>
      <c r="C2106" s="404">
        <v>220</v>
      </c>
      <c r="D2106" s="177" t="s">
        <v>3780</v>
      </c>
      <c r="E2106" s="89">
        <v>530000</v>
      </c>
    </row>
    <row r="2107" spans="1:5" ht="15" customHeight="1" x14ac:dyDescent="0.2">
      <c r="A2107" s="706" t="s">
        <v>3781</v>
      </c>
      <c r="B2107" s="508" t="s">
        <v>3756</v>
      </c>
      <c r="C2107" s="455">
        <v>100</v>
      </c>
      <c r="D2107" s="509" t="s">
        <v>3765</v>
      </c>
      <c r="E2107" s="89">
        <v>170000</v>
      </c>
    </row>
    <row r="2108" spans="1:5" ht="15" customHeight="1" x14ac:dyDescent="0.2">
      <c r="A2108" s="706" t="str">
        <f t="shared" ref="A2108:A2119" si="113">A2107</f>
        <v>콩코르
CX22(CQX)</v>
      </c>
      <c r="B2108" s="508" t="s">
        <v>3756</v>
      </c>
      <c r="C2108" s="91"/>
      <c r="D2108" s="119" t="s">
        <v>3782</v>
      </c>
      <c r="E2108" s="89">
        <v>140000</v>
      </c>
    </row>
    <row r="2109" spans="1:5" ht="15" customHeight="1" x14ac:dyDescent="0.2">
      <c r="A2109" s="706" t="str">
        <f t="shared" si="113"/>
        <v>콩코르
CX22(CQX)</v>
      </c>
      <c r="B2109" s="508" t="s">
        <v>3756</v>
      </c>
      <c r="C2109" s="91"/>
      <c r="D2109" s="119" t="s">
        <v>3783</v>
      </c>
      <c r="E2109" s="89">
        <v>95000</v>
      </c>
    </row>
    <row r="2110" spans="1:5" ht="15" customHeight="1" x14ac:dyDescent="0.2">
      <c r="A2110" s="706" t="str">
        <f t="shared" si="113"/>
        <v>콩코르
CX22(CQX)</v>
      </c>
      <c r="B2110" s="508" t="s">
        <v>3756</v>
      </c>
      <c r="C2110" s="91"/>
      <c r="D2110" s="98" t="s">
        <v>3784</v>
      </c>
      <c r="E2110" s="89">
        <v>110000</v>
      </c>
    </row>
    <row r="2111" spans="1:5" ht="15" customHeight="1" x14ac:dyDescent="0.2">
      <c r="A2111" s="706" t="str">
        <f t="shared" si="113"/>
        <v>콩코르
CX22(CQX)</v>
      </c>
      <c r="B2111" s="159" t="s">
        <v>2667</v>
      </c>
      <c r="C2111" s="113">
        <v>100</v>
      </c>
      <c r="D2111" s="114" t="s">
        <v>3785</v>
      </c>
      <c r="E2111" s="89">
        <v>125000</v>
      </c>
    </row>
    <row r="2112" spans="1:5" ht="15" customHeight="1" x14ac:dyDescent="0.2">
      <c r="A2112" s="706" t="str">
        <f t="shared" si="113"/>
        <v>콩코르
CX22(CQX)</v>
      </c>
      <c r="B2112" s="159" t="s">
        <v>2658</v>
      </c>
      <c r="C2112" s="113">
        <v>100</v>
      </c>
      <c r="D2112" s="109" t="s">
        <v>3776</v>
      </c>
    </row>
    <row r="2113" spans="1:5" ht="15" customHeight="1" x14ac:dyDescent="0.2">
      <c r="A2113" s="706" t="str">
        <f t="shared" si="113"/>
        <v>콩코르
CX22(CQX)</v>
      </c>
      <c r="B2113" s="95" t="s">
        <v>1857</v>
      </c>
      <c r="C2113" s="96">
        <v>120</v>
      </c>
      <c r="D2113" s="109" t="s">
        <v>3777</v>
      </c>
      <c r="E2113" s="89">
        <v>420000</v>
      </c>
    </row>
    <row r="2114" spans="1:5" ht="15" customHeight="1" x14ac:dyDescent="0.2">
      <c r="A2114" s="706" t="str">
        <f t="shared" si="113"/>
        <v>콩코르
CX22(CQX)</v>
      </c>
      <c r="B2114" s="95" t="s">
        <v>1857</v>
      </c>
      <c r="C2114" s="91"/>
      <c r="D2114" s="98" t="s">
        <v>3534</v>
      </c>
      <c r="E2114" s="89">
        <v>645000</v>
      </c>
    </row>
    <row r="2115" spans="1:5" ht="15" customHeight="1" x14ac:dyDescent="0.2">
      <c r="A2115" s="706" t="str">
        <f t="shared" si="113"/>
        <v>콩코르
CX22(CQX)</v>
      </c>
      <c r="B2115" s="95" t="s">
        <v>1857</v>
      </c>
      <c r="C2115" s="91"/>
      <c r="D2115" s="98" t="s">
        <v>3786</v>
      </c>
      <c r="E2115" s="89">
        <v>405000</v>
      </c>
    </row>
    <row r="2116" spans="1:5" ht="15" customHeight="1" x14ac:dyDescent="0.2">
      <c r="A2116" s="706" t="str">
        <f t="shared" si="113"/>
        <v>콩코르
CX22(CQX)</v>
      </c>
      <c r="B2116" s="95" t="s">
        <v>1857</v>
      </c>
      <c r="C2116" s="96">
        <v>250</v>
      </c>
      <c r="D2116" s="109" t="s">
        <v>2653</v>
      </c>
      <c r="E2116" s="89">
        <v>900000</v>
      </c>
    </row>
    <row r="2117" spans="1:5" ht="15" customHeight="1" x14ac:dyDescent="0.2">
      <c r="A2117" s="706" t="str">
        <f t="shared" si="113"/>
        <v>콩코르
CX22(CQX)</v>
      </c>
      <c r="B2117" s="95" t="s">
        <v>1857</v>
      </c>
      <c r="C2117" s="91"/>
      <c r="D2117" s="98" t="s">
        <v>3787</v>
      </c>
      <c r="E2117" s="89">
        <v>910000</v>
      </c>
    </row>
    <row r="2118" spans="1:5" ht="15" customHeight="1" x14ac:dyDescent="0.2">
      <c r="A2118" s="706" t="str">
        <f t="shared" si="113"/>
        <v>콩코르
CX22(CQX)</v>
      </c>
      <c r="B2118" s="95" t="s">
        <v>1857</v>
      </c>
      <c r="C2118" s="99"/>
      <c r="D2118" s="105" t="s">
        <v>2780</v>
      </c>
      <c r="E2118" s="89">
        <v>1330000</v>
      </c>
    </row>
    <row r="2119" spans="1:5" ht="15" customHeight="1" x14ac:dyDescent="0.2">
      <c r="A2119" s="706" t="str">
        <f t="shared" si="113"/>
        <v>콩코르
CX22(CQX)</v>
      </c>
      <c r="B2119" s="101" t="s">
        <v>1881</v>
      </c>
      <c r="C2119" s="106">
        <v>250</v>
      </c>
      <c r="D2119" s="107" t="s">
        <v>3788</v>
      </c>
      <c r="E2119" s="89">
        <v>650000</v>
      </c>
    </row>
    <row r="2120" spans="1:5" ht="15" customHeight="1" x14ac:dyDescent="0.2">
      <c r="A2120" s="699" t="s">
        <v>3789</v>
      </c>
      <c r="B2120" s="508" t="s">
        <v>3790</v>
      </c>
      <c r="C2120" s="455">
        <v>100</v>
      </c>
      <c r="D2120" s="510" t="s">
        <v>3791</v>
      </c>
      <c r="E2120" s="89">
        <v>160000</v>
      </c>
    </row>
    <row r="2121" spans="1:5" ht="15" customHeight="1" x14ac:dyDescent="0.2">
      <c r="A2121" s="685" t="str">
        <f t="shared" ref="A2121:A2130" si="114">A2120</f>
        <v>콩코르
컨셉 이리데슨트
(CON)</v>
      </c>
      <c r="B2121" s="508" t="s">
        <v>3790</v>
      </c>
      <c r="C2121" s="91"/>
      <c r="D2121" s="222" t="s">
        <v>3792</v>
      </c>
      <c r="E2121" s="89">
        <v>130000</v>
      </c>
    </row>
    <row r="2122" spans="1:5" ht="15" customHeight="1" x14ac:dyDescent="0.2">
      <c r="A2122" s="685" t="str">
        <f t="shared" si="114"/>
        <v>콩코르
컨셉 이리데슨트
(CON)</v>
      </c>
      <c r="B2122" s="137" t="s">
        <v>3793</v>
      </c>
      <c r="C2122" s="96">
        <v>100</v>
      </c>
      <c r="D2122" s="97" t="s">
        <v>3776</v>
      </c>
    </row>
    <row r="2123" spans="1:5" ht="15" customHeight="1" x14ac:dyDescent="0.2">
      <c r="A2123" s="685" t="str">
        <f t="shared" si="114"/>
        <v>콩코르
컨셉 이리데슨트
(CON)</v>
      </c>
      <c r="B2123" s="95" t="s">
        <v>1857</v>
      </c>
      <c r="C2123" s="96">
        <v>120</v>
      </c>
      <c r="D2123" s="221" t="s">
        <v>3794</v>
      </c>
      <c r="E2123" s="89">
        <v>695000</v>
      </c>
    </row>
    <row r="2124" spans="1:5" ht="15" customHeight="1" x14ac:dyDescent="0.2">
      <c r="A2124" s="685" t="str">
        <f t="shared" si="114"/>
        <v>콩코르
컨셉 이리데슨트
(CON)</v>
      </c>
      <c r="B2124" s="95" t="s">
        <v>1857</v>
      </c>
      <c r="C2124" s="91" t="s">
        <v>1868</v>
      </c>
      <c r="D2124" s="227" t="s">
        <v>3795</v>
      </c>
      <c r="E2124" s="89">
        <v>465000</v>
      </c>
    </row>
    <row r="2125" spans="1:5" ht="15" customHeight="1" x14ac:dyDescent="0.2">
      <c r="A2125" s="685" t="str">
        <f t="shared" si="114"/>
        <v>콩코르
컨셉 이리데슨트
(CON)</v>
      </c>
      <c r="B2125" s="95" t="s">
        <v>1857</v>
      </c>
      <c r="C2125" s="96">
        <v>160</v>
      </c>
      <c r="D2125" s="228" t="s">
        <v>3796</v>
      </c>
      <c r="E2125" s="89">
        <v>650000</v>
      </c>
    </row>
    <row r="2126" spans="1:5" ht="15" customHeight="1" x14ac:dyDescent="0.2">
      <c r="A2126" s="685" t="str">
        <f t="shared" si="114"/>
        <v>콩코르
컨셉 이리데슨트
(CON)</v>
      </c>
      <c r="B2126" s="95" t="s">
        <v>1857</v>
      </c>
      <c r="C2126" s="99" t="s">
        <v>1868</v>
      </c>
      <c r="D2126" s="222" t="s">
        <v>3771</v>
      </c>
      <c r="E2126" s="89">
        <v>615000</v>
      </c>
    </row>
    <row r="2127" spans="1:5" ht="15" customHeight="1" x14ac:dyDescent="0.2">
      <c r="A2127" s="685" t="str">
        <f t="shared" si="114"/>
        <v>콩코르
컨셉 이리데슨트
(CON)</v>
      </c>
      <c r="B2127" s="95" t="s">
        <v>1857</v>
      </c>
      <c r="C2127" s="91">
        <v>250</v>
      </c>
      <c r="D2127" s="247" t="s">
        <v>3797</v>
      </c>
      <c r="E2127" s="89">
        <v>1450000</v>
      </c>
    </row>
    <row r="2128" spans="1:5" ht="15" customHeight="1" x14ac:dyDescent="0.2">
      <c r="A2128" s="685" t="str">
        <f t="shared" si="114"/>
        <v>콩코르
컨셉 이리데슨트
(CON)</v>
      </c>
      <c r="B2128" s="95" t="s">
        <v>1857</v>
      </c>
      <c r="C2128" s="99" t="s">
        <v>1868</v>
      </c>
      <c r="D2128" s="222" t="s">
        <v>3798</v>
      </c>
      <c r="E2128" s="89">
        <v>965000</v>
      </c>
    </row>
    <row r="2129" spans="1:5" ht="15" customHeight="1" x14ac:dyDescent="0.2">
      <c r="A2129" s="685" t="str">
        <f t="shared" si="114"/>
        <v>콩코르
컨셉 이리데슨트
(CON)</v>
      </c>
      <c r="B2129" s="90" t="s">
        <v>2631</v>
      </c>
      <c r="C2129" s="91">
        <v>250</v>
      </c>
      <c r="D2129" s="93" t="s">
        <v>3799</v>
      </c>
      <c r="E2129" s="89">
        <v>1010000</v>
      </c>
    </row>
    <row r="2130" spans="1:5" ht="15" customHeight="1" x14ac:dyDescent="0.2">
      <c r="A2130" s="678" t="str">
        <f t="shared" si="114"/>
        <v>콩코르
컨셉 이리데슨트
(CON)</v>
      </c>
      <c r="B2130" s="200" t="s">
        <v>3800</v>
      </c>
      <c r="C2130" s="201">
        <v>250</v>
      </c>
      <c r="D2130" s="238" t="s">
        <v>3801</v>
      </c>
      <c r="E2130" s="89">
        <v>750000</v>
      </c>
    </row>
    <row r="2131" spans="1:5" ht="15" customHeight="1" x14ac:dyDescent="0.2">
      <c r="A2131" s="700" t="s">
        <v>3802</v>
      </c>
      <c r="B2131" s="118" t="s">
        <v>1879</v>
      </c>
      <c r="C2131" s="91">
        <v>120</v>
      </c>
      <c r="D2131" s="482" t="s">
        <v>3803</v>
      </c>
      <c r="E2131" s="89">
        <v>680000</v>
      </c>
    </row>
    <row r="2132" spans="1:5" ht="15" customHeight="1" x14ac:dyDescent="0.2">
      <c r="A2132" s="685" t="str">
        <f t="shared" ref="A2132:A2195" si="115">A2131</f>
        <v>큐리어스 메탈릭 메탈
(KCM)</v>
      </c>
      <c r="B2132" s="118" t="s">
        <v>1879</v>
      </c>
      <c r="C2132" s="91"/>
      <c r="D2132" s="511" t="s">
        <v>3523</v>
      </c>
      <c r="E2132" s="89">
        <v>500000</v>
      </c>
    </row>
    <row r="2133" spans="1:5" ht="15" customHeight="1" x14ac:dyDescent="0.2">
      <c r="A2133" s="685" t="str">
        <f t="shared" si="115"/>
        <v>큐리어스 메탈릭 메탈
(KCM)</v>
      </c>
      <c r="B2133" s="118" t="s">
        <v>1879</v>
      </c>
      <c r="C2133" s="91"/>
      <c r="D2133" s="511" t="s">
        <v>3804</v>
      </c>
      <c r="E2133" s="89">
        <v>675000</v>
      </c>
    </row>
    <row r="2134" spans="1:5" ht="15" customHeight="1" x14ac:dyDescent="0.2">
      <c r="A2134" s="685" t="str">
        <f t="shared" si="115"/>
        <v>큐리어스 메탈릭 메탈
(KCM)</v>
      </c>
      <c r="B2134" s="118" t="s">
        <v>1879</v>
      </c>
      <c r="C2134" s="91"/>
      <c r="D2134" s="482" t="s">
        <v>3805</v>
      </c>
      <c r="E2134" s="89">
        <v>710000</v>
      </c>
    </row>
    <row r="2135" spans="1:5" ht="15" customHeight="1" x14ac:dyDescent="0.2">
      <c r="A2135" s="685" t="str">
        <f t="shared" si="115"/>
        <v>큐리어스 메탈릭 메탈
(KCM)</v>
      </c>
      <c r="B2135" s="118" t="s">
        <v>1879</v>
      </c>
      <c r="C2135" s="91"/>
      <c r="D2135" s="511" t="s">
        <v>3795</v>
      </c>
      <c r="E2135" s="89">
        <v>645000</v>
      </c>
    </row>
    <row r="2136" spans="1:5" ht="15" customHeight="1" x14ac:dyDescent="0.2">
      <c r="A2136" s="685" t="str">
        <f t="shared" si="115"/>
        <v>큐리어스 메탈릭 메탈
(KCM)</v>
      </c>
      <c r="B2136" s="118" t="s">
        <v>1879</v>
      </c>
      <c r="C2136" s="91"/>
      <c r="D2136" s="482" t="s">
        <v>3806</v>
      </c>
      <c r="E2136" s="89">
        <v>680000</v>
      </c>
    </row>
    <row r="2137" spans="1:5" ht="15" customHeight="1" x14ac:dyDescent="0.2">
      <c r="A2137" s="685" t="str">
        <f t="shared" si="115"/>
        <v>큐리어스 메탈릭 메탈
(KCM)</v>
      </c>
      <c r="B2137" s="118" t="s">
        <v>1879</v>
      </c>
      <c r="C2137" s="91"/>
      <c r="D2137" s="511" t="s">
        <v>3807</v>
      </c>
      <c r="E2137" s="89">
        <v>830000</v>
      </c>
    </row>
    <row r="2138" spans="1:5" ht="15" customHeight="1" x14ac:dyDescent="0.2">
      <c r="A2138" s="685" t="str">
        <f t="shared" si="115"/>
        <v>큐리어스 메탈릭 메탈
(KCM)</v>
      </c>
      <c r="B2138" s="118" t="s">
        <v>1879</v>
      </c>
      <c r="C2138" s="91"/>
      <c r="D2138" s="482" t="s">
        <v>3808</v>
      </c>
      <c r="E2138" s="89">
        <v>870000</v>
      </c>
    </row>
    <row r="2139" spans="1:5" ht="15" customHeight="1" x14ac:dyDescent="0.2">
      <c r="A2139" s="685" t="str">
        <f t="shared" si="115"/>
        <v>큐리어스 메탈릭 메탈
(KCM)</v>
      </c>
      <c r="B2139" s="118" t="s">
        <v>1879</v>
      </c>
      <c r="C2139" s="91"/>
      <c r="D2139" s="511" t="s">
        <v>3809</v>
      </c>
      <c r="E2139" s="89">
        <v>600000</v>
      </c>
    </row>
    <row r="2140" spans="1:5" ht="15" customHeight="1" x14ac:dyDescent="0.2">
      <c r="A2140" s="685" t="str">
        <f t="shared" si="115"/>
        <v>큐리어스 메탈릭 메탈
(KCM)</v>
      </c>
      <c r="B2140" s="118" t="s">
        <v>1879</v>
      </c>
      <c r="C2140" s="91"/>
      <c r="D2140" s="511" t="s">
        <v>3810</v>
      </c>
      <c r="E2140" s="89">
        <v>645000</v>
      </c>
    </row>
    <row r="2141" spans="1:5" ht="15" customHeight="1" x14ac:dyDescent="0.2">
      <c r="A2141" s="685" t="str">
        <f t="shared" si="115"/>
        <v>큐리어스 메탈릭 메탈
(KCM)</v>
      </c>
      <c r="B2141" s="118" t="s">
        <v>1879</v>
      </c>
      <c r="C2141" s="91"/>
      <c r="D2141" s="511" t="s">
        <v>3811</v>
      </c>
      <c r="E2141" s="89">
        <v>765000</v>
      </c>
    </row>
    <row r="2142" spans="1:5" ht="15" customHeight="1" x14ac:dyDescent="0.2">
      <c r="A2142" s="685" t="str">
        <f t="shared" si="115"/>
        <v>큐리어스 메탈릭 메탈
(KCM)</v>
      </c>
      <c r="B2142" s="118" t="s">
        <v>1879</v>
      </c>
      <c r="C2142" s="91"/>
      <c r="D2142" s="482" t="s">
        <v>3812</v>
      </c>
      <c r="E2142" s="89">
        <v>805000</v>
      </c>
    </row>
    <row r="2143" spans="1:5" ht="15" customHeight="1" x14ac:dyDescent="0.2">
      <c r="A2143" s="685" t="str">
        <f t="shared" si="115"/>
        <v>큐리어스 메탈릭 메탈
(KCM)</v>
      </c>
      <c r="B2143" s="118" t="s">
        <v>1879</v>
      </c>
      <c r="C2143" s="91"/>
      <c r="D2143" s="482" t="s">
        <v>3813</v>
      </c>
      <c r="E2143" s="89">
        <v>805000</v>
      </c>
    </row>
    <row r="2144" spans="1:5" ht="15" customHeight="1" x14ac:dyDescent="0.2">
      <c r="A2144" s="685" t="str">
        <f t="shared" si="115"/>
        <v>큐리어스 메탈릭 메탈
(KCM)</v>
      </c>
      <c r="B2144" s="118" t="s">
        <v>1879</v>
      </c>
      <c r="C2144" s="91"/>
      <c r="D2144" s="511" t="s">
        <v>3814</v>
      </c>
      <c r="E2144" s="89">
        <v>730000</v>
      </c>
    </row>
    <row r="2145" spans="1:5" ht="15" customHeight="1" x14ac:dyDescent="0.2">
      <c r="A2145" s="685" t="str">
        <f t="shared" si="115"/>
        <v>큐리어스 메탈릭 메탈
(KCM)</v>
      </c>
      <c r="B2145" s="118" t="s">
        <v>1879</v>
      </c>
      <c r="C2145" s="91"/>
      <c r="D2145" s="511" t="s">
        <v>3815</v>
      </c>
      <c r="E2145" s="89">
        <v>895000</v>
      </c>
    </row>
    <row r="2146" spans="1:5" ht="15" customHeight="1" x14ac:dyDescent="0.2">
      <c r="A2146" s="685" t="str">
        <f t="shared" si="115"/>
        <v>큐리어스 메탈릭 메탈
(KCM)</v>
      </c>
      <c r="B2146" s="118" t="s">
        <v>1879</v>
      </c>
      <c r="C2146" s="91"/>
      <c r="D2146" s="511" t="s">
        <v>3816</v>
      </c>
      <c r="E2146" s="89">
        <v>555000</v>
      </c>
    </row>
    <row r="2147" spans="1:5" ht="15" customHeight="1" x14ac:dyDescent="0.2">
      <c r="A2147" s="685" t="str">
        <f t="shared" si="115"/>
        <v>큐리어스 메탈릭 메탈
(KCM)</v>
      </c>
      <c r="B2147" s="118" t="s">
        <v>1879</v>
      </c>
      <c r="C2147" s="91"/>
      <c r="D2147" s="511" t="s">
        <v>3817</v>
      </c>
      <c r="E2147" s="89">
        <v>530000</v>
      </c>
    </row>
    <row r="2148" spans="1:5" ht="15" customHeight="1" x14ac:dyDescent="0.2">
      <c r="A2148" s="685" t="str">
        <f t="shared" si="115"/>
        <v>큐리어스 메탈릭 메탈
(KCM)</v>
      </c>
      <c r="B2148" s="118" t="s">
        <v>1879</v>
      </c>
      <c r="C2148" s="96">
        <v>200</v>
      </c>
      <c r="D2148" s="97" t="s">
        <v>3818</v>
      </c>
      <c r="E2148" s="89">
        <v>800000</v>
      </c>
    </row>
    <row r="2149" spans="1:5" ht="15" customHeight="1" x14ac:dyDescent="0.2">
      <c r="A2149" s="685" t="str">
        <f t="shared" si="115"/>
        <v>큐리어스 메탈릭 메탈
(KCM)</v>
      </c>
      <c r="B2149" s="118" t="s">
        <v>1879</v>
      </c>
      <c r="C2149" s="91"/>
      <c r="D2149" s="92" t="s">
        <v>3819</v>
      </c>
      <c r="E2149" s="89">
        <v>800000</v>
      </c>
    </row>
    <row r="2150" spans="1:5" ht="15" customHeight="1" x14ac:dyDescent="0.2">
      <c r="A2150" s="685" t="str">
        <f t="shared" si="115"/>
        <v>큐리어스 메탈릭 메탈
(KCM)</v>
      </c>
      <c r="B2150" s="118" t="s">
        <v>1879</v>
      </c>
      <c r="C2150" s="91"/>
      <c r="D2150" s="92" t="s">
        <v>3820</v>
      </c>
      <c r="E2150" s="89">
        <v>950000</v>
      </c>
    </row>
    <row r="2151" spans="1:5" ht="15" customHeight="1" x14ac:dyDescent="0.2">
      <c r="A2151" s="685" t="str">
        <f t="shared" si="115"/>
        <v>큐리어스 메탈릭 메탈
(KCM)</v>
      </c>
      <c r="B2151" s="118" t="s">
        <v>1879</v>
      </c>
      <c r="C2151" s="91"/>
      <c r="D2151" s="92" t="s">
        <v>3821</v>
      </c>
      <c r="E2151" s="89">
        <v>850000</v>
      </c>
    </row>
    <row r="2152" spans="1:5" ht="15" customHeight="1" x14ac:dyDescent="0.2">
      <c r="A2152" s="685" t="str">
        <f t="shared" si="115"/>
        <v>큐리어스 메탈릭 메탈
(KCM)</v>
      </c>
      <c r="B2152" s="118" t="s">
        <v>1879</v>
      </c>
      <c r="C2152" s="91"/>
      <c r="D2152" s="92" t="s">
        <v>3822</v>
      </c>
      <c r="E2152" s="89">
        <v>950000</v>
      </c>
    </row>
    <row r="2153" spans="1:5" ht="15" customHeight="1" x14ac:dyDescent="0.2">
      <c r="A2153" s="685" t="str">
        <f t="shared" si="115"/>
        <v>큐리어스 메탈릭 메탈
(KCM)</v>
      </c>
      <c r="B2153" s="118" t="s">
        <v>1879</v>
      </c>
      <c r="C2153" s="91"/>
      <c r="D2153" s="92" t="s">
        <v>3823</v>
      </c>
      <c r="E2153" s="89">
        <v>950000</v>
      </c>
    </row>
    <row r="2154" spans="1:5" ht="15" customHeight="1" x14ac:dyDescent="0.2">
      <c r="A2154" s="685" t="str">
        <f t="shared" si="115"/>
        <v>큐리어스 메탈릭 메탈
(KCM)</v>
      </c>
      <c r="B2154" s="118" t="s">
        <v>1879</v>
      </c>
      <c r="C2154" s="91"/>
      <c r="D2154" s="92" t="s">
        <v>3824</v>
      </c>
      <c r="E2154" s="89">
        <v>800000</v>
      </c>
    </row>
    <row r="2155" spans="1:5" ht="15" customHeight="1" x14ac:dyDescent="0.2">
      <c r="A2155" s="685" t="str">
        <f t="shared" si="115"/>
        <v>큐리어스 메탈릭 메탈
(KCM)</v>
      </c>
      <c r="B2155" s="118" t="s">
        <v>1879</v>
      </c>
      <c r="C2155" s="99"/>
      <c r="D2155" s="100" t="s">
        <v>3825</v>
      </c>
      <c r="E2155" s="89">
        <v>950000</v>
      </c>
    </row>
    <row r="2156" spans="1:5" ht="15" customHeight="1" x14ac:dyDescent="0.2">
      <c r="A2156" s="685" t="str">
        <f t="shared" si="115"/>
        <v>큐리어스 메탈릭 메탈
(KCM)</v>
      </c>
      <c r="B2156" s="118" t="s">
        <v>1879</v>
      </c>
      <c r="C2156" s="96">
        <v>250</v>
      </c>
      <c r="D2156" s="512" t="s">
        <v>3826</v>
      </c>
      <c r="E2156" s="89">
        <v>1350000</v>
      </c>
    </row>
    <row r="2157" spans="1:5" ht="15" customHeight="1" x14ac:dyDescent="0.2">
      <c r="A2157" s="685" t="str">
        <f t="shared" si="115"/>
        <v>큐리어스 메탈릭 메탈
(KCM)</v>
      </c>
      <c r="B2157" s="118" t="s">
        <v>1879</v>
      </c>
      <c r="C2157" s="91"/>
      <c r="D2157" s="511" t="s">
        <v>3592</v>
      </c>
      <c r="E2157" s="89">
        <v>1050000</v>
      </c>
    </row>
    <row r="2158" spans="1:5" ht="15" customHeight="1" x14ac:dyDescent="0.2">
      <c r="A2158" s="685" t="str">
        <f t="shared" si="115"/>
        <v>큐리어스 메탈릭 메탈
(KCM)</v>
      </c>
      <c r="B2158" s="118" t="s">
        <v>1879</v>
      </c>
      <c r="C2158" s="91"/>
      <c r="D2158" s="511" t="s">
        <v>2719</v>
      </c>
      <c r="E2158" s="89">
        <v>1275000</v>
      </c>
    </row>
    <row r="2159" spans="1:5" ht="15" customHeight="1" x14ac:dyDescent="0.2">
      <c r="A2159" s="685" t="str">
        <f t="shared" si="115"/>
        <v>큐리어스 메탈릭 메탈
(KCM)</v>
      </c>
      <c r="B2159" s="118" t="s">
        <v>1879</v>
      </c>
      <c r="C2159" s="91"/>
      <c r="D2159" s="482" t="s">
        <v>3827</v>
      </c>
      <c r="E2159" s="89">
        <v>1420000</v>
      </c>
    </row>
    <row r="2160" spans="1:5" ht="15" customHeight="1" x14ac:dyDescent="0.2">
      <c r="A2160" s="685" t="str">
        <f t="shared" si="115"/>
        <v>큐리어스 메탈릭 메탈
(KCM)</v>
      </c>
      <c r="B2160" s="118" t="s">
        <v>1879</v>
      </c>
      <c r="C2160" s="91"/>
      <c r="D2160" s="511" t="s">
        <v>3828</v>
      </c>
      <c r="E2160" s="89">
        <v>670000</v>
      </c>
    </row>
    <row r="2161" spans="1:5" ht="15" customHeight="1" x14ac:dyDescent="0.2">
      <c r="A2161" s="685" t="str">
        <f t="shared" si="115"/>
        <v>큐리어스 메탈릭 메탈
(KCM)</v>
      </c>
      <c r="B2161" s="118" t="s">
        <v>1879</v>
      </c>
      <c r="C2161" s="91"/>
      <c r="D2161" s="511" t="s">
        <v>2997</v>
      </c>
      <c r="E2161" s="89">
        <v>1675000</v>
      </c>
    </row>
    <row r="2162" spans="1:5" ht="15" customHeight="1" x14ac:dyDescent="0.2">
      <c r="A2162" s="685" t="str">
        <f t="shared" si="115"/>
        <v>큐리어스 메탈릭 메탈
(KCM)</v>
      </c>
      <c r="B2162" s="118" t="s">
        <v>1879</v>
      </c>
      <c r="C2162" s="91"/>
      <c r="D2162" s="482" t="s">
        <v>3829</v>
      </c>
      <c r="E2162" s="89">
        <v>1760000</v>
      </c>
    </row>
    <row r="2163" spans="1:5" ht="15" customHeight="1" x14ac:dyDescent="0.2">
      <c r="A2163" s="685" t="str">
        <f t="shared" si="115"/>
        <v>큐리어스 메탈릭 메탈
(KCM)</v>
      </c>
      <c r="B2163" s="118" t="s">
        <v>1879</v>
      </c>
      <c r="C2163" s="91"/>
      <c r="D2163" s="511" t="s">
        <v>3830</v>
      </c>
      <c r="E2163" s="89">
        <v>1075000</v>
      </c>
    </row>
    <row r="2164" spans="1:5" ht="15" customHeight="1" x14ac:dyDescent="0.2">
      <c r="A2164" s="685" t="str">
        <f t="shared" si="115"/>
        <v>큐리어스 메탈릭 메탈
(KCM)</v>
      </c>
      <c r="B2164" s="118" t="s">
        <v>1879</v>
      </c>
      <c r="C2164" s="91"/>
      <c r="D2164" s="511" t="s">
        <v>3831</v>
      </c>
      <c r="E2164" s="89">
        <v>925000</v>
      </c>
    </row>
    <row r="2165" spans="1:5" ht="15" customHeight="1" x14ac:dyDescent="0.2">
      <c r="A2165" s="685" t="str">
        <f t="shared" si="115"/>
        <v>큐리어스 메탈릭 메탈
(KCM)</v>
      </c>
      <c r="B2165" s="118" t="s">
        <v>1879</v>
      </c>
      <c r="C2165" s="91"/>
      <c r="D2165" s="511" t="s">
        <v>3832</v>
      </c>
      <c r="E2165" s="89">
        <v>925000</v>
      </c>
    </row>
    <row r="2166" spans="1:5" ht="15" customHeight="1" x14ac:dyDescent="0.2">
      <c r="A2166" s="685" t="str">
        <f t="shared" si="115"/>
        <v>큐리어스 메탈릭 메탈
(KCM)</v>
      </c>
      <c r="B2166" s="118" t="s">
        <v>1879</v>
      </c>
      <c r="C2166" s="91"/>
      <c r="D2166" s="513" t="s">
        <v>3833</v>
      </c>
      <c r="E2166" s="89">
        <v>1430000</v>
      </c>
    </row>
    <row r="2167" spans="1:5" ht="15" customHeight="1" x14ac:dyDescent="0.2">
      <c r="A2167" s="685" t="str">
        <f t="shared" si="115"/>
        <v>큐리어스 메탈릭 메탈
(KCM)</v>
      </c>
      <c r="B2167" s="118" t="s">
        <v>1879</v>
      </c>
      <c r="C2167" s="91"/>
      <c r="D2167" s="511" t="s">
        <v>2714</v>
      </c>
      <c r="E2167" s="89">
        <v>1300000</v>
      </c>
    </row>
    <row r="2168" spans="1:5" ht="15" customHeight="1" x14ac:dyDescent="0.2">
      <c r="A2168" s="685" t="str">
        <f t="shared" si="115"/>
        <v>큐리어스 메탈릭 메탈
(KCM)</v>
      </c>
      <c r="B2168" s="118" t="s">
        <v>1879</v>
      </c>
      <c r="C2168" s="91"/>
      <c r="D2168" s="482" t="s">
        <v>3834</v>
      </c>
      <c r="E2168" s="89">
        <v>1350000</v>
      </c>
    </row>
    <row r="2169" spans="1:5" ht="15" customHeight="1" x14ac:dyDescent="0.2">
      <c r="A2169" s="685" t="str">
        <f t="shared" si="115"/>
        <v>큐리어스 메탈릭 메탈
(KCM)</v>
      </c>
      <c r="B2169" s="118" t="s">
        <v>1879</v>
      </c>
      <c r="C2169" s="91"/>
      <c r="D2169" s="511" t="s">
        <v>3835</v>
      </c>
      <c r="E2169" s="89">
        <v>1560000</v>
      </c>
    </row>
    <row r="2170" spans="1:5" ht="15" customHeight="1" x14ac:dyDescent="0.2">
      <c r="A2170" s="685" t="str">
        <f t="shared" si="115"/>
        <v>큐리어스 메탈릭 메탈
(KCM)</v>
      </c>
      <c r="B2170" s="118" t="s">
        <v>1879</v>
      </c>
      <c r="C2170" s="91"/>
      <c r="D2170" s="482" t="s">
        <v>3836</v>
      </c>
      <c r="E2170" s="89">
        <v>1660000</v>
      </c>
    </row>
    <row r="2171" spans="1:5" ht="15" customHeight="1" x14ac:dyDescent="0.2">
      <c r="A2171" s="685" t="str">
        <f t="shared" si="115"/>
        <v>큐리어스 메탈릭 메탈
(KCM)</v>
      </c>
      <c r="B2171" s="118" t="s">
        <v>1879</v>
      </c>
      <c r="C2171" s="91"/>
      <c r="D2171" s="511" t="s">
        <v>3638</v>
      </c>
      <c r="E2171" s="89">
        <v>1550000</v>
      </c>
    </row>
    <row r="2172" spans="1:5" ht="15" customHeight="1" x14ac:dyDescent="0.2">
      <c r="A2172" s="685" t="str">
        <f t="shared" si="115"/>
        <v>큐리어스 메탈릭 메탈
(KCM)</v>
      </c>
      <c r="B2172" s="118" t="s">
        <v>1879</v>
      </c>
      <c r="C2172" s="91"/>
      <c r="D2172" s="482" t="s">
        <v>3837</v>
      </c>
      <c r="E2172" s="89">
        <v>1630000</v>
      </c>
    </row>
    <row r="2173" spans="1:5" ht="15" customHeight="1" x14ac:dyDescent="0.2">
      <c r="A2173" s="685" t="str">
        <f t="shared" si="115"/>
        <v>큐리어스 메탈릭 메탈
(KCM)</v>
      </c>
      <c r="B2173" s="118" t="s">
        <v>1879</v>
      </c>
      <c r="C2173" s="91"/>
      <c r="D2173" s="511" t="s">
        <v>3838</v>
      </c>
      <c r="E2173" s="89">
        <v>900000</v>
      </c>
    </row>
    <row r="2174" spans="1:5" ht="15" customHeight="1" x14ac:dyDescent="0.2">
      <c r="A2174" s="685" t="str">
        <f t="shared" si="115"/>
        <v>큐리어스 메탈릭 메탈
(KCM)</v>
      </c>
      <c r="B2174" s="118" t="s">
        <v>1879</v>
      </c>
      <c r="C2174" s="91"/>
      <c r="D2174" s="511" t="s">
        <v>3839</v>
      </c>
      <c r="E2174" s="89">
        <v>625000</v>
      </c>
    </row>
    <row r="2175" spans="1:5" ht="15" customHeight="1" x14ac:dyDescent="0.2">
      <c r="A2175" s="685" t="str">
        <f t="shared" si="115"/>
        <v>큐리어스 메탈릭 메탈
(KCM)</v>
      </c>
      <c r="B2175" s="118" t="s">
        <v>1879</v>
      </c>
      <c r="C2175" s="91"/>
      <c r="D2175" s="511" t="s">
        <v>2642</v>
      </c>
      <c r="E2175" s="89">
        <v>1675000</v>
      </c>
    </row>
    <row r="2176" spans="1:5" ht="15" customHeight="1" x14ac:dyDescent="0.2">
      <c r="A2176" s="685" t="str">
        <f t="shared" si="115"/>
        <v>큐리어스 메탈릭 메탈
(KCM)</v>
      </c>
      <c r="B2176" s="118" t="s">
        <v>1879</v>
      </c>
      <c r="C2176" s="91"/>
      <c r="D2176" s="482" t="s">
        <v>3840</v>
      </c>
      <c r="E2176" s="89">
        <v>1760000</v>
      </c>
    </row>
    <row r="2177" spans="1:5" ht="15" customHeight="1" x14ac:dyDescent="0.2">
      <c r="A2177" s="685" t="str">
        <f t="shared" si="115"/>
        <v>큐리어스 메탈릭 메탈
(KCM)</v>
      </c>
      <c r="B2177" s="118" t="s">
        <v>1879</v>
      </c>
      <c r="C2177" s="91"/>
      <c r="D2177" s="511" t="s">
        <v>3841</v>
      </c>
      <c r="E2177" s="89">
        <v>1185000</v>
      </c>
    </row>
    <row r="2178" spans="1:5" ht="15" customHeight="1" x14ac:dyDescent="0.2">
      <c r="A2178" s="685" t="str">
        <f t="shared" si="115"/>
        <v>큐리어스 메탈릭 메탈
(KCM)</v>
      </c>
      <c r="B2178" s="118" t="s">
        <v>1879</v>
      </c>
      <c r="C2178" s="91"/>
      <c r="D2178" s="511" t="s">
        <v>3842</v>
      </c>
      <c r="E2178" s="89">
        <v>1485000</v>
      </c>
    </row>
    <row r="2179" spans="1:5" ht="15" customHeight="1" x14ac:dyDescent="0.2">
      <c r="A2179" s="685" t="str">
        <f t="shared" si="115"/>
        <v>큐리어스 메탈릭 메탈
(KCM)</v>
      </c>
      <c r="B2179" s="118" t="s">
        <v>1879</v>
      </c>
      <c r="C2179" s="99"/>
      <c r="D2179" s="514" t="s">
        <v>3843</v>
      </c>
      <c r="E2179" s="89">
        <v>1550000</v>
      </c>
    </row>
    <row r="2180" spans="1:5" ht="15" customHeight="1" x14ac:dyDescent="0.2">
      <c r="A2180" s="685" t="str">
        <f t="shared" si="115"/>
        <v>큐리어스 메탈릭 메탈
(KCM)</v>
      </c>
      <c r="B2180" s="118" t="s">
        <v>1879</v>
      </c>
      <c r="C2180" s="96">
        <v>300</v>
      </c>
      <c r="D2180" s="482" t="s">
        <v>3844</v>
      </c>
      <c r="E2180" s="89">
        <v>1640000</v>
      </c>
    </row>
    <row r="2181" spans="1:5" ht="15" customHeight="1" x14ac:dyDescent="0.2">
      <c r="A2181" s="685" t="str">
        <f t="shared" si="115"/>
        <v>큐리어스 메탈릭 메탈
(KCM)</v>
      </c>
      <c r="B2181" s="118" t="s">
        <v>1879</v>
      </c>
      <c r="C2181" s="91"/>
      <c r="D2181" s="511" t="s">
        <v>2561</v>
      </c>
      <c r="E2181" s="89">
        <v>1350000</v>
      </c>
    </row>
    <row r="2182" spans="1:5" ht="15" customHeight="1" x14ac:dyDescent="0.2">
      <c r="A2182" s="685" t="str">
        <f t="shared" si="115"/>
        <v>큐리어스 메탈릭 메탈
(KCM)</v>
      </c>
      <c r="B2182" s="118" t="s">
        <v>1879</v>
      </c>
      <c r="C2182" s="91"/>
      <c r="D2182" s="511" t="s">
        <v>3845</v>
      </c>
      <c r="E2182" s="89">
        <v>970000</v>
      </c>
    </row>
    <row r="2183" spans="1:5" ht="15" customHeight="1" x14ac:dyDescent="0.2">
      <c r="A2183" s="685" t="str">
        <f t="shared" si="115"/>
        <v>큐리어스 메탈릭 메탈
(KCM)</v>
      </c>
      <c r="B2183" s="118" t="s">
        <v>1879</v>
      </c>
      <c r="C2183" s="91"/>
      <c r="D2183" s="511" t="s">
        <v>2540</v>
      </c>
      <c r="E2183" s="89">
        <v>1590000</v>
      </c>
    </row>
    <row r="2184" spans="1:5" ht="15" customHeight="1" x14ac:dyDescent="0.2">
      <c r="A2184" s="685" t="str">
        <f t="shared" si="115"/>
        <v>큐리어스 메탈릭 메탈
(KCM)</v>
      </c>
      <c r="B2184" s="118" t="s">
        <v>1879</v>
      </c>
      <c r="C2184" s="91"/>
      <c r="D2184" s="482" t="s">
        <v>3846</v>
      </c>
      <c r="E2184" s="89">
        <v>1640000</v>
      </c>
    </row>
    <row r="2185" spans="1:5" ht="15" customHeight="1" x14ac:dyDescent="0.2">
      <c r="A2185" s="685" t="str">
        <f t="shared" si="115"/>
        <v>큐리어스 메탈릭 메탈
(KCM)</v>
      </c>
      <c r="B2185" s="118" t="s">
        <v>1879</v>
      </c>
      <c r="C2185" s="91"/>
      <c r="D2185" s="511" t="s">
        <v>3847</v>
      </c>
      <c r="E2185" s="89">
        <v>1590000</v>
      </c>
    </row>
    <row r="2186" spans="1:5" ht="15" customHeight="1" x14ac:dyDescent="0.2">
      <c r="A2186" s="685" t="str">
        <f t="shared" si="115"/>
        <v>큐리어스 메탈릭 메탈
(KCM)</v>
      </c>
      <c r="B2186" s="118" t="s">
        <v>1879</v>
      </c>
      <c r="C2186" s="91"/>
      <c r="D2186" s="511" t="s">
        <v>3848</v>
      </c>
      <c r="E2186" s="89">
        <v>1110000</v>
      </c>
    </row>
    <row r="2187" spans="1:5" ht="15" customHeight="1" x14ac:dyDescent="0.2">
      <c r="A2187" s="685" t="str">
        <f t="shared" si="115"/>
        <v>큐리어스 메탈릭 메탈
(KCM)</v>
      </c>
      <c r="B2187" s="118" t="s">
        <v>1879</v>
      </c>
      <c r="C2187" s="91"/>
      <c r="D2187" s="511" t="s">
        <v>3849</v>
      </c>
      <c r="E2187" s="89">
        <v>1590000</v>
      </c>
    </row>
    <row r="2188" spans="1:5" ht="15" customHeight="1" x14ac:dyDescent="0.2">
      <c r="A2188" s="685" t="str">
        <f t="shared" si="115"/>
        <v>큐리어스 메탈릭 메탈
(KCM)</v>
      </c>
      <c r="B2188" s="118" t="s">
        <v>1879</v>
      </c>
      <c r="C2188" s="96">
        <v>200</v>
      </c>
      <c r="D2188" s="483" t="s">
        <v>3850</v>
      </c>
      <c r="E2188" s="89">
        <v>700000</v>
      </c>
    </row>
    <row r="2189" spans="1:5" ht="15" customHeight="1" x14ac:dyDescent="0.2">
      <c r="A2189" s="685" t="str">
        <f t="shared" si="115"/>
        <v>큐리어스 메탈릭 메탈
(KCM)</v>
      </c>
      <c r="B2189" s="118" t="s">
        <v>1879</v>
      </c>
      <c r="C2189" s="91">
        <v>250</v>
      </c>
      <c r="D2189" s="482" t="s">
        <v>3851</v>
      </c>
      <c r="E2189" s="89">
        <v>875000</v>
      </c>
    </row>
    <row r="2190" spans="1:5" ht="15" customHeight="1" x14ac:dyDescent="0.2">
      <c r="A2190" s="685" t="str">
        <f t="shared" si="115"/>
        <v>큐리어스 메탈릭 메탈
(KCM)</v>
      </c>
      <c r="B2190" s="118" t="s">
        <v>1879</v>
      </c>
      <c r="C2190" s="91">
        <v>300</v>
      </c>
      <c r="D2190" s="511" t="s">
        <v>3852</v>
      </c>
      <c r="E2190" s="89">
        <v>1050000</v>
      </c>
    </row>
    <row r="2191" spans="1:5" ht="15" customHeight="1" x14ac:dyDescent="0.2">
      <c r="A2191" s="685" t="str">
        <f t="shared" si="115"/>
        <v>큐리어스 메탈릭 메탈
(KCM)</v>
      </c>
      <c r="B2191" s="95" t="s">
        <v>1865</v>
      </c>
      <c r="C2191" s="96">
        <v>120</v>
      </c>
      <c r="D2191" s="483" t="s">
        <v>3853</v>
      </c>
      <c r="E2191" s="89">
        <v>375000</v>
      </c>
    </row>
    <row r="2192" spans="1:5" ht="15" customHeight="1" x14ac:dyDescent="0.2">
      <c r="A2192" s="685" t="str">
        <f t="shared" si="115"/>
        <v>큐리어스 메탈릭 메탈
(KCM)</v>
      </c>
      <c r="B2192" s="95" t="s">
        <v>1865</v>
      </c>
      <c r="C2192" s="91"/>
      <c r="D2192" s="511" t="s">
        <v>3854</v>
      </c>
      <c r="E2192" s="89">
        <v>375000</v>
      </c>
    </row>
    <row r="2193" spans="1:5" ht="15" customHeight="1" x14ac:dyDescent="0.2">
      <c r="A2193" s="685" t="str">
        <f t="shared" si="115"/>
        <v>큐리어스 메탈릭 메탈
(KCM)</v>
      </c>
      <c r="B2193" s="95" t="s">
        <v>1865</v>
      </c>
      <c r="C2193" s="91"/>
      <c r="D2193" s="511" t="s">
        <v>3855</v>
      </c>
      <c r="E2193" s="89">
        <v>375000</v>
      </c>
    </row>
    <row r="2194" spans="1:5" ht="15" customHeight="1" x14ac:dyDescent="0.2">
      <c r="A2194" s="685" t="str">
        <f t="shared" si="115"/>
        <v>큐리어스 메탈릭 메탈
(KCM)</v>
      </c>
      <c r="B2194" s="95" t="s">
        <v>1865</v>
      </c>
      <c r="C2194" s="91"/>
      <c r="D2194" s="511" t="s">
        <v>3856</v>
      </c>
      <c r="E2194" s="89">
        <v>375000</v>
      </c>
    </row>
    <row r="2195" spans="1:5" ht="15" customHeight="1" x14ac:dyDescent="0.2">
      <c r="A2195" s="685" t="str">
        <f t="shared" si="115"/>
        <v>큐리어스 메탈릭 메탈
(KCM)</v>
      </c>
      <c r="B2195" s="95" t="s">
        <v>1865</v>
      </c>
      <c r="C2195" s="91"/>
      <c r="D2195" s="511" t="s">
        <v>3857</v>
      </c>
      <c r="E2195" s="89">
        <v>950000</v>
      </c>
    </row>
    <row r="2196" spans="1:5" ht="15" customHeight="1" x14ac:dyDescent="0.2">
      <c r="A2196" s="685" t="str">
        <f t="shared" ref="A2196:A2214" si="116">A2195</f>
        <v>큐리어스 메탈릭 메탈
(KCM)</v>
      </c>
      <c r="B2196" s="95" t="s">
        <v>1865</v>
      </c>
      <c r="C2196" s="99"/>
      <c r="D2196" s="514" t="s">
        <v>3858</v>
      </c>
      <c r="E2196" s="89">
        <v>580000</v>
      </c>
    </row>
    <row r="2197" spans="1:5" ht="15" customHeight="1" x14ac:dyDescent="0.2">
      <c r="A2197" s="685" t="str">
        <f t="shared" si="116"/>
        <v>큐리어스 메탈릭 메탈
(KCM)</v>
      </c>
      <c r="B2197" s="95" t="s">
        <v>1865</v>
      </c>
      <c r="C2197" s="96">
        <v>200</v>
      </c>
      <c r="D2197" s="97" t="s">
        <v>3859</v>
      </c>
      <c r="E2197" s="89">
        <v>885000</v>
      </c>
    </row>
    <row r="2198" spans="1:5" ht="15" customHeight="1" x14ac:dyDescent="0.2">
      <c r="A2198" s="685" t="str">
        <f t="shared" si="116"/>
        <v>큐리어스 메탈릭 메탈
(KCM)</v>
      </c>
      <c r="B2198" s="95" t="s">
        <v>1865</v>
      </c>
      <c r="C2198" s="91"/>
      <c r="D2198" s="92" t="s">
        <v>3860</v>
      </c>
      <c r="E2198" s="89">
        <v>595000</v>
      </c>
    </row>
    <row r="2199" spans="1:5" ht="15" customHeight="1" x14ac:dyDescent="0.2">
      <c r="A2199" s="685" t="str">
        <f t="shared" si="116"/>
        <v>큐리어스 메탈릭 메탈
(KCM)</v>
      </c>
      <c r="B2199" s="95" t="s">
        <v>1865</v>
      </c>
      <c r="C2199" s="99"/>
      <c r="D2199" s="100" t="s">
        <v>3861</v>
      </c>
      <c r="E2199" s="89">
        <v>515000</v>
      </c>
    </row>
    <row r="2200" spans="1:5" ht="15" customHeight="1" x14ac:dyDescent="0.2">
      <c r="A2200" s="685" t="str">
        <f t="shared" si="116"/>
        <v>큐리어스 메탈릭 메탈
(KCM)</v>
      </c>
      <c r="B2200" s="95" t="s">
        <v>1865</v>
      </c>
      <c r="C2200" s="91">
        <v>250</v>
      </c>
      <c r="D2200" s="98" t="s">
        <v>3862</v>
      </c>
      <c r="E2200" s="89">
        <v>950000</v>
      </c>
    </row>
    <row r="2201" spans="1:5" ht="15" customHeight="1" x14ac:dyDescent="0.2">
      <c r="A2201" s="685" t="str">
        <f t="shared" si="116"/>
        <v>큐리어스 메탈릭 메탈
(KCM)</v>
      </c>
      <c r="B2201" s="95" t="s">
        <v>1865</v>
      </c>
      <c r="C2201" s="91"/>
      <c r="D2201" s="92" t="s">
        <v>3863</v>
      </c>
      <c r="E2201" s="89">
        <v>565000</v>
      </c>
    </row>
    <row r="2202" spans="1:5" ht="15" customHeight="1" x14ac:dyDescent="0.2">
      <c r="A2202" s="685" t="str">
        <f t="shared" si="116"/>
        <v>큐리어스 메탈릭 메탈
(KCM)</v>
      </c>
      <c r="B2202" s="95" t="s">
        <v>1865</v>
      </c>
      <c r="C2202" s="91"/>
      <c r="D2202" s="92" t="s">
        <v>3864</v>
      </c>
      <c r="E2202" s="89">
        <v>600000</v>
      </c>
    </row>
    <row r="2203" spans="1:5" ht="15" customHeight="1" x14ac:dyDescent="0.2">
      <c r="A2203" s="685" t="str">
        <f t="shared" si="116"/>
        <v>큐리어스 메탈릭 메탈
(KCM)</v>
      </c>
      <c r="B2203" s="95" t="s">
        <v>1865</v>
      </c>
      <c r="C2203" s="91"/>
      <c r="D2203" s="92" t="s">
        <v>3865</v>
      </c>
      <c r="E2203" s="89">
        <v>1110000</v>
      </c>
    </row>
    <row r="2204" spans="1:5" ht="15" customHeight="1" x14ac:dyDescent="0.2">
      <c r="A2204" s="685" t="str">
        <f t="shared" si="116"/>
        <v>큐리어스 메탈릭 메탈
(KCM)</v>
      </c>
      <c r="B2204" s="95" t="s">
        <v>1865</v>
      </c>
      <c r="C2204" s="91"/>
      <c r="D2204" s="92" t="s">
        <v>3866</v>
      </c>
      <c r="E2204" s="89">
        <v>900000</v>
      </c>
    </row>
    <row r="2205" spans="1:5" ht="15" customHeight="1" x14ac:dyDescent="0.2">
      <c r="A2205" s="685" t="str">
        <f t="shared" si="116"/>
        <v>큐리어스 메탈릭 메탈
(KCM)</v>
      </c>
      <c r="B2205" s="95" t="s">
        <v>1865</v>
      </c>
      <c r="C2205" s="91"/>
      <c r="D2205" s="98" t="s">
        <v>3867</v>
      </c>
      <c r="E2205" s="89">
        <v>950000</v>
      </c>
    </row>
    <row r="2206" spans="1:5" ht="15" customHeight="1" x14ac:dyDescent="0.2">
      <c r="A2206" s="685" t="str">
        <f t="shared" si="116"/>
        <v>큐리어스 메탈릭 메탈
(KCM)</v>
      </c>
      <c r="B2206" s="95" t="s">
        <v>1865</v>
      </c>
      <c r="C2206" s="91"/>
      <c r="D2206" s="92" t="s">
        <v>2462</v>
      </c>
      <c r="E2206" s="89">
        <v>645000</v>
      </c>
    </row>
    <row r="2207" spans="1:5" ht="15" customHeight="1" x14ac:dyDescent="0.2">
      <c r="A2207" s="685" t="str">
        <f t="shared" si="116"/>
        <v>큐리어스 메탈릭 메탈
(KCM)</v>
      </c>
      <c r="B2207" s="95" t="s">
        <v>1865</v>
      </c>
      <c r="C2207" s="91"/>
      <c r="D2207" s="92" t="s">
        <v>3868</v>
      </c>
      <c r="E2207" s="89">
        <v>915000</v>
      </c>
    </row>
    <row r="2208" spans="1:5" ht="15" customHeight="1" x14ac:dyDescent="0.2">
      <c r="A2208" s="685" t="str">
        <f t="shared" si="116"/>
        <v>큐리어스 메탈릭 메탈
(KCM)</v>
      </c>
      <c r="B2208" s="95" t="s">
        <v>1865</v>
      </c>
      <c r="C2208" s="91"/>
      <c r="D2208" s="92" t="s">
        <v>3869</v>
      </c>
      <c r="E2208" s="89">
        <v>800000</v>
      </c>
    </row>
    <row r="2209" spans="1:5" ht="15" customHeight="1" x14ac:dyDescent="0.2">
      <c r="A2209" s="685" t="str">
        <f t="shared" si="116"/>
        <v>큐리어스 메탈릭 메탈
(KCM)</v>
      </c>
      <c r="B2209" s="95" t="s">
        <v>1865</v>
      </c>
      <c r="C2209" s="96">
        <v>200</v>
      </c>
      <c r="D2209" s="97" t="s">
        <v>3870</v>
      </c>
      <c r="E2209" s="89">
        <v>485000</v>
      </c>
    </row>
    <row r="2210" spans="1:5" ht="15" customHeight="1" x14ac:dyDescent="0.2">
      <c r="A2210" s="685" t="str">
        <f t="shared" si="116"/>
        <v>큐리어스 메탈릭 메탈
(KCM)</v>
      </c>
      <c r="B2210" s="95" t="s">
        <v>1865</v>
      </c>
      <c r="C2210" s="113">
        <v>250</v>
      </c>
      <c r="D2210" s="142" t="s">
        <v>3871</v>
      </c>
      <c r="E2210" s="89">
        <v>610000</v>
      </c>
    </row>
    <row r="2211" spans="1:5" ht="15" customHeight="1" x14ac:dyDescent="0.2">
      <c r="A2211" s="685" t="str">
        <f t="shared" si="116"/>
        <v>큐리어스 메탈릭 메탈
(KCM)</v>
      </c>
      <c r="B2211" s="137" t="s">
        <v>2631</v>
      </c>
      <c r="C2211" s="96">
        <v>230</v>
      </c>
      <c r="D2211" s="97" t="s">
        <v>3872</v>
      </c>
      <c r="E2211" s="89">
        <v>1025000</v>
      </c>
    </row>
    <row r="2212" spans="1:5" ht="15" customHeight="1" x14ac:dyDescent="0.2">
      <c r="A2212" s="685" t="str">
        <f t="shared" si="116"/>
        <v>큐리어스 메탈릭 메탈
(KCM)</v>
      </c>
      <c r="B2212" s="137" t="s">
        <v>1921</v>
      </c>
      <c r="C2212" s="96">
        <v>250</v>
      </c>
      <c r="D2212" s="109" t="s">
        <v>3873</v>
      </c>
      <c r="E2212" s="89">
        <v>950000</v>
      </c>
    </row>
    <row r="2213" spans="1:5" ht="15" customHeight="1" x14ac:dyDescent="0.2">
      <c r="A2213" s="685" t="str">
        <f t="shared" si="116"/>
        <v>큐리어스 메탈릭 메탈
(KCM)</v>
      </c>
      <c r="B2213" s="137" t="s">
        <v>1921</v>
      </c>
      <c r="C2213" s="91" t="s">
        <v>1868</v>
      </c>
      <c r="D2213" s="98" t="s">
        <v>3874</v>
      </c>
      <c r="E2213" s="89">
        <v>950000</v>
      </c>
    </row>
    <row r="2214" spans="1:5" ht="15" customHeight="1" x14ac:dyDescent="0.2">
      <c r="A2214" s="685" t="str">
        <f t="shared" si="116"/>
        <v>큐리어스 메탈릭 메탈
(KCM)</v>
      </c>
      <c r="B2214" s="137" t="s">
        <v>1921</v>
      </c>
      <c r="C2214" s="99" t="s">
        <v>1868</v>
      </c>
      <c r="D2214" s="105" t="s">
        <v>3875</v>
      </c>
      <c r="E2214" s="89">
        <v>950000</v>
      </c>
    </row>
    <row r="2215" spans="1:5" ht="15" customHeight="1" x14ac:dyDescent="0.2">
      <c r="A2215" s="681" t="s">
        <v>3876</v>
      </c>
      <c r="B2215" s="387" t="s">
        <v>1872</v>
      </c>
      <c r="C2215" s="461">
        <v>125</v>
      </c>
      <c r="D2215" s="515" t="s">
        <v>3877</v>
      </c>
      <c r="E2215" s="89">
        <v>750000</v>
      </c>
    </row>
    <row r="2216" spans="1:5" ht="15" customHeight="1" x14ac:dyDescent="0.2">
      <c r="A2216" s="682" t="str">
        <f t="shared" ref="A2216:A2236" si="117">A2215</f>
        <v>큐리어스 매터
(CMT)</v>
      </c>
      <c r="B2216" s="387" t="s">
        <v>1872</v>
      </c>
      <c r="C2216" s="99"/>
      <c r="D2216" s="222" t="s">
        <v>3878</v>
      </c>
      <c r="E2216" s="89">
        <v>580000</v>
      </c>
    </row>
    <row r="2217" spans="1:5" ht="15" customHeight="1" x14ac:dyDescent="0.2">
      <c r="A2217" s="682" t="str">
        <f t="shared" si="117"/>
        <v>큐리어스 매터
(CMT)</v>
      </c>
      <c r="B2217" s="387" t="s">
        <v>1872</v>
      </c>
      <c r="C2217" s="96">
        <v>135</v>
      </c>
      <c r="D2217" s="92" t="s">
        <v>3879</v>
      </c>
      <c r="E2217" s="89">
        <v>810000</v>
      </c>
    </row>
    <row r="2218" spans="1:5" ht="15" customHeight="1" x14ac:dyDescent="0.2">
      <c r="A2218" s="682" t="str">
        <f t="shared" si="117"/>
        <v>큐리어스 매터
(CMT)</v>
      </c>
      <c r="B2218" s="387" t="s">
        <v>1872</v>
      </c>
      <c r="C2218" s="91"/>
      <c r="D2218" s="92" t="s">
        <v>3880</v>
      </c>
      <c r="E2218" s="89">
        <v>525000</v>
      </c>
    </row>
    <row r="2219" spans="1:5" ht="15" customHeight="1" x14ac:dyDescent="0.2">
      <c r="A2219" s="682" t="str">
        <f t="shared" si="117"/>
        <v>큐리어스 매터
(CMT)</v>
      </c>
      <c r="B2219" s="387" t="s">
        <v>1872</v>
      </c>
      <c r="C2219" s="91"/>
      <c r="D2219" s="92" t="s">
        <v>3881</v>
      </c>
      <c r="E2219" s="89">
        <v>850000</v>
      </c>
    </row>
    <row r="2220" spans="1:5" ht="15" customHeight="1" x14ac:dyDescent="0.2">
      <c r="A2220" s="682" t="str">
        <f t="shared" si="117"/>
        <v>큐리어스 매터
(CMT)</v>
      </c>
      <c r="B2220" s="387" t="s">
        <v>1872</v>
      </c>
      <c r="C2220" s="91"/>
      <c r="D2220" s="92" t="s">
        <v>3882</v>
      </c>
      <c r="E2220" s="89">
        <v>920000</v>
      </c>
    </row>
    <row r="2221" spans="1:5" ht="15" customHeight="1" x14ac:dyDescent="0.2">
      <c r="A2221" s="682" t="str">
        <f t="shared" si="117"/>
        <v>큐리어스 매터
(CMT)</v>
      </c>
      <c r="B2221" s="387" t="s">
        <v>1872</v>
      </c>
      <c r="C2221" s="91"/>
      <c r="D2221" s="227" t="s">
        <v>3883</v>
      </c>
      <c r="E2221" s="89">
        <v>620000</v>
      </c>
    </row>
    <row r="2222" spans="1:5" ht="15" customHeight="1" x14ac:dyDescent="0.2">
      <c r="A2222" s="682" t="str">
        <f t="shared" si="117"/>
        <v>큐리어스 매터
(CMT)</v>
      </c>
      <c r="B2222" s="387" t="s">
        <v>1872</v>
      </c>
      <c r="C2222" s="91"/>
      <c r="D2222" s="98" t="s">
        <v>3884</v>
      </c>
      <c r="E2222" s="89">
        <v>1020000</v>
      </c>
    </row>
    <row r="2223" spans="1:5" ht="15" customHeight="1" x14ac:dyDescent="0.2">
      <c r="A2223" s="682" t="str">
        <f t="shared" si="117"/>
        <v>큐리어스 매터
(CMT)</v>
      </c>
      <c r="B2223" s="387" t="s">
        <v>1872</v>
      </c>
      <c r="C2223" s="99"/>
      <c r="D2223" s="98" t="s">
        <v>3885</v>
      </c>
      <c r="E2223" s="89">
        <v>1100000</v>
      </c>
    </row>
    <row r="2224" spans="1:5" ht="15" customHeight="1" x14ac:dyDescent="0.2">
      <c r="A2224" s="682" t="str">
        <f t="shared" si="117"/>
        <v>큐리어스 매터
(CMT)</v>
      </c>
      <c r="B2224" s="387" t="s">
        <v>1872</v>
      </c>
      <c r="C2224" s="96">
        <v>270</v>
      </c>
      <c r="D2224" s="97" t="s">
        <v>3886</v>
      </c>
      <c r="E2224" s="89">
        <v>1560000</v>
      </c>
    </row>
    <row r="2225" spans="1:5" ht="15" customHeight="1" x14ac:dyDescent="0.2">
      <c r="A2225" s="682" t="str">
        <f t="shared" si="117"/>
        <v>큐리어스 매터
(CMT)</v>
      </c>
      <c r="B2225" s="387" t="s">
        <v>1872</v>
      </c>
      <c r="C2225" s="91"/>
      <c r="D2225" s="92" t="s">
        <v>3887</v>
      </c>
      <c r="E2225" s="89">
        <v>1630000</v>
      </c>
    </row>
    <row r="2226" spans="1:5" ht="15" customHeight="1" x14ac:dyDescent="0.2">
      <c r="A2226" s="682" t="str">
        <f t="shared" si="117"/>
        <v>큐리어스 매터
(CMT)</v>
      </c>
      <c r="B2226" s="387" t="s">
        <v>1872</v>
      </c>
      <c r="C2226" s="91"/>
      <c r="D2226" s="92" t="s">
        <v>3888</v>
      </c>
      <c r="E2226" s="89">
        <v>1630000</v>
      </c>
    </row>
    <row r="2227" spans="1:5" ht="15" customHeight="1" x14ac:dyDescent="0.2">
      <c r="A2227" s="682" t="str">
        <f t="shared" si="117"/>
        <v>큐리어스 매터
(CMT)</v>
      </c>
      <c r="B2227" s="387" t="s">
        <v>1872</v>
      </c>
      <c r="C2227" s="91"/>
      <c r="D2227" s="92" t="s">
        <v>2451</v>
      </c>
      <c r="E2227" s="89">
        <v>1415000</v>
      </c>
    </row>
    <row r="2228" spans="1:5" ht="15" customHeight="1" x14ac:dyDescent="0.2">
      <c r="A2228" s="682" t="str">
        <f t="shared" si="117"/>
        <v>큐리어스 매터
(CMT)</v>
      </c>
      <c r="B2228" s="387" t="s">
        <v>1872</v>
      </c>
      <c r="C2228" s="91"/>
      <c r="D2228" s="92" t="s">
        <v>3889</v>
      </c>
      <c r="E2228" s="89">
        <v>1630000</v>
      </c>
    </row>
    <row r="2229" spans="1:5" ht="15" customHeight="1" x14ac:dyDescent="0.2">
      <c r="A2229" s="682" t="str">
        <f t="shared" si="117"/>
        <v>큐리어스 매터
(CMT)</v>
      </c>
      <c r="B2229" s="387" t="s">
        <v>1872</v>
      </c>
      <c r="C2229" s="91"/>
      <c r="D2229" s="92" t="s">
        <v>3890</v>
      </c>
      <c r="E2229" s="89">
        <v>1785000</v>
      </c>
    </row>
    <row r="2230" spans="1:5" ht="15" customHeight="1" x14ac:dyDescent="0.2">
      <c r="A2230" s="682" t="str">
        <f t="shared" si="117"/>
        <v>큐리어스 매터
(CMT)</v>
      </c>
      <c r="B2230" s="387" t="s">
        <v>1872</v>
      </c>
      <c r="C2230" s="91"/>
      <c r="D2230" s="98" t="s">
        <v>3891</v>
      </c>
      <c r="E2230" s="89">
        <v>1925000</v>
      </c>
    </row>
    <row r="2231" spans="1:5" ht="15" customHeight="1" x14ac:dyDescent="0.2">
      <c r="A2231" s="682" t="str">
        <f t="shared" si="117"/>
        <v>큐리어스 매터
(CMT)</v>
      </c>
      <c r="B2231" s="387" t="s">
        <v>1872</v>
      </c>
      <c r="C2231" s="99"/>
      <c r="D2231" s="105" t="s">
        <v>3892</v>
      </c>
      <c r="E2231" s="89">
        <v>2090000</v>
      </c>
    </row>
    <row r="2232" spans="1:5" ht="15" customHeight="1" x14ac:dyDescent="0.2">
      <c r="A2232" s="682" t="str">
        <f t="shared" si="117"/>
        <v>큐리어스 매터
(CMT)</v>
      </c>
      <c r="B2232" s="387" t="s">
        <v>1872</v>
      </c>
      <c r="C2232" s="96">
        <v>380</v>
      </c>
      <c r="D2232" s="92" t="s">
        <v>3893</v>
      </c>
      <c r="E2232" s="89">
        <v>2190000</v>
      </c>
    </row>
    <row r="2233" spans="1:5" ht="15" customHeight="1" x14ac:dyDescent="0.2">
      <c r="A2233" s="682" t="str">
        <f t="shared" si="117"/>
        <v>큐리어스 매터
(CMT)</v>
      </c>
      <c r="B2233" s="387" t="s">
        <v>1872</v>
      </c>
      <c r="C2233" s="91"/>
      <c r="D2233" s="92" t="s">
        <v>3894</v>
      </c>
      <c r="E2233" s="89">
        <v>2290000</v>
      </c>
    </row>
    <row r="2234" spans="1:5" ht="15" customHeight="1" x14ac:dyDescent="0.2">
      <c r="A2234" s="682" t="str">
        <f t="shared" si="117"/>
        <v>큐리어스 매터
(CMT)</v>
      </c>
      <c r="B2234" s="387" t="s">
        <v>1872</v>
      </c>
      <c r="C2234" s="91"/>
      <c r="D2234" s="92" t="s">
        <v>3895</v>
      </c>
      <c r="E2234" s="89">
        <v>2490000</v>
      </c>
    </row>
    <row r="2235" spans="1:5" ht="15" customHeight="1" x14ac:dyDescent="0.2">
      <c r="A2235" s="682" t="str">
        <f t="shared" si="117"/>
        <v>큐리어스 매터
(CMT)</v>
      </c>
      <c r="B2235" s="387" t="s">
        <v>1872</v>
      </c>
      <c r="C2235" s="91"/>
      <c r="D2235" s="98" t="s">
        <v>3896</v>
      </c>
      <c r="E2235" s="89">
        <v>2700000</v>
      </c>
    </row>
    <row r="2236" spans="1:5" ht="15" customHeight="1" x14ac:dyDescent="0.2">
      <c r="A2236" s="701" t="str">
        <f t="shared" si="117"/>
        <v>큐리어스 매터
(CMT)</v>
      </c>
      <c r="B2236" s="387" t="s">
        <v>1872</v>
      </c>
      <c r="C2236" s="111"/>
      <c r="D2236" s="112" t="s">
        <v>3897</v>
      </c>
      <c r="E2236" s="89">
        <v>2950000</v>
      </c>
    </row>
    <row r="2237" spans="1:5" ht="15" customHeight="1" x14ac:dyDescent="0.2">
      <c r="A2237" s="683" t="s">
        <v>3898</v>
      </c>
      <c r="B2237" s="90" t="s">
        <v>1872</v>
      </c>
      <c r="C2237" s="91">
        <v>135</v>
      </c>
      <c r="D2237" s="92" t="s">
        <v>3523</v>
      </c>
      <c r="E2237" s="89">
        <v>810000</v>
      </c>
    </row>
    <row r="2238" spans="1:5" ht="15" customHeight="1" x14ac:dyDescent="0.2">
      <c r="A2238" s="683" t="str">
        <f t="shared" ref="A2238:A2259" si="118">A2237</f>
        <v>큐리어스 스킨
(SKIN)</v>
      </c>
      <c r="B2238" s="90" t="s">
        <v>1872</v>
      </c>
      <c r="C2238" s="91"/>
      <c r="D2238" s="92" t="s">
        <v>3899</v>
      </c>
      <c r="E2238" s="89">
        <v>700000</v>
      </c>
    </row>
    <row r="2239" spans="1:5" ht="15" customHeight="1" x14ac:dyDescent="0.2">
      <c r="A2239" s="683" t="str">
        <f t="shared" si="118"/>
        <v>큐리어스 스킨
(SKIN)</v>
      </c>
      <c r="B2239" s="90" t="s">
        <v>1872</v>
      </c>
      <c r="C2239" s="91"/>
      <c r="D2239" s="92" t="s">
        <v>3900</v>
      </c>
      <c r="E2239" s="89">
        <v>865000</v>
      </c>
    </row>
    <row r="2240" spans="1:5" ht="15" customHeight="1" x14ac:dyDescent="0.2">
      <c r="A2240" s="683" t="str">
        <f t="shared" si="118"/>
        <v>큐리어스 스킨
(SKIN)</v>
      </c>
      <c r="B2240" s="90" t="s">
        <v>1872</v>
      </c>
      <c r="C2240" s="91"/>
      <c r="D2240" s="92" t="s">
        <v>3901</v>
      </c>
      <c r="E2240" s="89">
        <v>1240000</v>
      </c>
    </row>
    <row r="2241" spans="1:5" ht="15" customHeight="1" x14ac:dyDescent="0.2">
      <c r="A2241" s="683" t="str">
        <f t="shared" si="118"/>
        <v>큐리어스 스킨
(SKIN)</v>
      </c>
      <c r="B2241" s="90" t="s">
        <v>1872</v>
      </c>
      <c r="C2241" s="91"/>
      <c r="D2241" s="92" t="s">
        <v>3902</v>
      </c>
      <c r="E2241" s="89">
        <v>800000</v>
      </c>
    </row>
    <row r="2242" spans="1:5" ht="15" customHeight="1" x14ac:dyDescent="0.2">
      <c r="A2242" s="683" t="str">
        <f t="shared" si="118"/>
        <v>큐리어스 스킨
(SKIN)</v>
      </c>
      <c r="B2242" s="90" t="s">
        <v>1872</v>
      </c>
      <c r="C2242" s="91"/>
      <c r="D2242" s="92" t="s">
        <v>3903</v>
      </c>
      <c r="E2242" s="89">
        <v>1270000</v>
      </c>
    </row>
    <row r="2243" spans="1:5" ht="15" customHeight="1" x14ac:dyDescent="0.2">
      <c r="A2243" s="683" t="str">
        <f t="shared" si="118"/>
        <v>큐리어스 스킨
(SKIN)</v>
      </c>
      <c r="B2243" s="90" t="s">
        <v>1872</v>
      </c>
      <c r="C2243" s="91"/>
      <c r="D2243" s="93" t="s">
        <v>3904</v>
      </c>
      <c r="E2243" s="89">
        <v>1220000</v>
      </c>
    </row>
    <row r="2244" spans="1:5" ht="15" customHeight="1" x14ac:dyDescent="0.2">
      <c r="A2244" s="683" t="str">
        <f t="shared" si="118"/>
        <v>큐리어스 스킨
(SKIN)</v>
      </c>
      <c r="B2244" s="90" t="s">
        <v>1872</v>
      </c>
      <c r="C2244" s="99"/>
      <c r="D2244" s="141" t="s">
        <v>3905</v>
      </c>
      <c r="E2244" s="89">
        <v>1465000</v>
      </c>
    </row>
    <row r="2245" spans="1:5" ht="15" customHeight="1" x14ac:dyDescent="0.2">
      <c r="A2245" s="683" t="str">
        <f t="shared" si="118"/>
        <v>큐리어스 스킨
(SKIN)</v>
      </c>
      <c r="B2245" s="90" t="s">
        <v>1872</v>
      </c>
      <c r="C2245" s="96">
        <v>270</v>
      </c>
      <c r="D2245" s="97" t="s">
        <v>3906</v>
      </c>
      <c r="E2245" s="89">
        <v>1760000</v>
      </c>
    </row>
    <row r="2246" spans="1:5" ht="15" customHeight="1" x14ac:dyDescent="0.2">
      <c r="A2246" s="683" t="str">
        <f t="shared" si="118"/>
        <v>큐리어스 스킨
(SKIN)</v>
      </c>
      <c r="B2246" s="90" t="s">
        <v>1872</v>
      </c>
      <c r="C2246" s="91"/>
      <c r="D2246" s="92" t="s">
        <v>3907</v>
      </c>
      <c r="E2246" s="89">
        <v>1300000</v>
      </c>
    </row>
    <row r="2247" spans="1:5" ht="15" customHeight="1" x14ac:dyDescent="0.2">
      <c r="A2247" s="683" t="str">
        <f t="shared" si="118"/>
        <v>큐리어스 스킨
(SKIN)</v>
      </c>
      <c r="B2247" s="90" t="s">
        <v>1872</v>
      </c>
      <c r="C2247" s="91"/>
      <c r="D2247" s="92" t="s">
        <v>3908</v>
      </c>
      <c r="E2247" s="89">
        <v>1700000</v>
      </c>
    </row>
    <row r="2248" spans="1:5" ht="15" customHeight="1" x14ac:dyDescent="0.2">
      <c r="A2248" s="683" t="str">
        <f t="shared" si="118"/>
        <v>큐리어스 스킨
(SKIN)</v>
      </c>
      <c r="B2248" s="90" t="s">
        <v>1872</v>
      </c>
      <c r="C2248" s="91"/>
      <c r="D2248" s="92" t="s">
        <v>3909</v>
      </c>
      <c r="E2248" s="89">
        <v>2485000</v>
      </c>
    </row>
    <row r="2249" spans="1:5" ht="15" customHeight="1" x14ac:dyDescent="0.2">
      <c r="A2249" s="683" t="str">
        <f t="shared" si="118"/>
        <v>큐리어스 스킨
(SKIN)</v>
      </c>
      <c r="B2249" s="90" t="s">
        <v>1872</v>
      </c>
      <c r="C2249" s="91"/>
      <c r="D2249" s="92" t="s">
        <v>3910</v>
      </c>
      <c r="E2249" s="89">
        <v>2525000</v>
      </c>
    </row>
    <row r="2250" spans="1:5" ht="15" customHeight="1" x14ac:dyDescent="0.2">
      <c r="A2250" s="683" t="str">
        <f t="shared" si="118"/>
        <v>큐리어스 스킨
(SKIN)</v>
      </c>
      <c r="B2250" s="90" t="s">
        <v>1872</v>
      </c>
      <c r="C2250" s="91"/>
      <c r="D2250" s="93" t="s">
        <v>3891</v>
      </c>
      <c r="E2250" s="89">
        <v>2190000</v>
      </c>
    </row>
    <row r="2251" spans="1:5" ht="15" customHeight="1" x14ac:dyDescent="0.2">
      <c r="A2251" s="683" t="str">
        <f t="shared" si="118"/>
        <v>큐리어스 스킨
(SKIN)</v>
      </c>
      <c r="B2251" s="90" t="s">
        <v>1872</v>
      </c>
      <c r="C2251" s="99"/>
      <c r="D2251" s="141" t="s">
        <v>3911</v>
      </c>
      <c r="E2251" s="89">
        <v>2680000</v>
      </c>
    </row>
    <row r="2252" spans="1:5" ht="15" customHeight="1" x14ac:dyDescent="0.2">
      <c r="A2252" s="683" t="str">
        <f t="shared" si="118"/>
        <v>큐리어스 스킨
(SKIN)</v>
      </c>
      <c r="B2252" s="90" t="s">
        <v>1872</v>
      </c>
      <c r="C2252" s="96">
        <v>380</v>
      </c>
      <c r="D2252" s="92" t="s">
        <v>3592</v>
      </c>
      <c r="E2252" s="89">
        <v>2475000</v>
      </c>
    </row>
    <row r="2253" spans="1:5" ht="15" customHeight="1" x14ac:dyDescent="0.2">
      <c r="A2253" s="683" t="str">
        <f t="shared" si="118"/>
        <v>큐리어스 스킨
(SKIN)</v>
      </c>
      <c r="B2253" s="90" t="s">
        <v>1872</v>
      </c>
      <c r="C2253" s="91"/>
      <c r="D2253" s="92" t="s">
        <v>2996</v>
      </c>
      <c r="E2253" s="89">
        <v>1450000</v>
      </c>
    </row>
    <row r="2254" spans="1:5" ht="15" customHeight="1" x14ac:dyDescent="0.2">
      <c r="A2254" s="683" t="str">
        <f t="shared" si="118"/>
        <v>큐리어스 스킨
(SKIN)</v>
      </c>
      <c r="B2254" s="90" t="s">
        <v>1872</v>
      </c>
      <c r="C2254" s="91"/>
      <c r="D2254" s="92" t="s">
        <v>2719</v>
      </c>
      <c r="E2254" s="89">
        <v>2190000</v>
      </c>
    </row>
    <row r="2255" spans="1:5" ht="15" customHeight="1" x14ac:dyDescent="0.2">
      <c r="A2255" s="683" t="str">
        <f t="shared" si="118"/>
        <v>큐리어스 스킨
(SKIN)</v>
      </c>
      <c r="B2255" s="90" t="s">
        <v>1872</v>
      </c>
      <c r="C2255" s="91"/>
      <c r="D2255" s="92" t="s">
        <v>3530</v>
      </c>
      <c r="E2255" s="89">
        <v>3250000</v>
      </c>
    </row>
    <row r="2256" spans="1:5" ht="15" customHeight="1" x14ac:dyDescent="0.2">
      <c r="A2256" s="683" t="str">
        <f t="shared" si="118"/>
        <v>큐리어스 스킨
(SKIN)</v>
      </c>
      <c r="B2256" s="90" t="s">
        <v>1872</v>
      </c>
      <c r="C2256" s="91"/>
      <c r="D2256" s="92" t="s">
        <v>3912</v>
      </c>
      <c r="E2256" s="89">
        <v>3475000</v>
      </c>
    </row>
    <row r="2257" spans="1:5" ht="15" customHeight="1" x14ac:dyDescent="0.2">
      <c r="A2257" s="683" t="str">
        <f t="shared" si="118"/>
        <v>큐리어스 스킨
(SKIN)</v>
      </c>
      <c r="B2257" s="90" t="s">
        <v>1872</v>
      </c>
      <c r="C2257" s="91"/>
      <c r="D2257" s="92" t="s">
        <v>3913</v>
      </c>
      <c r="E2257" s="89">
        <v>2345000</v>
      </c>
    </row>
    <row r="2258" spans="1:5" ht="15" customHeight="1" x14ac:dyDescent="0.2">
      <c r="A2258" s="683" t="str">
        <f t="shared" si="118"/>
        <v>큐리어스 스킨
(SKIN)</v>
      </c>
      <c r="B2258" s="90" t="s">
        <v>1872</v>
      </c>
      <c r="C2258" s="91"/>
      <c r="D2258" s="93" t="s">
        <v>3896</v>
      </c>
      <c r="E2258" s="89">
        <v>3050000</v>
      </c>
    </row>
    <row r="2259" spans="1:5" ht="15" customHeight="1" x14ac:dyDescent="0.2">
      <c r="A2259" s="682" t="str">
        <f t="shared" si="118"/>
        <v>큐리어스 스킨
(SKIN)</v>
      </c>
      <c r="B2259" s="90" t="s">
        <v>1872</v>
      </c>
      <c r="C2259" s="91"/>
      <c r="D2259" s="93" t="s">
        <v>3914</v>
      </c>
      <c r="E2259" s="89">
        <v>3750000</v>
      </c>
    </row>
    <row r="2260" spans="1:5" ht="15" customHeight="1" x14ac:dyDescent="0.2">
      <c r="A2260" s="702" t="s">
        <v>3915</v>
      </c>
      <c r="B2260" s="387" t="s">
        <v>1857</v>
      </c>
      <c r="C2260" s="461">
        <v>120</v>
      </c>
      <c r="D2260" s="489" t="s">
        <v>3523</v>
      </c>
      <c r="E2260" s="89">
        <v>645000</v>
      </c>
    </row>
    <row r="2261" spans="1:5" ht="15" customHeight="1" x14ac:dyDescent="0.2">
      <c r="A2261" s="703" t="str">
        <f t="shared" ref="A2261:A2278" si="119">A2260</f>
        <v>큐리어스 메탈릭 
이리데슨트
(POP)</v>
      </c>
      <c r="B2261" s="387" t="s">
        <v>1857</v>
      </c>
      <c r="C2261" s="91"/>
      <c r="D2261" s="92" t="s">
        <v>3916</v>
      </c>
      <c r="E2261" s="89">
        <v>475000</v>
      </c>
    </row>
    <row r="2262" spans="1:5" ht="15" customHeight="1" x14ac:dyDescent="0.2">
      <c r="A2262" s="703" t="str">
        <f t="shared" si="119"/>
        <v>큐리어스 메탈릭 
이리데슨트
(POP)</v>
      </c>
      <c r="B2262" s="387" t="s">
        <v>1857</v>
      </c>
      <c r="C2262" s="99"/>
      <c r="D2262" s="105" t="s">
        <v>3917</v>
      </c>
      <c r="E2262" s="89">
        <v>740000</v>
      </c>
    </row>
    <row r="2263" spans="1:5" ht="15" customHeight="1" x14ac:dyDescent="0.2">
      <c r="A2263" s="703" t="str">
        <f t="shared" si="119"/>
        <v>큐리어스 메탈릭 
이리데슨트
(POP)</v>
      </c>
      <c r="B2263" s="387" t="s">
        <v>1857</v>
      </c>
      <c r="C2263" s="96">
        <v>170</v>
      </c>
      <c r="D2263" s="98" t="s">
        <v>3918</v>
      </c>
      <c r="E2263" s="89">
        <v>700000</v>
      </c>
    </row>
    <row r="2264" spans="1:5" ht="15" customHeight="1" x14ac:dyDescent="0.2">
      <c r="A2264" s="703" t="str">
        <f t="shared" si="119"/>
        <v>큐리어스 메탈릭 
이리데슨트
(POP)</v>
      </c>
      <c r="B2264" s="387" t="s">
        <v>1857</v>
      </c>
      <c r="C2264" s="91"/>
      <c r="D2264" s="98" t="s">
        <v>3919</v>
      </c>
      <c r="E2264" s="89">
        <v>550000</v>
      </c>
    </row>
    <row r="2265" spans="1:5" ht="15" customHeight="1" x14ac:dyDescent="0.2">
      <c r="A2265" s="703" t="str">
        <f t="shared" si="119"/>
        <v>큐리어스 메탈릭 
이리데슨트
(POP)</v>
      </c>
      <c r="B2265" s="387" t="s">
        <v>1857</v>
      </c>
      <c r="C2265" s="99"/>
      <c r="D2265" s="98" t="s">
        <v>3919</v>
      </c>
      <c r="E2265" s="89">
        <v>550000</v>
      </c>
    </row>
    <row r="2266" spans="1:5" ht="15" customHeight="1" x14ac:dyDescent="0.2">
      <c r="A2266" s="703" t="str">
        <f t="shared" si="119"/>
        <v>큐리어스 메탈릭 
이리데슨트
(POP)</v>
      </c>
      <c r="B2266" s="387" t="s">
        <v>1857</v>
      </c>
      <c r="C2266" s="96">
        <v>240</v>
      </c>
      <c r="D2266" s="97" t="s">
        <v>1893</v>
      </c>
      <c r="E2266" s="89">
        <v>1285000</v>
      </c>
    </row>
    <row r="2267" spans="1:5" ht="15" customHeight="1" x14ac:dyDescent="0.2">
      <c r="A2267" s="703" t="str">
        <f t="shared" si="119"/>
        <v>큐리어스 메탈릭 
이리데슨트
(POP)</v>
      </c>
      <c r="B2267" s="387" t="s">
        <v>1857</v>
      </c>
      <c r="C2267" s="91"/>
      <c r="D2267" s="98" t="s">
        <v>2539</v>
      </c>
      <c r="E2267" s="89">
        <v>870000</v>
      </c>
    </row>
    <row r="2268" spans="1:5" ht="15" customHeight="1" x14ac:dyDescent="0.2">
      <c r="A2268" s="703" t="str">
        <f t="shared" si="119"/>
        <v>큐리어스 메탈릭 
이리데슨트
(POP)</v>
      </c>
      <c r="B2268" s="387" t="s">
        <v>1857</v>
      </c>
      <c r="C2268" s="91"/>
      <c r="D2268" s="98" t="s">
        <v>3920</v>
      </c>
      <c r="E2268" s="89">
        <v>825000</v>
      </c>
    </row>
    <row r="2269" spans="1:5" ht="15" customHeight="1" x14ac:dyDescent="0.2">
      <c r="A2269" s="703" t="str">
        <f t="shared" si="119"/>
        <v>큐리어스 메탈릭 
이리데슨트
(POP)</v>
      </c>
      <c r="B2269" s="387" t="s">
        <v>1857</v>
      </c>
      <c r="C2269" s="99"/>
      <c r="D2269" s="92" t="s">
        <v>3921</v>
      </c>
      <c r="E2269" s="89">
        <v>1055000</v>
      </c>
    </row>
    <row r="2270" spans="1:5" ht="15" customHeight="1" x14ac:dyDescent="0.2">
      <c r="A2270" s="703" t="str">
        <f t="shared" si="119"/>
        <v>큐리어스 메탈릭 
이리데슨트
(POP)</v>
      </c>
      <c r="B2270" s="387" t="s">
        <v>1857</v>
      </c>
      <c r="C2270" s="113">
        <v>300</v>
      </c>
      <c r="D2270" s="114" t="s">
        <v>3922</v>
      </c>
      <c r="E2270" s="89">
        <v>1610000</v>
      </c>
    </row>
    <row r="2271" spans="1:5" ht="15" customHeight="1" x14ac:dyDescent="0.2">
      <c r="A2271" s="703" t="str">
        <f t="shared" si="119"/>
        <v>큐리어스 메탈릭 
이리데슨트
(POP)</v>
      </c>
      <c r="B2271" s="95" t="s">
        <v>1865</v>
      </c>
      <c r="C2271" s="96">
        <v>120</v>
      </c>
      <c r="D2271" s="97" t="s">
        <v>3923</v>
      </c>
      <c r="E2271" s="89">
        <v>480000</v>
      </c>
    </row>
    <row r="2272" spans="1:5" ht="15" customHeight="1" x14ac:dyDescent="0.2">
      <c r="A2272" s="703" t="str">
        <f t="shared" si="119"/>
        <v>큐리어스 메탈릭 
이리데슨트
(POP)</v>
      </c>
      <c r="B2272" s="95" t="s">
        <v>1865</v>
      </c>
      <c r="C2272" s="91"/>
      <c r="D2272" s="98" t="s">
        <v>3924</v>
      </c>
      <c r="E2272" s="89">
        <v>270000</v>
      </c>
    </row>
    <row r="2273" spans="1:5" ht="15" customHeight="1" x14ac:dyDescent="0.2">
      <c r="A2273" s="703" t="str">
        <f t="shared" si="119"/>
        <v>큐리어스 메탈릭 
이리데슨트
(POP)</v>
      </c>
      <c r="B2273" s="95" t="s">
        <v>1865</v>
      </c>
      <c r="C2273" s="99"/>
      <c r="D2273" s="222" t="s">
        <v>3925</v>
      </c>
      <c r="E2273" s="89">
        <v>416000</v>
      </c>
    </row>
    <row r="2274" spans="1:5" ht="15" customHeight="1" x14ac:dyDescent="0.2">
      <c r="A2274" s="703" t="str">
        <f t="shared" si="119"/>
        <v>큐리어스 메탈릭 
이리데슨트
(POP)</v>
      </c>
      <c r="B2274" s="95" t="s">
        <v>1865</v>
      </c>
      <c r="C2274" s="96">
        <v>170</v>
      </c>
      <c r="D2274" s="109" t="s">
        <v>3926</v>
      </c>
      <c r="E2274" s="89">
        <v>420000</v>
      </c>
    </row>
    <row r="2275" spans="1:5" ht="15" customHeight="1" x14ac:dyDescent="0.2">
      <c r="A2275" s="703" t="str">
        <f t="shared" si="119"/>
        <v>큐리어스 메탈릭 
이리데슨트
(POP)</v>
      </c>
      <c r="B2275" s="95" t="s">
        <v>1865</v>
      </c>
      <c r="C2275" s="99"/>
      <c r="D2275" s="105" t="s">
        <v>3927</v>
      </c>
      <c r="E2275" s="89">
        <v>420000</v>
      </c>
    </row>
    <row r="2276" spans="1:5" ht="15" customHeight="1" x14ac:dyDescent="0.2">
      <c r="A2276" s="703" t="str">
        <f t="shared" si="119"/>
        <v>큐리어스 메탈릭 
이리데슨트
(POP)</v>
      </c>
      <c r="B2276" s="95" t="s">
        <v>1865</v>
      </c>
      <c r="C2276" s="96">
        <v>240</v>
      </c>
      <c r="D2276" s="92" t="s">
        <v>3799</v>
      </c>
      <c r="E2276" s="89">
        <v>895000</v>
      </c>
    </row>
    <row r="2277" spans="1:5" ht="15" customHeight="1" x14ac:dyDescent="0.2">
      <c r="A2277" s="703" t="str">
        <f t="shared" si="119"/>
        <v>큐리어스 메탈릭 
이리데슨트
(POP)</v>
      </c>
      <c r="B2277" s="95" t="s">
        <v>1865</v>
      </c>
      <c r="C2277" s="99"/>
      <c r="D2277" s="98" t="s">
        <v>3928</v>
      </c>
      <c r="E2277" s="89">
        <v>585000</v>
      </c>
    </row>
    <row r="2278" spans="1:5" ht="15" customHeight="1" x14ac:dyDescent="0.2">
      <c r="A2278" s="703" t="str">
        <f t="shared" si="119"/>
        <v>큐리어스 메탈릭 
이리데슨트
(POP)</v>
      </c>
      <c r="B2278" s="159" t="s">
        <v>2631</v>
      </c>
      <c r="C2278" s="113">
        <v>240</v>
      </c>
      <c r="D2278" s="109" t="s">
        <v>3929</v>
      </c>
      <c r="E2278" s="89">
        <v>920000</v>
      </c>
    </row>
    <row r="2279" spans="1:5" ht="15" customHeight="1" thickBot="1" x14ac:dyDescent="0.25">
      <c r="A2279" s="672" t="s">
        <v>3930</v>
      </c>
      <c r="B2279" s="516" t="s">
        <v>3931</v>
      </c>
      <c r="C2279" s="517">
        <v>62</v>
      </c>
      <c r="D2279" s="518" t="s">
        <v>3932</v>
      </c>
      <c r="E2279" s="89">
        <v>300000</v>
      </c>
    </row>
    <row r="2280" spans="1:5" ht="15" customHeight="1" thickBot="1" x14ac:dyDescent="0.25">
      <c r="A2280" s="704" t="str">
        <f t="shared" ref="A2280:A2293" si="120">A2279</f>
        <v xml:space="preserve">큐리어스 
트랜스루슨트
 클리어*
(XP)
</v>
      </c>
      <c r="B2280" s="516" t="s">
        <v>3931</v>
      </c>
      <c r="C2280" s="91">
        <v>72</v>
      </c>
      <c r="D2280" s="119" t="s">
        <v>2061</v>
      </c>
      <c r="E2280" s="89">
        <v>300000</v>
      </c>
    </row>
    <row r="2281" spans="1:5" ht="15" customHeight="1" thickBot="1" x14ac:dyDescent="0.25">
      <c r="A2281" s="704" t="str">
        <f t="shared" si="120"/>
        <v xml:space="preserve">큐리어스 
트랜스루슨트
 클리어*
(XP)
</v>
      </c>
      <c r="B2281" s="516" t="s">
        <v>3931</v>
      </c>
      <c r="C2281" s="91">
        <v>82</v>
      </c>
      <c r="D2281" s="119" t="s">
        <v>2052</v>
      </c>
      <c r="E2281" s="89">
        <v>350000</v>
      </c>
    </row>
    <row r="2282" spans="1:5" ht="15" customHeight="1" thickBot="1" x14ac:dyDescent="0.25">
      <c r="A2282" s="704" t="str">
        <f t="shared" si="120"/>
        <v xml:space="preserve">큐리어스 
트랜스루슨트
 클리어*
(XP)
</v>
      </c>
      <c r="B2282" s="516" t="s">
        <v>3931</v>
      </c>
      <c r="C2282" s="91">
        <v>92</v>
      </c>
      <c r="D2282" s="119" t="s">
        <v>2053</v>
      </c>
      <c r="E2282" s="89">
        <v>405000</v>
      </c>
    </row>
    <row r="2283" spans="1:5" ht="15" customHeight="1" thickBot="1" x14ac:dyDescent="0.25">
      <c r="A2283" s="704" t="str">
        <f t="shared" si="120"/>
        <v xml:space="preserve">큐리어스 
트랜스루슨트
 클리어*
(XP)
</v>
      </c>
      <c r="B2283" s="516" t="s">
        <v>3931</v>
      </c>
      <c r="C2283" s="91">
        <v>102</v>
      </c>
      <c r="D2283" s="119" t="s">
        <v>2054</v>
      </c>
      <c r="E2283" s="89">
        <v>410000</v>
      </c>
    </row>
    <row r="2284" spans="1:5" ht="15" customHeight="1" thickBot="1" x14ac:dyDescent="0.25">
      <c r="A2284" s="704" t="str">
        <f t="shared" si="120"/>
        <v xml:space="preserve">큐리어스 
트랜스루슨트
 클리어*
(XP)
</v>
      </c>
      <c r="B2284" s="516" t="s">
        <v>3931</v>
      </c>
      <c r="C2284" s="91">
        <v>112</v>
      </c>
      <c r="D2284" s="119" t="s">
        <v>2055</v>
      </c>
      <c r="E2284" s="89">
        <v>720000</v>
      </c>
    </row>
    <row r="2285" spans="1:5" ht="15" customHeight="1" thickBot="1" x14ac:dyDescent="0.25">
      <c r="A2285" s="704" t="str">
        <f t="shared" si="120"/>
        <v xml:space="preserve">큐리어스 
트랜스루슨트
 클리어*
(XP)
</v>
      </c>
      <c r="B2285" s="516" t="s">
        <v>3931</v>
      </c>
      <c r="C2285" s="91">
        <v>140</v>
      </c>
      <c r="D2285" s="119" t="s">
        <v>2056</v>
      </c>
      <c r="E2285" s="89">
        <v>800000</v>
      </c>
    </row>
    <row r="2286" spans="1:5" ht="15" customHeight="1" thickBot="1" x14ac:dyDescent="0.25">
      <c r="A2286" s="704" t="str">
        <f t="shared" si="120"/>
        <v xml:space="preserve">큐리어스 
트랜스루슨트
 클리어*
(XP)
</v>
      </c>
      <c r="B2286" s="516" t="s">
        <v>3931</v>
      </c>
      <c r="C2286" s="91">
        <v>150</v>
      </c>
      <c r="D2286" s="119" t="s">
        <v>3933</v>
      </c>
      <c r="E2286" s="89">
        <v>965000</v>
      </c>
    </row>
    <row r="2287" spans="1:5" ht="15" customHeight="1" thickBot="1" x14ac:dyDescent="0.25">
      <c r="A2287" s="704" t="str">
        <f t="shared" si="120"/>
        <v xml:space="preserve">큐리어스 
트랜스루슨트
 클리어*
(XP)
</v>
      </c>
      <c r="B2287" s="516" t="s">
        <v>3931</v>
      </c>
      <c r="C2287" s="91">
        <v>180</v>
      </c>
      <c r="D2287" s="119" t="s">
        <v>2057</v>
      </c>
      <c r="E2287" s="89">
        <v>1210000</v>
      </c>
    </row>
    <row r="2288" spans="1:5" ht="15" customHeight="1" thickBot="1" x14ac:dyDescent="0.25">
      <c r="A2288" s="704" t="str">
        <f t="shared" si="120"/>
        <v xml:space="preserve">큐리어스 
트랜스루슨트
 클리어*
(XP)
</v>
      </c>
      <c r="B2288" s="516" t="s">
        <v>3931</v>
      </c>
      <c r="C2288" s="99">
        <v>230</v>
      </c>
      <c r="D2288" s="405" t="s">
        <v>2058</v>
      </c>
      <c r="E2288" s="89">
        <v>1560000</v>
      </c>
    </row>
    <row r="2289" spans="1:5" ht="15" customHeight="1" thickBot="1" x14ac:dyDescent="0.25">
      <c r="A2289" s="704" t="str">
        <f t="shared" si="120"/>
        <v xml:space="preserve">큐리어스 
트랜스루슨트
 클리어*
(XP)
</v>
      </c>
      <c r="B2289" s="516" t="s">
        <v>3931</v>
      </c>
      <c r="C2289" s="113" t="s">
        <v>3934</v>
      </c>
      <c r="D2289" s="142" t="s">
        <v>3935</v>
      </c>
      <c r="E2289" s="89">
        <v>450000</v>
      </c>
    </row>
    <row r="2290" spans="1:5" ht="15" customHeight="1" thickBot="1" x14ac:dyDescent="0.25">
      <c r="A2290" s="704" t="str">
        <f t="shared" si="120"/>
        <v xml:space="preserve">큐리어스 
트랜스루슨트
 클리어*
(XP)
</v>
      </c>
      <c r="B2290" s="95" t="s">
        <v>1999</v>
      </c>
      <c r="C2290" s="96">
        <v>82</v>
      </c>
      <c r="D2290" s="109" t="s">
        <v>3936</v>
      </c>
      <c r="E2290" s="89">
        <v>450000</v>
      </c>
    </row>
    <row r="2291" spans="1:5" ht="15" customHeight="1" thickBot="1" x14ac:dyDescent="0.25">
      <c r="A2291" s="704" t="str">
        <f t="shared" si="120"/>
        <v xml:space="preserve">큐리어스 
트랜스루슨트
 클리어*
(XP)
</v>
      </c>
      <c r="B2291" s="95" t="s">
        <v>1999</v>
      </c>
      <c r="C2291" s="91">
        <v>92</v>
      </c>
      <c r="D2291" s="119" t="s">
        <v>3937</v>
      </c>
      <c r="E2291" s="89">
        <v>650000</v>
      </c>
    </row>
    <row r="2292" spans="1:5" ht="15" customHeight="1" thickBot="1" x14ac:dyDescent="0.25">
      <c r="A2292" s="704" t="str">
        <f t="shared" si="120"/>
        <v xml:space="preserve">큐리어스 
트랜스루슨트
 클리어*
(XP)
</v>
      </c>
      <c r="B2292" s="159" t="s">
        <v>3938</v>
      </c>
      <c r="C2292" s="113">
        <v>82</v>
      </c>
      <c r="D2292" s="142" t="s">
        <v>3939</v>
      </c>
    </row>
    <row r="2293" spans="1:5" ht="15" customHeight="1" x14ac:dyDescent="0.2">
      <c r="A2293" s="705" t="str">
        <f t="shared" si="120"/>
        <v xml:space="preserve">큐리어스 
트랜스루슨트
 클리어*
(XP)
</v>
      </c>
      <c r="B2293" s="118" t="s">
        <v>2658</v>
      </c>
      <c r="C2293" s="91">
        <v>82</v>
      </c>
      <c r="D2293" s="92" t="s">
        <v>3939</v>
      </c>
    </row>
    <row r="2294" spans="1:5" ht="15" customHeight="1" x14ac:dyDescent="0.2">
      <c r="A2294" s="677" t="s">
        <v>3940</v>
      </c>
      <c r="B2294" s="387" t="s">
        <v>1879</v>
      </c>
      <c r="C2294" s="461">
        <v>224</v>
      </c>
      <c r="D2294" s="489"/>
      <c r="E2294" s="89">
        <v>287000</v>
      </c>
    </row>
    <row r="2295" spans="1:5" ht="15" customHeight="1" x14ac:dyDescent="0.2">
      <c r="A2295" s="685" t="str">
        <f t="shared" ref="A2295:A2313" si="121">A2294</f>
        <v>크라프트팩
(KPAK)</v>
      </c>
      <c r="B2295" s="387" t="s">
        <v>1879</v>
      </c>
      <c r="C2295" s="91">
        <v>244</v>
      </c>
      <c r="D2295" s="98"/>
      <c r="E2295" s="89">
        <v>312000</v>
      </c>
    </row>
    <row r="2296" spans="1:5" ht="15" customHeight="1" x14ac:dyDescent="0.2">
      <c r="A2296" s="685" t="str">
        <f t="shared" si="121"/>
        <v>크라프트팩
(KPAK)</v>
      </c>
      <c r="B2296" s="387" t="s">
        <v>1879</v>
      </c>
      <c r="C2296" s="91">
        <v>259</v>
      </c>
      <c r="D2296" s="98"/>
      <c r="E2296" s="89">
        <v>330000</v>
      </c>
    </row>
    <row r="2297" spans="1:5" ht="15" customHeight="1" x14ac:dyDescent="0.2">
      <c r="A2297" s="685" t="str">
        <f t="shared" si="121"/>
        <v>크라프트팩
(KPAK)</v>
      </c>
      <c r="B2297" s="387" t="s">
        <v>1879</v>
      </c>
      <c r="C2297" s="91">
        <v>283</v>
      </c>
      <c r="D2297" s="98"/>
      <c r="E2297" s="89">
        <v>361000</v>
      </c>
    </row>
    <row r="2298" spans="1:5" ht="15" customHeight="1" x14ac:dyDescent="0.2">
      <c r="A2298" s="685" t="str">
        <f t="shared" si="121"/>
        <v>크라프트팩
(KPAK)</v>
      </c>
      <c r="B2298" s="387" t="s">
        <v>1879</v>
      </c>
      <c r="C2298" s="91">
        <v>308</v>
      </c>
      <c r="D2298" s="98"/>
      <c r="E2298" s="89">
        <v>383000</v>
      </c>
    </row>
    <row r="2299" spans="1:5" ht="15" customHeight="1" x14ac:dyDescent="0.2">
      <c r="A2299" s="685" t="str">
        <f t="shared" si="121"/>
        <v>크라프트팩
(KPAK)</v>
      </c>
      <c r="B2299" s="387" t="s">
        <v>1879</v>
      </c>
      <c r="C2299" s="91">
        <v>332</v>
      </c>
      <c r="D2299" s="98"/>
      <c r="E2299" s="89">
        <v>414000</v>
      </c>
    </row>
    <row r="2300" spans="1:5" ht="15" customHeight="1" x14ac:dyDescent="0.2">
      <c r="A2300" s="685" t="str">
        <f t="shared" si="121"/>
        <v>크라프트팩
(KPAK)</v>
      </c>
      <c r="B2300" s="387" t="s">
        <v>1879</v>
      </c>
      <c r="C2300" s="91">
        <v>356</v>
      </c>
      <c r="D2300" s="98"/>
      <c r="E2300" s="89">
        <v>444000</v>
      </c>
    </row>
    <row r="2301" spans="1:5" ht="15" customHeight="1" x14ac:dyDescent="0.2">
      <c r="A2301" s="685" t="str">
        <f t="shared" si="121"/>
        <v>크라프트팩
(KPAK)</v>
      </c>
      <c r="B2301" s="387" t="s">
        <v>1879</v>
      </c>
      <c r="C2301" s="91">
        <v>385</v>
      </c>
      <c r="D2301" s="98"/>
      <c r="E2301" s="89">
        <v>481000</v>
      </c>
    </row>
    <row r="2302" spans="1:5" ht="15" customHeight="1" x14ac:dyDescent="0.2">
      <c r="A2302" s="685" t="str">
        <f t="shared" si="121"/>
        <v>크라프트팩
(KPAK)</v>
      </c>
      <c r="B2302" s="95" t="s">
        <v>1865</v>
      </c>
      <c r="C2302" s="96">
        <v>224</v>
      </c>
      <c r="D2302" s="109"/>
      <c r="E2302" s="89">
        <v>199000</v>
      </c>
    </row>
    <row r="2303" spans="1:5" ht="15" customHeight="1" x14ac:dyDescent="0.2">
      <c r="A2303" s="685" t="str">
        <f t="shared" si="121"/>
        <v>크라프트팩
(KPAK)</v>
      </c>
      <c r="B2303" s="95" t="s">
        <v>1865</v>
      </c>
      <c r="C2303" s="91">
        <v>244</v>
      </c>
      <c r="D2303" s="98"/>
      <c r="E2303" s="89">
        <v>216000</v>
      </c>
    </row>
    <row r="2304" spans="1:5" ht="15" customHeight="1" x14ac:dyDescent="0.2">
      <c r="A2304" s="685" t="str">
        <f t="shared" si="121"/>
        <v>크라프트팩
(KPAK)</v>
      </c>
      <c r="B2304" s="95" t="s">
        <v>1865</v>
      </c>
      <c r="C2304" s="91">
        <v>259</v>
      </c>
      <c r="D2304" s="98"/>
      <c r="E2304" s="89">
        <v>230000</v>
      </c>
    </row>
    <row r="2305" spans="1:5" ht="15" customHeight="1" x14ac:dyDescent="0.2">
      <c r="A2305" s="685" t="str">
        <f t="shared" si="121"/>
        <v>크라프트팩
(KPAK)</v>
      </c>
      <c r="B2305" s="95" t="s">
        <v>1865</v>
      </c>
      <c r="C2305" s="91">
        <v>283</v>
      </c>
      <c r="D2305" s="98"/>
      <c r="E2305" s="89">
        <v>251000</v>
      </c>
    </row>
    <row r="2306" spans="1:5" ht="15" customHeight="1" x14ac:dyDescent="0.2">
      <c r="A2306" s="685" t="str">
        <f t="shared" si="121"/>
        <v>크라프트팩
(KPAK)</v>
      </c>
      <c r="B2306" s="95" t="s">
        <v>1865</v>
      </c>
      <c r="C2306" s="91">
        <v>308</v>
      </c>
      <c r="D2306" s="98"/>
      <c r="E2306" s="89">
        <v>266000</v>
      </c>
    </row>
    <row r="2307" spans="1:5" ht="15" customHeight="1" x14ac:dyDescent="0.2">
      <c r="A2307" s="685" t="str">
        <f t="shared" si="121"/>
        <v>크라프트팩
(KPAK)</v>
      </c>
      <c r="B2307" s="95" t="s">
        <v>1865</v>
      </c>
      <c r="C2307" s="91">
        <v>332</v>
      </c>
      <c r="D2307" s="98"/>
      <c r="E2307" s="89">
        <v>287000</v>
      </c>
    </row>
    <row r="2308" spans="1:5" ht="15" customHeight="1" x14ac:dyDescent="0.2">
      <c r="A2308" s="685" t="str">
        <f t="shared" si="121"/>
        <v>크라프트팩
(KPAK)</v>
      </c>
      <c r="B2308" s="95" t="s">
        <v>1865</v>
      </c>
      <c r="C2308" s="91">
        <v>356</v>
      </c>
      <c r="D2308" s="98"/>
      <c r="E2308" s="89">
        <v>308000</v>
      </c>
    </row>
    <row r="2309" spans="1:5" ht="15" customHeight="1" x14ac:dyDescent="0.2">
      <c r="A2309" s="685" t="str">
        <f t="shared" si="121"/>
        <v>크라프트팩
(KPAK)</v>
      </c>
      <c r="B2309" s="95" t="s">
        <v>2041</v>
      </c>
      <c r="C2309" s="96">
        <v>224</v>
      </c>
      <c r="D2309" s="109"/>
      <c r="E2309" s="89">
        <v>148000</v>
      </c>
    </row>
    <row r="2310" spans="1:5" ht="15" customHeight="1" x14ac:dyDescent="0.2">
      <c r="A2310" s="685" t="str">
        <f t="shared" si="121"/>
        <v>크라프트팩
(KPAK)</v>
      </c>
      <c r="B2310" s="95" t="s">
        <v>2041</v>
      </c>
      <c r="C2310" s="91">
        <v>244</v>
      </c>
      <c r="D2310" s="98"/>
      <c r="E2310" s="89">
        <v>161000</v>
      </c>
    </row>
    <row r="2311" spans="1:5" ht="15" customHeight="1" x14ac:dyDescent="0.2">
      <c r="A2311" s="685" t="str">
        <f t="shared" si="121"/>
        <v>크라프트팩
(KPAK)</v>
      </c>
      <c r="B2311" s="95" t="s">
        <v>2041</v>
      </c>
      <c r="C2311" s="91">
        <v>259</v>
      </c>
      <c r="D2311" s="98"/>
      <c r="E2311" s="89">
        <v>170000</v>
      </c>
    </row>
    <row r="2312" spans="1:5" ht="15" customHeight="1" x14ac:dyDescent="0.2">
      <c r="A2312" s="685" t="str">
        <f t="shared" si="121"/>
        <v>크라프트팩
(KPAK)</v>
      </c>
      <c r="B2312" s="95" t="s">
        <v>2041</v>
      </c>
      <c r="C2312" s="91">
        <v>283</v>
      </c>
      <c r="D2312" s="98"/>
      <c r="E2312" s="89">
        <v>186000</v>
      </c>
    </row>
    <row r="2313" spans="1:5" ht="15" customHeight="1" x14ac:dyDescent="0.2">
      <c r="A2313" s="685" t="str">
        <f t="shared" si="121"/>
        <v>크라프트팩
(KPAK)</v>
      </c>
      <c r="B2313" s="95" t="s">
        <v>2041</v>
      </c>
      <c r="C2313" s="91">
        <v>308</v>
      </c>
      <c r="D2313" s="98"/>
      <c r="E2313" s="89">
        <v>198000</v>
      </c>
    </row>
    <row r="2314" spans="1:5" ht="15" customHeight="1" x14ac:dyDescent="0.2">
      <c r="A2314" s="677" t="s">
        <v>3941</v>
      </c>
      <c r="B2314" s="387" t="s">
        <v>1879</v>
      </c>
      <c r="C2314" s="461">
        <v>258</v>
      </c>
      <c r="D2314" s="109" t="s">
        <v>3942</v>
      </c>
      <c r="E2314" s="89">
        <v>306000</v>
      </c>
    </row>
    <row r="2315" spans="1:5" ht="15" customHeight="1" x14ac:dyDescent="0.2">
      <c r="A2315" s="685" t="str">
        <f t="shared" ref="A2315:A2332" si="122">A2314</f>
        <v>크라프트팩 EV
(KPAKE)</v>
      </c>
      <c r="B2315" s="387" t="s">
        <v>1879</v>
      </c>
      <c r="C2315" s="91">
        <v>288</v>
      </c>
      <c r="D2315" s="98" t="s">
        <v>3943</v>
      </c>
      <c r="E2315" s="89">
        <v>333000</v>
      </c>
    </row>
    <row r="2316" spans="1:5" ht="15" customHeight="1" x14ac:dyDescent="0.2">
      <c r="A2316" s="685" t="str">
        <f t="shared" si="122"/>
        <v>크라프트팩 EV
(KPAKE)</v>
      </c>
      <c r="B2316" s="387" t="s">
        <v>1879</v>
      </c>
      <c r="C2316" s="91">
        <v>302</v>
      </c>
      <c r="D2316" s="98" t="s">
        <v>3944</v>
      </c>
      <c r="E2316" s="89">
        <v>353000</v>
      </c>
    </row>
    <row r="2317" spans="1:5" ht="15" customHeight="1" x14ac:dyDescent="0.2">
      <c r="A2317" s="685" t="str">
        <f t="shared" si="122"/>
        <v>크라프트팩 EV
(KPAKE)</v>
      </c>
      <c r="B2317" s="387" t="s">
        <v>1879</v>
      </c>
      <c r="C2317" s="91">
        <v>332</v>
      </c>
      <c r="D2317" s="98" t="s">
        <v>3945</v>
      </c>
      <c r="E2317" s="89">
        <v>387000</v>
      </c>
    </row>
    <row r="2318" spans="1:5" ht="15" customHeight="1" x14ac:dyDescent="0.2">
      <c r="A2318" s="685" t="str">
        <f t="shared" si="122"/>
        <v>크라프트팩 EV
(KPAKE)</v>
      </c>
      <c r="B2318" s="387" t="s">
        <v>1879</v>
      </c>
      <c r="C2318" s="91">
        <v>356</v>
      </c>
      <c r="D2318" s="98" t="s">
        <v>3946</v>
      </c>
      <c r="E2318" s="89">
        <v>409000</v>
      </c>
    </row>
    <row r="2319" spans="1:5" ht="15" customHeight="1" x14ac:dyDescent="0.2">
      <c r="A2319" s="685" t="str">
        <f t="shared" si="122"/>
        <v>크라프트팩 EV
(KPAKE)</v>
      </c>
      <c r="B2319" s="387" t="s">
        <v>1879</v>
      </c>
      <c r="C2319" s="91">
        <v>380</v>
      </c>
      <c r="D2319" s="98" t="s">
        <v>3947</v>
      </c>
      <c r="E2319" s="89">
        <v>442000</v>
      </c>
    </row>
    <row r="2320" spans="1:5" ht="15" customHeight="1" x14ac:dyDescent="0.2">
      <c r="A2320" s="685" t="e">
        <f>#REF!</f>
        <v>#REF!</v>
      </c>
      <c r="B2320" s="387" t="s">
        <v>1879</v>
      </c>
      <c r="C2320" s="91">
        <v>410</v>
      </c>
      <c r="D2320" s="98" t="s">
        <v>3948</v>
      </c>
      <c r="E2320" s="89">
        <v>474000</v>
      </c>
    </row>
    <row r="2321" spans="1:5" ht="15" customHeight="1" x14ac:dyDescent="0.2">
      <c r="A2321" s="685" t="e">
        <f t="shared" si="122"/>
        <v>#REF!</v>
      </c>
      <c r="B2321" s="95" t="s">
        <v>1865</v>
      </c>
      <c r="C2321" s="96">
        <v>258</v>
      </c>
      <c r="D2321" s="109" t="s">
        <v>3949</v>
      </c>
      <c r="E2321" s="89">
        <v>213000</v>
      </c>
    </row>
    <row r="2322" spans="1:5" ht="15" customHeight="1" x14ac:dyDescent="0.2">
      <c r="A2322" s="685" t="e">
        <f t="shared" si="122"/>
        <v>#REF!</v>
      </c>
      <c r="B2322" s="95" t="s">
        <v>1865</v>
      </c>
      <c r="C2322" s="91">
        <v>288</v>
      </c>
      <c r="D2322" s="98" t="s">
        <v>2907</v>
      </c>
      <c r="E2322" s="89">
        <v>231000</v>
      </c>
    </row>
    <row r="2323" spans="1:5" ht="15" customHeight="1" x14ac:dyDescent="0.2">
      <c r="A2323" s="685" t="e">
        <f t="shared" si="122"/>
        <v>#REF!</v>
      </c>
      <c r="B2323" s="95" t="s">
        <v>1865</v>
      </c>
      <c r="C2323" s="91">
        <v>302</v>
      </c>
      <c r="D2323" s="98" t="s">
        <v>3950</v>
      </c>
      <c r="E2323" s="89">
        <v>245000</v>
      </c>
    </row>
    <row r="2324" spans="1:5" ht="15" customHeight="1" x14ac:dyDescent="0.2">
      <c r="A2324" s="685" t="e">
        <f t="shared" si="122"/>
        <v>#REF!</v>
      </c>
      <c r="B2324" s="95" t="s">
        <v>1865</v>
      </c>
      <c r="C2324" s="91">
        <v>332</v>
      </c>
      <c r="D2324" s="98" t="s">
        <v>3951</v>
      </c>
      <c r="E2324" s="89">
        <v>268000</v>
      </c>
    </row>
    <row r="2325" spans="1:5" ht="15" customHeight="1" x14ac:dyDescent="0.2">
      <c r="A2325" s="685" t="e">
        <f t="shared" si="122"/>
        <v>#REF!</v>
      </c>
      <c r="B2325" s="95" t="s">
        <v>1865</v>
      </c>
      <c r="C2325" s="91">
        <v>356</v>
      </c>
      <c r="D2325" s="98" t="s">
        <v>3952</v>
      </c>
      <c r="E2325" s="89">
        <v>284000</v>
      </c>
    </row>
    <row r="2326" spans="1:5" ht="15" customHeight="1" x14ac:dyDescent="0.2">
      <c r="A2326" s="685" t="e">
        <f t="shared" si="122"/>
        <v>#REF!</v>
      </c>
      <c r="B2326" s="95" t="s">
        <v>1865</v>
      </c>
      <c r="C2326" s="91">
        <v>380</v>
      </c>
      <c r="D2326" s="98" t="s">
        <v>3953</v>
      </c>
      <c r="E2326" s="89">
        <v>306000</v>
      </c>
    </row>
    <row r="2327" spans="1:5" ht="15" customHeight="1" x14ac:dyDescent="0.2">
      <c r="A2327" s="685" t="e">
        <f t="shared" si="122"/>
        <v>#REF!</v>
      </c>
      <c r="B2327" s="95" t="s">
        <v>1865</v>
      </c>
      <c r="C2327" s="91">
        <v>410</v>
      </c>
      <c r="D2327" s="98" t="s">
        <v>3954</v>
      </c>
      <c r="E2327" s="89">
        <v>329000</v>
      </c>
    </row>
    <row r="2328" spans="1:5" ht="15" customHeight="1" x14ac:dyDescent="0.2">
      <c r="A2328" s="685" t="e">
        <f t="shared" si="122"/>
        <v>#REF!</v>
      </c>
      <c r="B2328" s="95" t="s">
        <v>2041</v>
      </c>
      <c r="C2328" s="96">
        <v>258</v>
      </c>
      <c r="D2328" s="109" t="s">
        <v>3955</v>
      </c>
      <c r="E2328" s="89">
        <v>148000</v>
      </c>
    </row>
    <row r="2329" spans="1:5" ht="15" customHeight="1" x14ac:dyDescent="0.2">
      <c r="A2329" s="685" t="e">
        <f t="shared" si="122"/>
        <v>#REF!</v>
      </c>
      <c r="B2329" s="95" t="s">
        <v>2041</v>
      </c>
      <c r="C2329" s="91">
        <v>288</v>
      </c>
      <c r="D2329" s="98" t="s">
        <v>3956</v>
      </c>
      <c r="E2329" s="89">
        <v>161000</v>
      </c>
    </row>
    <row r="2330" spans="1:5" ht="15" customHeight="1" x14ac:dyDescent="0.2">
      <c r="A2330" s="685" t="e">
        <f t="shared" si="122"/>
        <v>#REF!</v>
      </c>
      <c r="B2330" s="95" t="s">
        <v>2041</v>
      </c>
      <c r="C2330" s="91">
        <v>302</v>
      </c>
      <c r="D2330" s="98" t="s">
        <v>3957</v>
      </c>
      <c r="E2330" s="89">
        <v>170000</v>
      </c>
    </row>
    <row r="2331" spans="1:5" ht="15" customHeight="1" x14ac:dyDescent="0.2">
      <c r="A2331" s="685" t="e">
        <f t="shared" si="122"/>
        <v>#REF!</v>
      </c>
      <c r="B2331" s="95" t="s">
        <v>2041</v>
      </c>
      <c r="C2331" s="91">
        <v>332</v>
      </c>
      <c r="D2331" s="98" t="s">
        <v>3958</v>
      </c>
      <c r="E2331" s="89">
        <v>186000</v>
      </c>
    </row>
    <row r="2332" spans="1:5" ht="15" customHeight="1" x14ac:dyDescent="0.2">
      <c r="A2332" s="685" t="e">
        <f t="shared" si="122"/>
        <v>#REF!</v>
      </c>
      <c r="B2332" s="95" t="s">
        <v>2041</v>
      </c>
      <c r="C2332" s="91">
        <v>356</v>
      </c>
      <c r="D2332" s="98" t="s">
        <v>3959</v>
      </c>
      <c r="E2332" s="89">
        <v>198000</v>
      </c>
    </row>
    <row r="2333" spans="1:5" ht="15" customHeight="1" x14ac:dyDescent="0.2">
      <c r="A2333" s="685" t="s">
        <v>3960</v>
      </c>
      <c r="B2333" s="90" t="s">
        <v>2010</v>
      </c>
      <c r="C2333" s="91">
        <v>125</v>
      </c>
      <c r="D2333" s="92" t="s">
        <v>3961</v>
      </c>
      <c r="E2333" s="89">
        <v>110000</v>
      </c>
    </row>
    <row r="2334" spans="1:5" ht="15" customHeight="1" x14ac:dyDescent="0.2">
      <c r="A2334" s="685" t="str">
        <f t="shared" ref="A2334:A2343" si="123">A2333</f>
        <v>크라프트 라이너
(KFL)</v>
      </c>
      <c r="B2334" s="90" t="s">
        <v>2010</v>
      </c>
      <c r="C2334" s="99">
        <v>170</v>
      </c>
      <c r="D2334" s="100"/>
      <c r="E2334" s="89">
        <v>150000</v>
      </c>
    </row>
    <row r="2335" spans="1:5" ht="15" customHeight="1" x14ac:dyDescent="0.2">
      <c r="A2335" s="685" t="str">
        <f t="shared" si="123"/>
        <v>크라프트 라이너
(KFL)</v>
      </c>
      <c r="B2335" s="90" t="s">
        <v>2010</v>
      </c>
      <c r="C2335" s="91">
        <v>100</v>
      </c>
      <c r="D2335" s="92" t="s">
        <v>3962</v>
      </c>
      <c r="E2335" s="89">
        <v>85000</v>
      </c>
    </row>
    <row r="2336" spans="1:5" ht="15" customHeight="1" x14ac:dyDescent="0.2">
      <c r="A2336" s="685" t="str">
        <f t="shared" si="123"/>
        <v>크라프트 라이너
(KFL)</v>
      </c>
      <c r="B2336" s="90" t="s">
        <v>2010</v>
      </c>
      <c r="C2336" s="91">
        <v>115</v>
      </c>
      <c r="D2336" s="92"/>
      <c r="E2336" s="89">
        <v>95000</v>
      </c>
    </row>
    <row r="2337" spans="1:5" ht="15" customHeight="1" x14ac:dyDescent="0.2">
      <c r="A2337" s="685" t="str">
        <f t="shared" si="123"/>
        <v>크라프트 라이너
(KFL)</v>
      </c>
      <c r="B2337" s="90" t="s">
        <v>2010</v>
      </c>
      <c r="C2337" s="99">
        <v>160</v>
      </c>
      <c r="D2337" s="222"/>
      <c r="E2337" s="89">
        <v>125000</v>
      </c>
    </row>
    <row r="2338" spans="1:5" ht="15" customHeight="1" x14ac:dyDescent="0.2">
      <c r="A2338" s="685" t="str">
        <f t="shared" si="123"/>
        <v>크라프트 라이너
(KFL)</v>
      </c>
      <c r="B2338" s="90" t="s">
        <v>3963</v>
      </c>
      <c r="C2338" s="91">
        <v>170</v>
      </c>
      <c r="D2338" s="98" t="s">
        <v>3964</v>
      </c>
      <c r="E2338" s="89">
        <v>155000</v>
      </c>
    </row>
    <row r="2339" spans="1:5" ht="15" customHeight="1" x14ac:dyDescent="0.2">
      <c r="A2339" s="685" t="str">
        <f t="shared" si="123"/>
        <v>크라프트 라이너
(KFL)</v>
      </c>
      <c r="B2339" s="90" t="s">
        <v>3963</v>
      </c>
      <c r="C2339" s="91">
        <v>200</v>
      </c>
      <c r="D2339" s="156"/>
      <c r="E2339" s="89">
        <v>169000</v>
      </c>
    </row>
    <row r="2340" spans="1:5" ht="15" customHeight="1" x14ac:dyDescent="0.2">
      <c r="A2340" s="685" t="str">
        <f t="shared" si="123"/>
        <v>크라프트 라이너
(KFL)</v>
      </c>
      <c r="B2340" s="90" t="s">
        <v>3963</v>
      </c>
      <c r="C2340" s="91">
        <v>225</v>
      </c>
      <c r="D2340" s="156"/>
      <c r="E2340" s="89">
        <v>218000</v>
      </c>
    </row>
    <row r="2341" spans="1:5" ht="15" customHeight="1" x14ac:dyDescent="0.2">
      <c r="A2341" s="685" t="str">
        <f t="shared" si="123"/>
        <v>크라프트 라이너
(KFL)</v>
      </c>
      <c r="B2341" s="90" t="s">
        <v>3963</v>
      </c>
      <c r="C2341" s="91">
        <v>270</v>
      </c>
      <c r="D2341" s="98"/>
      <c r="E2341" s="89">
        <v>245000</v>
      </c>
    </row>
    <row r="2342" spans="1:5" ht="15" customHeight="1" x14ac:dyDescent="0.2">
      <c r="A2342" s="685" t="str">
        <f t="shared" si="123"/>
        <v>크라프트 라이너
(KFL)</v>
      </c>
      <c r="B2342" s="90" t="s">
        <v>3963</v>
      </c>
      <c r="C2342" s="91">
        <v>300</v>
      </c>
      <c r="D2342" s="98"/>
      <c r="E2342" s="89">
        <v>265000</v>
      </c>
    </row>
    <row r="2343" spans="1:5" ht="15" customHeight="1" x14ac:dyDescent="0.2">
      <c r="A2343" s="685" t="str">
        <f t="shared" si="123"/>
        <v>크라프트 라이너
(KFL)</v>
      </c>
      <c r="B2343" s="90" t="s">
        <v>3963</v>
      </c>
      <c r="C2343" s="99">
        <v>337</v>
      </c>
      <c r="D2343" s="105"/>
      <c r="E2343" s="89">
        <v>300000</v>
      </c>
    </row>
    <row r="2344" spans="1:5" ht="15" customHeight="1" x14ac:dyDescent="0.2">
      <c r="A2344" s="697" t="s">
        <v>3965</v>
      </c>
      <c r="B2344" s="519" t="s">
        <v>3966</v>
      </c>
      <c r="C2344" s="517">
        <v>60</v>
      </c>
      <c r="D2344" s="518" t="s">
        <v>3967</v>
      </c>
      <c r="E2344" s="89">
        <v>207500</v>
      </c>
    </row>
    <row r="2345" spans="1:5" ht="15" customHeight="1" x14ac:dyDescent="0.2">
      <c r="A2345" s="680" t="str">
        <f t="shared" ref="A2345:A2358" si="124">A2344</f>
        <v>크리스탈 트레싱지
(CRS)</v>
      </c>
      <c r="B2345" s="253" t="s">
        <v>1857</v>
      </c>
      <c r="C2345" s="91">
        <v>70</v>
      </c>
      <c r="D2345" s="98" t="s">
        <v>3968</v>
      </c>
      <c r="E2345" s="89">
        <v>240000</v>
      </c>
    </row>
    <row r="2346" spans="1:5" ht="15" customHeight="1" x14ac:dyDescent="0.2">
      <c r="A2346" s="680" t="str">
        <f t="shared" si="124"/>
        <v>크리스탈 트레싱지
(CRS)</v>
      </c>
      <c r="B2346" s="253" t="s">
        <v>1857</v>
      </c>
      <c r="C2346" s="91">
        <v>80</v>
      </c>
      <c r="D2346" s="98" t="s">
        <v>3969</v>
      </c>
      <c r="E2346" s="89">
        <v>275000</v>
      </c>
    </row>
    <row r="2347" spans="1:5" ht="15" customHeight="1" x14ac:dyDescent="0.2">
      <c r="A2347" s="680" t="str">
        <f t="shared" si="124"/>
        <v>크리스탈 트레싱지
(CRS)</v>
      </c>
      <c r="B2347" s="253" t="s">
        <v>1857</v>
      </c>
      <c r="C2347" s="91">
        <v>90</v>
      </c>
      <c r="D2347" s="98" t="s">
        <v>3970</v>
      </c>
      <c r="E2347" s="89">
        <v>310000</v>
      </c>
    </row>
    <row r="2348" spans="1:5" ht="15" customHeight="1" x14ac:dyDescent="0.2">
      <c r="A2348" s="680" t="str">
        <f t="shared" si="124"/>
        <v>크리스탈 트레싱지
(CRS)</v>
      </c>
      <c r="B2348" s="253" t="s">
        <v>1857</v>
      </c>
      <c r="C2348" s="91">
        <v>100</v>
      </c>
      <c r="D2348" s="98" t="s">
        <v>3971</v>
      </c>
      <c r="E2348" s="89">
        <v>345000</v>
      </c>
    </row>
    <row r="2349" spans="1:5" ht="15" customHeight="1" x14ac:dyDescent="0.2">
      <c r="A2349" s="680" t="str">
        <f t="shared" si="124"/>
        <v>크리스탈 트레싱지
(CRS)</v>
      </c>
      <c r="B2349" s="253" t="s">
        <v>1857</v>
      </c>
      <c r="C2349" s="91">
        <v>110</v>
      </c>
      <c r="D2349" s="98" t="s">
        <v>3972</v>
      </c>
      <c r="E2349" s="89">
        <v>380000</v>
      </c>
    </row>
    <row r="2350" spans="1:5" ht="15" customHeight="1" x14ac:dyDescent="0.2">
      <c r="A2350" s="680" t="str">
        <f t="shared" si="124"/>
        <v>크리스탈 트레싱지
(CRS)</v>
      </c>
      <c r="B2350" s="253" t="s">
        <v>1857</v>
      </c>
      <c r="C2350" s="91">
        <v>130</v>
      </c>
      <c r="D2350" s="98" t="s">
        <v>3973</v>
      </c>
      <c r="E2350" s="89">
        <v>450000</v>
      </c>
    </row>
    <row r="2351" spans="1:5" ht="15" customHeight="1" x14ac:dyDescent="0.2">
      <c r="A2351" s="680" t="str">
        <f t="shared" si="124"/>
        <v>크리스탈 트레싱지
(CRS)</v>
      </c>
      <c r="B2351" s="253" t="s">
        <v>1857</v>
      </c>
      <c r="C2351" s="91">
        <v>150</v>
      </c>
      <c r="D2351" s="520" t="s">
        <v>3974</v>
      </c>
      <c r="E2351" s="89">
        <v>550000</v>
      </c>
    </row>
    <row r="2352" spans="1:5" ht="15" customHeight="1" x14ac:dyDescent="0.2">
      <c r="A2352" s="680" t="str">
        <f t="shared" si="124"/>
        <v>크리스탈 트레싱지
(CRS)</v>
      </c>
      <c r="B2352" s="253" t="s">
        <v>1857</v>
      </c>
      <c r="C2352" s="91">
        <v>170</v>
      </c>
      <c r="D2352" s="520" t="s">
        <v>1930</v>
      </c>
      <c r="E2352" s="89">
        <v>620000</v>
      </c>
    </row>
    <row r="2353" spans="1:5" ht="15" customHeight="1" x14ac:dyDescent="0.2">
      <c r="A2353" s="680" t="str">
        <f t="shared" si="124"/>
        <v>크리스탈 트레싱지
(CRS)</v>
      </c>
      <c r="B2353" s="253" t="s">
        <v>1857</v>
      </c>
      <c r="C2353" s="91">
        <v>180</v>
      </c>
      <c r="D2353" s="520" t="s">
        <v>2903</v>
      </c>
      <c r="E2353" s="89">
        <v>660000</v>
      </c>
    </row>
    <row r="2354" spans="1:5" ht="15" customHeight="1" x14ac:dyDescent="0.2">
      <c r="A2354" s="680" t="str">
        <f t="shared" si="124"/>
        <v>크리스탈 트레싱지
(CRS)</v>
      </c>
      <c r="B2354" s="253" t="s">
        <v>1857</v>
      </c>
      <c r="C2354" s="91">
        <v>200</v>
      </c>
      <c r="D2354" s="521" t="s">
        <v>3975</v>
      </c>
      <c r="E2354" s="89">
        <v>810000</v>
      </c>
    </row>
    <row r="2355" spans="1:5" ht="15" customHeight="1" x14ac:dyDescent="0.2">
      <c r="A2355" s="680"/>
      <c r="B2355" s="522" t="s">
        <v>2490</v>
      </c>
      <c r="C2355" s="378">
        <v>100</v>
      </c>
      <c r="D2355" s="523" t="s">
        <v>3976</v>
      </c>
      <c r="E2355" s="89">
        <v>240000</v>
      </c>
    </row>
    <row r="2356" spans="1:5" ht="15" customHeight="1" x14ac:dyDescent="0.2">
      <c r="A2356" s="680" t="e">
        <f>#REF!</f>
        <v>#REF!</v>
      </c>
      <c r="B2356" s="524" t="s">
        <v>1999</v>
      </c>
      <c r="C2356" s="525">
        <v>70</v>
      </c>
      <c r="D2356" s="526" t="s">
        <v>3977</v>
      </c>
      <c r="E2356" s="89">
        <v>305000</v>
      </c>
    </row>
    <row r="2357" spans="1:5" ht="15" customHeight="1" x14ac:dyDescent="0.2">
      <c r="A2357" s="680" t="e">
        <f t="shared" si="124"/>
        <v>#REF!</v>
      </c>
      <c r="B2357" s="524" t="s">
        <v>1999</v>
      </c>
      <c r="C2357" s="91">
        <v>80</v>
      </c>
      <c r="D2357" s="98" t="s">
        <v>2655</v>
      </c>
      <c r="E2357" s="89">
        <v>345000</v>
      </c>
    </row>
    <row r="2358" spans="1:5" ht="15" customHeight="1" x14ac:dyDescent="0.2">
      <c r="A2358" s="680" t="e">
        <f t="shared" si="124"/>
        <v>#REF!</v>
      </c>
      <c r="B2358" s="524" t="s">
        <v>1999</v>
      </c>
      <c r="C2358" s="91">
        <v>90</v>
      </c>
      <c r="D2358" s="98" t="s">
        <v>1893</v>
      </c>
      <c r="E2358" s="89">
        <v>390000</v>
      </c>
    </row>
    <row r="2359" spans="1:5" ht="15" customHeight="1" x14ac:dyDescent="0.2">
      <c r="A2359" s="677" t="s">
        <v>3979</v>
      </c>
      <c r="B2359" s="530" t="s">
        <v>2010</v>
      </c>
      <c r="C2359" s="461">
        <v>63</v>
      </c>
      <c r="D2359" s="515" t="s">
        <v>3978</v>
      </c>
      <c r="E2359" s="89">
        <v>200000</v>
      </c>
    </row>
    <row r="2360" spans="1:5" ht="15" customHeight="1" x14ac:dyDescent="0.2">
      <c r="A2360" s="685" t="str">
        <f t="shared" ref="A2360:A2371" si="125">A2359</f>
        <v>크리스탈 트레싱지 2
(CRS2)</v>
      </c>
      <c r="B2360" s="530" t="s">
        <v>2010</v>
      </c>
      <c r="C2360" s="335">
        <v>73</v>
      </c>
      <c r="D2360" s="93" t="s">
        <v>3980</v>
      </c>
      <c r="E2360" s="89">
        <v>240000</v>
      </c>
    </row>
    <row r="2361" spans="1:5" ht="15" customHeight="1" x14ac:dyDescent="0.2">
      <c r="A2361" s="685" t="str">
        <f t="shared" si="125"/>
        <v>크리스탈 트레싱지 2
(CRS2)</v>
      </c>
      <c r="B2361" s="530" t="s">
        <v>2010</v>
      </c>
      <c r="C2361" s="335">
        <v>83</v>
      </c>
      <c r="D2361" s="93" t="s">
        <v>3970</v>
      </c>
      <c r="E2361" s="89">
        <v>275000</v>
      </c>
    </row>
    <row r="2362" spans="1:5" ht="15" customHeight="1" x14ac:dyDescent="0.2">
      <c r="A2362" s="685" t="str">
        <f t="shared" si="125"/>
        <v>크리스탈 트레싱지 2
(CRS2)</v>
      </c>
      <c r="B2362" s="530" t="s">
        <v>2010</v>
      </c>
      <c r="C2362" s="335">
        <v>93</v>
      </c>
      <c r="D2362" s="92" t="s">
        <v>3981</v>
      </c>
      <c r="E2362" s="89">
        <v>300000</v>
      </c>
    </row>
    <row r="2363" spans="1:5" ht="15" customHeight="1" x14ac:dyDescent="0.2">
      <c r="A2363" s="685" t="str">
        <f t="shared" si="125"/>
        <v>크리스탈 트레싱지 2
(CRS2)</v>
      </c>
      <c r="B2363" s="530" t="s">
        <v>2010</v>
      </c>
      <c r="C2363" s="335">
        <v>102</v>
      </c>
      <c r="D2363" s="93" t="s">
        <v>3982</v>
      </c>
      <c r="E2363" s="89">
        <v>345000</v>
      </c>
    </row>
    <row r="2364" spans="1:5" ht="15" customHeight="1" x14ac:dyDescent="0.2">
      <c r="A2364" s="685" t="str">
        <f t="shared" si="125"/>
        <v>크리스탈 트레싱지 2
(CRS2)</v>
      </c>
      <c r="B2364" s="530" t="s">
        <v>2010</v>
      </c>
      <c r="C2364" s="335">
        <v>112</v>
      </c>
      <c r="D2364" s="92" t="s">
        <v>3981</v>
      </c>
      <c r="E2364" s="89">
        <v>360000</v>
      </c>
    </row>
    <row r="2365" spans="1:5" ht="15" customHeight="1" x14ac:dyDescent="0.2">
      <c r="A2365" s="685" t="str">
        <f t="shared" si="125"/>
        <v>크리스탈 트레싱지 2
(CRS2)</v>
      </c>
      <c r="B2365" s="530" t="s">
        <v>2010</v>
      </c>
      <c r="C2365" s="335">
        <v>130</v>
      </c>
      <c r="D2365" s="93" t="s">
        <v>3983</v>
      </c>
      <c r="E2365" s="89">
        <v>450000</v>
      </c>
    </row>
    <row r="2366" spans="1:5" ht="15" customHeight="1" x14ac:dyDescent="0.2">
      <c r="A2366" s="685" t="str">
        <f t="shared" si="125"/>
        <v>크리스탈 트레싱지 2
(CRS2)</v>
      </c>
      <c r="B2366" s="530" t="s">
        <v>2010</v>
      </c>
      <c r="C2366" s="335">
        <v>150</v>
      </c>
      <c r="D2366" s="92" t="s">
        <v>1937</v>
      </c>
      <c r="E2366" s="89">
        <v>500000</v>
      </c>
    </row>
    <row r="2367" spans="1:5" ht="15" customHeight="1" x14ac:dyDescent="0.2">
      <c r="A2367" s="685" t="str">
        <f t="shared" si="125"/>
        <v>크리스탈 트레싱지 2
(CRS2)</v>
      </c>
      <c r="B2367" s="530" t="s">
        <v>2010</v>
      </c>
      <c r="C2367" s="335">
        <v>160</v>
      </c>
      <c r="D2367" s="92" t="s">
        <v>1937</v>
      </c>
      <c r="E2367" s="89">
        <v>535000</v>
      </c>
    </row>
    <row r="2368" spans="1:5" ht="15" customHeight="1" x14ac:dyDescent="0.2">
      <c r="A2368" s="685" t="str">
        <f t="shared" si="125"/>
        <v>크리스탈 트레싱지 2
(CRS2)</v>
      </c>
      <c r="B2368" s="530" t="s">
        <v>2010</v>
      </c>
      <c r="C2368" s="335">
        <v>180</v>
      </c>
      <c r="D2368" s="92" t="s">
        <v>1937</v>
      </c>
      <c r="E2368" s="89">
        <v>600000</v>
      </c>
    </row>
    <row r="2369" spans="1:5" ht="15" customHeight="1" x14ac:dyDescent="0.2">
      <c r="A2369" s="685" t="str">
        <f t="shared" si="125"/>
        <v>크리스탈 트레싱지 2
(CRS2)</v>
      </c>
      <c r="B2369" s="530" t="s">
        <v>2010</v>
      </c>
      <c r="C2369" s="335">
        <v>200</v>
      </c>
      <c r="D2369" s="92" t="s">
        <v>1937</v>
      </c>
      <c r="E2369" s="89">
        <v>650000</v>
      </c>
    </row>
    <row r="2370" spans="1:5" ht="15" customHeight="1" x14ac:dyDescent="0.2">
      <c r="A2370" s="685" t="str">
        <f t="shared" si="125"/>
        <v>크리스탈 트레싱지 2
(CRS2)</v>
      </c>
      <c r="B2370" s="527" t="s">
        <v>2062</v>
      </c>
      <c r="C2370" s="528">
        <v>83</v>
      </c>
      <c r="D2370" s="529" t="s">
        <v>3978</v>
      </c>
      <c r="E2370" s="89">
        <v>335000</v>
      </c>
    </row>
    <row r="2371" spans="1:5" ht="15" customHeight="1" x14ac:dyDescent="0.2">
      <c r="A2371" s="678" t="str">
        <f t="shared" si="125"/>
        <v>크리스탈 트레싱지 2
(CRS2)</v>
      </c>
      <c r="B2371" s="527" t="s">
        <v>2062</v>
      </c>
      <c r="C2371" s="418">
        <v>93</v>
      </c>
      <c r="D2371" s="271" t="s">
        <v>1937</v>
      </c>
      <c r="E2371" s="89">
        <v>375000</v>
      </c>
    </row>
    <row r="2372" spans="1:5" ht="15" customHeight="1" x14ac:dyDescent="0.2">
      <c r="A2372" s="698" t="s">
        <v>3984</v>
      </c>
      <c r="B2372" s="516" t="s">
        <v>3553</v>
      </c>
      <c r="C2372" s="517">
        <v>105</v>
      </c>
      <c r="D2372" s="531" t="s">
        <v>3985</v>
      </c>
      <c r="E2372" s="89">
        <v>695000</v>
      </c>
    </row>
    <row r="2373" spans="1:5" ht="15" customHeight="1" x14ac:dyDescent="0.2">
      <c r="A2373" s="698" t="str">
        <f t="shared" ref="A2373:A2380" si="126">A2372</f>
        <v>크레인(CRA)</v>
      </c>
      <c r="B2373" s="516" t="s">
        <v>3553</v>
      </c>
      <c r="C2373" s="91">
        <v>120</v>
      </c>
      <c r="D2373" s="98" t="s">
        <v>3986</v>
      </c>
      <c r="E2373" s="89">
        <v>1150000</v>
      </c>
    </row>
    <row r="2374" spans="1:5" ht="15" customHeight="1" x14ac:dyDescent="0.2">
      <c r="A2374" s="698" t="str">
        <f t="shared" si="126"/>
        <v>크레인(CRA)</v>
      </c>
      <c r="B2374" s="516" t="s">
        <v>3553</v>
      </c>
      <c r="C2374" s="99"/>
      <c r="D2374" s="105" t="s">
        <v>3987</v>
      </c>
      <c r="E2374" s="89">
        <v>1150000</v>
      </c>
    </row>
    <row r="2375" spans="1:5" ht="15" customHeight="1" x14ac:dyDescent="0.2">
      <c r="A2375" s="698" t="str">
        <f t="shared" si="126"/>
        <v>크레인(CRA)</v>
      </c>
      <c r="B2375" s="532" t="s">
        <v>3988</v>
      </c>
      <c r="C2375" s="525">
        <v>297</v>
      </c>
      <c r="D2375" s="526" t="s">
        <v>3989</v>
      </c>
      <c r="E2375" s="89">
        <v>2000000</v>
      </c>
    </row>
    <row r="2376" spans="1:5" ht="15" customHeight="1" x14ac:dyDescent="0.2">
      <c r="A2376" s="698" t="str">
        <f t="shared" si="126"/>
        <v>크레인(CRA)</v>
      </c>
      <c r="B2376" s="158" t="s">
        <v>3990</v>
      </c>
      <c r="C2376" s="99"/>
      <c r="D2376" s="105" t="s">
        <v>3991</v>
      </c>
      <c r="E2376" s="89">
        <v>2450000</v>
      </c>
    </row>
    <row r="2377" spans="1:5" ht="15" customHeight="1" x14ac:dyDescent="0.2">
      <c r="A2377" s="698" t="str">
        <f t="shared" si="126"/>
        <v>크레인(CRA)</v>
      </c>
      <c r="B2377" s="533" t="s">
        <v>3992</v>
      </c>
      <c r="C2377" s="525">
        <v>595</v>
      </c>
      <c r="D2377" s="526" t="s">
        <v>3993</v>
      </c>
      <c r="E2377" s="89">
        <v>4100000</v>
      </c>
    </row>
    <row r="2378" spans="1:5" ht="15" customHeight="1" x14ac:dyDescent="0.2">
      <c r="A2378" s="698" t="str">
        <f t="shared" si="126"/>
        <v>크레인(CRA)</v>
      </c>
      <c r="B2378" s="533" t="s">
        <v>3992</v>
      </c>
      <c r="C2378" s="99" t="s">
        <v>1868</v>
      </c>
      <c r="D2378" s="105" t="s">
        <v>3994</v>
      </c>
      <c r="E2378" s="89">
        <v>3000000</v>
      </c>
    </row>
    <row r="2379" spans="1:5" ht="15" customHeight="1" x14ac:dyDescent="0.2">
      <c r="A2379" s="698" t="str">
        <f t="shared" si="126"/>
        <v>크레인(CRA)</v>
      </c>
      <c r="B2379" s="533" t="s">
        <v>3992</v>
      </c>
      <c r="C2379" s="534">
        <v>362</v>
      </c>
      <c r="D2379" s="535" t="s">
        <v>3995</v>
      </c>
      <c r="E2379" s="89">
        <v>3250000</v>
      </c>
    </row>
    <row r="2380" spans="1:5" ht="15" customHeight="1" x14ac:dyDescent="0.2">
      <c r="A2380" s="698" t="str">
        <f t="shared" si="126"/>
        <v>크레인(CRA)</v>
      </c>
      <c r="B2380" s="533" t="s">
        <v>3992</v>
      </c>
      <c r="C2380" s="536">
        <v>484</v>
      </c>
      <c r="D2380" s="537" t="s">
        <v>3996</v>
      </c>
      <c r="E2380" s="89">
        <v>3750000</v>
      </c>
    </row>
    <row r="2381" spans="1:5" ht="15" customHeight="1" x14ac:dyDescent="0.2">
      <c r="A2381" s="684" t="s">
        <v>3997</v>
      </c>
      <c r="B2381" s="533" t="s">
        <v>1879</v>
      </c>
      <c r="C2381" s="525">
        <v>90</v>
      </c>
      <c r="D2381" s="538" t="s">
        <v>3998</v>
      </c>
      <c r="E2381" s="89">
        <v>355000</v>
      </c>
    </row>
    <row r="2382" spans="1:5" ht="15" customHeight="1" x14ac:dyDescent="0.2">
      <c r="A2382" s="685" t="str">
        <f t="shared" ref="A2382:A2410" si="127">A2381</f>
        <v>클래식 크래스트
(CCL)</v>
      </c>
      <c r="B2382" s="533" t="s">
        <v>1879</v>
      </c>
      <c r="C2382" s="525">
        <v>118</v>
      </c>
      <c r="D2382" s="526" t="s">
        <v>3999</v>
      </c>
      <c r="E2382" s="89">
        <v>445000</v>
      </c>
    </row>
    <row r="2383" spans="1:5" ht="15" customHeight="1" x14ac:dyDescent="0.2">
      <c r="A2383" s="685" t="str">
        <f t="shared" si="127"/>
        <v>클래식 크래스트
(CCL)</v>
      </c>
      <c r="B2383" s="533" t="s">
        <v>1879</v>
      </c>
      <c r="C2383" s="91" t="s">
        <v>1868</v>
      </c>
      <c r="D2383" s="98" t="s">
        <v>4000</v>
      </c>
      <c r="E2383" s="89">
        <v>445000</v>
      </c>
    </row>
    <row r="2384" spans="1:5" ht="15" customHeight="1" x14ac:dyDescent="0.2">
      <c r="A2384" s="685" t="str">
        <f t="shared" si="127"/>
        <v>클래식 크래스트
(CCL)</v>
      </c>
      <c r="B2384" s="533" t="s">
        <v>1879</v>
      </c>
      <c r="C2384" s="91"/>
      <c r="D2384" s="98" t="s">
        <v>4001</v>
      </c>
      <c r="E2384" s="89">
        <v>440000</v>
      </c>
    </row>
    <row r="2385" spans="1:5" ht="15" customHeight="1" x14ac:dyDescent="0.2">
      <c r="A2385" s="685" t="str">
        <f t="shared" si="127"/>
        <v>클래식 크래스트
(CCL)</v>
      </c>
      <c r="B2385" s="533" t="s">
        <v>1879</v>
      </c>
      <c r="C2385" s="91"/>
      <c r="D2385" s="98" t="s">
        <v>4002</v>
      </c>
      <c r="E2385" s="89">
        <v>365000</v>
      </c>
    </row>
    <row r="2386" spans="1:5" ht="15" customHeight="1" x14ac:dyDescent="0.2">
      <c r="A2386" s="685" t="str">
        <f t="shared" si="127"/>
        <v>클래식 크래스트
(CCL)</v>
      </c>
      <c r="B2386" s="533" t="s">
        <v>1879</v>
      </c>
      <c r="C2386" s="91"/>
      <c r="D2386" s="98" t="s">
        <v>4003</v>
      </c>
      <c r="E2386" s="89">
        <v>405000</v>
      </c>
    </row>
    <row r="2387" spans="1:5" ht="15" customHeight="1" x14ac:dyDescent="0.2">
      <c r="A2387" s="685" t="str">
        <f t="shared" si="127"/>
        <v>클래식 크래스트
(CCL)</v>
      </c>
      <c r="B2387" s="533" t="s">
        <v>1879</v>
      </c>
      <c r="C2387" s="91"/>
      <c r="D2387" s="98" t="s">
        <v>4004</v>
      </c>
      <c r="E2387" s="89">
        <v>350000</v>
      </c>
    </row>
    <row r="2388" spans="1:5" ht="15" customHeight="1" x14ac:dyDescent="0.2">
      <c r="A2388" s="685" t="str">
        <f t="shared" si="127"/>
        <v>클래식 크래스트
(CCL)</v>
      </c>
      <c r="B2388" s="533" t="s">
        <v>1879</v>
      </c>
      <c r="C2388" s="91"/>
      <c r="D2388" s="98" t="s">
        <v>4005</v>
      </c>
      <c r="E2388" s="89">
        <v>445000</v>
      </c>
    </row>
    <row r="2389" spans="1:5" ht="15" customHeight="1" x14ac:dyDescent="0.2">
      <c r="A2389" s="685"/>
      <c r="B2389" s="533" t="s">
        <v>1879</v>
      </c>
      <c r="C2389" s="91"/>
      <c r="D2389" s="98" t="s">
        <v>4006</v>
      </c>
      <c r="E2389" s="89">
        <v>660000</v>
      </c>
    </row>
    <row r="2390" spans="1:5" ht="15" customHeight="1" x14ac:dyDescent="0.2">
      <c r="A2390" s="685" t="str">
        <f>A2388</f>
        <v>클래식 크래스트
(CCL)</v>
      </c>
      <c r="B2390" s="533" t="s">
        <v>1879</v>
      </c>
      <c r="C2390" s="91"/>
      <c r="D2390" s="98" t="s">
        <v>4007</v>
      </c>
      <c r="E2390" s="89">
        <v>620000</v>
      </c>
    </row>
    <row r="2391" spans="1:5" ht="15" customHeight="1" x14ac:dyDescent="0.2">
      <c r="A2391" s="685" t="str">
        <f t="shared" si="127"/>
        <v>클래식 크래스트
(CCL)</v>
      </c>
      <c r="B2391" s="533" t="s">
        <v>1879</v>
      </c>
      <c r="C2391" s="91"/>
      <c r="D2391" s="156" t="s">
        <v>4008</v>
      </c>
      <c r="E2391" s="89">
        <v>535000</v>
      </c>
    </row>
    <row r="2392" spans="1:5" ht="15" customHeight="1" x14ac:dyDescent="0.2">
      <c r="A2392" s="685" t="str">
        <f t="shared" si="127"/>
        <v>클래식 크래스트
(CCL)</v>
      </c>
      <c r="B2392" s="533" t="s">
        <v>1879</v>
      </c>
      <c r="C2392" s="525">
        <v>176</v>
      </c>
      <c r="D2392" s="526" t="s">
        <v>4009</v>
      </c>
      <c r="E2392" s="89">
        <v>680000</v>
      </c>
    </row>
    <row r="2393" spans="1:5" ht="15" customHeight="1" x14ac:dyDescent="0.2">
      <c r="A2393" s="685" t="str">
        <f t="shared" si="127"/>
        <v>클래식 크래스트
(CCL)</v>
      </c>
      <c r="B2393" s="533" t="s">
        <v>1879</v>
      </c>
      <c r="C2393" s="91"/>
      <c r="D2393" s="98" t="s">
        <v>4010</v>
      </c>
      <c r="E2393" s="89">
        <v>670000</v>
      </c>
    </row>
    <row r="2394" spans="1:5" ht="15" customHeight="1" x14ac:dyDescent="0.2">
      <c r="A2394" s="685" t="str">
        <f t="shared" si="127"/>
        <v>클래식 크래스트
(CCL)</v>
      </c>
      <c r="B2394" s="533" t="s">
        <v>1879</v>
      </c>
      <c r="C2394" s="91"/>
      <c r="D2394" s="98" t="s">
        <v>4011</v>
      </c>
      <c r="E2394" s="89">
        <v>1020000</v>
      </c>
    </row>
    <row r="2395" spans="1:5" ht="15" customHeight="1" x14ac:dyDescent="0.2">
      <c r="A2395" s="685" t="str">
        <f t="shared" si="127"/>
        <v>클래식 크래스트
(CCL)</v>
      </c>
      <c r="B2395" s="533" t="s">
        <v>1879</v>
      </c>
      <c r="C2395" s="525">
        <v>216</v>
      </c>
      <c r="D2395" s="526" t="s">
        <v>4012</v>
      </c>
      <c r="E2395" s="89">
        <v>835000</v>
      </c>
    </row>
    <row r="2396" spans="1:5" ht="15" customHeight="1" x14ac:dyDescent="0.2">
      <c r="A2396" s="685"/>
      <c r="B2396" s="533" t="s">
        <v>1879</v>
      </c>
      <c r="C2396" s="91"/>
      <c r="D2396" s="98" t="s">
        <v>4013</v>
      </c>
      <c r="E2396" s="89">
        <v>825000</v>
      </c>
    </row>
    <row r="2397" spans="1:5" ht="15" customHeight="1" x14ac:dyDescent="0.2">
      <c r="A2397" s="685"/>
      <c r="B2397" s="533" t="s">
        <v>1879</v>
      </c>
      <c r="C2397" s="91"/>
      <c r="D2397" s="98" t="s">
        <v>4014</v>
      </c>
      <c r="E2397" s="89">
        <v>1150000</v>
      </c>
    </row>
    <row r="2398" spans="1:5" ht="15" customHeight="1" x14ac:dyDescent="0.2">
      <c r="A2398" s="685" t="str">
        <f>A2395</f>
        <v>클래식 크래스트
(CCL)</v>
      </c>
      <c r="B2398" s="533" t="s">
        <v>1879</v>
      </c>
      <c r="C2398" s="99"/>
      <c r="D2398" s="105" t="s">
        <v>4015</v>
      </c>
      <c r="E2398" s="89">
        <v>1230000</v>
      </c>
    </row>
    <row r="2399" spans="1:5" ht="15" customHeight="1" x14ac:dyDescent="0.2">
      <c r="A2399" s="685" t="e">
        <f>#REF!</f>
        <v>#REF!</v>
      </c>
      <c r="B2399" s="533" t="s">
        <v>1879</v>
      </c>
      <c r="C2399" s="91">
        <v>270</v>
      </c>
      <c r="D2399" s="98" t="s">
        <v>2907</v>
      </c>
      <c r="E2399" s="89">
        <v>1075000</v>
      </c>
    </row>
    <row r="2400" spans="1:5" ht="15" customHeight="1" x14ac:dyDescent="0.2">
      <c r="A2400" s="685" t="e">
        <f t="shared" si="127"/>
        <v>#REF!</v>
      </c>
      <c r="B2400" s="533" t="s">
        <v>1879</v>
      </c>
      <c r="C2400" s="91"/>
      <c r="D2400" s="98" t="s">
        <v>3366</v>
      </c>
      <c r="E2400" s="89">
        <v>1030000</v>
      </c>
    </row>
    <row r="2401" spans="1:5" ht="15" customHeight="1" x14ac:dyDescent="0.2">
      <c r="A2401" s="685" t="e">
        <f t="shared" si="127"/>
        <v>#REF!</v>
      </c>
      <c r="B2401" s="533" t="s">
        <v>1865</v>
      </c>
      <c r="C2401" s="525">
        <v>118</v>
      </c>
      <c r="D2401" s="526" t="s">
        <v>4016</v>
      </c>
      <c r="E2401" s="89">
        <v>310000</v>
      </c>
    </row>
    <row r="2402" spans="1:5" ht="15" customHeight="1" x14ac:dyDescent="0.2">
      <c r="A2402" s="685" t="e">
        <f t="shared" si="127"/>
        <v>#REF!</v>
      </c>
      <c r="B2402" s="533" t="s">
        <v>1865</v>
      </c>
      <c r="C2402" s="91"/>
      <c r="D2402" s="98" t="s">
        <v>4017</v>
      </c>
      <c r="E2402" s="89">
        <v>310000</v>
      </c>
    </row>
    <row r="2403" spans="1:5" ht="15" customHeight="1" x14ac:dyDescent="0.2">
      <c r="A2403" s="685" t="e">
        <f t="shared" si="127"/>
        <v>#REF!</v>
      </c>
      <c r="B2403" s="533" t="s">
        <v>1865</v>
      </c>
      <c r="C2403" s="91"/>
      <c r="D2403" s="98" t="s">
        <v>4018</v>
      </c>
      <c r="E2403" s="89">
        <v>275000</v>
      </c>
    </row>
    <row r="2404" spans="1:5" ht="15" customHeight="1" x14ac:dyDescent="0.2">
      <c r="A2404" s="685" t="e">
        <f t="shared" si="127"/>
        <v>#REF!</v>
      </c>
      <c r="B2404" s="533" t="s">
        <v>1865</v>
      </c>
      <c r="C2404" s="91"/>
      <c r="D2404" s="98" t="s">
        <v>4019</v>
      </c>
      <c r="E2404" s="89">
        <v>270000</v>
      </c>
    </row>
    <row r="2405" spans="1:5" ht="15" customHeight="1" x14ac:dyDescent="0.2">
      <c r="A2405" s="685" t="e">
        <f t="shared" si="127"/>
        <v>#REF!</v>
      </c>
      <c r="B2405" s="533" t="s">
        <v>1865</v>
      </c>
      <c r="C2405" s="91"/>
      <c r="D2405" s="98" t="s">
        <v>4020</v>
      </c>
      <c r="E2405" s="89">
        <v>195000</v>
      </c>
    </row>
    <row r="2406" spans="1:5" ht="15" customHeight="1" x14ac:dyDescent="0.2">
      <c r="A2406" s="685" t="e">
        <f t="shared" si="127"/>
        <v>#REF!</v>
      </c>
      <c r="B2406" s="533" t="s">
        <v>1865</v>
      </c>
      <c r="C2406" s="525">
        <v>176</v>
      </c>
      <c r="D2406" s="526" t="s">
        <v>4021</v>
      </c>
      <c r="E2406" s="89">
        <v>470000</v>
      </c>
    </row>
    <row r="2407" spans="1:5" ht="15" customHeight="1" x14ac:dyDescent="0.2">
      <c r="A2407" s="685" t="e">
        <f t="shared" si="127"/>
        <v>#REF!</v>
      </c>
      <c r="B2407" s="533" t="s">
        <v>1865</v>
      </c>
      <c r="C2407" s="99" t="s">
        <v>1868</v>
      </c>
      <c r="D2407" s="105" t="s">
        <v>4022</v>
      </c>
      <c r="E2407" s="89">
        <v>465000</v>
      </c>
    </row>
    <row r="2408" spans="1:5" ht="15" customHeight="1" x14ac:dyDescent="0.2">
      <c r="A2408" s="685" t="e">
        <f t="shared" si="127"/>
        <v>#REF!</v>
      </c>
      <c r="B2408" s="533" t="s">
        <v>1865</v>
      </c>
      <c r="C2408" s="91">
        <v>216</v>
      </c>
      <c r="D2408" s="98" t="s">
        <v>4023</v>
      </c>
      <c r="E2408" s="89">
        <v>580000</v>
      </c>
    </row>
    <row r="2409" spans="1:5" ht="15" customHeight="1" x14ac:dyDescent="0.2">
      <c r="A2409" s="685" t="e">
        <f t="shared" si="127"/>
        <v>#REF!</v>
      </c>
      <c r="B2409" s="533" t="s">
        <v>1865</v>
      </c>
      <c r="C2409" s="99" t="s">
        <v>1868</v>
      </c>
      <c r="D2409" s="105" t="s">
        <v>4024</v>
      </c>
      <c r="E2409" s="89">
        <v>575000</v>
      </c>
    </row>
    <row r="2410" spans="1:5" ht="15" customHeight="1" x14ac:dyDescent="0.2">
      <c r="A2410" s="688" t="e">
        <f t="shared" si="127"/>
        <v>#REF!</v>
      </c>
      <c r="B2410" s="90" t="s">
        <v>3650</v>
      </c>
      <c r="C2410" s="91">
        <v>118</v>
      </c>
      <c r="D2410" s="98" t="s">
        <v>4025</v>
      </c>
      <c r="E2410" s="89">
        <v>475000</v>
      </c>
    </row>
    <row r="2411" spans="1:5" ht="15" customHeight="1" x14ac:dyDescent="0.2">
      <c r="A2411" s="684" t="s">
        <v>4026</v>
      </c>
      <c r="B2411" s="516" t="s">
        <v>1879</v>
      </c>
      <c r="C2411" s="517">
        <v>118</v>
      </c>
      <c r="D2411" s="518" t="s">
        <v>3999</v>
      </c>
      <c r="E2411" s="89">
        <v>445000</v>
      </c>
    </row>
    <row r="2412" spans="1:5" ht="15" customHeight="1" x14ac:dyDescent="0.2">
      <c r="A2412" s="685" t="str">
        <f t="shared" ref="A2412:A2433" si="128">A2411</f>
        <v>클래식 크래스트
에그쉘
(CCLE)</v>
      </c>
      <c r="B2412" s="516" t="s">
        <v>1879</v>
      </c>
      <c r="C2412" s="91"/>
      <c r="D2412" s="98" t="s">
        <v>4027</v>
      </c>
      <c r="E2412" s="89">
        <v>440000</v>
      </c>
    </row>
    <row r="2413" spans="1:5" ht="15" customHeight="1" x14ac:dyDescent="0.2">
      <c r="A2413" s="685" t="str">
        <f t="shared" si="128"/>
        <v>클래식 크래스트
에그쉘
(CCLE)</v>
      </c>
      <c r="B2413" s="516" t="s">
        <v>1879</v>
      </c>
      <c r="C2413" s="91"/>
      <c r="D2413" s="98" t="s">
        <v>4028</v>
      </c>
      <c r="E2413" s="89">
        <v>300000</v>
      </c>
    </row>
    <row r="2414" spans="1:5" ht="15" customHeight="1" x14ac:dyDescent="0.2">
      <c r="A2414" s="685" t="str">
        <f t="shared" si="128"/>
        <v>클래식 크래스트
에그쉘
(CCLE)</v>
      </c>
      <c r="B2414" s="516" t="s">
        <v>1879</v>
      </c>
      <c r="C2414" s="91"/>
      <c r="D2414" s="98" t="s">
        <v>4005</v>
      </c>
      <c r="E2414" s="89">
        <v>620000</v>
      </c>
    </row>
    <row r="2415" spans="1:5" ht="15" customHeight="1" x14ac:dyDescent="0.2">
      <c r="A2415" s="685" t="str">
        <f t="shared" si="128"/>
        <v>클래식 크래스트
에그쉘
(CCLE)</v>
      </c>
      <c r="B2415" s="516" t="s">
        <v>1879</v>
      </c>
      <c r="C2415" s="525">
        <v>216</v>
      </c>
      <c r="D2415" s="526" t="s">
        <v>1893</v>
      </c>
      <c r="E2415" s="89">
        <v>835000</v>
      </c>
    </row>
    <row r="2416" spans="1:5" ht="15" customHeight="1" x14ac:dyDescent="0.2">
      <c r="A2416" s="685" t="str">
        <f t="shared" si="128"/>
        <v>클래식 크래스트
에그쉘
(CCLE)</v>
      </c>
      <c r="B2416" s="516" t="s">
        <v>1879</v>
      </c>
      <c r="C2416" s="91"/>
      <c r="D2416" s="98" t="s">
        <v>4029</v>
      </c>
      <c r="E2416" s="89">
        <v>825000</v>
      </c>
    </row>
    <row r="2417" spans="1:5" ht="15" customHeight="1" x14ac:dyDescent="0.2">
      <c r="A2417" s="685" t="str">
        <f t="shared" si="128"/>
        <v>클래식 크래스트
에그쉘
(CCLE)</v>
      </c>
      <c r="B2417" s="516" t="s">
        <v>1879</v>
      </c>
      <c r="C2417" s="91"/>
      <c r="D2417" s="98" t="s">
        <v>2902</v>
      </c>
      <c r="E2417" s="89">
        <v>915000</v>
      </c>
    </row>
    <row r="2418" spans="1:5" ht="15" customHeight="1" x14ac:dyDescent="0.2">
      <c r="A2418" s="685" t="str">
        <f t="shared" si="128"/>
        <v>클래식 크래스트
에그쉘
(CCLE)</v>
      </c>
      <c r="B2418" s="516" t="s">
        <v>1879</v>
      </c>
      <c r="C2418" s="91"/>
      <c r="D2418" s="98" t="s">
        <v>1896</v>
      </c>
      <c r="E2418" s="89">
        <v>985000</v>
      </c>
    </row>
    <row r="2419" spans="1:5" ht="15" customHeight="1" x14ac:dyDescent="0.2">
      <c r="A2419" s="685" t="str">
        <f t="shared" si="128"/>
        <v>클래식 크래스트
에그쉘
(CCLE)</v>
      </c>
      <c r="B2419" s="516" t="s">
        <v>1879</v>
      </c>
      <c r="C2419" s="91"/>
      <c r="D2419" s="98" t="s">
        <v>2903</v>
      </c>
      <c r="E2419" s="89">
        <v>1010000</v>
      </c>
    </row>
    <row r="2420" spans="1:5" ht="15" customHeight="1" x14ac:dyDescent="0.2">
      <c r="A2420" s="685"/>
      <c r="B2420" s="516" t="s">
        <v>1879</v>
      </c>
      <c r="C2420" s="91"/>
      <c r="D2420" s="98" t="s">
        <v>4030</v>
      </c>
      <c r="E2420" s="89">
        <v>1225000</v>
      </c>
    </row>
    <row r="2421" spans="1:5" ht="15" customHeight="1" x14ac:dyDescent="0.2">
      <c r="A2421" s="685" t="str">
        <f>A2419</f>
        <v>클래식 크래스트
에그쉘
(CCLE)</v>
      </c>
      <c r="B2421" s="516" t="s">
        <v>1879</v>
      </c>
      <c r="C2421" s="99"/>
      <c r="D2421" s="105" t="s">
        <v>4031</v>
      </c>
      <c r="E2421" s="89">
        <v>1150000</v>
      </c>
    </row>
    <row r="2422" spans="1:5" ht="15" customHeight="1" x14ac:dyDescent="0.2">
      <c r="A2422" s="685" t="str">
        <f t="shared" si="128"/>
        <v>클래식 크래스트
에그쉘
(CCLE)</v>
      </c>
      <c r="B2422" s="516" t="s">
        <v>1879</v>
      </c>
      <c r="C2422" s="91">
        <v>270</v>
      </c>
      <c r="D2422" s="98" t="s">
        <v>3082</v>
      </c>
      <c r="E2422" s="89">
        <v>1075000</v>
      </c>
    </row>
    <row r="2423" spans="1:5" ht="15" customHeight="1" x14ac:dyDescent="0.2">
      <c r="A2423" s="685" t="str">
        <f t="shared" si="128"/>
        <v>클래식 크래스트
에그쉘
(CCLE)</v>
      </c>
      <c r="B2423" s="516" t="s">
        <v>1879</v>
      </c>
      <c r="C2423" s="91"/>
      <c r="D2423" s="98" t="s">
        <v>2562</v>
      </c>
      <c r="E2423" s="89">
        <v>1065000</v>
      </c>
    </row>
    <row r="2424" spans="1:5" ht="15" customHeight="1" x14ac:dyDescent="0.2">
      <c r="A2424" s="685"/>
      <c r="B2424" s="516" t="s">
        <v>1879</v>
      </c>
      <c r="C2424" s="91"/>
      <c r="D2424" s="98" t="s">
        <v>4032</v>
      </c>
      <c r="E2424" s="89">
        <v>1150000</v>
      </c>
    </row>
    <row r="2425" spans="1:5" ht="15" customHeight="1" x14ac:dyDescent="0.2">
      <c r="A2425" s="685"/>
      <c r="B2425" s="516" t="s">
        <v>1879</v>
      </c>
      <c r="C2425" s="91"/>
      <c r="D2425" s="98" t="s">
        <v>4033</v>
      </c>
      <c r="E2425" s="89">
        <v>1030000</v>
      </c>
    </row>
    <row r="2426" spans="1:5" ht="15" customHeight="1" x14ac:dyDescent="0.2">
      <c r="A2426" s="685" t="str">
        <f>A2423</f>
        <v>클래식 크래스트
에그쉘
(CCLE)</v>
      </c>
      <c r="B2426" s="516" t="s">
        <v>1879</v>
      </c>
      <c r="C2426" s="91"/>
      <c r="D2426" s="98" t="s">
        <v>4034</v>
      </c>
      <c r="E2426" s="89">
        <v>1270000</v>
      </c>
    </row>
    <row r="2427" spans="1:5" ht="15" customHeight="1" x14ac:dyDescent="0.2">
      <c r="A2427" s="685" t="str">
        <f t="shared" si="128"/>
        <v>클래식 크래스트
에그쉘
(CCLE)</v>
      </c>
      <c r="B2427" s="516" t="s">
        <v>1879</v>
      </c>
      <c r="C2427" s="91"/>
      <c r="D2427" s="98" t="s">
        <v>4035</v>
      </c>
      <c r="E2427" s="89">
        <v>1575000</v>
      </c>
    </row>
    <row r="2428" spans="1:5" ht="15" customHeight="1" x14ac:dyDescent="0.2">
      <c r="A2428" s="685" t="str">
        <f t="shared" si="128"/>
        <v>클래식 크래스트
에그쉘
(CCLE)</v>
      </c>
      <c r="B2428" s="516" t="s">
        <v>1879</v>
      </c>
      <c r="C2428" s="99"/>
      <c r="D2428" s="105" t="s">
        <v>4036</v>
      </c>
      <c r="E2428" s="89">
        <v>1485000</v>
      </c>
    </row>
    <row r="2429" spans="1:5" ht="15" customHeight="1" x14ac:dyDescent="0.2">
      <c r="A2429" s="685" t="str">
        <f t="shared" si="128"/>
        <v>클래식 크래스트
에그쉘
(CCLE)</v>
      </c>
      <c r="B2429" s="516" t="s">
        <v>1879</v>
      </c>
      <c r="C2429" s="91">
        <v>352</v>
      </c>
      <c r="D2429" s="98" t="s">
        <v>2011</v>
      </c>
      <c r="E2429" s="89">
        <v>1465000</v>
      </c>
    </row>
    <row r="2430" spans="1:5" ht="15" customHeight="1" x14ac:dyDescent="0.2">
      <c r="A2430" s="685" t="str">
        <f t="shared" si="128"/>
        <v>클래식 크래스트
에그쉘
(CCLE)</v>
      </c>
      <c r="B2430" s="516" t="s">
        <v>1879</v>
      </c>
      <c r="C2430" s="91"/>
      <c r="D2430" s="98" t="s">
        <v>4037</v>
      </c>
      <c r="E2430" s="89">
        <v>1450000</v>
      </c>
    </row>
    <row r="2431" spans="1:5" ht="15" customHeight="1" x14ac:dyDescent="0.2">
      <c r="A2431" s="685"/>
      <c r="B2431" s="516" t="s">
        <v>1879</v>
      </c>
      <c r="C2431" s="91"/>
      <c r="D2431" s="98" t="s">
        <v>4038</v>
      </c>
      <c r="E2431" s="89">
        <v>1775000</v>
      </c>
    </row>
    <row r="2432" spans="1:5" ht="15" customHeight="1" x14ac:dyDescent="0.2">
      <c r="A2432" s="685" t="str">
        <f>A2430</f>
        <v>클래식 크래스트
에그쉘
(CCLE)</v>
      </c>
      <c r="B2432" s="516" t="s">
        <v>1879</v>
      </c>
      <c r="C2432" s="91"/>
      <c r="D2432" s="98" t="s">
        <v>4039</v>
      </c>
      <c r="E2432" s="89">
        <v>2125000</v>
      </c>
    </row>
    <row r="2433" spans="1:7" ht="15" customHeight="1" x14ac:dyDescent="0.2">
      <c r="A2433" s="688" t="str">
        <f t="shared" si="128"/>
        <v>클래식 크래스트
에그쉘
(CCLE)</v>
      </c>
      <c r="B2433" s="516" t="s">
        <v>1879</v>
      </c>
      <c r="C2433" s="106"/>
      <c r="D2433" s="107" t="s">
        <v>4040</v>
      </c>
      <c r="E2433" s="89">
        <v>2015000</v>
      </c>
    </row>
    <row r="2434" spans="1:7" ht="15" customHeight="1" x14ac:dyDescent="0.2">
      <c r="A2434" s="685" t="s">
        <v>4041</v>
      </c>
      <c r="B2434" s="90" t="s">
        <v>1857</v>
      </c>
      <c r="C2434" s="91">
        <v>176</v>
      </c>
      <c r="D2434" s="98" t="s">
        <v>4042</v>
      </c>
      <c r="E2434" s="539">
        <v>690000</v>
      </c>
      <c r="G2434" s="539"/>
    </row>
    <row r="2435" spans="1:7" ht="15" customHeight="1" x14ac:dyDescent="0.2">
      <c r="A2435" s="685" t="str">
        <f t="shared" ref="A2435:A2465" si="129">A2434</f>
        <v>클래식 린넨 커버
(LC)
(클래식 린넨)</v>
      </c>
      <c r="B2435" s="90" t="s">
        <v>1857</v>
      </c>
      <c r="C2435" s="525">
        <v>216</v>
      </c>
      <c r="D2435" s="526" t="s">
        <v>4043</v>
      </c>
      <c r="E2435" s="539">
        <v>900000</v>
      </c>
      <c r="G2435" s="539"/>
    </row>
    <row r="2436" spans="1:7" ht="15" customHeight="1" x14ac:dyDescent="0.2">
      <c r="A2436" s="685"/>
      <c r="B2436" s="90" t="s">
        <v>1857</v>
      </c>
      <c r="C2436" s="91"/>
      <c r="D2436" s="98" t="s">
        <v>4044</v>
      </c>
      <c r="E2436" s="539">
        <v>840000</v>
      </c>
      <c r="G2436" s="539"/>
    </row>
    <row r="2437" spans="1:7" ht="15" customHeight="1" x14ac:dyDescent="0.2">
      <c r="A2437" s="685" t="str">
        <f>A2435</f>
        <v>클래식 린넨 커버
(LC)
(클래식 린넨)</v>
      </c>
      <c r="B2437" s="90" t="s">
        <v>1857</v>
      </c>
      <c r="C2437" s="91"/>
      <c r="D2437" s="98">
        <v>207</v>
      </c>
      <c r="E2437" s="539">
        <v>840000</v>
      </c>
      <c r="G2437" s="539"/>
    </row>
    <row r="2438" spans="1:7" ht="15" customHeight="1" x14ac:dyDescent="0.2">
      <c r="A2438" s="685" t="str">
        <f t="shared" si="129"/>
        <v>클래식 린넨 커버
(LC)
(클래식 린넨)</v>
      </c>
      <c r="B2438" s="90" t="s">
        <v>1857</v>
      </c>
      <c r="C2438" s="91"/>
      <c r="D2438" s="540">
        <v>212</v>
      </c>
      <c r="E2438" s="539">
        <v>845000</v>
      </c>
      <c r="G2438" s="539"/>
    </row>
    <row r="2439" spans="1:7" ht="15" customHeight="1" x14ac:dyDescent="0.2">
      <c r="A2439" s="685"/>
      <c r="B2439" s="90" t="s">
        <v>1857</v>
      </c>
      <c r="C2439" s="91"/>
      <c r="D2439" s="540">
        <v>208</v>
      </c>
      <c r="E2439" s="539">
        <v>830000</v>
      </c>
      <c r="G2439" s="539"/>
    </row>
    <row r="2440" spans="1:7" ht="15" customHeight="1" x14ac:dyDescent="0.2">
      <c r="A2440" s="685"/>
      <c r="B2440" s="90" t="s">
        <v>1857</v>
      </c>
      <c r="C2440" s="91"/>
      <c r="D2440" s="541" t="s">
        <v>4045</v>
      </c>
      <c r="E2440" s="539">
        <v>660000</v>
      </c>
      <c r="G2440" s="539"/>
    </row>
    <row r="2441" spans="1:7" ht="15" customHeight="1" x14ac:dyDescent="0.2">
      <c r="A2441" s="685" t="str">
        <f>A2438</f>
        <v>클래식 린넨 커버
(LC)
(클래식 린넨)</v>
      </c>
      <c r="B2441" s="90" t="s">
        <v>1857</v>
      </c>
      <c r="C2441" s="91"/>
      <c r="D2441" s="98">
        <v>213</v>
      </c>
      <c r="E2441" s="539">
        <v>845000</v>
      </c>
      <c r="G2441" s="539"/>
    </row>
    <row r="2442" spans="1:7" ht="15" customHeight="1" x14ac:dyDescent="0.2">
      <c r="A2442" s="685" t="str">
        <f t="shared" si="129"/>
        <v>클래식 린넨 커버
(LC)
(클래식 린넨)</v>
      </c>
      <c r="B2442" s="90" t="s">
        <v>1857</v>
      </c>
      <c r="C2442" s="91"/>
      <c r="D2442" s="98" t="s">
        <v>4046</v>
      </c>
      <c r="E2442" s="539">
        <v>625000</v>
      </c>
      <c r="G2442" s="539"/>
    </row>
    <row r="2443" spans="1:7" ht="15" customHeight="1" x14ac:dyDescent="0.2">
      <c r="A2443" s="685" t="str">
        <f t="shared" si="129"/>
        <v>클래식 린넨 커버
(LC)
(클래식 린넨)</v>
      </c>
      <c r="B2443" s="90" t="s">
        <v>1857</v>
      </c>
      <c r="C2443" s="91"/>
      <c r="D2443" s="98">
        <v>219</v>
      </c>
      <c r="E2443" s="539">
        <v>950000</v>
      </c>
      <c r="G2443" s="539"/>
    </row>
    <row r="2444" spans="1:7" ht="15" customHeight="1" x14ac:dyDescent="0.2">
      <c r="A2444" s="685" t="str">
        <f t="shared" si="129"/>
        <v>클래식 린넨 커버
(LC)
(클래식 린넨)</v>
      </c>
      <c r="B2444" s="90" t="s">
        <v>1857</v>
      </c>
      <c r="C2444" s="91"/>
      <c r="D2444" s="92" t="s">
        <v>4047</v>
      </c>
      <c r="E2444" s="539">
        <v>725000</v>
      </c>
      <c r="G2444" s="539"/>
    </row>
    <row r="2445" spans="1:7" ht="15" customHeight="1" x14ac:dyDescent="0.2">
      <c r="A2445" s="685" t="str">
        <f t="shared" si="129"/>
        <v>클래식 린넨 커버
(LC)
(클래식 린넨)</v>
      </c>
      <c r="B2445" s="90" t="s">
        <v>1857</v>
      </c>
      <c r="C2445" s="91"/>
      <c r="D2445" s="93" t="s">
        <v>4048</v>
      </c>
      <c r="E2445" s="539">
        <v>1085000</v>
      </c>
      <c r="G2445" s="539"/>
    </row>
    <row r="2446" spans="1:7" ht="15" customHeight="1" x14ac:dyDescent="0.2">
      <c r="A2446" s="685" t="str">
        <f t="shared" si="129"/>
        <v>클래식 린넨 커버
(LC)
(클래식 린넨)</v>
      </c>
      <c r="B2446" s="90" t="s">
        <v>1857</v>
      </c>
      <c r="C2446" s="91"/>
      <c r="D2446" s="98" t="s">
        <v>4049</v>
      </c>
      <c r="E2446" s="539">
        <v>1150000</v>
      </c>
      <c r="G2446" s="539"/>
    </row>
    <row r="2447" spans="1:7" ht="15" customHeight="1" x14ac:dyDescent="0.2">
      <c r="A2447" s="685" t="str">
        <f t="shared" si="129"/>
        <v>클래식 린넨 커버
(LC)
(클래식 린넨)</v>
      </c>
      <c r="B2447" s="90" t="s">
        <v>1857</v>
      </c>
      <c r="C2447" s="99"/>
      <c r="D2447" s="105">
        <v>227</v>
      </c>
      <c r="E2447" s="89">
        <v>900000</v>
      </c>
    </row>
    <row r="2448" spans="1:7" ht="15" customHeight="1" x14ac:dyDescent="0.2">
      <c r="A2448" s="685" t="str">
        <f t="shared" si="129"/>
        <v>클래식 린넨 커버
(LC)
(클래식 린넨)</v>
      </c>
      <c r="B2448" s="533" t="s">
        <v>1857</v>
      </c>
      <c r="C2448" s="525">
        <v>227</v>
      </c>
      <c r="D2448" s="526" t="s">
        <v>4050</v>
      </c>
      <c r="E2448" s="89">
        <v>1420000</v>
      </c>
    </row>
    <row r="2449" spans="1:5" ht="15" customHeight="1" x14ac:dyDescent="0.2">
      <c r="A2449" s="685" t="str">
        <f t="shared" si="129"/>
        <v>클래식 린넨 커버
(LC)
(클래식 린넨)</v>
      </c>
      <c r="B2449" s="94" t="s">
        <v>4051</v>
      </c>
      <c r="C2449" s="99"/>
      <c r="D2449" s="98" t="s">
        <v>4052</v>
      </c>
      <c r="E2449" s="89">
        <v>1490000</v>
      </c>
    </row>
    <row r="2450" spans="1:5" ht="15" customHeight="1" x14ac:dyDescent="0.2">
      <c r="A2450" s="685" t="str">
        <f t="shared" si="129"/>
        <v>클래식 린넨 커버
(LC)
(클래식 린넨)</v>
      </c>
      <c r="B2450" s="90" t="s">
        <v>1857</v>
      </c>
      <c r="C2450" s="525">
        <v>227</v>
      </c>
      <c r="D2450" s="526" t="s">
        <v>4053</v>
      </c>
      <c r="E2450" s="89">
        <v>1790000</v>
      </c>
    </row>
    <row r="2451" spans="1:5" ht="15" customHeight="1" x14ac:dyDescent="0.2">
      <c r="A2451" s="685" t="str">
        <f t="shared" si="129"/>
        <v>클래식 린넨 커버
(LC)
(클래식 린넨)</v>
      </c>
      <c r="B2451" s="90" t="s">
        <v>4054</v>
      </c>
      <c r="C2451" s="99"/>
      <c r="D2451" s="98" t="s">
        <v>4055</v>
      </c>
      <c r="E2451" s="89">
        <v>1880000</v>
      </c>
    </row>
    <row r="2452" spans="1:5" ht="15" customHeight="1" x14ac:dyDescent="0.2">
      <c r="A2452" s="685" t="str">
        <f t="shared" si="129"/>
        <v>클래식 린넨 커버
(LC)
(클래식 린넨)</v>
      </c>
      <c r="B2452" s="533" t="s">
        <v>1879</v>
      </c>
      <c r="C2452" s="525">
        <v>238</v>
      </c>
      <c r="D2452" s="526" t="s">
        <v>4056</v>
      </c>
      <c r="E2452" s="89">
        <v>930000</v>
      </c>
    </row>
    <row r="2453" spans="1:5" ht="15" customHeight="1" x14ac:dyDescent="0.2">
      <c r="A2453" s="685" t="str">
        <f t="shared" si="129"/>
        <v>클래식 린넨 커버
(LC)
(클래식 린넨)</v>
      </c>
      <c r="B2453" s="533" t="s">
        <v>1879</v>
      </c>
      <c r="C2453" s="91" t="s">
        <v>1868</v>
      </c>
      <c r="D2453" s="98" t="s">
        <v>4057</v>
      </c>
      <c r="E2453" s="89">
        <v>920000</v>
      </c>
    </row>
    <row r="2454" spans="1:5" ht="15" customHeight="1" x14ac:dyDescent="0.2">
      <c r="A2454" s="685" t="str">
        <f t="shared" si="129"/>
        <v>클래식 린넨 커버
(LC)
(클래식 린넨)</v>
      </c>
      <c r="B2454" s="533" t="s">
        <v>1879</v>
      </c>
      <c r="C2454" s="534">
        <v>270</v>
      </c>
      <c r="D2454" s="535" t="s">
        <v>4058</v>
      </c>
      <c r="E2454" s="89">
        <v>1050000</v>
      </c>
    </row>
    <row r="2455" spans="1:5" ht="15" customHeight="1" x14ac:dyDescent="0.2">
      <c r="A2455" s="685" t="str">
        <f t="shared" si="129"/>
        <v>클래식 린넨 커버
(LC)
(클래식 린넨)</v>
      </c>
      <c r="B2455" s="533" t="s">
        <v>1879</v>
      </c>
      <c r="C2455" s="91">
        <v>352</v>
      </c>
      <c r="D2455" s="98" t="s">
        <v>4059</v>
      </c>
      <c r="E2455" s="89">
        <v>1425000</v>
      </c>
    </row>
    <row r="2456" spans="1:5" ht="15" customHeight="1" x14ac:dyDescent="0.2">
      <c r="A2456" s="685" t="str">
        <f t="shared" si="129"/>
        <v>클래식 린넨 커버
(LC)
(클래식 린넨)</v>
      </c>
      <c r="B2456" s="542" t="s">
        <v>1865</v>
      </c>
      <c r="C2456" s="543">
        <v>216</v>
      </c>
      <c r="D2456" s="544">
        <v>205207</v>
      </c>
      <c r="E2456" s="89">
        <v>590000</v>
      </c>
    </row>
    <row r="2457" spans="1:5" ht="15" customHeight="1" x14ac:dyDescent="0.2">
      <c r="A2457" s="685" t="str">
        <f t="shared" si="129"/>
        <v>클래식 린넨 커버
(LC)
(클래식 린넨)</v>
      </c>
      <c r="B2457" s="118" t="s">
        <v>1921</v>
      </c>
      <c r="C2457" s="91">
        <v>216</v>
      </c>
      <c r="D2457" s="98" t="s">
        <v>4060</v>
      </c>
      <c r="E2457" s="89">
        <v>590000</v>
      </c>
    </row>
    <row r="2458" spans="1:5" ht="15" customHeight="1" x14ac:dyDescent="0.2">
      <c r="A2458" s="685" t="str">
        <f t="shared" si="129"/>
        <v>클래식 린넨 커버
(LC)
(클래식 린넨)</v>
      </c>
      <c r="B2458" s="545" t="s">
        <v>4061</v>
      </c>
      <c r="C2458" s="534">
        <v>216</v>
      </c>
      <c r="D2458" s="546" t="s">
        <v>4062</v>
      </c>
      <c r="E2458" s="89">
        <v>390000</v>
      </c>
    </row>
    <row r="2459" spans="1:5" ht="15" customHeight="1" x14ac:dyDescent="0.2">
      <c r="A2459" s="685" t="str">
        <f t="shared" si="129"/>
        <v>클래식 린넨 커버
(LC)
(클래식 린넨)</v>
      </c>
      <c r="B2459" s="118" t="s">
        <v>4063</v>
      </c>
      <c r="C2459" s="91">
        <v>216</v>
      </c>
      <c r="D2459" s="93" t="s">
        <v>4064</v>
      </c>
      <c r="E2459" s="89">
        <v>735000</v>
      </c>
    </row>
    <row r="2460" spans="1:5" ht="15" customHeight="1" x14ac:dyDescent="0.2">
      <c r="A2460" s="685" t="str">
        <f t="shared" si="129"/>
        <v>클래식 린넨 커버
(LC)
(클래식 린넨)</v>
      </c>
      <c r="B2460" s="533" t="s">
        <v>2631</v>
      </c>
      <c r="C2460" s="525">
        <v>227</v>
      </c>
      <c r="D2460" s="529" t="s">
        <v>4065</v>
      </c>
      <c r="E2460" s="89">
        <v>1015000</v>
      </c>
    </row>
    <row r="2461" spans="1:5" ht="15" customHeight="1" x14ac:dyDescent="0.2">
      <c r="A2461" s="685" t="str">
        <f t="shared" si="129"/>
        <v>클래식 린넨 커버
(LC)
(클래식 린넨)</v>
      </c>
      <c r="B2461" s="94" t="s">
        <v>4051</v>
      </c>
      <c r="C2461" s="99"/>
      <c r="D2461" s="98" t="s">
        <v>4066</v>
      </c>
      <c r="E2461" s="89">
        <v>1035000</v>
      </c>
    </row>
    <row r="2462" spans="1:5" ht="15" customHeight="1" x14ac:dyDescent="0.2">
      <c r="A2462" s="685" t="str">
        <f t="shared" si="129"/>
        <v>클래식 린넨 커버
(LC)
(클래식 린넨)</v>
      </c>
      <c r="B2462" s="533" t="s">
        <v>2631</v>
      </c>
      <c r="C2462" s="525">
        <v>227</v>
      </c>
      <c r="D2462" s="526" t="s">
        <v>4067</v>
      </c>
      <c r="E2462" s="89">
        <v>1300000</v>
      </c>
    </row>
    <row r="2463" spans="1:5" ht="15" customHeight="1" x14ac:dyDescent="0.2">
      <c r="A2463" s="685" t="str">
        <f t="shared" si="129"/>
        <v>클래식 린넨 커버
(LC)
(클래식 린넨)</v>
      </c>
      <c r="B2463" s="90" t="s">
        <v>4054</v>
      </c>
      <c r="C2463" s="99"/>
      <c r="D2463" s="98" t="s">
        <v>1868</v>
      </c>
      <c r="E2463" s="89" t="s">
        <v>2008</v>
      </c>
    </row>
    <row r="2464" spans="1:5" ht="15" customHeight="1" x14ac:dyDescent="0.2">
      <c r="A2464" s="685" t="str">
        <f t="shared" si="129"/>
        <v>클래식 린넨 커버
(LC)
(클래식 린넨)</v>
      </c>
      <c r="B2464" s="533" t="s">
        <v>1865</v>
      </c>
      <c r="C2464" s="534">
        <v>270</v>
      </c>
      <c r="D2464" s="535" t="s">
        <v>4068</v>
      </c>
      <c r="E2464" s="89">
        <v>735000</v>
      </c>
    </row>
    <row r="2465" spans="1:5" ht="15" customHeight="1" x14ac:dyDescent="0.2">
      <c r="A2465" s="688" t="str">
        <f t="shared" si="129"/>
        <v>클래식 린넨 커버
(LC)
(클래식 린넨)</v>
      </c>
      <c r="B2465" s="533" t="s">
        <v>1865</v>
      </c>
      <c r="C2465" s="106">
        <v>352</v>
      </c>
      <c r="D2465" s="107" t="s">
        <v>4069</v>
      </c>
      <c r="E2465" s="89">
        <v>990000</v>
      </c>
    </row>
    <row r="2466" spans="1:5" ht="15" customHeight="1" x14ac:dyDescent="0.2">
      <c r="A2466" s="684" t="s">
        <v>4070</v>
      </c>
      <c r="B2466" s="516" t="s">
        <v>1879</v>
      </c>
      <c r="C2466" s="517">
        <v>118</v>
      </c>
      <c r="D2466" s="547">
        <v>10</v>
      </c>
      <c r="E2466" s="89">
        <v>450000</v>
      </c>
    </row>
    <row r="2467" spans="1:5" ht="15" customHeight="1" x14ac:dyDescent="0.2">
      <c r="A2467" s="685" t="str">
        <f t="shared" ref="A2467:A2470" si="130">A2466</f>
        <v>클래식 린넨 텍스트
(LT)</v>
      </c>
      <c r="B2467" s="516" t="s">
        <v>1879</v>
      </c>
      <c r="C2467" s="91"/>
      <c r="D2467" s="98">
        <v>22</v>
      </c>
      <c r="E2467" s="89">
        <v>455000</v>
      </c>
    </row>
    <row r="2468" spans="1:5" ht="15" customHeight="1" x14ac:dyDescent="0.2">
      <c r="A2468" s="685" t="str">
        <f t="shared" si="130"/>
        <v>클래식 린넨 텍스트
(LT)</v>
      </c>
      <c r="B2468" s="516" t="s">
        <v>1879</v>
      </c>
      <c r="C2468" s="91"/>
      <c r="D2468" s="92" t="s">
        <v>4071</v>
      </c>
      <c r="E2468" s="89">
        <v>335000</v>
      </c>
    </row>
    <row r="2469" spans="1:5" ht="15" customHeight="1" x14ac:dyDescent="0.2">
      <c r="A2469" s="685" t="str">
        <f t="shared" si="130"/>
        <v>클래식 린넨 텍스트
(LT)</v>
      </c>
      <c r="B2469" s="516" t="s">
        <v>1879</v>
      </c>
      <c r="C2469" s="99"/>
      <c r="D2469" s="92" t="s">
        <v>4072</v>
      </c>
      <c r="E2469" s="89">
        <v>350000</v>
      </c>
    </row>
    <row r="2470" spans="1:5" ht="15" customHeight="1" x14ac:dyDescent="0.2">
      <c r="A2470" s="688" t="str">
        <f t="shared" si="130"/>
        <v>클래식 린넨 텍스트
(LT)</v>
      </c>
      <c r="B2470" s="548" t="s">
        <v>4073</v>
      </c>
      <c r="C2470" s="536">
        <v>118</v>
      </c>
      <c r="D2470" s="549" t="s">
        <v>4074</v>
      </c>
      <c r="E2470" s="89">
        <v>165000</v>
      </c>
    </row>
    <row r="2471" spans="1:5" ht="15" customHeight="1" x14ac:dyDescent="0.2">
      <c r="A2471" s="684" t="s">
        <v>4075</v>
      </c>
      <c r="B2471" s="516" t="s">
        <v>3931</v>
      </c>
      <c r="C2471" s="517">
        <v>118</v>
      </c>
      <c r="D2471" s="518" t="s">
        <v>4076</v>
      </c>
      <c r="E2471" s="89">
        <v>500000</v>
      </c>
    </row>
    <row r="2472" spans="1:5" ht="15" customHeight="1" x14ac:dyDescent="0.2">
      <c r="A2472" s="685" t="str">
        <f t="shared" ref="A2472:A2505" si="131">A2471</f>
        <v xml:space="preserve">클래식 스티플
(CCLS) </v>
      </c>
      <c r="B2472" s="516" t="s">
        <v>3931</v>
      </c>
      <c r="C2472" s="91"/>
      <c r="D2472" s="98" t="s">
        <v>4077</v>
      </c>
      <c r="E2472" s="89">
        <v>500000</v>
      </c>
    </row>
    <row r="2473" spans="1:5" ht="15" customHeight="1" x14ac:dyDescent="0.2">
      <c r="A2473" s="685" t="str">
        <f t="shared" si="131"/>
        <v xml:space="preserve">클래식 스티플
(CCLS) </v>
      </c>
      <c r="B2473" s="516" t="s">
        <v>3931</v>
      </c>
      <c r="C2473" s="91"/>
      <c r="D2473" s="98" t="s">
        <v>4078</v>
      </c>
      <c r="E2473" s="89">
        <v>455000</v>
      </c>
    </row>
    <row r="2474" spans="1:5" ht="15" customHeight="1" x14ac:dyDescent="0.2">
      <c r="A2474" s="685" t="str">
        <f t="shared" si="131"/>
        <v xml:space="preserve">클래식 스티플
(CCLS) </v>
      </c>
      <c r="B2474" s="516" t="s">
        <v>3931</v>
      </c>
      <c r="C2474" s="91"/>
      <c r="D2474" s="98" t="s">
        <v>4079</v>
      </c>
      <c r="E2474" s="89">
        <v>500000</v>
      </c>
    </row>
    <row r="2475" spans="1:5" ht="15" customHeight="1" x14ac:dyDescent="0.2">
      <c r="A2475" s="685" t="str">
        <f t="shared" si="131"/>
        <v xml:space="preserve">클래식 스티플
(CCLS) </v>
      </c>
      <c r="B2475" s="516" t="s">
        <v>3931</v>
      </c>
      <c r="C2475" s="91"/>
      <c r="D2475" s="98" t="s">
        <v>4080</v>
      </c>
      <c r="E2475" s="89">
        <v>500000</v>
      </c>
    </row>
    <row r="2476" spans="1:5" ht="15" customHeight="1" x14ac:dyDescent="0.2">
      <c r="A2476" s="685" t="str">
        <f t="shared" si="131"/>
        <v xml:space="preserve">클래식 스티플
(CCLS) </v>
      </c>
      <c r="B2476" s="516" t="s">
        <v>3931</v>
      </c>
      <c r="C2476" s="91"/>
      <c r="D2476" s="98" t="s">
        <v>4081</v>
      </c>
      <c r="E2476" s="89">
        <v>680000</v>
      </c>
    </row>
    <row r="2477" spans="1:5" ht="15" customHeight="1" x14ac:dyDescent="0.2">
      <c r="A2477" s="685" t="str">
        <f t="shared" si="131"/>
        <v xml:space="preserve">클래식 스티플
(CCLS) </v>
      </c>
      <c r="B2477" s="516" t="s">
        <v>3931</v>
      </c>
      <c r="C2477" s="91"/>
      <c r="D2477" s="98" t="s">
        <v>4082</v>
      </c>
      <c r="E2477" s="89">
        <v>565000</v>
      </c>
    </row>
    <row r="2478" spans="1:5" ht="15" customHeight="1" x14ac:dyDescent="0.2">
      <c r="A2478" s="685" t="str">
        <f t="shared" si="131"/>
        <v xml:space="preserve">클래식 스티플
(CCLS) </v>
      </c>
      <c r="B2478" s="516" t="s">
        <v>3931</v>
      </c>
      <c r="C2478" s="91"/>
      <c r="D2478" s="98" t="s">
        <v>4083</v>
      </c>
      <c r="E2478" s="89">
        <v>390000</v>
      </c>
    </row>
    <row r="2479" spans="1:5" ht="15" customHeight="1" x14ac:dyDescent="0.2">
      <c r="A2479" s="685" t="str">
        <f t="shared" si="131"/>
        <v xml:space="preserve">클래식 스티플
(CCLS) </v>
      </c>
      <c r="B2479" s="516" t="s">
        <v>3931</v>
      </c>
      <c r="C2479" s="91"/>
      <c r="D2479" s="98" t="s">
        <v>4084</v>
      </c>
      <c r="E2479" s="89">
        <v>465000</v>
      </c>
    </row>
    <row r="2480" spans="1:5" ht="15" customHeight="1" x14ac:dyDescent="0.2">
      <c r="A2480" s="685" t="str">
        <f t="shared" si="131"/>
        <v xml:space="preserve">클래식 스티플
(CCLS) </v>
      </c>
      <c r="B2480" s="516" t="s">
        <v>3931</v>
      </c>
      <c r="C2480" s="91"/>
      <c r="D2480" s="98" t="s">
        <v>4085</v>
      </c>
      <c r="E2480" s="89">
        <v>485000</v>
      </c>
    </row>
    <row r="2481" spans="1:5" ht="15" customHeight="1" x14ac:dyDescent="0.2">
      <c r="A2481" s="685" t="str">
        <f t="shared" si="131"/>
        <v xml:space="preserve">클래식 스티플
(CCLS) </v>
      </c>
      <c r="B2481" s="516" t="s">
        <v>3931</v>
      </c>
      <c r="C2481" s="91"/>
      <c r="D2481" s="98" t="s">
        <v>4086</v>
      </c>
      <c r="E2481" s="89">
        <v>645000</v>
      </c>
    </row>
    <row r="2482" spans="1:5" ht="15" customHeight="1" x14ac:dyDescent="0.2">
      <c r="A2482" s="685" t="str">
        <f t="shared" si="131"/>
        <v xml:space="preserve">클래식 스티플
(CCLS) </v>
      </c>
      <c r="B2482" s="516" t="s">
        <v>3931</v>
      </c>
      <c r="C2482" s="525">
        <v>216</v>
      </c>
      <c r="D2482" s="526" t="s">
        <v>4087</v>
      </c>
      <c r="E2482" s="89">
        <v>940000</v>
      </c>
    </row>
    <row r="2483" spans="1:5" ht="15" customHeight="1" x14ac:dyDescent="0.2">
      <c r="A2483" s="685" t="str">
        <f t="shared" si="131"/>
        <v xml:space="preserve">클래식 스티플
(CCLS) </v>
      </c>
      <c r="B2483" s="516" t="s">
        <v>3931</v>
      </c>
      <c r="C2483" s="91"/>
      <c r="D2483" s="98" t="s">
        <v>4088</v>
      </c>
      <c r="E2483" s="89">
        <v>930000</v>
      </c>
    </row>
    <row r="2484" spans="1:5" ht="15" customHeight="1" x14ac:dyDescent="0.2">
      <c r="A2484" s="685" t="str">
        <f t="shared" si="131"/>
        <v xml:space="preserve">클래식 스티플
(CCLS) </v>
      </c>
      <c r="B2484" s="516" t="s">
        <v>3931</v>
      </c>
      <c r="C2484" s="91"/>
      <c r="D2484" s="98" t="s">
        <v>4089</v>
      </c>
      <c r="E2484" s="89">
        <v>940000</v>
      </c>
    </row>
    <row r="2485" spans="1:5" ht="15" customHeight="1" x14ac:dyDescent="0.2">
      <c r="A2485" s="685" t="str">
        <f t="shared" si="131"/>
        <v xml:space="preserve">클래식 스티플
(CCLS) </v>
      </c>
      <c r="B2485" s="516" t="s">
        <v>3931</v>
      </c>
      <c r="C2485" s="91"/>
      <c r="D2485" s="98" t="s">
        <v>4090</v>
      </c>
      <c r="E2485" s="89">
        <v>1270000</v>
      </c>
    </row>
    <row r="2486" spans="1:5" ht="15" customHeight="1" x14ac:dyDescent="0.2">
      <c r="A2486" s="685" t="str">
        <f t="shared" si="131"/>
        <v xml:space="preserve">클래식 스티플
(CCLS) </v>
      </c>
      <c r="B2486" s="516" t="s">
        <v>3931</v>
      </c>
      <c r="C2486" s="91"/>
      <c r="D2486" s="98" t="s">
        <v>4091</v>
      </c>
      <c r="E2486" s="89">
        <v>1050000</v>
      </c>
    </row>
    <row r="2487" spans="1:5" ht="15" customHeight="1" x14ac:dyDescent="0.2">
      <c r="A2487" s="685" t="str">
        <f t="shared" si="131"/>
        <v xml:space="preserve">클래식 스티플
(CCLS) </v>
      </c>
      <c r="B2487" s="516" t="s">
        <v>3931</v>
      </c>
      <c r="C2487" s="91"/>
      <c r="D2487" s="98" t="s">
        <v>4092</v>
      </c>
      <c r="E2487" s="89">
        <v>1200000</v>
      </c>
    </row>
    <row r="2488" spans="1:5" ht="15" customHeight="1" x14ac:dyDescent="0.2">
      <c r="A2488" s="685" t="str">
        <f t="shared" si="131"/>
        <v xml:space="preserve">클래식 스티플
(CCLS) </v>
      </c>
      <c r="B2488" s="516" t="s">
        <v>3931</v>
      </c>
      <c r="C2488" s="91"/>
      <c r="D2488" s="156" t="s">
        <v>4093</v>
      </c>
      <c r="E2488" s="89">
        <v>1085000</v>
      </c>
    </row>
    <row r="2489" spans="1:5" ht="15" customHeight="1" x14ac:dyDescent="0.2">
      <c r="A2489" s="685" t="str">
        <f t="shared" si="131"/>
        <v xml:space="preserve">클래식 스티플
(CCLS) </v>
      </c>
      <c r="B2489" s="516" t="s">
        <v>3931</v>
      </c>
      <c r="C2489" s="91"/>
      <c r="D2489" s="156" t="s">
        <v>4094</v>
      </c>
      <c r="E2489" s="89">
        <v>1010000</v>
      </c>
    </row>
    <row r="2490" spans="1:5" ht="15" customHeight="1" x14ac:dyDescent="0.2">
      <c r="A2490" s="685" t="str">
        <f t="shared" si="131"/>
        <v xml:space="preserve">클래식 스티플
(CCLS) </v>
      </c>
      <c r="B2490" s="516" t="s">
        <v>3931</v>
      </c>
      <c r="C2490" s="91"/>
      <c r="D2490" s="156" t="s">
        <v>4095</v>
      </c>
      <c r="E2490" s="89">
        <v>830000</v>
      </c>
    </row>
    <row r="2491" spans="1:5" ht="15" customHeight="1" x14ac:dyDescent="0.2">
      <c r="A2491" s="685" t="str">
        <f t="shared" si="131"/>
        <v xml:space="preserve">클래식 스티플
(CCLS) </v>
      </c>
      <c r="B2491" s="516" t="s">
        <v>3931</v>
      </c>
      <c r="C2491" s="99"/>
      <c r="D2491" s="145" t="s">
        <v>4096</v>
      </c>
      <c r="E2491" s="89">
        <v>650000</v>
      </c>
    </row>
    <row r="2492" spans="1:5" ht="15" customHeight="1" x14ac:dyDescent="0.2">
      <c r="A2492" s="685" t="str">
        <f t="shared" si="131"/>
        <v xml:space="preserve">클래식 스티플
(CCLS) </v>
      </c>
      <c r="B2492" s="516" t="s">
        <v>3931</v>
      </c>
      <c r="C2492" s="525">
        <v>270</v>
      </c>
      <c r="D2492" s="526" t="s">
        <v>4097</v>
      </c>
      <c r="E2492" s="89">
        <v>1200000</v>
      </c>
    </row>
    <row r="2493" spans="1:5" ht="15" customHeight="1" x14ac:dyDescent="0.2">
      <c r="A2493" s="685" t="str">
        <f t="shared" si="131"/>
        <v xml:space="preserve">클래식 스티플
(CCLS) </v>
      </c>
      <c r="B2493" s="516" t="s">
        <v>3931</v>
      </c>
      <c r="C2493" s="91"/>
      <c r="D2493" s="156" t="s">
        <v>4098</v>
      </c>
      <c r="E2493" s="89">
        <v>1150000</v>
      </c>
    </row>
    <row r="2494" spans="1:5" ht="15" customHeight="1" x14ac:dyDescent="0.2">
      <c r="A2494" s="685" t="str">
        <f t="shared" si="131"/>
        <v xml:space="preserve">클래식 스티플
(CCLS) </v>
      </c>
      <c r="B2494" s="516" t="s">
        <v>3931</v>
      </c>
      <c r="C2494" s="91"/>
      <c r="D2494" s="98" t="s">
        <v>4099</v>
      </c>
      <c r="E2494" s="89">
        <v>1150000</v>
      </c>
    </row>
    <row r="2495" spans="1:5" ht="15" customHeight="1" x14ac:dyDescent="0.2">
      <c r="A2495" s="685" t="str">
        <f t="shared" si="131"/>
        <v xml:space="preserve">클래식 스티플
(CCLS) </v>
      </c>
      <c r="B2495" s="516" t="s">
        <v>3931</v>
      </c>
      <c r="C2495" s="91"/>
      <c r="D2495" s="98" t="s">
        <v>4100</v>
      </c>
      <c r="E2495" s="89">
        <v>1130000</v>
      </c>
    </row>
    <row r="2496" spans="1:5" ht="15" customHeight="1" x14ac:dyDescent="0.2">
      <c r="A2496" s="685" t="str">
        <f t="shared" si="131"/>
        <v xml:space="preserve">클래식 스티플
(CCLS) </v>
      </c>
      <c r="B2496" s="516" t="s">
        <v>3931</v>
      </c>
      <c r="C2496" s="91"/>
      <c r="D2496" s="98" t="s">
        <v>4101</v>
      </c>
      <c r="E2496" s="89">
        <v>965000</v>
      </c>
    </row>
    <row r="2497" spans="1:5" ht="15" customHeight="1" x14ac:dyDescent="0.2">
      <c r="A2497" s="685" t="str">
        <f t="shared" si="131"/>
        <v xml:space="preserve">클래식 스티플
(CCLS) </v>
      </c>
      <c r="B2497" s="516" t="s">
        <v>3931</v>
      </c>
      <c r="C2497" s="91"/>
      <c r="D2497" s="98" t="s">
        <v>4102</v>
      </c>
      <c r="E2497" s="89">
        <v>1170000</v>
      </c>
    </row>
    <row r="2498" spans="1:5" ht="15" customHeight="1" x14ac:dyDescent="0.2">
      <c r="A2498" s="685"/>
      <c r="B2498" s="516" t="s">
        <v>3931</v>
      </c>
      <c r="C2498" s="91"/>
      <c r="D2498" s="98" t="s">
        <v>2470</v>
      </c>
      <c r="E2498" s="89">
        <v>1640000</v>
      </c>
    </row>
    <row r="2499" spans="1:5" ht="15" customHeight="1" x14ac:dyDescent="0.2">
      <c r="A2499" s="685" t="str">
        <f>A2497</f>
        <v xml:space="preserve">클래식 스티플
(CCLS) </v>
      </c>
      <c r="B2499" s="516" t="s">
        <v>3931</v>
      </c>
      <c r="C2499" s="99"/>
      <c r="D2499" s="105" t="s">
        <v>4103</v>
      </c>
      <c r="E2499" s="89">
        <v>1540000</v>
      </c>
    </row>
    <row r="2500" spans="1:5" ht="15" customHeight="1" x14ac:dyDescent="0.2">
      <c r="A2500" s="685" t="str">
        <f t="shared" si="131"/>
        <v xml:space="preserve">클래식 스티플
(CCLS) </v>
      </c>
      <c r="B2500" s="516" t="s">
        <v>3931</v>
      </c>
      <c r="C2500" s="91">
        <v>352</v>
      </c>
      <c r="D2500" s="98" t="s">
        <v>4104</v>
      </c>
      <c r="E2500" s="89">
        <v>1650000</v>
      </c>
    </row>
    <row r="2501" spans="1:5" ht="15" customHeight="1" x14ac:dyDescent="0.2">
      <c r="A2501" s="685" t="str">
        <f t="shared" si="131"/>
        <v xml:space="preserve">클래식 스티플
(CCLS) </v>
      </c>
      <c r="B2501" s="516" t="s">
        <v>3931</v>
      </c>
      <c r="C2501" s="91"/>
      <c r="D2501" s="98" t="s">
        <v>4105</v>
      </c>
      <c r="E2501" s="89">
        <v>2200000</v>
      </c>
    </row>
    <row r="2502" spans="1:5" ht="15" customHeight="1" x14ac:dyDescent="0.2">
      <c r="A2502" s="685" t="str">
        <f t="shared" si="131"/>
        <v xml:space="preserve">클래식 스티플
(CCLS) </v>
      </c>
      <c r="B2502" s="533" t="s">
        <v>2196</v>
      </c>
      <c r="C2502" s="525">
        <v>270</v>
      </c>
      <c r="D2502" s="526" t="s">
        <v>4106</v>
      </c>
      <c r="E2502" s="89">
        <v>840000</v>
      </c>
    </row>
    <row r="2503" spans="1:5" ht="15" customHeight="1" x14ac:dyDescent="0.2">
      <c r="A2503" s="685" t="str">
        <f t="shared" si="131"/>
        <v xml:space="preserve">클래식 스티플
(CCLS) </v>
      </c>
      <c r="B2503" s="533" t="s">
        <v>2196</v>
      </c>
      <c r="C2503" s="99" t="s">
        <v>4107</v>
      </c>
      <c r="D2503" s="105" t="s">
        <v>1996</v>
      </c>
      <c r="E2503" s="89">
        <v>565000</v>
      </c>
    </row>
    <row r="2504" spans="1:5" ht="15" customHeight="1" x14ac:dyDescent="0.2">
      <c r="A2504" s="685" t="str">
        <f t="shared" si="131"/>
        <v xml:space="preserve">클래식 스티플
(CCLS) </v>
      </c>
      <c r="B2504" s="533" t="s">
        <v>4108</v>
      </c>
      <c r="C2504" s="525">
        <v>216</v>
      </c>
      <c r="D2504" s="526" t="s">
        <v>4109</v>
      </c>
      <c r="E2504" s="89">
        <v>525000</v>
      </c>
    </row>
    <row r="2505" spans="1:5" ht="15" customHeight="1" x14ac:dyDescent="0.2">
      <c r="A2505" s="688" t="str">
        <f t="shared" si="131"/>
        <v xml:space="preserve">클래식 스티플
(CCLS) </v>
      </c>
      <c r="B2505" s="533" t="s">
        <v>4108</v>
      </c>
      <c r="C2505" s="106"/>
      <c r="D2505" s="107" t="s">
        <v>4110</v>
      </c>
      <c r="E2505" s="89">
        <v>700000</v>
      </c>
    </row>
    <row r="2506" spans="1:5" ht="15" customHeight="1" x14ac:dyDescent="0.2">
      <c r="A2506" s="689" t="s">
        <v>4111</v>
      </c>
      <c r="B2506" s="533" t="s">
        <v>3931</v>
      </c>
      <c r="C2506" s="525">
        <v>118</v>
      </c>
      <c r="D2506" s="526" t="s">
        <v>2993</v>
      </c>
      <c r="E2506" s="89">
        <v>475000</v>
      </c>
    </row>
    <row r="2507" spans="1:5" ht="15" customHeight="1" x14ac:dyDescent="0.2">
      <c r="A2507" s="685" t="str">
        <f t="shared" ref="A2507:A2523" si="132">A2506</f>
        <v xml:space="preserve">클래식 테크위브
(CCLT) </v>
      </c>
      <c r="B2507" s="533" t="s">
        <v>3931</v>
      </c>
      <c r="C2507" s="91"/>
      <c r="D2507" s="98" t="s">
        <v>3631</v>
      </c>
      <c r="E2507" s="89">
        <v>470000</v>
      </c>
    </row>
    <row r="2508" spans="1:5" ht="15" customHeight="1" x14ac:dyDescent="0.2">
      <c r="A2508" s="685" t="str">
        <f t="shared" si="132"/>
        <v xml:space="preserve">클래식 테크위브
(CCLT) </v>
      </c>
      <c r="B2508" s="533" t="s">
        <v>3931</v>
      </c>
      <c r="C2508" s="91"/>
      <c r="D2508" s="98" t="s">
        <v>3212</v>
      </c>
      <c r="E2508" s="89">
        <v>650000</v>
      </c>
    </row>
    <row r="2509" spans="1:5" ht="15" customHeight="1" x14ac:dyDescent="0.2">
      <c r="A2509" s="685" t="str">
        <f t="shared" si="132"/>
        <v xml:space="preserve">클래식 테크위브
(CCLT) </v>
      </c>
      <c r="B2509" s="533" t="s">
        <v>3931</v>
      </c>
      <c r="C2509" s="525">
        <v>216</v>
      </c>
      <c r="D2509" s="526" t="s">
        <v>1893</v>
      </c>
      <c r="E2509" s="89">
        <v>890000</v>
      </c>
    </row>
    <row r="2510" spans="1:5" ht="15" customHeight="1" x14ac:dyDescent="0.2">
      <c r="A2510" s="685" t="str">
        <f t="shared" si="132"/>
        <v xml:space="preserve">클래식 테크위브
(CCLT) </v>
      </c>
      <c r="B2510" s="533" t="s">
        <v>3931</v>
      </c>
      <c r="C2510" s="91"/>
      <c r="D2510" s="98" t="s">
        <v>2780</v>
      </c>
      <c r="E2510" s="89">
        <v>855000</v>
      </c>
    </row>
    <row r="2511" spans="1:5" ht="15" customHeight="1" x14ac:dyDescent="0.2">
      <c r="A2511" s="685" t="str">
        <f t="shared" si="132"/>
        <v xml:space="preserve">클래식 테크위브
(CCLT) </v>
      </c>
      <c r="B2511" s="533" t="s">
        <v>3931</v>
      </c>
      <c r="C2511" s="91"/>
      <c r="D2511" s="98" t="s">
        <v>3368</v>
      </c>
      <c r="E2511" s="89">
        <v>1000000</v>
      </c>
    </row>
    <row r="2512" spans="1:5" ht="15" customHeight="1" x14ac:dyDescent="0.2">
      <c r="A2512" s="685" t="str">
        <f t="shared" si="132"/>
        <v xml:space="preserve">클래식 테크위브
(CCLT) </v>
      </c>
      <c r="B2512" s="533" t="s">
        <v>3931</v>
      </c>
      <c r="C2512" s="91"/>
      <c r="D2512" s="98" t="s">
        <v>1896</v>
      </c>
      <c r="E2512" s="89">
        <v>1140000</v>
      </c>
    </row>
    <row r="2513" spans="1:5" ht="15" customHeight="1" x14ac:dyDescent="0.2">
      <c r="A2513" s="685" t="str">
        <f t="shared" si="132"/>
        <v xml:space="preserve">클래식 테크위브
(CCLT) </v>
      </c>
      <c r="B2513" s="533" t="s">
        <v>3931</v>
      </c>
      <c r="C2513" s="91"/>
      <c r="D2513" s="98" t="s">
        <v>4112</v>
      </c>
      <c r="E2513" s="89">
        <v>1210000</v>
      </c>
    </row>
    <row r="2514" spans="1:5" ht="15" customHeight="1" x14ac:dyDescent="0.2">
      <c r="A2514" s="685" t="str">
        <f t="shared" si="132"/>
        <v xml:space="preserve">클래식 테크위브
(CCLT) </v>
      </c>
      <c r="B2514" s="533" t="s">
        <v>3931</v>
      </c>
      <c r="C2514" s="525">
        <v>270</v>
      </c>
      <c r="D2514" s="526" t="s">
        <v>3082</v>
      </c>
      <c r="E2514" s="89">
        <v>1150000</v>
      </c>
    </row>
    <row r="2515" spans="1:5" ht="15" customHeight="1" x14ac:dyDescent="0.2">
      <c r="A2515" s="685" t="str">
        <f t="shared" si="132"/>
        <v xml:space="preserve">클래식 테크위브
(CCLT) </v>
      </c>
      <c r="B2515" s="533" t="s">
        <v>3931</v>
      </c>
      <c r="C2515" s="91"/>
      <c r="D2515" s="98" t="s">
        <v>2562</v>
      </c>
      <c r="E2515" s="89">
        <v>1100000</v>
      </c>
    </row>
    <row r="2516" spans="1:5" ht="15" customHeight="1" x14ac:dyDescent="0.2">
      <c r="A2516" s="685" t="str">
        <f t="shared" si="132"/>
        <v xml:space="preserve">클래식 테크위브
(CCLT) </v>
      </c>
      <c r="B2516" s="533" t="s">
        <v>3931</v>
      </c>
      <c r="C2516" s="91"/>
      <c r="D2516" s="98" t="s">
        <v>4033</v>
      </c>
      <c r="E2516" s="89">
        <v>1250000</v>
      </c>
    </row>
    <row r="2517" spans="1:5" ht="15" customHeight="1" x14ac:dyDescent="0.2">
      <c r="A2517" s="685" t="str">
        <f t="shared" si="132"/>
        <v xml:space="preserve">클래식 테크위브
(CCLT) </v>
      </c>
      <c r="B2517" s="533" t="s">
        <v>3931</v>
      </c>
      <c r="C2517" s="91"/>
      <c r="D2517" s="98" t="s">
        <v>2830</v>
      </c>
      <c r="E2517" s="89">
        <v>1510000</v>
      </c>
    </row>
    <row r="2518" spans="1:5" ht="15" customHeight="1" x14ac:dyDescent="0.2">
      <c r="A2518" s="685" t="str">
        <f t="shared" si="132"/>
        <v xml:space="preserve">클래식 테크위브
(CCLT) </v>
      </c>
      <c r="B2518" s="533" t="s">
        <v>3931</v>
      </c>
      <c r="C2518" s="91"/>
      <c r="D2518" s="98" t="s">
        <v>2831</v>
      </c>
      <c r="E2518" s="89">
        <v>1470000</v>
      </c>
    </row>
    <row r="2519" spans="1:5" ht="15" customHeight="1" x14ac:dyDescent="0.2">
      <c r="A2519" s="685" t="str">
        <f t="shared" si="132"/>
        <v xml:space="preserve">클래식 테크위브
(CCLT) </v>
      </c>
      <c r="B2519" s="533" t="s">
        <v>3931</v>
      </c>
      <c r="C2519" s="91"/>
      <c r="D2519" s="98" t="s">
        <v>4113</v>
      </c>
      <c r="E2519" s="89">
        <v>1550000</v>
      </c>
    </row>
    <row r="2520" spans="1:5" ht="15" customHeight="1" x14ac:dyDescent="0.2">
      <c r="A2520" s="685" t="str">
        <f t="shared" si="132"/>
        <v xml:space="preserve">클래식 테크위브
(CCLT) </v>
      </c>
      <c r="B2520" s="533" t="s">
        <v>3931</v>
      </c>
      <c r="C2520" s="99"/>
      <c r="D2520" s="105" t="s">
        <v>3216</v>
      </c>
      <c r="E2520" s="89">
        <v>1550000</v>
      </c>
    </row>
    <row r="2521" spans="1:5" ht="15" customHeight="1" x14ac:dyDescent="0.2">
      <c r="A2521" s="685" t="str">
        <f t="shared" si="132"/>
        <v xml:space="preserve">클래식 테크위브
(CCLT) </v>
      </c>
      <c r="B2521" s="533" t="s">
        <v>3931</v>
      </c>
      <c r="C2521" s="91">
        <v>352</v>
      </c>
      <c r="D2521" s="98" t="s">
        <v>2011</v>
      </c>
      <c r="E2521" s="89">
        <v>1565000</v>
      </c>
    </row>
    <row r="2522" spans="1:5" ht="15" customHeight="1" x14ac:dyDescent="0.2">
      <c r="A2522" s="685" t="str">
        <f t="shared" si="132"/>
        <v xml:space="preserve">클래식 테크위브
(CCLT) </v>
      </c>
      <c r="B2522" s="533" t="s">
        <v>3931</v>
      </c>
      <c r="C2522" s="91"/>
      <c r="D2522" s="98" t="s">
        <v>4037</v>
      </c>
      <c r="E2522" s="89">
        <v>1650000</v>
      </c>
    </row>
    <row r="2523" spans="1:5" ht="15" customHeight="1" x14ac:dyDescent="0.2">
      <c r="A2523" s="685" t="str">
        <f t="shared" si="132"/>
        <v xml:space="preserve">클래식 테크위브
(CCLT) </v>
      </c>
      <c r="B2523" s="533" t="s">
        <v>3931</v>
      </c>
      <c r="C2523" s="91"/>
      <c r="D2523" s="98" t="s">
        <v>4114</v>
      </c>
      <c r="E2523" s="89">
        <v>2090000</v>
      </c>
    </row>
    <row r="2524" spans="1:5" ht="15" customHeight="1" thickBot="1" x14ac:dyDescent="0.25">
      <c r="A2524" s="672" t="s">
        <v>4115</v>
      </c>
      <c r="B2524" s="516" t="s">
        <v>1857</v>
      </c>
      <c r="C2524" s="517" t="s">
        <v>1858</v>
      </c>
      <c r="D2524" s="550" t="s">
        <v>1859</v>
      </c>
      <c r="E2524" s="89">
        <v>178000</v>
      </c>
    </row>
    <row r="2525" spans="1:5" ht="15" customHeight="1" thickBot="1" x14ac:dyDescent="0.25">
      <c r="A2525" s="672" t="str">
        <f t="shared" ref="A2525:A2537" si="133">A2524</f>
        <v xml:space="preserve">키아라
(KIA)  </v>
      </c>
      <c r="B2525" s="516" t="s">
        <v>1857</v>
      </c>
      <c r="C2525" s="91" t="s">
        <v>1860</v>
      </c>
      <c r="D2525" s="92"/>
      <c r="E2525" s="89">
        <v>191000</v>
      </c>
    </row>
    <row r="2526" spans="1:5" ht="15" customHeight="1" thickBot="1" x14ac:dyDescent="0.25">
      <c r="A2526" s="672" t="str">
        <f t="shared" si="133"/>
        <v xml:space="preserve">키아라
(KIA)  </v>
      </c>
      <c r="B2526" s="516" t="s">
        <v>1857</v>
      </c>
      <c r="C2526" s="91">
        <v>115</v>
      </c>
      <c r="D2526" s="551"/>
      <c r="E2526" s="89">
        <v>255000</v>
      </c>
    </row>
    <row r="2527" spans="1:5" ht="15" customHeight="1" thickBot="1" x14ac:dyDescent="0.25">
      <c r="A2527" s="672" t="str">
        <f t="shared" si="133"/>
        <v xml:space="preserve">키아라
(KIA)  </v>
      </c>
      <c r="B2527" s="516" t="s">
        <v>1857</v>
      </c>
      <c r="C2527" s="91" t="s">
        <v>1861</v>
      </c>
      <c r="D2527" s="552"/>
      <c r="E2527" s="89">
        <v>259000</v>
      </c>
    </row>
    <row r="2528" spans="1:5" ht="15" customHeight="1" thickBot="1" x14ac:dyDescent="0.25">
      <c r="A2528" s="672" t="str">
        <f t="shared" si="133"/>
        <v xml:space="preserve">키아라
(KIA)  </v>
      </c>
      <c r="B2528" s="516" t="s">
        <v>1857</v>
      </c>
      <c r="C2528" s="91" t="s">
        <v>1862</v>
      </c>
      <c r="D2528" s="552"/>
      <c r="E2528" s="89">
        <v>286000</v>
      </c>
    </row>
    <row r="2529" spans="1:5" ht="15" customHeight="1" thickBot="1" x14ac:dyDescent="0.25">
      <c r="A2529" s="672" t="str">
        <f t="shared" si="133"/>
        <v xml:space="preserve">키아라
(KIA)  </v>
      </c>
      <c r="B2529" s="516" t="s">
        <v>1857</v>
      </c>
      <c r="C2529" s="91">
        <v>200</v>
      </c>
      <c r="D2529" s="551"/>
      <c r="E2529" s="89">
        <v>440000</v>
      </c>
    </row>
    <row r="2530" spans="1:5" ht="15" customHeight="1" thickBot="1" x14ac:dyDescent="0.25">
      <c r="A2530" s="672" t="str">
        <f t="shared" si="133"/>
        <v xml:space="preserve">키아라
(KIA)  </v>
      </c>
      <c r="B2530" s="516" t="s">
        <v>1857</v>
      </c>
      <c r="C2530" s="91" t="s">
        <v>1864</v>
      </c>
      <c r="D2530" s="92"/>
      <c r="E2530" s="89">
        <v>495000</v>
      </c>
    </row>
    <row r="2531" spans="1:5" ht="15" customHeight="1" thickBot="1" x14ac:dyDescent="0.25">
      <c r="A2531" s="672" t="str">
        <f t="shared" si="133"/>
        <v xml:space="preserve">키아라
(KIA)  </v>
      </c>
      <c r="B2531" s="533" t="s">
        <v>1865</v>
      </c>
      <c r="C2531" s="525" t="s">
        <v>1858</v>
      </c>
      <c r="D2531" s="553" t="s">
        <v>1859</v>
      </c>
      <c r="E2531" s="89">
        <v>125000</v>
      </c>
    </row>
    <row r="2532" spans="1:5" ht="15" customHeight="1" thickBot="1" x14ac:dyDescent="0.25">
      <c r="A2532" s="672" t="str">
        <f t="shared" si="133"/>
        <v xml:space="preserve">키아라
(KIA)  </v>
      </c>
      <c r="B2532" s="533" t="s">
        <v>1865</v>
      </c>
      <c r="C2532" s="91" t="s">
        <v>1860</v>
      </c>
      <c r="D2532" s="92"/>
      <c r="E2532" s="89">
        <v>133000</v>
      </c>
    </row>
    <row r="2533" spans="1:5" ht="15" customHeight="1" thickBot="1" x14ac:dyDescent="0.25">
      <c r="A2533" s="672" t="str">
        <f t="shared" si="133"/>
        <v xml:space="preserve">키아라
(KIA)  </v>
      </c>
      <c r="B2533" s="533" t="s">
        <v>1865</v>
      </c>
      <c r="C2533" s="91">
        <v>115</v>
      </c>
      <c r="D2533" s="551"/>
      <c r="E2533" s="89">
        <v>175000</v>
      </c>
    </row>
    <row r="2534" spans="1:5" ht="15" customHeight="1" thickBot="1" x14ac:dyDescent="0.25">
      <c r="A2534" s="672" t="str">
        <f t="shared" si="133"/>
        <v xml:space="preserve">키아라
(KIA)  </v>
      </c>
      <c r="B2534" s="533" t="s">
        <v>1865</v>
      </c>
      <c r="C2534" s="91" t="s">
        <v>1861</v>
      </c>
      <c r="D2534" s="552"/>
      <c r="E2534" s="89">
        <v>180000</v>
      </c>
    </row>
    <row r="2535" spans="1:5" ht="15" customHeight="1" thickBot="1" x14ac:dyDescent="0.25">
      <c r="A2535" s="672" t="str">
        <f t="shared" si="133"/>
        <v xml:space="preserve">키아라
(KIA)  </v>
      </c>
      <c r="B2535" s="533" t="s">
        <v>1865</v>
      </c>
      <c r="C2535" s="91">
        <v>150</v>
      </c>
      <c r="D2535" s="551"/>
      <c r="E2535" s="89">
        <v>232000</v>
      </c>
    </row>
    <row r="2536" spans="1:5" ht="15" customHeight="1" thickBot="1" x14ac:dyDescent="0.25">
      <c r="A2536" s="672" t="str">
        <f t="shared" si="133"/>
        <v xml:space="preserve">키아라
(KIA)  </v>
      </c>
      <c r="B2536" s="533" t="s">
        <v>1865</v>
      </c>
      <c r="C2536" s="91">
        <v>200</v>
      </c>
      <c r="D2536" s="551"/>
      <c r="E2536" s="89">
        <v>307000</v>
      </c>
    </row>
    <row r="2537" spans="1:5" ht="15" customHeight="1" x14ac:dyDescent="0.2">
      <c r="A2537" s="673" t="str">
        <f t="shared" si="133"/>
        <v xml:space="preserve">키아라
(KIA)  </v>
      </c>
      <c r="B2537" s="533" t="s">
        <v>1865</v>
      </c>
      <c r="C2537" s="111" t="s">
        <v>1864</v>
      </c>
      <c r="D2537" s="271"/>
      <c r="E2537" s="89">
        <v>345000</v>
      </c>
    </row>
    <row r="2538" spans="1:5" ht="15" customHeight="1" x14ac:dyDescent="0.2">
      <c r="A2538" s="674" t="s">
        <v>4116</v>
      </c>
      <c r="B2538" s="118" t="s">
        <v>2837</v>
      </c>
      <c r="C2538" s="91">
        <v>120</v>
      </c>
      <c r="D2538" s="98" t="s">
        <v>4117</v>
      </c>
      <c r="E2538" s="89">
        <v>375000</v>
      </c>
    </row>
    <row r="2539" spans="1:5" ht="15" customHeight="1" x14ac:dyDescent="0.2">
      <c r="A2539" s="675" t="str">
        <f t="shared" ref="A2539:A2548" si="134">A2538</f>
        <v xml:space="preserve">키칼라*
(KEY)  수정 가격 </v>
      </c>
      <c r="B2539" s="118" t="s">
        <v>2837</v>
      </c>
      <c r="C2539" s="91"/>
      <c r="D2539" s="98" t="s">
        <v>4118</v>
      </c>
      <c r="E2539" s="89">
        <v>375000</v>
      </c>
    </row>
    <row r="2540" spans="1:5" ht="15" customHeight="1" x14ac:dyDescent="0.2">
      <c r="A2540" s="675" t="str">
        <f t="shared" si="134"/>
        <v xml:space="preserve">키칼라*
(KEY)  수정 가격 </v>
      </c>
      <c r="B2540" s="118" t="s">
        <v>2837</v>
      </c>
      <c r="C2540" s="91"/>
      <c r="D2540" s="98" t="s">
        <v>4119</v>
      </c>
      <c r="E2540" s="89">
        <v>440000</v>
      </c>
    </row>
    <row r="2541" spans="1:5" ht="15" customHeight="1" x14ac:dyDescent="0.2">
      <c r="A2541" s="675" t="str">
        <f t="shared" si="134"/>
        <v xml:space="preserve">키칼라*
(KEY)  수정 가격 </v>
      </c>
      <c r="B2541" s="118" t="s">
        <v>2837</v>
      </c>
      <c r="C2541" s="91"/>
      <c r="D2541" s="98" t="s">
        <v>4120</v>
      </c>
      <c r="E2541" s="89">
        <v>495000</v>
      </c>
    </row>
    <row r="2542" spans="1:5" ht="15" customHeight="1" x14ac:dyDescent="0.2">
      <c r="A2542" s="675" t="str">
        <f t="shared" si="134"/>
        <v xml:space="preserve">키칼라*
(KEY)  수정 가격 </v>
      </c>
      <c r="B2542" s="118" t="s">
        <v>2837</v>
      </c>
      <c r="C2542" s="99"/>
      <c r="D2542" s="105" t="s">
        <v>4121</v>
      </c>
      <c r="E2542" s="89">
        <v>550000</v>
      </c>
    </row>
    <row r="2543" spans="1:5" ht="15" customHeight="1" x14ac:dyDescent="0.2">
      <c r="A2543" s="675" t="str">
        <f t="shared" si="134"/>
        <v xml:space="preserve">키칼라*
(KEY)  수정 가격 </v>
      </c>
      <c r="B2543" s="118" t="s">
        <v>2837</v>
      </c>
      <c r="C2543" s="91">
        <v>300</v>
      </c>
      <c r="D2543" s="192" t="s">
        <v>4122</v>
      </c>
      <c r="E2543" s="89">
        <v>825000</v>
      </c>
    </row>
    <row r="2544" spans="1:5" ht="15" customHeight="1" x14ac:dyDescent="0.2">
      <c r="A2544" s="675" t="str">
        <f t="shared" si="134"/>
        <v xml:space="preserve">키칼라*
(KEY)  수정 가격 </v>
      </c>
      <c r="B2544" s="118" t="s">
        <v>2837</v>
      </c>
      <c r="C2544" s="91"/>
      <c r="D2544" s="192" t="s">
        <v>4123</v>
      </c>
      <c r="E2544" s="89">
        <v>950000</v>
      </c>
    </row>
    <row r="2545" spans="1:5" ht="15" customHeight="1" x14ac:dyDescent="0.2">
      <c r="A2545" s="675" t="str">
        <f t="shared" si="134"/>
        <v xml:space="preserve">키칼라*
(KEY)  수정 가격 </v>
      </c>
      <c r="B2545" s="118" t="s">
        <v>2837</v>
      </c>
      <c r="C2545" s="91"/>
      <c r="D2545" s="192" t="s">
        <v>4124</v>
      </c>
      <c r="E2545" s="89">
        <v>1000000</v>
      </c>
    </row>
    <row r="2546" spans="1:5" ht="15" customHeight="1" x14ac:dyDescent="0.2">
      <c r="A2546" s="675" t="str">
        <f t="shared" si="134"/>
        <v xml:space="preserve">키칼라*
(KEY)  수정 가격 </v>
      </c>
      <c r="B2546" s="118" t="s">
        <v>2837</v>
      </c>
      <c r="C2546" s="91"/>
      <c r="D2546" s="192" t="s">
        <v>4125</v>
      </c>
      <c r="E2546" s="89">
        <v>1125000</v>
      </c>
    </row>
    <row r="2547" spans="1:5" ht="15" customHeight="1" x14ac:dyDescent="0.2">
      <c r="A2547" s="675" t="str">
        <f t="shared" si="134"/>
        <v xml:space="preserve">키칼라*
(KEY)  수정 가격 </v>
      </c>
      <c r="B2547" s="118" t="s">
        <v>2837</v>
      </c>
      <c r="C2547" s="91"/>
      <c r="D2547" s="192" t="s">
        <v>4126</v>
      </c>
      <c r="E2547" s="89">
        <v>1250000</v>
      </c>
    </row>
    <row r="2548" spans="1:5" ht="15" customHeight="1" x14ac:dyDescent="0.2">
      <c r="A2548" s="676" t="str">
        <f t="shared" si="134"/>
        <v xml:space="preserve">키칼라*
(KEY)  수정 가격 </v>
      </c>
      <c r="B2548" s="118" t="s">
        <v>2837</v>
      </c>
      <c r="C2548" s="111"/>
      <c r="D2548" s="554" t="s">
        <v>4127</v>
      </c>
      <c r="E2548" s="89">
        <v>1435000</v>
      </c>
    </row>
    <row r="2549" spans="1:5" ht="15" customHeight="1" x14ac:dyDescent="0.2">
      <c r="A2549" s="677" t="s">
        <v>4128</v>
      </c>
      <c r="B2549" s="118" t="s">
        <v>2399</v>
      </c>
      <c r="C2549" s="91">
        <v>220</v>
      </c>
      <c r="D2549" s="555" t="s">
        <v>4129</v>
      </c>
      <c r="E2549" s="89">
        <v>900000</v>
      </c>
    </row>
    <row r="2550" spans="1:5" ht="15" customHeight="1" x14ac:dyDescent="0.2">
      <c r="A2550" s="678" t="str">
        <f>A2549</f>
        <v>킹덤
(KDM)</v>
      </c>
      <c r="B2550" s="118" t="s">
        <v>4130</v>
      </c>
      <c r="C2550" s="91">
        <v>100</v>
      </c>
      <c r="D2550" s="555" t="s">
        <v>4131</v>
      </c>
      <c r="E2550" s="89">
        <v>165000</v>
      </c>
    </row>
    <row r="2551" spans="1:5" ht="15" customHeight="1" x14ac:dyDescent="0.2">
      <c r="A2551" s="679" t="s">
        <v>4132</v>
      </c>
      <c r="B2551" s="556" t="s">
        <v>2046</v>
      </c>
      <c r="C2551" s="557" t="s">
        <v>4133</v>
      </c>
      <c r="D2551" s="518" t="s">
        <v>4134</v>
      </c>
      <c r="E2551" s="89" t="s">
        <v>2008</v>
      </c>
    </row>
    <row r="2552" spans="1:5" ht="15" customHeight="1" x14ac:dyDescent="0.2">
      <c r="A2552" s="680"/>
      <c r="B2552" s="118" t="s">
        <v>4135</v>
      </c>
      <c r="C2552" s="415"/>
      <c r="D2552" s="98" t="s">
        <v>4136</v>
      </c>
      <c r="E2552" s="89" t="s">
        <v>2008</v>
      </c>
    </row>
    <row r="2553" spans="1:5" ht="15" customHeight="1" x14ac:dyDescent="0.2">
      <c r="A2553" s="680"/>
      <c r="B2553" s="118" t="s">
        <v>4137</v>
      </c>
      <c r="C2553" s="415"/>
      <c r="D2553" s="98"/>
      <c r="E2553" s="89" t="s">
        <v>2008</v>
      </c>
    </row>
    <row r="2554" spans="1:5" ht="15" customHeight="1" x14ac:dyDescent="0.2">
      <c r="A2554" s="680"/>
      <c r="B2554" s="118" t="s">
        <v>3306</v>
      </c>
      <c r="C2554" s="415"/>
      <c r="D2554" s="98"/>
      <c r="E2554" s="89">
        <v>565000</v>
      </c>
    </row>
    <row r="2555" spans="1:5" ht="15" customHeight="1" x14ac:dyDescent="0.2">
      <c r="A2555" s="680"/>
      <c r="B2555" s="94" t="s">
        <v>216</v>
      </c>
      <c r="C2555" s="558"/>
      <c r="D2555" s="105"/>
      <c r="E2555" s="89">
        <v>815000</v>
      </c>
    </row>
    <row r="2556" spans="1:5" ht="15" customHeight="1" x14ac:dyDescent="0.2">
      <c r="A2556" s="680"/>
      <c r="B2556" s="118" t="s">
        <v>2046</v>
      </c>
      <c r="C2556" s="415" t="s">
        <v>4138</v>
      </c>
      <c r="D2556" s="98" t="s">
        <v>4139</v>
      </c>
    </row>
    <row r="2557" spans="1:5" ht="15" customHeight="1" x14ac:dyDescent="0.2">
      <c r="A2557" s="680"/>
      <c r="B2557" s="118" t="s">
        <v>4135</v>
      </c>
      <c r="C2557" s="415"/>
      <c r="D2557" s="98" t="s">
        <v>4136</v>
      </c>
    </row>
    <row r="2558" spans="1:5" ht="15" customHeight="1" x14ac:dyDescent="0.2">
      <c r="A2558" s="680"/>
      <c r="B2558" s="118" t="s">
        <v>4137</v>
      </c>
      <c r="C2558" s="415"/>
      <c r="D2558" s="98" t="s">
        <v>4140</v>
      </c>
    </row>
    <row r="2559" spans="1:5" ht="15" customHeight="1" x14ac:dyDescent="0.2">
      <c r="A2559" s="680"/>
      <c r="B2559" s="118" t="s">
        <v>4141</v>
      </c>
      <c r="C2559" s="415" t="s">
        <v>1868</v>
      </c>
      <c r="D2559" s="98" t="s">
        <v>1868</v>
      </c>
      <c r="E2559" s="89">
        <v>495000</v>
      </c>
    </row>
    <row r="2560" spans="1:5" ht="15" customHeight="1" x14ac:dyDescent="0.2">
      <c r="A2560" s="680"/>
      <c r="B2560" s="158" t="s">
        <v>25</v>
      </c>
      <c r="C2560" s="558"/>
      <c r="D2560" s="105"/>
      <c r="E2560" s="89">
        <v>710000</v>
      </c>
    </row>
    <row r="2561" spans="1:5" ht="15" customHeight="1" x14ac:dyDescent="0.2">
      <c r="A2561" s="680"/>
      <c r="B2561" s="118" t="s">
        <v>25</v>
      </c>
      <c r="C2561" s="559" t="s">
        <v>4142</v>
      </c>
      <c r="D2561" s="92" t="s">
        <v>4143</v>
      </c>
      <c r="E2561" s="89">
        <v>680000</v>
      </c>
    </row>
    <row r="2562" spans="1:5" ht="15" customHeight="1" x14ac:dyDescent="0.2">
      <c r="A2562" s="680"/>
      <c r="B2562" s="118" t="s">
        <v>1009</v>
      </c>
      <c r="C2562" s="559"/>
      <c r="D2562" s="92"/>
      <c r="E2562" s="89">
        <v>475000</v>
      </c>
    </row>
    <row r="2563" spans="1:5" ht="15" customHeight="1" x14ac:dyDescent="0.2">
      <c r="A2563" s="680"/>
      <c r="B2563" s="158" t="s">
        <v>1541</v>
      </c>
      <c r="C2563" s="560"/>
      <c r="D2563" s="100"/>
      <c r="E2563" s="89">
        <v>855000</v>
      </c>
    </row>
    <row r="2564" spans="1:5" ht="15" customHeight="1" x14ac:dyDescent="0.2">
      <c r="A2564" s="680"/>
      <c r="B2564" s="532" t="s">
        <v>2046</v>
      </c>
      <c r="C2564" s="561" t="s">
        <v>4144</v>
      </c>
      <c r="D2564" s="526" t="s">
        <v>4145</v>
      </c>
    </row>
    <row r="2565" spans="1:5" ht="15" customHeight="1" x14ac:dyDescent="0.2">
      <c r="A2565" s="680"/>
      <c r="B2565" s="118" t="s">
        <v>4135</v>
      </c>
      <c r="C2565" s="415"/>
      <c r="D2565" s="98" t="s">
        <v>4136</v>
      </c>
    </row>
    <row r="2566" spans="1:5" ht="15" customHeight="1" x14ac:dyDescent="0.2">
      <c r="A2566" s="680"/>
      <c r="B2566" s="118" t="s">
        <v>4137</v>
      </c>
      <c r="C2566" s="415"/>
      <c r="D2566" s="98"/>
    </row>
    <row r="2567" spans="1:5" ht="15" customHeight="1" x14ac:dyDescent="0.2">
      <c r="A2567" s="680"/>
      <c r="B2567" s="118" t="s">
        <v>4146</v>
      </c>
      <c r="C2567" s="415"/>
      <c r="D2567" s="98"/>
      <c r="E2567" s="89">
        <v>980000</v>
      </c>
    </row>
    <row r="2568" spans="1:5" ht="15" customHeight="1" x14ac:dyDescent="0.2">
      <c r="A2568" s="680"/>
      <c r="B2568" s="158" t="s">
        <v>3380</v>
      </c>
      <c r="C2568" s="558"/>
      <c r="D2568" s="105"/>
      <c r="E2568" s="89">
        <v>680000</v>
      </c>
    </row>
    <row r="2569" spans="1:5" ht="15" customHeight="1" x14ac:dyDescent="0.2">
      <c r="A2569" s="680"/>
      <c r="B2569" s="532" t="s">
        <v>2046</v>
      </c>
      <c r="C2569" s="561" t="s">
        <v>4144</v>
      </c>
      <c r="D2569" s="526" t="s">
        <v>4147</v>
      </c>
    </row>
    <row r="2570" spans="1:5" ht="15" customHeight="1" x14ac:dyDescent="0.2">
      <c r="A2570" s="680"/>
      <c r="B2570" s="118" t="s">
        <v>4135</v>
      </c>
      <c r="C2570" s="415" t="s">
        <v>2008</v>
      </c>
      <c r="D2570" s="98" t="s">
        <v>4136</v>
      </c>
    </row>
    <row r="2571" spans="1:5" ht="15" customHeight="1" x14ac:dyDescent="0.2">
      <c r="A2571" s="680"/>
      <c r="B2571" s="118" t="s">
        <v>4137</v>
      </c>
      <c r="C2571" s="415"/>
      <c r="D2571" s="98" t="s">
        <v>4140</v>
      </c>
    </row>
    <row r="2572" spans="1:5" ht="15" customHeight="1" x14ac:dyDescent="0.2">
      <c r="A2572" s="680"/>
      <c r="B2572" s="118" t="s">
        <v>4146</v>
      </c>
      <c r="C2572" s="415" t="s">
        <v>1868</v>
      </c>
      <c r="D2572" s="98" t="s">
        <v>1868</v>
      </c>
      <c r="E2572" s="89">
        <v>1300000</v>
      </c>
    </row>
    <row r="2573" spans="1:5" ht="15" customHeight="1" x14ac:dyDescent="0.2">
      <c r="A2573" s="680"/>
      <c r="B2573" s="532" t="s">
        <v>2046</v>
      </c>
      <c r="C2573" s="562" t="s">
        <v>4148</v>
      </c>
      <c r="D2573" s="538" t="s">
        <v>4149</v>
      </c>
      <c r="E2573" s="89" t="s">
        <v>2008</v>
      </c>
    </row>
    <row r="2574" spans="1:5" ht="15" customHeight="1" x14ac:dyDescent="0.2">
      <c r="A2574" s="680"/>
      <c r="B2574" s="118" t="s">
        <v>4135</v>
      </c>
      <c r="C2574" s="563"/>
      <c r="D2574" s="93"/>
      <c r="E2574" s="89" t="s">
        <v>2008</v>
      </c>
    </row>
    <row r="2575" spans="1:5" ht="15" customHeight="1" x14ac:dyDescent="0.2">
      <c r="A2575" s="680"/>
      <c r="B2575" s="118" t="s">
        <v>4150</v>
      </c>
      <c r="C2575" s="563"/>
      <c r="D2575" s="93" t="s">
        <v>4151</v>
      </c>
    </row>
    <row r="2576" spans="1:5" ht="15" customHeight="1" x14ac:dyDescent="0.2">
      <c r="A2576" s="680"/>
      <c r="B2576" s="158" t="s">
        <v>25</v>
      </c>
      <c r="C2576" s="564" t="s">
        <v>1868</v>
      </c>
      <c r="D2576" s="141" t="s">
        <v>1868</v>
      </c>
      <c r="E2576" s="89">
        <v>1695000</v>
      </c>
    </row>
    <row r="2577" spans="1:5" ht="15" customHeight="1" x14ac:dyDescent="0.2">
      <c r="A2577" s="680"/>
      <c r="B2577" s="532" t="s">
        <v>2046</v>
      </c>
      <c r="C2577" s="565" t="s">
        <v>4148</v>
      </c>
      <c r="D2577" s="529" t="s">
        <v>4152</v>
      </c>
    </row>
    <row r="2578" spans="1:5" ht="15" customHeight="1" x14ac:dyDescent="0.2">
      <c r="A2578" s="680"/>
      <c r="B2578" s="118" t="s">
        <v>4135</v>
      </c>
      <c r="C2578" s="559"/>
      <c r="D2578" s="92" t="s">
        <v>4136</v>
      </c>
    </row>
    <row r="2579" spans="1:5" ht="15" customHeight="1" x14ac:dyDescent="0.2">
      <c r="A2579" s="680"/>
      <c r="B2579" s="118" t="s">
        <v>4150</v>
      </c>
      <c r="C2579" s="559"/>
      <c r="D2579" s="92" t="s">
        <v>4153</v>
      </c>
    </row>
    <row r="2580" spans="1:5" ht="15" customHeight="1" x14ac:dyDescent="0.2">
      <c r="A2580" s="680"/>
      <c r="B2580" s="158" t="s">
        <v>25</v>
      </c>
      <c r="C2580" s="560" t="s">
        <v>1868</v>
      </c>
      <c r="D2580" s="100" t="s">
        <v>1868</v>
      </c>
      <c r="E2580" s="89">
        <v>2065000</v>
      </c>
    </row>
    <row r="2581" spans="1:5" ht="15" customHeight="1" x14ac:dyDescent="0.2">
      <c r="A2581" s="680"/>
      <c r="B2581" s="118" t="s">
        <v>2046</v>
      </c>
      <c r="C2581" s="559"/>
      <c r="D2581" s="92" t="s">
        <v>4154</v>
      </c>
      <c r="E2581" s="89" t="s">
        <v>2008</v>
      </c>
    </row>
    <row r="2582" spans="1:5" ht="15" customHeight="1" x14ac:dyDescent="0.2">
      <c r="A2582" s="680"/>
      <c r="B2582" s="118" t="s">
        <v>4135</v>
      </c>
      <c r="C2582" s="559"/>
      <c r="D2582" s="92"/>
      <c r="E2582" s="89" t="s">
        <v>2008</v>
      </c>
    </row>
    <row r="2583" spans="1:5" ht="15" customHeight="1" x14ac:dyDescent="0.2">
      <c r="A2583" s="680"/>
      <c r="B2583" s="118" t="s">
        <v>4146</v>
      </c>
      <c r="C2583" s="559"/>
      <c r="D2583" s="92"/>
      <c r="E2583" s="89">
        <v>1225000</v>
      </c>
    </row>
    <row r="2584" spans="1:5" ht="15" customHeight="1" x14ac:dyDescent="0.2">
      <c r="A2584" s="680"/>
      <c r="B2584" s="118" t="s">
        <v>4155</v>
      </c>
      <c r="C2584" s="559"/>
      <c r="D2584" s="92"/>
      <c r="E2584" s="89">
        <v>310000</v>
      </c>
    </row>
    <row r="2585" spans="1:5" ht="15" customHeight="1" x14ac:dyDescent="0.2">
      <c r="A2585" s="680"/>
      <c r="B2585" s="118" t="s">
        <v>4156</v>
      </c>
      <c r="C2585" s="559"/>
      <c r="D2585" s="92"/>
      <c r="E2585" s="89" t="s">
        <v>2008</v>
      </c>
    </row>
    <row r="2586" spans="1:5" ht="15" customHeight="1" x14ac:dyDescent="0.2">
      <c r="A2586" s="680"/>
      <c r="B2586" s="532" t="s">
        <v>2046</v>
      </c>
      <c r="C2586" s="525" t="s">
        <v>4157</v>
      </c>
      <c r="D2586" s="526" t="s">
        <v>4158</v>
      </c>
    </row>
    <row r="2587" spans="1:5" ht="15" customHeight="1" x14ac:dyDescent="0.2">
      <c r="A2587" s="680"/>
      <c r="B2587" s="118" t="s">
        <v>4135</v>
      </c>
      <c r="C2587" s="91"/>
      <c r="D2587" s="98" t="s">
        <v>4136</v>
      </c>
    </row>
    <row r="2588" spans="1:5" ht="15" customHeight="1" x14ac:dyDescent="0.2">
      <c r="A2588" s="680"/>
      <c r="B2588" s="118" t="s">
        <v>4137</v>
      </c>
      <c r="C2588" s="91"/>
      <c r="D2588" s="98" t="s">
        <v>4153</v>
      </c>
    </row>
    <row r="2589" spans="1:5" ht="15" customHeight="1" x14ac:dyDescent="0.2">
      <c r="A2589" s="680"/>
      <c r="B2589" s="118" t="s">
        <v>4159</v>
      </c>
      <c r="C2589" s="91"/>
      <c r="D2589" s="98"/>
      <c r="E2589" s="89">
        <v>1380000</v>
      </c>
    </row>
    <row r="2590" spans="1:5" ht="15" customHeight="1" x14ac:dyDescent="0.2">
      <c r="A2590" s="680"/>
      <c r="B2590" s="532" t="s">
        <v>2046</v>
      </c>
      <c r="C2590" s="566"/>
      <c r="D2590" s="529" t="s">
        <v>4160</v>
      </c>
    </row>
    <row r="2591" spans="1:5" ht="15" customHeight="1" x14ac:dyDescent="0.2">
      <c r="A2591" s="680"/>
      <c r="B2591" s="118" t="s">
        <v>4137</v>
      </c>
      <c r="C2591" s="315"/>
      <c r="D2591" s="92"/>
    </row>
    <row r="2592" spans="1:5" ht="15" customHeight="1" x14ac:dyDescent="0.2">
      <c r="A2592" s="680"/>
      <c r="B2592" s="158" t="s">
        <v>4159</v>
      </c>
      <c r="C2592" s="315"/>
      <c r="D2592" s="92"/>
      <c r="E2592" s="89">
        <v>1645000</v>
      </c>
    </row>
    <row r="2593" spans="1:5" ht="15" customHeight="1" x14ac:dyDescent="0.2">
      <c r="A2593" s="680"/>
      <c r="B2593" s="118" t="s">
        <v>4161</v>
      </c>
      <c r="C2593" s="528"/>
      <c r="D2593" s="538" t="s">
        <v>4162</v>
      </c>
    </row>
    <row r="2594" spans="1:5" ht="15" customHeight="1" x14ac:dyDescent="0.2">
      <c r="A2594" s="680"/>
      <c r="B2594" s="118" t="s">
        <v>4163</v>
      </c>
      <c r="C2594" s="335"/>
      <c r="D2594" s="93"/>
    </row>
    <row r="2595" spans="1:5" ht="15" customHeight="1" x14ac:dyDescent="0.2">
      <c r="A2595" s="680"/>
      <c r="B2595" s="532" t="s">
        <v>4164</v>
      </c>
      <c r="C2595" s="525"/>
      <c r="D2595" s="526" t="s">
        <v>4165</v>
      </c>
      <c r="E2595" s="89" t="s">
        <v>2008</v>
      </c>
    </row>
    <row r="2596" spans="1:5" ht="15" customHeight="1" x14ac:dyDescent="0.2">
      <c r="A2596" s="680"/>
      <c r="B2596" s="118" t="s">
        <v>4137</v>
      </c>
      <c r="C2596" s="91"/>
      <c r="D2596" s="98"/>
    </row>
    <row r="2597" spans="1:5" ht="15" customHeight="1" x14ac:dyDescent="0.2">
      <c r="A2597" s="680"/>
      <c r="B2597" s="158" t="s">
        <v>2875</v>
      </c>
      <c r="C2597" s="99"/>
      <c r="D2597" s="105"/>
      <c r="E2597" s="89">
        <v>1440000</v>
      </c>
    </row>
    <row r="2598" spans="1:5" ht="15" customHeight="1" x14ac:dyDescent="0.2">
      <c r="A2598" s="680"/>
      <c r="B2598" s="532" t="s">
        <v>4161</v>
      </c>
      <c r="C2598" s="566"/>
      <c r="D2598" s="529" t="s">
        <v>4165</v>
      </c>
      <c r="E2598" s="89" t="s">
        <v>2008</v>
      </c>
    </row>
    <row r="2599" spans="1:5" ht="15" customHeight="1" x14ac:dyDescent="0.2">
      <c r="A2599" s="680"/>
      <c r="B2599" s="118" t="s">
        <v>4137</v>
      </c>
      <c r="C2599" s="315"/>
      <c r="D2599" s="92"/>
    </row>
    <row r="2600" spans="1:5" ht="15" customHeight="1" x14ac:dyDescent="0.2">
      <c r="A2600" s="680"/>
      <c r="B2600" s="158" t="s">
        <v>4159</v>
      </c>
      <c r="C2600" s="567"/>
      <c r="D2600" s="100"/>
      <c r="E2600" s="89">
        <v>1265000</v>
      </c>
    </row>
    <row r="2601" spans="1:5" ht="15" customHeight="1" x14ac:dyDescent="0.2">
      <c r="A2601" s="680"/>
      <c r="B2601" s="158" t="s">
        <v>4166</v>
      </c>
      <c r="C2601" s="567"/>
      <c r="D2601" s="100" t="s">
        <v>4167</v>
      </c>
      <c r="E2601" s="89">
        <v>705000</v>
      </c>
    </row>
    <row r="2602" spans="1:5" ht="15" customHeight="1" x14ac:dyDescent="0.2">
      <c r="A2602" s="680"/>
      <c r="B2602" s="532" t="s">
        <v>2046</v>
      </c>
      <c r="C2602" s="525"/>
      <c r="D2602" s="526" t="s">
        <v>4168</v>
      </c>
    </row>
    <row r="2603" spans="1:5" ht="15" customHeight="1" x14ac:dyDescent="0.2">
      <c r="A2603" s="680"/>
      <c r="B2603" s="118" t="s">
        <v>4137</v>
      </c>
      <c r="C2603" s="91"/>
      <c r="D2603" s="98"/>
    </row>
    <row r="2604" spans="1:5" ht="15" customHeight="1" x14ac:dyDescent="0.2">
      <c r="A2604" s="680"/>
      <c r="B2604" s="158" t="s">
        <v>4159</v>
      </c>
      <c r="C2604" s="99"/>
      <c r="D2604" s="105"/>
      <c r="E2604" s="89">
        <v>2110000</v>
      </c>
    </row>
    <row r="2605" spans="1:5" ht="15" customHeight="1" x14ac:dyDescent="0.2">
      <c r="A2605" s="680"/>
      <c r="B2605" s="345" t="s">
        <v>2046</v>
      </c>
      <c r="C2605" s="91"/>
      <c r="D2605" s="98" t="s">
        <v>4169</v>
      </c>
      <c r="E2605" s="89" t="s">
        <v>2008</v>
      </c>
    </row>
    <row r="2606" spans="1:5" ht="15" customHeight="1" x14ac:dyDescent="0.2">
      <c r="A2606" s="680"/>
      <c r="B2606" s="110" t="s">
        <v>4170</v>
      </c>
      <c r="C2606" s="111"/>
      <c r="D2606" s="112"/>
      <c r="E2606" s="89" t="s">
        <v>2008</v>
      </c>
    </row>
    <row r="2607" spans="1:5" ht="15" customHeight="1" x14ac:dyDescent="0.2">
      <c r="A2607" s="680"/>
      <c r="B2607" s="532" t="s">
        <v>4171</v>
      </c>
      <c r="C2607" s="315" t="s">
        <v>4172</v>
      </c>
      <c r="D2607" s="92" t="s">
        <v>4173</v>
      </c>
    </row>
    <row r="2608" spans="1:5" ht="15" customHeight="1" x14ac:dyDescent="0.2">
      <c r="A2608" s="680"/>
      <c r="B2608" s="118" t="s">
        <v>4174</v>
      </c>
      <c r="C2608" s="315"/>
      <c r="D2608" s="92"/>
    </row>
    <row r="2609" spans="1:5" ht="15" customHeight="1" x14ac:dyDescent="0.2">
      <c r="A2609" s="680"/>
      <c r="B2609" s="118" t="s">
        <v>2875</v>
      </c>
      <c r="C2609" s="315"/>
      <c r="D2609" s="92"/>
    </row>
    <row r="2610" spans="1:5" ht="15" customHeight="1" x14ac:dyDescent="0.2">
      <c r="A2610" s="681" t="s">
        <v>4175</v>
      </c>
      <c r="B2610" s="387" t="s">
        <v>4176</v>
      </c>
      <c r="C2610" s="461">
        <v>250</v>
      </c>
      <c r="D2610" s="515">
        <v>4</v>
      </c>
      <c r="E2610" s="89">
        <v>390000</v>
      </c>
    </row>
    <row r="2611" spans="1:5" ht="15" customHeight="1" x14ac:dyDescent="0.2">
      <c r="A2611" s="682" t="str">
        <f t="shared" ref="A2611:A2617" si="135">A2610</f>
        <v>파인린넨
(FNL)</v>
      </c>
      <c r="B2611" s="94"/>
      <c r="C2611" s="99"/>
      <c r="D2611" s="100" t="s">
        <v>4177</v>
      </c>
      <c r="E2611" s="89">
        <v>535000</v>
      </c>
    </row>
    <row r="2612" spans="1:5" ht="15" customHeight="1" x14ac:dyDescent="0.2">
      <c r="A2612" s="682" t="str">
        <f t="shared" si="135"/>
        <v>파인린넨
(FNL)</v>
      </c>
      <c r="B2612" s="568" t="s">
        <v>4178</v>
      </c>
      <c r="C2612" s="91">
        <v>230</v>
      </c>
      <c r="D2612" s="92" t="s">
        <v>4179</v>
      </c>
      <c r="E2612" s="89">
        <v>375000</v>
      </c>
    </row>
    <row r="2613" spans="1:5" ht="15" customHeight="1" x14ac:dyDescent="0.2">
      <c r="A2613" s="682" t="str">
        <f t="shared" si="135"/>
        <v>파인린넨
(FNL)</v>
      </c>
      <c r="B2613" s="90" t="s">
        <v>4180</v>
      </c>
      <c r="C2613" s="525">
        <v>250</v>
      </c>
      <c r="D2613" s="529" t="s">
        <v>3454</v>
      </c>
      <c r="E2613" s="89">
        <v>315000</v>
      </c>
    </row>
    <row r="2614" spans="1:5" ht="15" customHeight="1" x14ac:dyDescent="0.2">
      <c r="A2614" s="682" t="str">
        <f t="shared" si="135"/>
        <v>파인린넨
(FNL)</v>
      </c>
      <c r="B2614" s="90"/>
      <c r="C2614" s="91"/>
      <c r="D2614" s="92" t="s">
        <v>4181</v>
      </c>
      <c r="E2614" s="89">
        <v>430000</v>
      </c>
    </row>
    <row r="2615" spans="1:5" ht="15" customHeight="1" x14ac:dyDescent="0.2">
      <c r="A2615" s="682" t="str">
        <f t="shared" si="135"/>
        <v>파인린넨
(FNL)</v>
      </c>
      <c r="B2615" s="90"/>
      <c r="C2615" s="91"/>
      <c r="D2615" s="92" t="s">
        <v>4182</v>
      </c>
      <c r="E2615" s="89">
        <v>475000</v>
      </c>
    </row>
    <row r="2616" spans="1:5" ht="15" customHeight="1" x14ac:dyDescent="0.2">
      <c r="A2616" s="682" t="str">
        <f t="shared" si="135"/>
        <v>파인린넨
(FNL)</v>
      </c>
      <c r="B2616" s="94"/>
      <c r="C2616" s="99">
        <v>230</v>
      </c>
      <c r="D2616" s="141" t="s">
        <v>4183</v>
      </c>
      <c r="E2616" s="89">
        <v>310000</v>
      </c>
    </row>
    <row r="2617" spans="1:5" ht="15" customHeight="1" x14ac:dyDescent="0.2">
      <c r="A2617" s="683" t="str">
        <f t="shared" si="135"/>
        <v>파인린넨
(FNL)</v>
      </c>
      <c r="B2617" s="90" t="s">
        <v>4184</v>
      </c>
      <c r="C2617" s="91">
        <v>250</v>
      </c>
      <c r="D2617" s="92" t="s">
        <v>4185</v>
      </c>
      <c r="E2617" s="89">
        <v>560000</v>
      </c>
    </row>
    <row r="2618" spans="1:5" ht="15" customHeight="1" x14ac:dyDescent="0.2">
      <c r="A2618" s="684" t="s">
        <v>4186</v>
      </c>
      <c r="B2618" s="569" t="s">
        <v>1879</v>
      </c>
      <c r="C2618" s="517">
        <v>120</v>
      </c>
      <c r="D2618" s="531" t="s">
        <v>4187</v>
      </c>
      <c r="E2618" s="89">
        <v>220000</v>
      </c>
    </row>
    <row r="2619" spans="1:5" ht="15" customHeight="1" x14ac:dyDescent="0.2">
      <c r="A2619" s="685" t="str">
        <f t="shared" ref="A2619:A2625" si="136">A2618</f>
        <v>페스티발
(FST)</v>
      </c>
      <c r="B2619" s="569" t="s">
        <v>1879</v>
      </c>
      <c r="C2619" s="91">
        <v>200</v>
      </c>
      <c r="D2619" s="93" t="s">
        <v>4188</v>
      </c>
      <c r="E2619" s="89">
        <v>490000</v>
      </c>
    </row>
    <row r="2620" spans="1:5" ht="15" customHeight="1" x14ac:dyDescent="0.2">
      <c r="A2620" s="685" t="str">
        <f t="shared" si="136"/>
        <v>페스티발
(FST)</v>
      </c>
      <c r="B2620" s="569" t="s">
        <v>1879</v>
      </c>
      <c r="C2620" s="99"/>
      <c r="D2620" s="100" t="s">
        <v>4189</v>
      </c>
      <c r="E2620" s="89">
        <v>275000</v>
      </c>
    </row>
    <row r="2621" spans="1:5" ht="15" customHeight="1" x14ac:dyDescent="0.2">
      <c r="A2621" s="686" t="str">
        <f t="shared" si="136"/>
        <v>페스티발
(FST)</v>
      </c>
      <c r="B2621" s="90" t="s">
        <v>4190</v>
      </c>
      <c r="C2621" s="91">
        <v>200</v>
      </c>
      <c r="D2621" s="98" t="s">
        <v>4191</v>
      </c>
      <c r="E2621" s="89">
        <v>285000</v>
      </c>
    </row>
    <row r="2622" spans="1:5" ht="15" customHeight="1" x14ac:dyDescent="0.2">
      <c r="A2622" s="686" t="str">
        <f t="shared" si="136"/>
        <v>페스티발
(FST)</v>
      </c>
      <c r="B2622" s="90" t="s">
        <v>4190</v>
      </c>
      <c r="C2622" s="91"/>
      <c r="D2622" s="98" t="s">
        <v>4192</v>
      </c>
      <c r="E2622" s="89">
        <v>285000</v>
      </c>
    </row>
    <row r="2623" spans="1:5" ht="15" customHeight="1" x14ac:dyDescent="0.2">
      <c r="A2623" s="686" t="str">
        <f t="shared" si="136"/>
        <v>페스티발
(FST)</v>
      </c>
      <c r="B2623" s="90" t="s">
        <v>4190</v>
      </c>
      <c r="C2623" s="91"/>
      <c r="D2623" s="92" t="s">
        <v>4189</v>
      </c>
      <c r="E2623" s="89">
        <v>275000</v>
      </c>
    </row>
    <row r="2624" spans="1:5" ht="15" customHeight="1" x14ac:dyDescent="0.2">
      <c r="A2624" s="686" t="str">
        <f t="shared" si="136"/>
        <v>페스티발
(FST)</v>
      </c>
      <c r="B2624" s="90" t="s">
        <v>4190</v>
      </c>
      <c r="C2624" s="91"/>
      <c r="D2624" s="98" t="s">
        <v>4193</v>
      </c>
      <c r="E2624" s="89">
        <v>330000</v>
      </c>
    </row>
    <row r="2625" spans="1:5" ht="15" customHeight="1" x14ac:dyDescent="0.2">
      <c r="A2625" s="687" t="str">
        <f t="shared" si="136"/>
        <v>페스티발
(FST)</v>
      </c>
      <c r="B2625" s="90" t="s">
        <v>4190</v>
      </c>
      <c r="C2625" s="91"/>
      <c r="D2625" s="98" t="s">
        <v>4194</v>
      </c>
      <c r="E2625" s="89">
        <v>375000</v>
      </c>
    </row>
    <row r="2626" spans="1:5" ht="15" customHeight="1" x14ac:dyDescent="0.2">
      <c r="A2626" s="677" t="s">
        <v>4195</v>
      </c>
      <c r="B2626" s="387" t="s">
        <v>1872</v>
      </c>
      <c r="C2626" s="461">
        <v>90</v>
      </c>
      <c r="D2626" s="570" t="s">
        <v>4196</v>
      </c>
      <c r="E2626" s="89">
        <v>440000</v>
      </c>
    </row>
    <row r="2627" spans="1:5" ht="15" customHeight="1" x14ac:dyDescent="0.2">
      <c r="A2627" s="685" t="str">
        <f t="shared" ref="A2627:A2631" si="137">A2626</f>
        <v>페르가메나타
(PER)</v>
      </c>
      <c r="B2627" s="387" t="s">
        <v>1872</v>
      </c>
      <c r="C2627" s="91">
        <v>160</v>
      </c>
      <c r="D2627" s="92" t="s">
        <v>4197</v>
      </c>
      <c r="E2627" s="89">
        <v>565000</v>
      </c>
    </row>
    <row r="2628" spans="1:5" ht="15" customHeight="1" x14ac:dyDescent="0.2">
      <c r="A2628" s="685" t="str">
        <f t="shared" si="137"/>
        <v>페르가메나타
(PER)</v>
      </c>
      <c r="B2628" s="387" t="s">
        <v>1872</v>
      </c>
      <c r="C2628" s="91">
        <v>230</v>
      </c>
      <c r="D2628" s="551" t="s">
        <v>2862</v>
      </c>
      <c r="E2628" s="89">
        <v>1120000</v>
      </c>
    </row>
    <row r="2629" spans="1:5" ht="15" customHeight="1" x14ac:dyDescent="0.2">
      <c r="A2629" s="685" t="str">
        <f t="shared" si="137"/>
        <v>페르가메나타
(PER)</v>
      </c>
      <c r="B2629" s="387" t="s">
        <v>1872</v>
      </c>
      <c r="C2629" s="91">
        <v>230</v>
      </c>
      <c r="D2629" s="552" t="s">
        <v>4198</v>
      </c>
      <c r="E2629" s="89">
        <v>715000</v>
      </c>
    </row>
    <row r="2630" spans="1:5" ht="15" customHeight="1" x14ac:dyDescent="0.2">
      <c r="A2630" s="685" t="str">
        <f t="shared" si="137"/>
        <v>페르가메나타
(PER)</v>
      </c>
      <c r="B2630" s="533" t="s">
        <v>4199</v>
      </c>
      <c r="C2630" s="525">
        <v>90</v>
      </c>
      <c r="D2630" s="529" t="s">
        <v>4200</v>
      </c>
      <c r="E2630" s="89">
        <v>320000</v>
      </c>
    </row>
    <row r="2631" spans="1:5" ht="15" customHeight="1" x14ac:dyDescent="0.2">
      <c r="A2631" s="678" t="str">
        <f t="shared" si="137"/>
        <v>페르가메나타
(PER)</v>
      </c>
      <c r="B2631" s="533" t="s">
        <v>4199</v>
      </c>
      <c r="C2631" s="91">
        <v>160</v>
      </c>
      <c r="D2631" s="92" t="s">
        <v>4200</v>
      </c>
      <c r="E2631" s="89">
        <v>550000</v>
      </c>
    </row>
    <row r="2632" spans="1:5" ht="15" customHeight="1" x14ac:dyDescent="0.2">
      <c r="A2632" s="685" t="s">
        <v>4201</v>
      </c>
      <c r="B2632" s="387" t="s">
        <v>1872</v>
      </c>
      <c r="C2632" s="461">
        <v>115</v>
      </c>
      <c r="D2632" s="489" t="s">
        <v>4202</v>
      </c>
      <c r="E2632" s="89">
        <v>680000</v>
      </c>
    </row>
    <row r="2633" spans="1:5" ht="15" customHeight="1" x14ac:dyDescent="0.2">
      <c r="A2633" s="685" t="str">
        <f t="shared" ref="A2633:A2634" si="138">A2632</f>
        <v>페르가메나타 펄
(PERP)</v>
      </c>
      <c r="B2633" s="387" t="s">
        <v>1872</v>
      </c>
      <c r="C2633" s="91">
        <v>165</v>
      </c>
      <c r="D2633" s="98" t="s">
        <v>4203</v>
      </c>
      <c r="E2633" s="89">
        <v>720000</v>
      </c>
    </row>
    <row r="2634" spans="1:5" ht="15" customHeight="1" x14ac:dyDescent="0.2">
      <c r="A2634" s="685" t="str">
        <f t="shared" si="138"/>
        <v>페르가메나타 펄
(PERP)</v>
      </c>
      <c r="B2634" s="387" t="s">
        <v>1872</v>
      </c>
      <c r="C2634" s="91">
        <v>235</v>
      </c>
      <c r="D2634" s="320" t="s">
        <v>4204</v>
      </c>
      <c r="E2634" s="89">
        <v>1390000</v>
      </c>
    </row>
    <row r="2635" spans="1:5" ht="15" customHeight="1" x14ac:dyDescent="0.2">
      <c r="A2635" s="677" t="s">
        <v>4205</v>
      </c>
      <c r="B2635" s="431" t="s">
        <v>4206</v>
      </c>
      <c r="C2635" s="470">
        <v>75</v>
      </c>
      <c r="D2635" s="433" t="s">
        <v>4207</v>
      </c>
      <c r="E2635" s="89">
        <v>350000</v>
      </c>
    </row>
    <row r="2636" spans="1:5" ht="15" customHeight="1" x14ac:dyDescent="0.2">
      <c r="A2636" s="685" t="str">
        <f t="shared" ref="A2636:A2649" si="139">A2635</f>
        <v xml:space="preserve">폴리아트
(PO2)  
</v>
      </c>
      <c r="B2636" s="533" t="s">
        <v>1879</v>
      </c>
      <c r="C2636" s="525">
        <v>75</v>
      </c>
      <c r="D2636" s="526"/>
      <c r="E2636" s="89">
        <v>495000</v>
      </c>
    </row>
    <row r="2637" spans="1:5" ht="15" customHeight="1" x14ac:dyDescent="0.2">
      <c r="A2637" s="685" t="str">
        <f t="shared" si="139"/>
        <v xml:space="preserve">폴리아트
(PO2)  
</v>
      </c>
      <c r="B2637" s="533" t="s">
        <v>1879</v>
      </c>
      <c r="C2637" s="91">
        <v>90</v>
      </c>
      <c r="D2637" s="98"/>
      <c r="E2637" s="89">
        <v>590000</v>
      </c>
    </row>
    <row r="2638" spans="1:5" ht="15" customHeight="1" x14ac:dyDescent="0.2">
      <c r="A2638" s="685" t="str">
        <f t="shared" si="139"/>
        <v xml:space="preserve">폴리아트
(PO2)  
</v>
      </c>
      <c r="B2638" s="533" t="s">
        <v>1879</v>
      </c>
      <c r="C2638" s="91">
        <v>110</v>
      </c>
      <c r="D2638" s="98"/>
      <c r="E2638" s="89">
        <v>725000</v>
      </c>
    </row>
    <row r="2639" spans="1:5" ht="15" customHeight="1" x14ac:dyDescent="0.2">
      <c r="A2639" s="685" t="str">
        <f t="shared" si="139"/>
        <v xml:space="preserve">폴리아트
(PO2)  
</v>
      </c>
      <c r="B2639" s="533" t="s">
        <v>1879</v>
      </c>
      <c r="C2639" s="91">
        <v>140</v>
      </c>
      <c r="D2639" s="98"/>
      <c r="E2639" s="89">
        <v>920000</v>
      </c>
    </row>
    <row r="2640" spans="1:5" ht="15" customHeight="1" x14ac:dyDescent="0.2">
      <c r="A2640" s="685" t="str">
        <f t="shared" si="139"/>
        <v xml:space="preserve">폴리아트
(PO2)  
</v>
      </c>
      <c r="B2640" s="533" t="s">
        <v>1879</v>
      </c>
      <c r="C2640" s="91">
        <v>170</v>
      </c>
      <c r="D2640" s="98"/>
      <c r="E2640" s="89">
        <v>1120000</v>
      </c>
    </row>
    <row r="2641" spans="1:5" ht="15" customHeight="1" x14ac:dyDescent="0.2">
      <c r="A2641" s="685" t="str">
        <f t="shared" si="139"/>
        <v xml:space="preserve">폴리아트
(PO2)  
</v>
      </c>
      <c r="B2641" s="533" t="s">
        <v>1879</v>
      </c>
      <c r="C2641" s="91">
        <v>200</v>
      </c>
      <c r="D2641" s="98"/>
      <c r="E2641" s="89">
        <v>1315000</v>
      </c>
    </row>
    <row r="2642" spans="1:5" ht="15" customHeight="1" x14ac:dyDescent="0.2">
      <c r="A2642" s="685" t="str">
        <f t="shared" si="139"/>
        <v xml:space="preserve">폴리아트
(PO2)  
</v>
      </c>
      <c r="B2642" s="533" t="s">
        <v>1879</v>
      </c>
      <c r="C2642" s="99">
        <v>240</v>
      </c>
      <c r="D2642" s="105"/>
      <c r="E2642" s="89">
        <v>1580000</v>
      </c>
    </row>
    <row r="2643" spans="1:5" ht="15" customHeight="1" x14ac:dyDescent="0.2">
      <c r="A2643" s="685" t="str">
        <f t="shared" si="139"/>
        <v xml:space="preserve">폴리아트
(PO2)  
</v>
      </c>
      <c r="B2643" s="90" t="s">
        <v>1879</v>
      </c>
      <c r="C2643" s="91">
        <v>60</v>
      </c>
      <c r="D2643" s="98" t="s">
        <v>4208</v>
      </c>
      <c r="E2643" s="89">
        <v>720000</v>
      </c>
    </row>
    <row r="2644" spans="1:5" ht="15" customHeight="1" x14ac:dyDescent="0.2">
      <c r="A2644" s="685" t="str">
        <f t="shared" si="139"/>
        <v xml:space="preserve">폴리아트
(PO2)  
</v>
      </c>
      <c r="B2644" s="90" t="s">
        <v>1879</v>
      </c>
      <c r="C2644" s="91">
        <v>95</v>
      </c>
      <c r="D2644" s="92" t="s">
        <v>4209</v>
      </c>
      <c r="E2644" s="89">
        <v>315000</v>
      </c>
    </row>
    <row r="2645" spans="1:5" ht="15" customHeight="1" x14ac:dyDescent="0.2">
      <c r="A2645" s="685" t="str">
        <f t="shared" si="139"/>
        <v xml:space="preserve">폴리아트
(PO2)  
</v>
      </c>
      <c r="B2645" s="90" t="s">
        <v>1879</v>
      </c>
      <c r="C2645" s="99">
        <v>150</v>
      </c>
      <c r="D2645" s="100" t="s">
        <v>4210</v>
      </c>
      <c r="E2645" s="89">
        <v>495000</v>
      </c>
    </row>
    <row r="2646" spans="1:5" ht="15" customHeight="1" x14ac:dyDescent="0.2">
      <c r="A2646" s="685" t="str">
        <f t="shared" si="139"/>
        <v xml:space="preserve">폴리아트
(PO2)  
</v>
      </c>
      <c r="B2646" s="90" t="s">
        <v>4211</v>
      </c>
      <c r="C2646" s="91">
        <v>118</v>
      </c>
      <c r="D2646" s="92" t="s">
        <v>4212</v>
      </c>
      <c r="E2646" s="89">
        <v>205000</v>
      </c>
    </row>
    <row r="2647" spans="1:5" ht="15" customHeight="1" x14ac:dyDescent="0.2">
      <c r="A2647" s="685" t="str">
        <f t="shared" si="139"/>
        <v xml:space="preserve">폴리아트
(PO2)  
</v>
      </c>
      <c r="B2647" s="90" t="s">
        <v>4211</v>
      </c>
      <c r="C2647" s="91">
        <v>190</v>
      </c>
      <c r="D2647" s="92" t="s">
        <v>4213</v>
      </c>
      <c r="E2647" s="89">
        <v>330000</v>
      </c>
    </row>
    <row r="2648" spans="1:5" ht="15" customHeight="1" x14ac:dyDescent="0.2">
      <c r="A2648" s="685" t="str">
        <f t="shared" si="139"/>
        <v xml:space="preserve">폴리아트
(PO2)  
</v>
      </c>
      <c r="B2648" s="90" t="s">
        <v>4211</v>
      </c>
      <c r="C2648" s="91">
        <v>261</v>
      </c>
      <c r="D2648" s="92" t="s">
        <v>4214</v>
      </c>
      <c r="E2648" s="89">
        <v>460000</v>
      </c>
    </row>
    <row r="2649" spans="1:5" ht="15" customHeight="1" x14ac:dyDescent="0.2">
      <c r="A2649" s="678" t="str">
        <f t="shared" si="139"/>
        <v xml:space="preserve">폴리아트
(PO2)  
</v>
      </c>
      <c r="B2649" s="90" t="s">
        <v>4211</v>
      </c>
      <c r="C2649" s="111">
        <v>368</v>
      </c>
      <c r="D2649" s="271" t="s">
        <v>4215</v>
      </c>
      <c r="E2649" s="89">
        <v>650000</v>
      </c>
    </row>
    <row r="2650" spans="1:5" ht="15" customHeight="1" x14ac:dyDescent="0.2">
      <c r="A2650" s="677" t="s">
        <v>4216</v>
      </c>
      <c r="B2650" s="387" t="s">
        <v>3547</v>
      </c>
      <c r="C2650" s="461">
        <v>170</v>
      </c>
      <c r="D2650" s="98" t="s">
        <v>2038</v>
      </c>
      <c r="E2650" s="89">
        <v>177000</v>
      </c>
    </row>
    <row r="2651" spans="1:5" ht="15" customHeight="1" x14ac:dyDescent="0.2">
      <c r="A2651" s="685" t="str">
        <f t="shared" ref="A2651:A2670" si="140">A2650</f>
        <v>푸드크라프트
(FDK)</v>
      </c>
      <c r="B2651" s="387" t="s">
        <v>3547</v>
      </c>
      <c r="C2651" s="91">
        <v>200</v>
      </c>
      <c r="D2651" s="156"/>
      <c r="E2651" s="89">
        <v>187000</v>
      </c>
    </row>
    <row r="2652" spans="1:5" ht="15" customHeight="1" x14ac:dyDescent="0.2">
      <c r="A2652" s="685" t="str">
        <f t="shared" si="140"/>
        <v>푸드크라프트
(FDK)</v>
      </c>
      <c r="B2652" s="387" t="s">
        <v>3547</v>
      </c>
      <c r="C2652" s="91">
        <v>254</v>
      </c>
      <c r="D2652" s="98" t="s">
        <v>2038</v>
      </c>
      <c r="E2652" s="89">
        <v>242000</v>
      </c>
    </row>
    <row r="2653" spans="1:5" ht="15" customHeight="1" x14ac:dyDescent="0.2">
      <c r="A2653" s="685" t="str">
        <f t="shared" si="140"/>
        <v>푸드크라프트
(FDK)</v>
      </c>
      <c r="B2653" s="387" t="s">
        <v>3547</v>
      </c>
      <c r="C2653" s="91">
        <v>273</v>
      </c>
      <c r="D2653" s="98"/>
      <c r="E2653" s="89">
        <v>260000</v>
      </c>
    </row>
    <row r="2654" spans="1:5" ht="15" customHeight="1" x14ac:dyDescent="0.2">
      <c r="A2654" s="685" t="str">
        <f t="shared" si="140"/>
        <v>푸드크라프트
(FDK)</v>
      </c>
      <c r="B2654" s="387" t="s">
        <v>3547</v>
      </c>
      <c r="C2654" s="91">
        <v>300</v>
      </c>
      <c r="D2654" s="98"/>
      <c r="E2654" s="89">
        <v>280000</v>
      </c>
    </row>
    <row r="2655" spans="1:5" ht="15" customHeight="1" x14ac:dyDescent="0.2">
      <c r="A2655" s="685" t="str">
        <f t="shared" si="140"/>
        <v>푸드크라프트
(FDK)</v>
      </c>
      <c r="B2655" s="387" t="s">
        <v>3547</v>
      </c>
      <c r="C2655" s="91">
        <v>337</v>
      </c>
      <c r="D2655" s="98"/>
      <c r="E2655" s="89">
        <v>320000</v>
      </c>
    </row>
    <row r="2656" spans="1:5" ht="15" customHeight="1" x14ac:dyDescent="0.2">
      <c r="A2656" s="685" t="str">
        <f t="shared" si="140"/>
        <v>푸드크라프트
(FDK)</v>
      </c>
      <c r="B2656" s="533" t="s">
        <v>4217</v>
      </c>
      <c r="C2656" s="525">
        <v>200</v>
      </c>
      <c r="D2656" s="526"/>
      <c r="E2656" s="89">
        <v>138000</v>
      </c>
    </row>
    <row r="2657" spans="1:5" ht="15" customHeight="1" x14ac:dyDescent="0.2">
      <c r="A2657" s="685" t="str">
        <f t="shared" si="140"/>
        <v>푸드크라프트
(FDK)</v>
      </c>
      <c r="B2657" s="533" t="s">
        <v>4217</v>
      </c>
      <c r="C2657" s="91">
        <v>300</v>
      </c>
      <c r="D2657" s="98"/>
      <c r="E2657" s="89">
        <v>207000</v>
      </c>
    </row>
    <row r="2658" spans="1:5" ht="15" customHeight="1" x14ac:dyDescent="0.2">
      <c r="A2658" s="685" t="str">
        <f t="shared" si="140"/>
        <v>푸드크라프트
(FDK)</v>
      </c>
      <c r="B2658" s="533" t="s">
        <v>4217</v>
      </c>
      <c r="C2658" s="99">
        <v>337</v>
      </c>
      <c r="D2658" s="105"/>
      <c r="E2658" s="89">
        <v>210000</v>
      </c>
    </row>
    <row r="2659" spans="1:5" ht="15" customHeight="1" x14ac:dyDescent="0.2">
      <c r="A2659" s="685" t="str">
        <f t="shared" si="140"/>
        <v>푸드크라프트
(FDK)</v>
      </c>
      <c r="B2659" s="568" t="s">
        <v>2062</v>
      </c>
      <c r="C2659" s="534">
        <v>200</v>
      </c>
      <c r="D2659" s="535"/>
      <c r="E2659" s="89">
        <v>250000</v>
      </c>
    </row>
    <row r="2660" spans="1:5" s="218" customFormat="1" ht="14.45" customHeight="1" x14ac:dyDescent="0.3">
      <c r="A2660" s="685" t="str">
        <f t="shared" si="140"/>
        <v>푸드크라프트
(FDK)</v>
      </c>
      <c r="B2660" s="90" t="s">
        <v>2725</v>
      </c>
      <c r="C2660" s="265">
        <v>170</v>
      </c>
      <c r="D2660" s="156" t="s">
        <v>4218</v>
      </c>
    </row>
    <row r="2661" spans="1:5" s="218" customFormat="1" ht="14.45" customHeight="1" x14ac:dyDescent="0.3">
      <c r="A2661" s="685" t="str">
        <f t="shared" si="140"/>
        <v>푸드크라프트
(FDK)</v>
      </c>
      <c r="B2661" s="90" t="s">
        <v>2725</v>
      </c>
      <c r="C2661" s="91">
        <v>200</v>
      </c>
      <c r="D2661" s="156"/>
    </row>
    <row r="2662" spans="1:5" s="218" customFormat="1" ht="14.45" customHeight="1" x14ac:dyDescent="0.3">
      <c r="A2662" s="685" t="str">
        <f t="shared" si="140"/>
        <v>푸드크라프트
(FDK)</v>
      </c>
      <c r="B2662" s="90" t="s">
        <v>2725</v>
      </c>
      <c r="C2662" s="91">
        <v>254</v>
      </c>
      <c r="D2662" s="156"/>
    </row>
    <row r="2663" spans="1:5" s="218" customFormat="1" ht="14.45" customHeight="1" x14ac:dyDescent="0.3">
      <c r="A2663" s="685" t="str">
        <f t="shared" si="140"/>
        <v>푸드크라프트
(FDK)</v>
      </c>
      <c r="B2663" s="90" t="s">
        <v>2725</v>
      </c>
      <c r="C2663" s="91">
        <v>273</v>
      </c>
      <c r="D2663" s="156"/>
    </row>
    <row r="2664" spans="1:5" s="218" customFormat="1" ht="14.45" customHeight="1" x14ac:dyDescent="0.3">
      <c r="A2664" s="685" t="str">
        <f t="shared" si="140"/>
        <v>푸드크라프트
(FDK)</v>
      </c>
      <c r="B2664" s="90" t="s">
        <v>2725</v>
      </c>
      <c r="C2664" s="91">
        <v>300</v>
      </c>
      <c r="D2664" s="156"/>
    </row>
    <row r="2665" spans="1:5" s="218" customFormat="1" ht="14.45" customHeight="1" x14ac:dyDescent="0.3">
      <c r="A2665" s="685" t="str">
        <f t="shared" si="140"/>
        <v>푸드크라프트
(FDK)</v>
      </c>
      <c r="B2665" s="90" t="s">
        <v>2725</v>
      </c>
      <c r="C2665" s="91">
        <v>337</v>
      </c>
      <c r="D2665" s="156"/>
    </row>
    <row r="2666" spans="1:5" s="218" customFormat="1" ht="14.45" customHeight="1" x14ac:dyDescent="0.3">
      <c r="A2666" s="685" t="str">
        <f t="shared" si="140"/>
        <v>푸드크라프트
(FDK)</v>
      </c>
      <c r="B2666" s="568" t="s">
        <v>4219</v>
      </c>
      <c r="C2666" s="534">
        <v>200</v>
      </c>
      <c r="D2666" s="571"/>
    </row>
    <row r="2667" spans="1:5" s="218" customFormat="1" ht="14.45" customHeight="1" x14ac:dyDescent="0.3">
      <c r="A2667" s="685" t="str">
        <f t="shared" si="140"/>
        <v>푸드크라프트
(FDK)</v>
      </c>
      <c r="B2667" s="90" t="s">
        <v>2730</v>
      </c>
      <c r="C2667" s="91">
        <v>300</v>
      </c>
      <c r="D2667" s="156"/>
    </row>
    <row r="2668" spans="1:5" s="218" customFormat="1" ht="14.45" customHeight="1" x14ac:dyDescent="0.3">
      <c r="A2668" s="685" t="str">
        <f t="shared" si="140"/>
        <v>푸드크라프트
(FDK)</v>
      </c>
      <c r="B2668" s="90" t="s">
        <v>2730</v>
      </c>
      <c r="C2668" s="91">
        <v>337</v>
      </c>
      <c r="D2668" s="156"/>
    </row>
    <row r="2669" spans="1:5" s="218" customFormat="1" ht="14.45" customHeight="1" x14ac:dyDescent="0.3">
      <c r="A2669" s="685" t="str">
        <f t="shared" si="140"/>
        <v>푸드크라프트
(FDK)</v>
      </c>
      <c r="B2669" s="568" t="s">
        <v>4220</v>
      </c>
      <c r="C2669" s="534">
        <v>300</v>
      </c>
      <c r="D2669" s="571"/>
    </row>
    <row r="2670" spans="1:5" s="218" customFormat="1" ht="14.45" customHeight="1" x14ac:dyDescent="0.3">
      <c r="A2670" s="678" t="str">
        <f t="shared" si="140"/>
        <v>푸드크라프트
(FDK)</v>
      </c>
      <c r="B2670" s="110" t="s">
        <v>4221</v>
      </c>
      <c r="C2670" s="111">
        <v>300</v>
      </c>
      <c r="D2670" s="207"/>
    </row>
    <row r="2671" spans="1:5" ht="15" customHeight="1" x14ac:dyDescent="0.2">
      <c r="A2671" s="683" t="s">
        <v>4222</v>
      </c>
      <c r="B2671" s="90" t="s">
        <v>1879</v>
      </c>
      <c r="C2671" s="91">
        <v>236</v>
      </c>
      <c r="D2671" s="92" t="s">
        <v>4223</v>
      </c>
      <c r="E2671" s="89">
        <v>275000</v>
      </c>
    </row>
    <row r="2672" spans="1:5" ht="15" customHeight="1" x14ac:dyDescent="0.2">
      <c r="A2672" s="683" t="str">
        <f t="shared" ref="A2672:A2676" si="141">A2671</f>
        <v>프린코트
(PRC)</v>
      </c>
      <c r="B2672" s="90" t="s">
        <v>1879</v>
      </c>
      <c r="C2672" s="91">
        <v>265</v>
      </c>
      <c r="D2672" s="92" t="s">
        <v>4224</v>
      </c>
      <c r="E2672" s="89">
        <v>305000</v>
      </c>
    </row>
    <row r="2673" spans="1:5" ht="15" customHeight="1" x14ac:dyDescent="0.2">
      <c r="A2673" s="683" t="str">
        <f t="shared" si="141"/>
        <v>프린코트
(PRC)</v>
      </c>
      <c r="B2673" s="90" t="s">
        <v>1879</v>
      </c>
      <c r="C2673" s="91">
        <v>296</v>
      </c>
      <c r="D2673" s="98" t="s">
        <v>4225</v>
      </c>
      <c r="E2673" s="89">
        <v>550000</v>
      </c>
    </row>
    <row r="2674" spans="1:5" ht="15" customHeight="1" x14ac:dyDescent="0.2">
      <c r="A2674" s="683" t="str">
        <f t="shared" si="141"/>
        <v>프린코트
(PRC)</v>
      </c>
      <c r="B2674" s="90" t="s">
        <v>1879</v>
      </c>
      <c r="C2674" s="91">
        <v>324</v>
      </c>
      <c r="D2674" s="92" t="s">
        <v>4226</v>
      </c>
      <c r="E2674" s="89">
        <v>375000</v>
      </c>
    </row>
    <row r="2675" spans="1:5" ht="15" customHeight="1" x14ac:dyDescent="0.2">
      <c r="A2675" s="683" t="str">
        <f t="shared" si="141"/>
        <v>프린코트
(PRC)</v>
      </c>
      <c r="B2675" s="90" t="s">
        <v>1879</v>
      </c>
      <c r="C2675" s="91">
        <v>345</v>
      </c>
      <c r="D2675" s="92" t="s">
        <v>4227</v>
      </c>
      <c r="E2675" s="89">
        <v>400000</v>
      </c>
    </row>
    <row r="2676" spans="1:5" ht="15" customHeight="1" x14ac:dyDescent="0.2">
      <c r="A2676" s="683" t="str">
        <f t="shared" si="141"/>
        <v>프린코트
(PRC)</v>
      </c>
      <c r="B2676" s="90" t="s">
        <v>1879</v>
      </c>
      <c r="C2676" s="106">
        <v>379</v>
      </c>
      <c r="D2676" s="115" t="s">
        <v>4228</v>
      </c>
      <c r="E2676" s="89">
        <v>435000</v>
      </c>
    </row>
    <row r="2677" spans="1:5" ht="15" customHeight="1" thickBot="1" x14ac:dyDescent="0.25">
      <c r="A2677" s="695" t="s">
        <v>4229</v>
      </c>
      <c r="B2677" s="394" t="s">
        <v>4230</v>
      </c>
      <c r="C2677" s="572">
        <v>125</v>
      </c>
      <c r="D2677" s="396" t="s">
        <v>2044</v>
      </c>
      <c r="E2677" s="89">
        <v>112000</v>
      </c>
    </row>
    <row r="2678" spans="1:5" ht="15" customHeight="1" thickBot="1" x14ac:dyDescent="0.25">
      <c r="A2678" s="695" t="str">
        <f t="shared" ref="A2678:A2687" si="142">A2677</f>
        <v>HIG
(하이골드)</v>
      </c>
      <c r="B2678" s="394" t="s">
        <v>4230</v>
      </c>
      <c r="C2678" s="573">
        <v>150</v>
      </c>
      <c r="D2678" s="98"/>
      <c r="E2678" s="89">
        <v>133000</v>
      </c>
    </row>
    <row r="2679" spans="1:5" ht="15" customHeight="1" thickBot="1" x14ac:dyDescent="0.25">
      <c r="A2679" s="695" t="str">
        <f t="shared" si="142"/>
        <v>HIG
(하이골드)</v>
      </c>
      <c r="B2679" s="394" t="s">
        <v>4230</v>
      </c>
      <c r="C2679" s="573">
        <v>175</v>
      </c>
      <c r="D2679" s="98"/>
      <c r="E2679" s="89">
        <v>153000</v>
      </c>
    </row>
    <row r="2680" spans="1:5" ht="15" customHeight="1" thickBot="1" x14ac:dyDescent="0.25">
      <c r="A2680" s="695" t="str">
        <f t="shared" si="142"/>
        <v>HIG
(하이골드)</v>
      </c>
      <c r="B2680" s="394" t="s">
        <v>4230</v>
      </c>
      <c r="C2680" s="573">
        <v>200</v>
      </c>
      <c r="D2680" s="98"/>
      <c r="E2680" s="89">
        <v>175000</v>
      </c>
    </row>
    <row r="2681" spans="1:5" ht="15" customHeight="1" thickBot="1" x14ac:dyDescent="0.25">
      <c r="A2681" s="695" t="str">
        <f t="shared" si="142"/>
        <v>HIG
(하이골드)</v>
      </c>
      <c r="B2681" s="394" t="s">
        <v>4230</v>
      </c>
      <c r="C2681" s="573">
        <v>225</v>
      </c>
      <c r="D2681" s="98" t="s">
        <v>1868</v>
      </c>
      <c r="E2681" s="89">
        <v>195000</v>
      </c>
    </row>
    <row r="2682" spans="1:5" ht="15" customHeight="1" thickBot="1" x14ac:dyDescent="0.25">
      <c r="A2682" s="695" t="str">
        <f t="shared" si="142"/>
        <v>HIG
(하이골드)</v>
      </c>
      <c r="B2682" s="394" t="s">
        <v>4230</v>
      </c>
      <c r="C2682" s="573">
        <v>275</v>
      </c>
      <c r="D2682" s="98"/>
      <c r="E2682" s="89">
        <v>240000</v>
      </c>
    </row>
    <row r="2683" spans="1:5" ht="15" customHeight="1" thickBot="1" x14ac:dyDescent="0.25">
      <c r="A2683" s="695" t="str">
        <f t="shared" si="142"/>
        <v>HIG
(하이골드)</v>
      </c>
      <c r="B2683" s="394" t="s">
        <v>4230</v>
      </c>
      <c r="C2683" s="573">
        <v>300</v>
      </c>
      <c r="D2683" s="98"/>
      <c r="E2683" s="89">
        <v>262000</v>
      </c>
    </row>
    <row r="2684" spans="1:5" ht="15" customHeight="1" thickBot="1" x14ac:dyDescent="0.25">
      <c r="A2684" s="695" t="str">
        <f t="shared" si="142"/>
        <v>HIG
(하이골드)</v>
      </c>
      <c r="B2684" s="394" t="s">
        <v>4230</v>
      </c>
      <c r="C2684" s="574">
        <v>337</v>
      </c>
      <c r="D2684" s="105"/>
      <c r="E2684" s="89">
        <v>295000</v>
      </c>
    </row>
    <row r="2685" spans="1:5" ht="15" customHeight="1" thickBot="1" x14ac:dyDescent="0.25">
      <c r="A2685" s="695" t="str">
        <f t="shared" si="142"/>
        <v>HIG
(하이골드)</v>
      </c>
      <c r="B2685" s="90" t="s">
        <v>2046</v>
      </c>
      <c r="C2685" s="573">
        <v>125</v>
      </c>
      <c r="D2685" s="98"/>
      <c r="E2685" s="89" t="s">
        <v>2008</v>
      </c>
    </row>
    <row r="2686" spans="1:5" ht="15" customHeight="1" x14ac:dyDescent="0.2">
      <c r="A2686" s="690" t="str">
        <f t="shared" si="142"/>
        <v>HIG
(하이골드)</v>
      </c>
      <c r="B2686" s="90"/>
      <c r="C2686" s="573" t="s">
        <v>4231</v>
      </c>
      <c r="D2686" s="98"/>
    </row>
    <row r="2687" spans="1:5" ht="15" customHeight="1" x14ac:dyDescent="0.2">
      <c r="A2687" s="696" t="str">
        <f t="shared" si="142"/>
        <v>HIG
(하이골드)</v>
      </c>
      <c r="B2687" s="101"/>
      <c r="C2687" s="573" t="s">
        <v>4232</v>
      </c>
      <c r="D2687" s="107"/>
      <c r="E2687" s="89" t="s">
        <v>2008</v>
      </c>
    </row>
    <row r="2688" spans="1:5" ht="15" customHeight="1" x14ac:dyDescent="0.2">
      <c r="A2688" s="690" t="s">
        <v>4233</v>
      </c>
      <c r="B2688" s="394" t="s">
        <v>1857</v>
      </c>
      <c r="C2688" s="395">
        <v>100</v>
      </c>
      <c r="D2688" s="396" t="s">
        <v>4234</v>
      </c>
      <c r="E2688" s="89">
        <v>235000</v>
      </c>
    </row>
    <row r="2689" spans="1:5" ht="15" customHeight="1" x14ac:dyDescent="0.2">
      <c r="A2689" s="686" t="str">
        <f t="shared" ref="A2689:A2709" si="143">A2688</f>
        <v>하모니
(HAR)
계약공급</v>
      </c>
      <c r="B2689" s="394" t="s">
        <v>1857</v>
      </c>
      <c r="C2689" s="91">
        <v>128</v>
      </c>
      <c r="D2689" s="98"/>
      <c r="E2689" s="89">
        <v>310000</v>
      </c>
    </row>
    <row r="2690" spans="1:5" ht="15" customHeight="1" x14ac:dyDescent="0.2">
      <c r="A2690" s="686" t="str">
        <f t="shared" si="143"/>
        <v>하모니
(HAR)
계약공급</v>
      </c>
      <c r="B2690" s="394" t="s">
        <v>1857</v>
      </c>
      <c r="C2690" s="91">
        <v>157</v>
      </c>
      <c r="D2690" s="98"/>
      <c r="E2690" s="89">
        <v>365000</v>
      </c>
    </row>
    <row r="2691" spans="1:5" ht="15" customHeight="1" x14ac:dyDescent="0.2">
      <c r="A2691" s="686" t="str">
        <f t="shared" si="143"/>
        <v>하모니
(HAR)
계약공급</v>
      </c>
      <c r="B2691" s="394" t="s">
        <v>1857</v>
      </c>
      <c r="C2691" s="91">
        <v>198</v>
      </c>
      <c r="D2691" s="98"/>
      <c r="E2691" s="89">
        <v>475000</v>
      </c>
    </row>
    <row r="2692" spans="1:5" ht="15" customHeight="1" x14ac:dyDescent="0.2">
      <c r="A2692" s="686" t="str">
        <f t="shared" si="143"/>
        <v>하모니
(HAR)
계약공급</v>
      </c>
      <c r="B2692" s="394" t="s">
        <v>1857</v>
      </c>
      <c r="C2692" s="91">
        <v>233</v>
      </c>
      <c r="D2692" s="98"/>
      <c r="E2692" s="89">
        <v>560000</v>
      </c>
    </row>
    <row r="2693" spans="1:5" ht="15" customHeight="1" x14ac:dyDescent="0.2">
      <c r="A2693" s="686" t="str">
        <f t="shared" si="143"/>
        <v>하모니
(HAR)
계약공급</v>
      </c>
      <c r="B2693" s="394" t="s">
        <v>1857</v>
      </c>
      <c r="C2693" s="566">
        <v>100</v>
      </c>
      <c r="D2693" s="529" t="s">
        <v>4235</v>
      </c>
      <c r="E2693" s="89">
        <v>175000</v>
      </c>
    </row>
    <row r="2694" spans="1:5" ht="15" customHeight="1" x14ac:dyDescent="0.2">
      <c r="A2694" s="686" t="str">
        <f t="shared" si="143"/>
        <v>하모니
(HAR)
계약공급</v>
      </c>
      <c r="B2694" s="394" t="s">
        <v>1857</v>
      </c>
      <c r="C2694" s="315">
        <v>128</v>
      </c>
      <c r="D2694" s="92"/>
      <c r="E2694" s="89">
        <v>265000</v>
      </c>
    </row>
    <row r="2695" spans="1:5" ht="15" customHeight="1" x14ac:dyDescent="0.2">
      <c r="A2695" s="686" t="str">
        <f t="shared" si="143"/>
        <v>하모니
(HAR)
계약공급</v>
      </c>
      <c r="B2695" s="394" t="s">
        <v>1857</v>
      </c>
      <c r="C2695" s="315">
        <v>128</v>
      </c>
      <c r="D2695" s="92" t="s">
        <v>4236</v>
      </c>
      <c r="E2695" s="89">
        <v>215000</v>
      </c>
    </row>
    <row r="2696" spans="1:5" ht="15" customHeight="1" x14ac:dyDescent="0.2">
      <c r="A2696" s="686" t="str">
        <f t="shared" si="143"/>
        <v>하모니
(HAR)
계약공급</v>
      </c>
      <c r="B2696" s="394" t="s">
        <v>1857</v>
      </c>
      <c r="C2696" s="315">
        <v>157</v>
      </c>
      <c r="D2696" s="92" t="s">
        <v>4235</v>
      </c>
      <c r="E2696" s="89">
        <v>265000</v>
      </c>
    </row>
    <row r="2697" spans="1:5" ht="15" customHeight="1" x14ac:dyDescent="0.2">
      <c r="A2697" s="686" t="str">
        <f t="shared" si="143"/>
        <v>하모니
(HAR)
계약공급</v>
      </c>
      <c r="B2697" s="394" t="s">
        <v>1857</v>
      </c>
      <c r="C2697" s="315">
        <v>198</v>
      </c>
      <c r="D2697" s="92"/>
      <c r="E2697" s="89">
        <v>330000</v>
      </c>
    </row>
    <row r="2698" spans="1:5" ht="15" customHeight="1" x14ac:dyDescent="0.2">
      <c r="A2698" s="686" t="str">
        <f t="shared" si="143"/>
        <v>하모니
(HAR)
계약공급</v>
      </c>
      <c r="B2698" s="394" t="s">
        <v>1857</v>
      </c>
      <c r="C2698" s="315">
        <v>233</v>
      </c>
      <c r="D2698" s="92"/>
      <c r="E2698" s="89">
        <v>390000</v>
      </c>
    </row>
    <row r="2699" spans="1:5" ht="15" customHeight="1" x14ac:dyDescent="0.2">
      <c r="A2699" s="686" t="str">
        <f t="shared" si="143"/>
        <v>하모니
(HAR)
계약공급</v>
      </c>
      <c r="B2699" s="533" t="s">
        <v>1865</v>
      </c>
      <c r="C2699" s="525">
        <v>100</v>
      </c>
      <c r="D2699" s="526" t="s">
        <v>4234</v>
      </c>
      <c r="E2699" s="89">
        <v>162500</v>
      </c>
    </row>
    <row r="2700" spans="1:5" ht="15" customHeight="1" x14ac:dyDescent="0.2">
      <c r="A2700" s="686" t="str">
        <f t="shared" si="143"/>
        <v>하모니
(HAR)
계약공급</v>
      </c>
      <c r="B2700" s="533" t="s">
        <v>1865</v>
      </c>
      <c r="C2700" s="91">
        <v>128</v>
      </c>
      <c r="D2700" s="98"/>
      <c r="E2700" s="89">
        <v>215000</v>
      </c>
    </row>
    <row r="2701" spans="1:5" ht="15" customHeight="1" x14ac:dyDescent="0.2">
      <c r="A2701" s="686" t="str">
        <f t="shared" si="143"/>
        <v>하모니
(HAR)
계약공급</v>
      </c>
      <c r="B2701" s="533" t="s">
        <v>1865</v>
      </c>
      <c r="C2701" s="91">
        <v>157</v>
      </c>
      <c r="D2701" s="98"/>
      <c r="E2701" s="89">
        <v>255000</v>
      </c>
    </row>
    <row r="2702" spans="1:5" ht="15" customHeight="1" x14ac:dyDescent="0.2">
      <c r="A2702" s="686" t="str">
        <f t="shared" si="143"/>
        <v>하모니
(HAR)
계약공급</v>
      </c>
      <c r="B2702" s="533" t="s">
        <v>1865</v>
      </c>
      <c r="C2702" s="91">
        <v>198</v>
      </c>
      <c r="D2702" s="98"/>
      <c r="E2702" s="89">
        <v>330000</v>
      </c>
    </row>
    <row r="2703" spans="1:5" ht="15" customHeight="1" x14ac:dyDescent="0.2">
      <c r="A2703" s="686" t="str">
        <f t="shared" si="143"/>
        <v>하모니
(HAR)
계약공급</v>
      </c>
      <c r="B2703" s="533" t="s">
        <v>1865</v>
      </c>
      <c r="C2703" s="91">
        <v>233</v>
      </c>
      <c r="D2703" s="98"/>
      <c r="E2703" s="89">
        <v>390000</v>
      </c>
    </row>
    <row r="2704" spans="1:5" ht="15" customHeight="1" x14ac:dyDescent="0.2">
      <c r="A2704" s="686" t="str">
        <f t="shared" si="143"/>
        <v>하모니
(HAR)
계약공급</v>
      </c>
      <c r="B2704" s="533" t="s">
        <v>1865</v>
      </c>
      <c r="C2704" s="566">
        <v>100</v>
      </c>
      <c r="D2704" s="529" t="s">
        <v>4237</v>
      </c>
      <c r="E2704" s="89">
        <v>120000</v>
      </c>
    </row>
    <row r="2705" spans="1:5" ht="15" customHeight="1" x14ac:dyDescent="0.2">
      <c r="A2705" s="686" t="str">
        <f t="shared" si="143"/>
        <v>하모니
(HAR)
계약공급</v>
      </c>
      <c r="B2705" s="533" t="s">
        <v>1865</v>
      </c>
      <c r="C2705" s="315">
        <v>130</v>
      </c>
      <c r="D2705" s="92"/>
      <c r="E2705" s="89">
        <v>150000</v>
      </c>
    </row>
    <row r="2706" spans="1:5" ht="15" customHeight="1" x14ac:dyDescent="0.2">
      <c r="A2706" s="686" t="str">
        <f t="shared" si="143"/>
        <v>하모니
(HAR)
계약공급</v>
      </c>
      <c r="B2706" s="533" t="s">
        <v>1865</v>
      </c>
      <c r="C2706" s="315">
        <v>130</v>
      </c>
      <c r="D2706" s="92" t="s">
        <v>4238</v>
      </c>
      <c r="E2706" s="89">
        <v>150000</v>
      </c>
    </row>
    <row r="2707" spans="1:5" ht="15" customHeight="1" x14ac:dyDescent="0.2">
      <c r="A2707" s="686" t="str">
        <f t="shared" si="143"/>
        <v>하모니
(HAR)
계약공급</v>
      </c>
      <c r="B2707" s="533" t="s">
        <v>1865</v>
      </c>
      <c r="C2707" s="315">
        <v>157</v>
      </c>
      <c r="D2707" s="92" t="s">
        <v>4235</v>
      </c>
      <c r="E2707" s="89">
        <v>185000</v>
      </c>
    </row>
    <row r="2708" spans="1:5" ht="15" customHeight="1" x14ac:dyDescent="0.2">
      <c r="A2708" s="686" t="str">
        <f t="shared" si="143"/>
        <v>하모니
(HAR)
계약공급</v>
      </c>
      <c r="B2708" s="533" t="s">
        <v>1865</v>
      </c>
      <c r="C2708" s="315">
        <v>198</v>
      </c>
      <c r="D2708" s="92"/>
      <c r="E2708" s="89">
        <v>230000</v>
      </c>
    </row>
    <row r="2709" spans="1:5" ht="15" customHeight="1" x14ac:dyDescent="0.2">
      <c r="A2709" s="687" t="str">
        <f t="shared" si="143"/>
        <v>하모니
(HAR)
계약공급</v>
      </c>
      <c r="B2709" s="533" t="s">
        <v>1865</v>
      </c>
      <c r="C2709" s="575">
        <v>233</v>
      </c>
      <c r="D2709" s="115"/>
      <c r="E2709" s="89">
        <v>275000</v>
      </c>
    </row>
    <row r="2710" spans="1:5" ht="15" customHeight="1" x14ac:dyDescent="0.2">
      <c r="A2710" s="682" t="s">
        <v>4239</v>
      </c>
      <c r="B2710" s="118" t="s">
        <v>4240</v>
      </c>
      <c r="C2710" s="91">
        <v>440</v>
      </c>
      <c r="D2710" s="555" t="s">
        <v>4241</v>
      </c>
      <c r="E2710" s="89">
        <v>900000</v>
      </c>
    </row>
    <row r="2711" spans="1:5" ht="15" customHeight="1" x14ac:dyDescent="0.2">
      <c r="A2711" s="682" t="str">
        <f t="shared" ref="A2711:A2735" si="144">A2710</f>
        <v>하이보드
(HB)</v>
      </c>
      <c r="B2711" s="118" t="s">
        <v>4240</v>
      </c>
      <c r="C2711" s="91" t="s">
        <v>1868</v>
      </c>
      <c r="D2711" s="211" t="s">
        <v>4242</v>
      </c>
      <c r="E2711" s="89">
        <v>740000</v>
      </c>
    </row>
    <row r="2712" spans="1:5" ht="15" customHeight="1" x14ac:dyDescent="0.2">
      <c r="A2712" s="682" t="str">
        <f t="shared" si="144"/>
        <v>하이보드
(HB)</v>
      </c>
      <c r="B2712" s="118" t="s">
        <v>4240</v>
      </c>
      <c r="C2712" s="91" t="s">
        <v>1868</v>
      </c>
      <c r="D2712" s="211" t="s">
        <v>4243</v>
      </c>
      <c r="E2712" s="89">
        <v>740000</v>
      </c>
    </row>
    <row r="2713" spans="1:5" ht="14.45" customHeight="1" x14ac:dyDescent="0.2">
      <c r="A2713" s="682" t="str">
        <f t="shared" si="144"/>
        <v>하이보드
(HB)</v>
      </c>
      <c r="B2713" s="118" t="s">
        <v>4240</v>
      </c>
      <c r="C2713" s="91"/>
      <c r="D2713" s="192">
        <v>43</v>
      </c>
      <c r="E2713" s="89">
        <v>1175000</v>
      </c>
    </row>
    <row r="2714" spans="1:5" ht="15" customHeight="1" x14ac:dyDescent="0.2">
      <c r="A2714" s="682" t="str">
        <f t="shared" si="144"/>
        <v>하이보드
(HB)</v>
      </c>
      <c r="B2714" s="118" t="s">
        <v>4240</v>
      </c>
      <c r="C2714" s="91"/>
      <c r="D2714" s="98" t="s">
        <v>4244</v>
      </c>
      <c r="E2714" s="89">
        <v>575000</v>
      </c>
    </row>
    <row r="2715" spans="1:5" ht="15" customHeight="1" x14ac:dyDescent="0.2">
      <c r="A2715" s="682" t="str">
        <f t="shared" si="144"/>
        <v>하이보드
(HB)</v>
      </c>
      <c r="B2715" s="118" t="s">
        <v>4240</v>
      </c>
      <c r="C2715" s="91"/>
      <c r="D2715" s="192" t="s">
        <v>4245</v>
      </c>
      <c r="E2715" s="89">
        <v>1125000</v>
      </c>
    </row>
    <row r="2716" spans="1:5" ht="15" customHeight="1" x14ac:dyDescent="0.2">
      <c r="A2716" s="682" t="str">
        <f t="shared" si="144"/>
        <v>하이보드
(HB)</v>
      </c>
      <c r="B2716" s="118" t="s">
        <v>4240</v>
      </c>
      <c r="C2716" s="91"/>
      <c r="D2716" s="156" t="s">
        <v>4246</v>
      </c>
      <c r="E2716" s="89">
        <v>1380000</v>
      </c>
    </row>
    <row r="2717" spans="1:5" ht="15" customHeight="1" x14ac:dyDescent="0.2">
      <c r="A2717" s="682" t="str">
        <f t="shared" si="144"/>
        <v>하이보드
(HB)</v>
      </c>
      <c r="B2717" s="118" t="s">
        <v>4240</v>
      </c>
      <c r="C2717" s="91"/>
      <c r="D2717" s="576">
        <v>57</v>
      </c>
      <c r="E2717" s="89">
        <v>1550000</v>
      </c>
    </row>
    <row r="2718" spans="1:5" ht="15" customHeight="1" x14ac:dyDescent="0.2">
      <c r="A2718" s="682" t="str">
        <f t="shared" si="144"/>
        <v>하이보드
(HB)</v>
      </c>
      <c r="B2718" s="118" t="s">
        <v>4240</v>
      </c>
      <c r="C2718" s="91"/>
      <c r="D2718" s="211" t="s">
        <v>4247</v>
      </c>
      <c r="E2718" s="89">
        <v>900000</v>
      </c>
    </row>
    <row r="2719" spans="1:5" ht="15" customHeight="1" x14ac:dyDescent="0.2">
      <c r="A2719" s="682" t="str">
        <f t="shared" si="144"/>
        <v>하이보드
(HB)</v>
      </c>
      <c r="B2719" s="118" t="s">
        <v>4240</v>
      </c>
      <c r="C2719" s="91"/>
      <c r="D2719" s="192">
        <v>63</v>
      </c>
      <c r="E2719" s="89">
        <v>1325000</v>
      </c>
    </row>
    <row r="2720" spans="1:5" ht="15" customHeight="1" x14ac:dyDescent="0.2">
      <c r="A2720" s="682" t="str">
        <f t="shared" si="144"/>
        <v>하이보드
(HB)</v>
      </c>
      <c r="B2720" s="118" t="s">
        <v>4240</v>
      </c>
      <c r="C2720" s="91"/>
      <c r="D2720" s="192" t="s">
        <v>4248</v>
      </c>
      <c r="E2720" s="89">
        <v>1235000</v>
      </c>
    </row>
    <row r="2721" spans="1:5" ht="15" customHeight="1" x14ac:dyDescent="0.2">
      <c r="A2721" s="682" t="str">
        <f t="shared" si="144"/>
        <v>하이보드
(HB)</v>
      </c>
      <c r="B2721" s="118" t="s">
        <v>4240</v>
      </c>
      <c r="C2721" s="525">
        <v>550</v>
      </c>
      <c r="D2721" s="526" t="s">
        <v>4249</v>
      </c>
      <c r="E2721" s="89">
        <v>420000</v>
      </c>
    </row>
    <row r="2722" spans="1:5" ht="15" customHeight="1" x14ac:dyDescent="0.2">
      <c r="A2722" s="682" t="str">
        <f t="shared" si="144"/>
        <v>하이보드
(HB)</v>
      </c>
      <c r="B2722" s="118" t="s">
        <v>4240</v>
      </c>
      <c r="C2722" s="99" t="s">
        <v>1868</v>
      </c>
      <c r="D2722" s="105" t="s">
        <v>4250</v>
      </c>
      <c r="E2722" s="89">
        <v>450000</v>
      </c>
    </row>
    <row r="2723" spans="1:5" ht="15" customHeight="1" x14ac:dyDescent="0.2">
      <c r="A2723" s="682" t="str">
        <f t="shared" si="144"/>
        <v>하이보드
(HB)</v>
      </c>
      <c r="B2723" s="118" t="s">
        <v>4240</v>
      </c>
      <c r="C2723" s="525">
        <v>370</v>
      </c>
      <c r="D2723" s="526" t="s">
        <v>4251</v>
      </c>
      <c r="E2723" s="89">
        <v>650000</v>
      </c>
    </row>
    <row r="2724" spans="1:5" ht="15" customHeight="1" x14ac:dyDescent="0.2">
      <c r="A2724" s="682" t="str">
        <f t="shared" si="144"/>
        <v>하이보드
(HB)</v>
      </c>
      <c r="B2724" s="118" t="s">
        <v>4240</v>
      </c>
      <c r="C2724" s="91"/>
      <c r="D2724" s="98" t="s">
        <v>4252</v>
      </c>
      <c r="E2724" s="89">
        <v>620000</v>
      </c>
    </row>
    <row r="2725" spans="1:5" ht="15" customHeight="1" x14ac:dyDescent="0.2">
      <c r="A2725" s="682" t="str">
        <f t="shared" si="144"/>
        <v>하이보드
(HB)</v>
      </c>
      <c r="B2725" s="118" t="s">
        <v>4240</v>
      </c>
      <c r="C2725" s="91"/>
      <c r="D2725" s="92" t="s">
        <v>4253</v>
      </c>
      <c r="E2725" s="89">
        <v>525000</v>
      </c>
    </row>
    <row r="2726" spans="1:5" ht="15" customHeight="1" x14ac:dyDescent="0.2">
      <c r="A2726" s="682" t="str">
        <f t="shared" si="144"/>
        <v>하이보드
(HB)</v>
      </c>
      <c r="B2726" s="118" t="s">
        <v>4240</v>
      </c>
      <c r="C2726" s="99"/>
      <c r="D2726" s="100" t="s">
        <v>4254</v>
      </c>
      <c r="E2726" s="89">
        <v>450000</v>
      </c>
    </row>
    <row r="2727" spans="1:5" ht="15" customHeight="1" x14ac:dyDescent="0.2">
      <c r="A2727" s="682" t="str">
        <f t="shared" si="144"/>
        <v>하이보드
(HB)</v>
      </c>
      <c r="B2727" s="118" t="s">
        <v>4240</v>
      </c>
      <c r="C2727" s="525">
        <v>400</v>
      </c>
      <c r="D2727" s="93" t="s">
        <v>4255</v>
      </c>
      <c r="E2727" s="89">
        <v>1075000</v>
      </c>
    </row>
    <row r="2728" spans="1:5" ht="15" customHeight="1" x14ac:dyDescent="0.2">
      <c r="A2728" s="682" t="str">
        <f t="shared" si="144"/>
        <v>하이보드
(HB)</v>
      </c>
      <c r="B2728" s="577" t="s">
        <v>4256</v>
      </c>
      <c r="C2728" s="534">
        <v>400</v>
      </c>
      <c r="D2728" s="535" t="s">
        <v>4257</v>
      </c>
      <c r="E2728" s="89">
        <v>925000</v>
      </c>
    </row>
    <row r="2729" spans="1:5" ht="15" customHeight="1" x14ac:dyDescent="0.2">
      <c r="A2729" s="682" t="str">
        <f t="shared" si="144"/>
        <v>하이보드
(HB)</v>
      </c>
      <c r="B2729" s="577" t="s">
        <v>4258</v>
      </c>
      <c r="C2729" s="534">
        <v>370</v>
      </c>
      <c r="D2729" s="546" t="s">
        <v>4259</v>
      </c>
      <c r="E2729" s="89">
        <v>420000</v>
      </c>
    </row>
    <row r="2730" spans="1:5" ht="15" customHeight="1" x14ac:dyDescent="0.2">
      <c r="A2730" s="682" t="str">
        <f t="shared" si="144"/>
        <v>하이보드
(HB)</v>
      </c>
      <c r="B2730" s="243" t="s">
        <v>4260</v>
      </c>
      <c r="C2730" s="525">
        <v>370</v>
      </c>
      <c r="D2730" s="526" t="s">
        <v>4261</v>
      </c>
      <c r="E2730" s="89">
        <v>305000</v>
      </c>
    </row>
    <row r="2731" spans="1:5" ht="15" customHeight="1" x14ac:dyDescent="0.2">
      <c r="A2731" s="682" t="str">
        <f t="shared" si="144"/>
        <v>하이보드
(HB)</v>
      </c>
      <c r="B2731" s="243" t="s">
        <v>4260</v>
      </c>
      <c r="C2731" s="91" t="s">
        <v>1868</v>
      </c>
      <c r="D2731" s="98" t="s">
        <v>4262</v>
      </c>
      <c r="E2731" s="89">
        <v>300000</v>
      </c>
    </row>
    <row r="2732" spans="1:5" ht="15" customHeight="1" x14ac:dyDescent="0.2">
      <c r="A2732" s="682" t="str">
        <f t="shared" si="144"/>
        <v>하이보드
(HB)</v>
      </c>
      <c r="B2732" s="243" t="s">
        <v>4260</v>
      </c>
      <c r="C2732" s="534">
        <v>400</v>
      </c>
      <c r="D2732" s="571" t="s">
        <v>4263</v>
      </c>
      <c r="E2732" s="89">
        <v>550000</v>
      </c>
    </row>
    <row r="2733" spans="1:5" ht="15" customHeight="1" x14ac:dyDescent="0.2">
      <c r="A2733" s="682" t="str">
        <f t="shared" si="144"/>
        <v>하이보드
(HB)</v>
      </c>
      <c r="B2733" s="243" t="s">
        <v>4260</v>
      </c>
      <c r="C2733" s="91">
        <v>440</v>
      </c>
      <c r="D2733" s="227" t="s">
        <v>4264</v>
      </c>
      <c r="E2733" s="89">
        <v>500000</v>
      </c>
    </row>
    <row r="2734" spans="1:5" ht="15" customHeight="1" x14ac:dyDescent="0.2">
      <c r="A2734" s="682" t="str">
        <f t="shared" si="144"/>
        <v>하이보드
(HB)</v>
      </c>
      <c r="B2734" s="243" t="s">
        <v>4260</v>
      </c>
      <c r="C2734" s="91"/>
      <c r="D2734" s="92" t="s">
        <v>4265</v>
      </c>
      <c r="E2734" s="89">
        <v>640000</v>
      </c>
    </row>
    <row r="2735" spans="1:5" ht="15" customHeight="1" x14ac:dyDescent="0.2">
      <c r="A2735" s="682" t="str">
        <f t="shared" si="144"/>
        <v>하이보드
(HB)</v>
      </c>
      <c r="B2735" s="243" t="s">
        <v>4260</v>
      </c>
      <c r="C2735" s="91" t="s">
        <v>1868</v>
      </c>
      <c r="D2735" s="98" t="s">
        <v>4266</v>
      </c>
      <c r="E2735" s="89">
        <v>650000</v>
      </c>
    </row>
    <row r="2736" spans="1:5" ht="15" customHeight="1" x14ac:dyDescent="0.2">
      <c r="A2736" s="682"/>
      <c r="B2736" s="243" t="s">
        <v>4260</v>
      </c>
      <c r="C2736" s="91"/>
      <c r="D2736" s="98" t="s">
        <v>3394</v>
      </c>
      <c r="E2736" s="89">
        <v>600000</v>
      </c>
    </row>
    <row r="2737" spans="1:5" ht="15" customHeight="1" x14ac:dyDescent="0.2">
      <c r="A2737" s="682" t="str">
        <f>A2735</f>
        <v>하이보드
(HB)</v>
      </c>
      <c r="B2737" s="243" t="s">
        <v>4260</v>
      </c>
      <c r="C2737" s="91"/>
      <c r="D2737" s="92" t="s">
        <v>4267</v>
      </c>
      <c r="E2737" s="89">
        <v>450000</v>
      </c>
    </row>
    <row r="2738" spans="1:5" ht="15" customHeight="1" x14ac:dyDescent="0.2">
      <c r="A2738" s="691" t="s">
        <v>4268</v>
      </c>
      <c r="B2738" s="578" t="s">
        <v>4269</v>
      </c>
      <c r="C2738" s="579">
        <v>295</v>
      </c>
      <c r="D2738" s="580" t="s">
        <v>2052</v>
      </c>
      <c r="E2738" s="89">
        <v>275000</v>
      </c>
    </row>
    <row r="2739" spans="1:5" ht="15" customHeight="1" x14ac:dyDescent="0.2">
      <c r="A2739" s="692"/>
      <c r="B2739" s="243" t="s">
        <v>4270</v>
      </c>
      <c r="C2739" s="91"/>
      <c r="D2739" s="98" t="s">
        <v>2491</v>
      </c>
      <c r="E2739" s="89">
        <v>137000</v>
      </c>
    </row>
    <row r="2740" spans="1:5" ht="15" customHeight="1" x14ac:dyDescent="0.2">
      <c r="A2740" s="692"/>
      <c r="B2740" s="243" t="s">
        <v>4271</v>
      </c>
      <c r="C2740" s="91"/>
      <c r="D2740" s="98" t="s">
        <v>2053</v>
      </c>
      <c r="E2740" s="89">
        <v>192000</v>
      </c>
    </row>
    <row r="2741" spans="1:5" ht="15" customHeight="1" x14ac:dyDescent="0.2">
      <c r="A2741" s="692"/>
      <c r="B2741" s="243" t="s">
        <v>4272</v>
      </c>
      <c r="C2741" s="91"/>
      <c r="D2741" s="98" t="s">
        <v>2054</v>
      </c>
      <c r="E2741" s="89">
        <v>192000</v>
      </c>
    </row>
    <row r="2742" spans="1:5" ht="15" customHeight="1" x14ac:dyDescent="0.2">
      <c r="A2742" s="692"/>
      <c r="B2742" s="144" t="s">
        <v>3357</v>
      </c>
      <c r="C2742" s="99"/>
      <c r="D2742" s="105" t="s">
        <v>4273</v>
      </c>
      <c r="E2742" s="89">
        <v>1081650000</v>
      </c>
    </row>
    <row r="2743" spans="1:5" ht="15" customHeight="1" x14ac:dyDescent="0.2">
      <c r="A2743" s="692"/>
      <c r="B2743" s="581" t="s">
        <v>4274</v>
      </c>
      <c r="C2743" s="525">
        <v>295</v>
      </c>
      <c r="D2743" s="526"/>
      <c r="E2743" s="89">
        <v>1028000000</v>
      </c>
    </row>
    <row r="2744" spans="1:5" ht="15" customHeight="1" x14ac:dyDescent="0.2">
      <c r="A2744" s="692"/>
      <c r="B2744" s="243" t="s">
        <v>4275</v>
      </c>
      <c r="C2744" s="91"/>
      <c r="D2744" s="98"/>
      <c r="E2744" s="89">
        <v>1028000000</v>
      </c>
    </row>
    <row r="2745" spans="1:5" ht="15" customHeight="1" x14ac:dyDescent="0.2">
      <c r="A2745" s="692"/>
      <c r="B2745" s="243" t="s">
        <v>4276</v>
      </c>
      <c r="C2745" s="91"/>
      <c r="D2745" s="98"/>
      <c r="E2745" s="89">
        <v>1028000000</v>
      </c>
    </row>
    <row r="2746" spans="1:5" ht="15" customHeight="1" x14ac:dyDescent="0.2">
      <c r="A2746" s="692"/>
      <c r="B2746" s="243" t="s">
        <v>4277</v>
      </c>
      <c r="C2746" s="91"/>
      <c r="D2746" s="98"/>
      <c r="E2746" s="89">
        <v>1028000000</v>
      </c>
    </row>
    <row r="2747" spans="1:5" ht="15" customHeight="1" x14ac:dyDescent="0.2">
      <c r="A2747" s="693" t="s">
        <v>4278</v>
      </c>
      <c r="B2747" s="582" t="s">
        <v>1857</v>
      </c>
      <c r="C2747" s="395">
        <v>64</v>
      </c>
      <c r="D2747" s="396" t="s">
        <v>4279</v>
      </c>
      <c r="E2747" s="89">
        <v>245000</v>
      </c>
    </row>
    <row r="2748" spans="1:5" ht="15" customHeight="1" x14ac:dyDescent="0.2">
      <c r="A2748" s="693" t="str">
        <f t="shared" ref="A2748:A2751" si="145">A2747</f>
        <v>하프 에어
(HALF)</v>
      </c>
      <c r="B2748" s="582" t="s">
        <v>1857</v>
      </c>
      <c r="C2748" s="91">
        <v>81.400000000000006</v>
      </c>
      <c r="D2748" s="98"/>
      <c r="E2748" s="89">
        <v>305000</v>
      </c>
    </row>
    <row r="2749" spans="1:5" ht="15" customHeight="1" x14ac:dyDescent="0.2">
      <c r="A2749" s="693" t="str">
        <f t="shared" si="145"/>
        <v>하프 에어
(HALF)</v>
      </c>
      <c r="B2749" s="582" t="s">
        <v>1857</v>
      </c>
      <c r="C2749" s="91">
        <v>104.7</v>
      </c>
      <c r="D2749" s="98"/>
      <c r="E2749" s="89">
        <v>390000</v>
      </c>
    </row>
    <row r="2750" spans="1:5" ht="15" customHeight="1" x14ac:dyDescent="0.2">
      <c r="A2750" s="693" t="str">
        <f t="shared" si="145"/>
        <v>하프 에어
(HALF)</v>
      </c>
      <c r="B2750" s="582" t="s">
        <v>1857</v>
      </c>
      <c r="C2750" s="91">
        <v>127.9</v>
      </c>
      <c r="D2750" s="98"/>
      <c r="E2750" s="89">
        <v>480000</v>
      </c>
    </row>
    <row r="2751" spans="1:5" ht="15" customHeight="1" thickBot="1" x14ac:dyDescent="0.25">
      <c r="A2751" s="694" t="str">
        <f t="shared" si="145"/>
        <v>하프 에어
(HALF)</v>
      </c>
      <c r="B2751" s="582" t="s">
        <v>1857</v>
      </c>
      <c r="C2751" s="583">
        <v>209.4</v>
      </c>
      <c r="D2751" s="584"/>
      <c r="E2751" s="89">
        <v>790000</v>
      </c>
    </row>
  </sheetData>
  <mergeCells count="174"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6.5" x14ac:dyDescent="0.3"/>
  <cols>
    <col min="1" max="1" width="23.75" style="590" bestFit="1" customWidth="1"/>
    <col min="2" max="2" width="12.625" style="590" bestFit="1" customWidth="1"/>
    <col min="5" max="5" width="9.375" style="598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4746</v>
      </c>
    </row>
    <row r="2" spans="1:7" x14ac:dyDescent="0.3">
      <c r="A2" s="591" t="s">
        <v>4281</v>
      </c>
      <c r="B2" s="569" t="s">
        <v>1857</v>
      </c>
      <c r="C2" s="592">
        <v>60</v>
      </c>
      <c r="D2" s="592"/>
      <c r="E2" s="595">
        <v>57560</v>
      </c>
    </row>
    <row r="3" spans="1:7" x14ac:dyDescent="0.3">
      <c r="A3" s="591" t="s">
        <v>4281</v>
      </c>
      <c r="B3" s="569" t="s">
        <v>1857</v>
      </c>
      <c r="C3">
        <v>70</v>
      </c>
      <c r="E3" s="596">
        <v>56530</v>
      </c>
    </row>
    <row r="4" spans="1:7" x14ac:dyDescent="0.3">
      <c r="A4" s="591" t="s">
        <v>4281</v>
      </c>
      <c r="B4" s="569" t="s">
        <v>1857</v>
      </c>
      <c r="C4">
        <v>75</v>
      </c>
      <c r="E4" s="596">
        <v>59420</v>
      </c>
    </row>
    <row r="5" spans="1:7" x14ac:dyDescent="0.3">
      <c r="A5" s="591" t="s">
        <v>4281</v>
      </c>
      <c r="B5" s="569" t="s">
        <v>4283</v>
      </c>
      <c r="C5">
        <v>80</v>
      </c>
      <c r="E5" s="596">
        <v>62090</v>
      </c>
    </row>
    <row r="6" spans="1:7" x14ac:dyDescent="0.3">
      <c r="A6" s="591" t="s">
        <v>4281</v>
      </c>
      <c r="B6" s="569" t="s">
        <v>4283</v>
      </c>
      <c r="C6">
        <v>90</v>
      </c>
      <c r="E6" s="596">
        <v>69560</v>
      </c>
    </row>
    <row r="7" spans="1:7" x14ac:dyDescent="0.3">
      <c r="A7" s="591" t="s">
        <v>4281</v>
      </c>
      <c r="B7" s="569" t="s">
        <v>4283</v>
      </c>
      <c r="C7">
        <v>100</v>
      </c>
      <c r="E7" s="596">
        <v>76920</v>
      </c>
    </row>
    <row r="8" spans="1:7" x14ac:dyDescent="0.3">
      <c r="A8" s="591" t="s">
        <v>4281</v>
      </c>
      <c r="B8" s="569" t="s">
        <v>4283</v>
      </c>
      <c r="C8">
        <v>120</v>
      </c>
      <c r="E8" s="596">
        <v>92310</v>
      </c>
    </row>
    <row r="9" spans="1:7" x14ac:dyDescent="0.3">
      <c r="A9" s="591" t="s">
        <v>4281</v>
      </c>
      <c r="B9" s="569" t="s">
        <v>4283</v>
      </c>
      <c r="C9">
        <v>150</v>
      </c>
      <c r="E9" s="596">
        <v>115380</v>
      </c>
    </row>
    <row r="10" spans="1:7" x14ac:dyDescent="0.3">
      <c r="A10" s="591" t="s">
        <v>4281</v>
      </c>
      <c r="B10" s="593" t="s">
        <v>4284</v>
      </c>
      <c r="C10">
        <v>60</v>
      </c>
      <c r="E10" s="596">
        <v>39980</v>
      </c>
    </row>
    <row r="11" spans="1:7" x14ac:dyDescent="0.3">
      <c r="A11" s="591" t="s">
        <v>4281</v>
      </c>
      <c r="B11" s="593" t="s">
        <v>4284</v>
      </c>
      <c r="C11">
        <v>70</v>
      </c>
      <c r="E11" s="596">
        <v>39270</v>
      </c>
    </row>
    <row r="12" spans="1:7" x14ac:dyDescent="0.3">
      <c r="A12" s="591" t="s">
        <v>4281</v>
      </c>
      <c r="B12" s="593" t="s">
        <v>4284</v>
      </c>
      <c r="C12">
        <v>75</v>
      </c>
      <c r="E12" s="596">
        <v>41270</v>
      </c>
    </row>
    <row r="13" spans="1:7" x14ac:dyDescent="0.3">
      <c r="A13" s="591" t="s">
        <v>4281</v>
      </c>
      <c r="B13" s="593" t="s">
        <v>4284</v>
      </c>
      <c r="C13">
        <v>80</v>
      </c>
      <c r="E13" s="596">
        <v>43130</v>
      </c>
    </row>
    <row r="14" spans="1:7" x14ac:dyDescent="0.3">
      <c r="A14" s="591" t="s">
        <v>4281</v>
      </c>
      <c r="B14" s="593" t="s">
        <v>4284</v>
      </c>
      <c r="C14">
        <v>90</v>
      </c>
      <c r="E14" s="596">
        <v>48320</v>
      </c>
    </row>
    <row r="15" spans="1:7" x14ac:dyDescent="0.3">
      <c r="A15" s="591" t="s">
        <v>4281</v>
      </c>
      <c r="B15" s="593" t="s">
        <v>4284</v>
      </c>
      <c r="C15">
        <v>100</v>
      </c>
      <c r="E15" s="596">
        <v>53440</v>
      </c>
    </row>
    <row r="16" spans="1:7" x14ac:dyDescent="0.3">
      <c r="A16" s="591" t="s">
        <v>4281</v>
      </c>
      <c r="B16" s="593" t="s">
        <v>4284</v>
      </c>
      <c r="C16">
        <v>120</v>
      </c>
      <c r="E16" s="596">
        <v>64130</v>
      </c>
    </row>
    <row r="17" spans="1:11" x14ac:dyDescent="0.3">
      <c r="A17" s="591" t="s">
        <v>4281</v>
      </c>
      <c r="B17" s="593" t="s">
        <v>4284</v>
      </c>
      <c r="C17" s="599">
        <v>150</v>
      </c>
      <c r="D17" s="594"/>
      <c r="E17" s="597">
        <v>80150</v>
      </c>
    </row>
    <row r="18" spans="1:11" x14ac:dyDescent="0.3">
      <c r="A18" s="590" t="s">
        <v>4282</v>
      </c>
      <c r="B18" s="569" t="s">
        <v>4283</v>
      </c>
      <c r="C18">
        <v>70</v>
      </c>
      <c r="E18" s="598">
        <v>58230</v>
      </c>
    </row>
    <row r="19" spans="1:11" x14ac:dyDescent="0.3">
      <c r="A19" s="590" t="s">
        <v>4282</v>
      </c>
      <c r="B19" s="569" t="s">
        <v>4283</v>
      </c>
      <c r="C19">
        <v>80</v>
      </c>
      <c r="E19" s="598">
        <v>63950</v>
      </c>
    </row>
    <row r="20" spans="1:11" x14ac:dyDescent="0.3">
      <c r="A20" s="590" t="s">
        <v>4282</v>
      </c>
      <c r="B20" s="569" t="s">
        <v>4283</v>
      </c>
      <c r="C20">
        <v>95</v>
      </c>
      <c r="E20" s="598">
        <v>75540</v>
      </c>
    </row>
    <row r="21" spans="1:11" x14ac:dyDescent="0.3">
      <c r="A21" s="590" t="s">
        <v>4282</v>
      </c>
      <c r="B21" s="569" t="s">
        <v>4283</v>
      </c>
      <c r="C21">
        <v>100</v>
      </c>
      <c r="E21" s="598">
        <v>79230</v>
      </c>
    </row>
    <row r="22" spans="1:11" x14ac:dyDescent="0.3">
      <c r="A22" s="590" t="s">
        <v>4282</v>
      </c>
      <c r="B22" s="593" t="s">
        <v>4284</v>
      </c>
      <c r="C22">
        <v>70</v>
      </c>
      <c r="E22" s="598">
        <v>40450</v>
      </c>
    </row>
    <row r="23" spans="1:11" x14ac:dyDescent="0.3">
      <c r="A23" s="590" t="s">
        <v>4282</v>
      </c>
      <c r="B23" s="593" t="s">
        <v>4284</v>
      </c>
      <c r="C23">
        <v>80</v>
      </c>
      <c r="E23" s="598">
        <v>44430</v>
      </c>
    </row>
    <row r="24" spans="1:11" x14ac:dyDescent="0.3">
      <c r="A24" s="590" t="s">
        <v>4282</v>
      </c>
      <c r="B24" s="593" t="s">
        <v>4284</v>
      </c>
      <c r="C24">
        <v>95</v>
      </c>
      <c r="E24" s="598">
        <v>52470</v>
      </c>
    </row>
    <row r="25" spans="1:11" x14ac:dyDescent="0.3">
      <c r="A25" s="590" t="s">
        <v>4282</v>
      </c>
      <c r="B25" s="593" t="s">
        <v>4284</v>
      </c>
      <c r="C25">
        <v>100</v>
      </c>
      <c r="E25" s="598">
        <v>55040</v>
      </c>
    </row>
    <row r="26" spans="1:11" x14ac:dyDescent="0.3">
      <c r="A26" s="590" t="s">
        <v>4285</v>
      </c>
      <c r="B26" s="569" t="s">
        <v>4283</v>
      </c>
      <c r="C26">
        <v>105</v>
      </c>
      <c r="E26" s="598">
        <v>165870</v>
      </c>
      <c r="G26" s="624">
        <v>149</v>
      </c>
      <c r="H26" s="569"/>
      <c r="K26" s="601"/>
    </row>
    <row r="27" spans="1:11" x14ac:dyDescent="0.3">
      <c r="A27" s="590" t="s">
        <v>4285</v>
      </c>
      <c r="B27" s="569" t="s">
        <v>4283</v>
      </c>
      <c r="C27">
        <v>130</v>
      </c>
      <c r="E27" s="598">
        <v>205360</v>
      </c>
      <c r="G27" s="624">
        <v>183</v>
      </c>
      <c r="H27" s="569"/>
      <c r="K27" s="601"/>
    </row>
    <row r="28" spans="1:11" x14ac:dyDescent="0.3">
      <c r="A28" s="590" t="s">
        <v>4285</v>
      </c>
      <c r="B28" s="569" t="s">
        <v>4283</v>
      </c>
      <c r="C28">
        <v>160</v>
      </c>
      <c r="E28" s="598">
        <v>254760</v>
      </c>
      <c r="G28" s="624">
        <v>223</v>
      </c>
      <c r="H28" s="569"/>
      <c r="K28" s="601"/>
    </row>
    <row r="29" spans="1:11" x14ac:dyDescent="0.3">
      <c r="A29" s="590" t="s">
        <v>4285</v>
      </c>
      <c r="B29" s="569" t="s">
        <v>4283</v>
      </c>
      <c r="C29">
        <v>190</v>
      </c>
      <c r="E29" s="598">
        <v>300140</v>
      </c>
      <c r="G29" s="624">
        <v>261</v>
      </c>
      <c r="H29" s="569"/>
      <c r="K29" s="601"/>
    </row>
    <row r="30" spans="1:11" x14ac:dyDescent="0.3">
      <c r="A30" s="590" t="s">
        <v>4285</v>
      </c>
      <c r="B30" s="569" t="s">
        <v>4283</v>
      </c>
      <c r="C30">
        <v>210</v>
      </c>
      <c r="E30" s="598">
        <v>331740</v>
      </c>
      <c r="G30" s="624">
        <v>286</v>
      </c>
      <c r="H30" s="569"/>
      <c r="K30" s="601"/>
    </row>
    <row r="31" spans="1:11" x14ac:dyDescent="0.3">
      <c r="A31" s="590" t="s">
        <v>4285</v>
      </c>
      <c r="B31" s="569" t="s">
        <v>4283</v>
      </c>
      <c r="C31">
        <v>230</v>
      </c>
      <c r="E31" s="598">
        <v>363330</v>
      </c>
      <c r="G31" s="624">
        <v>312</v>
      </c>
      <c r="H31" s="569"/>
      <c r="K31" s="601"/>
    </row>
    <row r="32" spans="1:11" ht="17.25" thickBot="1" x14ac:dyDescent="0.35">
      <c r="A32" s="590" t="s">
        <v>4285</v>
      </c>
      <c r="B32" s="569" t="s">
        <v>4283</v>
      </c>
      <c r="C32">
        <v>310</v>
      </c>
      <c r="E32" s="598">
        <v>489710</v>
      </c>
      <c r="H32" s="569"/>
      <c r="K32" s="601"/>
    </row>
    <row r="33" spans="1:11" ht="17.25" thickBot="1" x14ac:dyDescent="0.35">
      <c r="A33" s="590" t="s">
        <v>4285</v>
      </c>
      <c r="B33" s="593" t="s">
        <v>4284</v>
      </c>
      <c r="C33">
        <v>105</v>
      </c>
      <c r="E33" s="598">
        <v>115230</v>
      </c>
      <c r="G33" s="624">
        <v>149</v>
      </c>
      <c r="H33" s="589"/>
      <c r="K33" s="600"/>
    </row>
    <row r="34" spans="1:11" ht="17.25" thickBot="1" x14ac:dyDescent="0.35">
      <c r="A34" s="590" t="s">
        <v>4285</v>
      </c>
      <c r="B34" s="593" t="s">
        <v>4284</v>
      </c>
      <c r="C34">
        <v>130</v>
      </c>
      <c r="E34" s="598">
        <v>142650</v>
      </c>
      <c r="G34" s="624">
        <v>183</v>
      </c>
      <c r="H34" s="589"/>
      <c r="K34" s="600"/>
    </row>
    <row r="35" spans="1:11" ht="17.25" thickBot="1" x14ac:dyDescent="0.35">
      <c r="A35" s="590" t="s">
        <v>4285</v>
      </c>
      <c r="B35" s="593" t="s">
        <v>4284</v>
      </c>
      <c r="C35">
        <v>160</v>
      </c>
      <c r="E35" s="598">
        <v>175580</v>
      </c>
      <c r="G35" s="624">
        <v>223</v>
      </c>
      <c r="H35" s="589"/>
      <c r="K35" s="600"/>
    </row>
    <row r="36" spans="1:11" ht="17.25" thickBot="1" x14ac:dyDescent="0.35">
      <c r="A36" s="590" t="s">
        <v>4285</v>
      </c>
      <c r="B36" s="593" t="s">
        <v>4284</v>
      </c>
      <c r="C36">
        <v>190</v>
      </c>
      <c r="E36" s="598">
        <v>208500</v>
      </c>
      <c r="G36" s="624">
        <v>261</v>
      </c>
      <c r="H36" s="589"/>
      <c r="K36" s="600"/>
    </row>
    <row r="37" spans="1:11" ht="17.25" thickBot="1" x14ac:dyDescent="0.35">
      <c r="A37" s="590" t="s">
        <v>4285</v>
      </c>
      <c r="B37" s="593" t="s">
        <v>4284</v>
      </c>
      <c r="C37">
        <v>210</v>
      </c>
      <c r="E37" s="598">
        <v>230440</v>
      </c>
      <c r="G37" s="624">
        <v>286</v>
      </c>
      <c r="H37" s="589"/>
      <c r="K37" s="600"/>
    </row>
    <row r="38" spans="1:11" ht="17.25" thickBot="1" x14ac:dyDescent="0.35">
      <c r="A38" s="590" t="s">
        <v>4285</v>
      </c>
      <c r="B38" s="593" t="s">
        <v>4284</v>
      </c>
      <c r="C38">
        <v>230</v>
      </c>
      <c r="E38" s="598">
        <v>252390</v>
      </c>
      <c r="G38" s="624">
        <v>312</v>
      </c>
      <c r="H38" s="589"/>
      <c r="K38" s="600"/>
    </row>
    <row r="39" spans="1:11" ht="17.25" thickBot="1" x14ac:dyDescent="0.35">
      <c r="A39" s="590" t="s">
        <v>4285</v>
      </c>
      <c r="B39" s="593" t="s">
        <v>4284</v>
      </c>
      <c r="C39">
        <v>310</v>
      </c>
      <c r="E39" s="598">
        <v>340180</v>
      </c>
      <c r="H39" s="569"/>
      <c r="K39" s="600"/>
    </row>
    <row r="40" spans="1:11" ht="17.25" thickBot="1" x14ac:dyDescent="0.35">
      <c r="A40" s="590" t="s">
        <v>4286</v>
      </c>
      <c r="B40" s="569" t="s">
        <v>4283</v>
      </c>
      <c r="C40">
        <v>105</v>
      </c>
      <c r="E40" s="598">
        <v>165870</v>
      </c>
      <c r="G40" s="624">
        <v>149</v>
      </c>
      <c r="H40" s="569"/>
      <c r="K40" s="600"/>
    </row>
    <row r="41" spans="1:11" ht="17.25" thickBot="1" x14ac:dyDescent="0.35">
      <c r="A41" s="590" t="s">
        <v>4286</v>
      </c>
      <c r="B41" s="569" t="s">
        <v>4283</v>
      </c>
      <c r="C41">
        <v>130</v>
      </c>
      <c r="E41" s="598">
        <v>205360</v>
      </c>
      <c r="G41" s="624">
        <v>183</v>
      </c>
      <c r="H41" s="569"/>
      <c r="K41" s="600"/>
    </row>
    <row r="42" spans="1:11" ht="17.25" thickBot="1" x14ac:dyDescent="0.35">
      <c r="A42" s="590" t="s">
        <v>4286</v>
      </c>
      <c r="B42" s="569" t="s">
        <v>4283</v>
      </c>
      <c r="C42">
        <v>160</v>
      </c>
      <c r="E42" s="598">
        <v>252760</v>
      </c>
      <c r="G42" s="624">
        <v>223</v>
      </c>
      <c r="H42" s="569"/>
      <c r="K42" s="600"/>
    </row>
    <row r="43" spans="1:11" ht="17.25" thickBot="1" x14ac:dyDescent="0.35">
      <c r="A43" s="590" t="s">
        <v>4286</v>
      </c>
      <c r="B43" s="569" t="s">
        <v>4283</v>
      </c>
      <c r="C43">
        <v>190</v>
      </c>
      <c r="E43" s="598">
        <v>300140</v>
      </c>
      <c r="G43" s="624">
        <v>261</v>
      </c>
      <c r="H43" s="569"/>
      <c r="K43" s="600"/>
    </row>
    <row r="44" spans="1:11" ht="17.25" thickBot="1" x14ac:dyDescent="0.35">
      <c r="A44" s="590" t="s">
        <v>4286</v>
      </c>
      <c r="B44" s="569" t="s">
        <v>4283</v>
      </c>
      <c r="C44">
        <v>210</v>
      </c>
      <c r="E44" s="598">
        <v>331740</v>
      </c>
      <c r="G44" s="624">
        <v>286</v>
      </c>
      <c r="H44" s="569"/>
      <c r="K44" s="600"/>
    </row>
    <row r="45" spans="1:11" ht="17.25" thickBot="1" x14ac:dyDescent="0.35">
      <c r="A45" s="590" t="s">
        <v>4286</v>
      </c>
      <c r="B45" s="569" t="s">
        <v>4283</v>
      </c>
      <c r="C45">
        <v>230</v>
      </c>
      <c r="E45" s="598">
        <v>363330</v>
      </c>
      <c r="G45" s="624">
        <v>312</v>
      </c>
      <c r="H45" s="589"/>
      <c r="K45" s="600"/>
    </row>
    <row r="46" spans="1:11" ht="17.25" thickBot="1" x14ac:dyDescent="0.35">
      <c r="A46" s="590" t="s">
        <v>4286</v>
      </c>
      <c r="B46" s="569" t="s">
        <v>4283</v>
      </c>
      <c r="C46">
        <v>310</v>
      </c>
      <c r="E46" s="598">
        <v>489710</v>
      </c>
      <c r="H46" s="589"/>
      <c r="K46" s="600"/>
    </row>
    <row r="47" spans="1:11" ht="17.25" thickBot="1" x14ac:dyDescent="0.35">
      <c r="A47" s="590" t="s">
        <v>4286</v>
      </c>
      <c r="B47" s="593" t="s">
        <v>4284</v>
      </c>
      <c r="C47">
        <v>105</v>
      </c>
      <c r="E47" s="598">
        <v>115230</v>
      </c>
      <c r="G47" s="624">
        <v>149</v>
      </c>
      <c r="H47" s="589"/>
      <c r="K47" s="600"/>
    </row>
    <row r="48" spans="1:11" ht="17.25" thickBot="1" x14ac:dyDescent="0.35">
      <c r="A48" s="590" t="s">
        <v>4286</v>
      </c>
      <c r="B48" s="593" t="s">
        <v>4284</v>
      </c>
      <c r="C48">
        <v>130</v>
      </c>
      <c r="E48" s="598">
        <v>142650</v>
      </c>
      <c r="G48" s="624">
        <v>183</v>
      </c>
      <c r="H48" s="589"/>
      <c r="K48" s="600"/>
    </row>
    <row r="49" spans="1:11" ht="17.25" thickBot="1" x14ac:dyDescent="0.35">
      <c r="A49" s="590" t="s">
        <v>4286</v>
      </c>
      <c r="B49" s="593" t="s">
        <v>4284</v>
      </c>
      <c r="C49">
        <v>160</v>
      </c>
      <c r="E49" s="598">
        <v>175580</v>
      </c>
      <c r="G49" s="624">
        <v>223</v>
      </c>
      <c r="H49" s="589"/>
      <c r="K49" s="600"/>
    </row>
    <row r="50" spans="1:11" ht="17.25" thickBot="1" x14ac:dyDescent="0.35">
      <c r="A50" s="590" t="s">
        <v>4286</v>
      </c>
      <c r="B50" s="593" t="s">
        <v>4284</v>
      </c>
      <c r="C50">
        <v>190</v>
      </c>
      <c r="E50" s="598">
        <v>208500</v>
      </c>
      <c r="G50" s="624">
        <v>261</v>
      </c>
      <c r="H50" s="589"/>
      <c r="K50" s="600"/>
    </row>
    <row r="51" spans="1:11" x14ac:dyDescent="0.3">
      <c r="A51" s="590" t="s">
        <v>4286</v>
      </c>
      <c r="B51" s="593" t="s">
        <v>4284</v>
      </c>
      <c r="C51">
        <v>210</v>
      </c>
      <c r="E51" s="598">
        <v>230440</v>
      </c>
      <c r="G51" s="624">
        <v>286</v>
      </c>
    </row>
    <row r="52" spans="1:11" x14ac:dyDescent="0.3">
      <c r="A52" s="590" t="s">
        <v>4286</v>
      </c>
      <c r="B52" s="593" t="s">
        <v>4284</v>
      </c>
      <c r="C52">
        <v>230</v>
      </c>
      <c r="E52" s="598">
        <v>252390</v>
      </c>
      <c r="G52" s="624">
        <v>312</v>
      </c>
    </row>
    <row r="53" spans="1:11" x14ac:dyDescent="0.3">
      <c r="A53" s="590" t="s">
        <v>4286</v>
      </c>
      <c r="B53" s="593" t="s">
        <v>4284</v>
      </c>
      <c r="C53">
        <v>310</v>
      </c>
      <c r="E53" s="598">
        <v>340180</v>
      </c>
    </row>
    <row r="54" spans="1:11" x14ac:dyDescent="0.3">
      <c r="A54" s="590" t="s">
        <v>4287</v>
      </c>
      <c r="B54" s="569" t="s">
        <v>4283</v>
      </c>
      <c r="C54">
        <v>230</v>
      </c>
      <c r="E54" s="598">
        <v>172180</v>
      </c>
    </row>
    <row r="55" spans="1:11" x14ac:dyDescent="0.3">
      <c r="A55" s="590" t="s">
        <v>4287</v>
      </c>
      <c r="B55" s="569" t="s">
        <v>4283</v>
      </c>
      <c r="C55">
        <v>250</v>
      </c>
      <c r="E55" s="598">
        <v>187150</v>
      </c>
    </row>
    <row r="56" spans="1:11" x14ac:dyDescent="0.3">
      <c r="A56" s="590" t="s">
        <v>4287</v>
      </c>
      <c r="B56" s="569" t="s">
        <v>4283</v>
      </c>
      <c r="C56">
        <v>280</v>
      </c>
      <c r="E56" s="598">
        <v>209610</v>
      </c>
    </row>
    <row r="57" spans="1:11" x14ac:dyDescent="0.3">
      <c r="A57" s="590" t="s">
        <v>4288</v>
      </c>
      <c r="B57" s="569" t="s">
        <v>4283</v>
      </c>
      <c r="C57">
        <v>210</v>
      </c>
      <c r="E57" s="598">
        <v>246435</v>
      </c>
    </row>
    <row r="58" spans="1:11" x14ac:dyDescent="0.3">
      <c r="A58" s="590" t="s">
        <v>4288</v>
      </c>
      <c r="B58" s="569" t="s">
        <v>4283</v>
      </c>
      <c r="C58">
        <v>230</v>
      </c>
      <c r="E58" s="598">
        <v>269905</v>
      </c>
    </row>
    <row r="59" spans="1:11" x14ac:dyDescent="0.3">
      <c r="A59" s="590" t="s">
        <v>4288</v>
      </c>
      <c r="B59" s="569" t="s">
        <v>4283</v>
      </c>
      <c r="C59">
        <v>300</v>
      </c>
      <c r="E59" s="598">
        <v>352050</v>
      </c>
    </row>
    <row r="60" spans="1:11" x14ac:dyDescent="0.3">
      <c r="A60" s="590" t="s">
        <v>4288</v>
      </c>
      <c r="B60" s="569" t="s">
        <v>4283</v>
      </c>
      <c r="C60">
        <v>250</v>
      </c>
      <c r="E60" s="598">
        <v>410720</v>
      </c>
    </row>
    <row r="61" spans="1:11" x14ac:dyDescent="0.3">
      <c r="A61" s="590" t="s">
        <v>4288</v>
      </c>
      <c r="B61" s="569" t="s">
        <v>4283</v>
      </c>
      <c r="C61">
        <v>400</v>
      </c>
      <c r="E61" s="598">
        <v>469400</v>
      </c>
    </row>
    <row r="62" spans="1:11" x14ac:dyDescent="0.3">
      <c r="A62" s="590" t="s">
        <v>4288</v>
      </c>
      <c r="B62" s="593" t="s">
        <v>4284</v>
      </c>
      <c r="C62">
        <v>210</v>
      </c>
      <c r="E62" s="598">
        <v>171189</v>
      </c>
    </row>
    <row r="63" spans="1:11" x14ac:dyDescent="0.3">
      <c r="A63" s="590" t="s">
        <v>4288</v>
      </c>
      <c r="B63" s="593" t="s">
        <v>4284</v>
      </c>
      <c r="C63">
        <v>230</v>
      </c>
      <c r="E63" s="598">
        <v>187492</v>
      </c>
    </row>
    <row r="64" spans="1:11" x14ac:dyDescent="0.3">
      <c r="A64" s="590" t="s">
        <v>4288</v>
      </c>
      <c r="B64" s="593" t="s">
        <v>4284</v>
      </c>
      <c r="C64">
        <v>300</v>
      </c>
      <c r="E64" s="598">
        <v>244560</v>
      </c>
    </row>
    <row r="65" spans="1:5" x14ac:dyDescent="0.3">
      <c r="A65" s="590" t="s">
        <v>4288</v>
      </c>
      <c r="B65" s="593" t="s">
        <v>4284</v>
      </c>
      <c r="C65">
        <v>250</v>
      </c>
      <c r="E65" s="598">
        <v>285310</v>
      </c>
    </row>
    <row r="66" spans="1:5" x14ac:dyDescent="0.3">
      <c r="A66" s="590" t="s">
        <v>4288</v>
      </c>
      <c r="B66" s="593" t="s">
        <v>4284</v>
      </c>
      <c r="C66">
        <v>400</v>
      </c>
      <c r="E66" s="598">
        <v>326070</v>
      </c>
    </row>
    <row r="67" spans="1:5" x14ac:dyDescent="0.3">
      <c r="A67" s="590" t="s">
        <v>4289</v>
      </c>
      <c r="B67" s="569" t="s">
        <v>4283</v>
      </c>
      <c r="C67">
        <v>300</v>
      </c>
      <c r="E67" s="598">
        <v>352050</v>
      </c>
    </row>
    <row r="68" spans="1:5" x14ac:dyDescent="0.3">
      <c r="A68" s="590" t="s">
        <v>4289</v>
      </c>
      <c r="B68" s="569" t="s">
        <v>4283</v>
      </c>
      <c r="C68">
        <v>350</v>
      </c>
      <c r="E68" s="598">
        <v>410720</v>
      </c>
    </row>
    <row r="69" spans="1:5" x14ac:dyDescent="0.3">
      <c r="A69" s="590" t="s">
        <v>4289</v>
      </c>
      <c r="B69" s="569" t="s">
        <v>4283</v>
      </c>
      <c r="C69">
        <v>400</v>
      </c>
      <c r="E69" s="598">
        <v>469400</v>
      </c>
    </row>
    <row r="70" spans="1:5" x14ac:dyDescent="0.3">
      <c r="A70" s="590" t="s">
        <v>4289</v>
      </c>
      <c r="B70" s="569" t="s">
        <v>4283</v>
      </c>
      <c r="C70">
        <v>450</v>
      </c>
      <c r="E70" s="598">
        <v>529070</v>
      </c>
    </row>
    <row r="71" spans="1:5" x14ac:dyDescent="0.3">
      <c r="A71" s="590" t="s">
        <v>4289</v>
      </c>
      <c r="B71" s="593" t="s">
        <v>4284</v>
      </c>
      <c r="C71">
        <v>300</v>
      </c>
      <c r="E71" s="598">
        <v>244560</v>
      </c>
    </row>
    <row r="72" spans="1:5" x14ac:dyDescent="0.3">
      <c r="A72" s="590" t="s">
        <v>4289</v>
      </c>
      <c r="B72" s="593" t="s">
        <v>4284</v>
      </c>
      <c r="C72">
        <v>350</v>
      </c>
      <c r="E72" s="598">
        <v>285310</v>
      </c>
    </row>
    <row r="73" spans="1:5" x14ac:dyDescent="0.3">
      <c r="A73" s="590" t="s">
        <v>4289</v>
      </c>
      <c r="B73" s="593" t="s">
        <v>4284</v>
      </c>
      <c r="C73">
        <v>400</v>
      </c>
      <c r="E73" s="598">
        <v>326070</v>
      </c>
    </row>
    <row r="74" spans="1:5" x14ac:dyDescent="0.3">
      <c r="A74" s="590" t="s">
        <v>4289</v>
      </c>
      <c r="B74" s="593" t="s">
        <v>4284</v>
      </c>
      <c r="C74">
        <v>450</v>
      </c>
      <c r="E74" s="598">
        <v>366935</v>
      </c>
    </row>
    <row r="75" spans="1:5" x14ac:dyDescent="0.3">
      <c r="A75" s="590" t="s">
        <v>4290</v>
      </c>
      <c r="B75" s="569" t="s">
        <v>4283</v>
      </c>
      <c r="C75">
        <v>300</v>
      </c>
      <c r="E75" s="598">
        <v>275950</v>
      </c>
    </row>
    <row r="76" spans="1:5" x14ac:dyDescent="0.3">
      <c r="A76" s="590" t="s">
        <v>4290</v>
      </c>
      <c r="B76" s="569" t="s">
        <v>4283</v>
      </c>
      <c r="C76">
        <v>350</v>
      </c>
      <c r="E76" s="598">
        <v>321950</v>
      </c>
    </row>
    <row r="77" spans="1:5" x14ac:dyDescent="0.3">
      <c r="A77" s="590" t="s">
        <v>4290</v>
      </c>
      <c r="B77" s="569" t="s">
        <v>4283</v>
      </c>
      <c r="C77">
        <v>400</v>
      </c>
      <c r="E77" s="598">
        <v>367940</v>
      </c>
    </row>
    <row r="78" spans="1:5" x14ac:dyDescent="0.3">
      <c r="A78" s="590" t="s">
        <v>4290</v>
      </c>
      <c r="B78" s="593" t="s">
        <v>4284</v>
      </c>
      <c r="C78">
        <v>300</v>
      </c>
      <c r="E78" s="598">
        <v>191700</v>
      </c>
    </row>
    <row r="79" spans="1:5" x14ac:dyDescent="0.3">
      <c r="A79" s="590" t="s">
        <v>4290</v>
      </c>
      <c r="B79" s="593" t="s">
        <v>4284</v>
      </c>
      <c r="C79">
        <v>350</v>
      </c>
      <c r="E79" s="598">
        <v>223640</v>
      </c>
    </row>
    <row r="80" spans="1:5" x14ac:dyDescent="0.3">
      <c r="A80" s="590" t="s">
        <v>4290</v>
      </c>
      <c r="B80" s="593" t="s">
        <v>4284</v>
      </c>
      <c r="C80">
        <v>400</v>
      </c>
      <c r="E80" s="598">
        <v>255590</v>
      </c>
    </row>
    <row r="81" spans="1:5" x14ac:dyDescent="0.3">
      <c r="A81" s="590" t="s">
        <v>4291</v>
      </c>
      <c r="B81" s="569" t="s">
        <v>4283</v>
      </c>
      <c r="C81">
        <v>300</v>
      </c>
      <c r="E81" s="598">
        <v>275950</v>
      </c>
    </row>
    <row r="82" spans="1:5" x14ac:dyDescent="0.3">
      <c r="A82" s="590" t="s">
        <v>4291</v>
      </c>
      <c r="B82" s="569" t="s">
        <v>4283</v>
      </c>
      <c r="C82">
        <v>350</v>
      </c>
      <c r="E82" s="598">
        <v>321950</v>
      </c>
    </row>
    <row r="83" spans="1:5" x14ac:dyDescent="0.3">
      <c r="A83" s="590" t="s">
        <v>4291</v>
      </c>
      <c r="B83" s="569" t="s">
        <v>4283</v>
      </c>
      <c r="C83">
        <v>400</v>
      </c>
      <c r="E83" s="598">
        <v>367940</v>
      </c>
    </row>
    <row r="84" spans="1:5" x14ac:dyDescent="0.3">
      <c r="A84" s="590" t="s">
        <v>4291</v>
      </c>
      <c r="B84" s="593" t="s">
        <v>4284</v>
      </c>
      <c r="C84">
        <v>300</v>
      </c>
      <c r="E84" s="598">
        <v>191700</v>
      </c>
    </row>
    <row r="85" spans="1:5" x14ac:dyDescent="0.3">
      <c r="A85" s="590" t="s">
        <v>4291</v>
      </c>
      <c r="B85" s="593" t="s">
        <v>4284</v>
      </c>
      <c r="C85">
        <v>350</v>
      </c>
      <c r="E85" s="598">
        <v>223640</v>
      </c>
    </row>
    <row r="86" spans="1:5" x14ac:dyDescent="0.3">
      <c r="A86" s="590" t="s">
        <v>4291</v>
      </c>
      <c r="B86" s="593" t="s">
        <v>4284</v>
      </c>
      <c r="C86">
        <v>400</v>
      </c>
      <c r="E86" s="598">
        <v>255590</v>
      </c>
    </row>
    <row r="87" spans="1:5" x14ac:dyDescent="0.3">
      <c r="A87" s="590" t="s">
        <v>4292</v>
      </c>
      <c r="B87" s="569" t="s">
        <v>4283</v>
      </c>
      <c r="C87">
        <v>350</v>
      </c>
      <c r="E87" s="598">
        <v>410720</v>
      </c>
    </row>
    <row r="88" spans="1:5" x14ac:dyDescent="0.3">
      <c r="A88" s="590" t="s">
        <v>4292</v>
      </c>
      <c r="B88" s="569" t="s">
        <v>4283</v>
      </c>
      <c r="C88">
        <v>400</v>
      </c>
      <c r="E88" s="598">
        <v>469400</v>
      </c>
    </row>
    <row r="89" spans="1:5" x14ac:dyDescent="0.3">
      <c r="A89" s="590" t="s">
        <v>4292</v>
      </c>
      <c r="B89" s="593" t="s">
        <v>4284</v>
      </c>
      <c r="C89">
        <v>350</v>
      </c>
      <c r="E89" s="598">
        <v>285310</v>
      </c>
    </row>
    <row r="90" spans="1:5" x14ac:dyDescent="0.3">
      <c r="A90" s="590" t="s">
        <v>4292</v>
      </c>
      <c r="B90" s="593" t="s">
        <v>4284</v>
      </c>
      <c r="C90">
        <v>400</v>
      </c>
      <c r="E90" s="598">
        <v>326070</v>
      </c>
    </row>
    <row r="91" spans="1:5" x14ac:dyDescent="0.3">
      <c r="A91" s="590" t="s">
        <v>4293</v>
      </c>
      <c r="B91" s="569" t="s">
        <v>4283</v>
      </c>
      <c r="C91">
        <v>210</v>
      </c>
      <c r="E91" s="598">
        <v>246435</v>
      </c>
    </row>
    <row r="92" spans="1:5" x14ac:dyDescent="0.3">
      <c r="A92" s="590" t="s">
        <v>4293</v>
      </c>
      <c r="B92" s="569" t="s">
        <v>4283</v>
      </c>
      <c r="C92">
        <v>330</v>
      </c>
      <c r="E92" s="598">
        <v>387260</v>
      </c>
    </row>
    <row r="93" spans="1:5" x14ac:dyDescent="0.3">
      <c r="A93" s="590" t="s">
        <v>4293</v>
      </c>
      <c r="B93" s="593" t="s">
        <v>4284</v>
      </c>
      <c r="C93">
        <v>210</v>
      </c>
      <c r="E93" s="598">
        <v>171189</v>
      </c>
    </row>
    <row r="94" spans="1:5" x14ac:dyDescent="0.3">
      <c r="A94" s="590" t="s">
        <v>4293</v>
      </c>
      <c r="B94" s="593" t="s">
        <v>4284</v>
      </c>
      <c r="C94">
        <v>330</v>
      </c>
      <c r="E94" s="598">
        <v>269010</v>
      </c>
    </row>
    <row r="95" spans="1:5" x14ac:dyDescent="0.3">
      <c r="A95" s="590" t="s">
        <v>4294</v>
      </c>
      <c r="B95" s="593" t="s">
        <v>4284</v>
      </c>
      <c r="C95">
        <v>300</v>
      </c>
      <c r="E95" s="598">
        <v>362690</v>
      </c>
    </row>
    <row r="96" spans="1:5" x14ac:dyDescent="0.3">
      <c r="A96" s="590" t="s">
        <v>4294</v>
      </c>
      <c r="B96" s="593" t="s">
        <v>4284</v>
      </c>
      <c r="C96">
        <v>350</v>
      </c>
      <c r="E96" s="598">
        <v>423140</v>
      </c>
    </row>
    <row r="97" spans="1:5" x14ac:dyDescent="0.3">
      <c r="A97" s="590" t="s">
        <v>4294</v>
      </c>
      <c r="B97" s="593" t="s">
        <v>4284</v>
      </c>
      <c r="C97">
        <v>400</v>
      </c>
      <c r="E97" s="598">
        <v>483590</v>
      </c>
    </row>
    <row r="98" spans="1:5" x14ac:dyDescent="0.3">
      <c r="A98" s="590" t="s">
        <v>4294</v>
      </c>
      <c r="B98" s="569" t="s">
        <v>4283</v>
      </c>
      <c r="C98">
        <v>300</v>
      </c>
      <c r="E98" s="598">
        <v>251950</v>
      </c>
    </row>
    <row r="99" spans="1:5" x14ac:dyDescent="0.3">
      <c r="A99" s="590" t="s">
        <v>4294</v>
      </c>
      <c r="B99" s="569" t="s">
        <v>4283</v>
      </c>
      <c r="C99">
        <v>350</v>
      </c>
      <c r="E99" s="598">
        <v>293940</v>
      </c>
    </row>
    <row r="100" spans="1:5" x14ac:dyDescent="0.3">
      <c r="A100" s="590" t="s">
        <v>4294</v>
      </c>
      <c r="B100" s="569" t="s">
        <v>4283</v>
      </c>
      <c r="C100">
        <v>400</v>
      </c>
      <c r="E100" s="598">
        <v>335930</v>
      </c>
    </row>
    <row r="101" spans="1:5" x14ac:dyDescent="0.3">
      <c r="A101" s="590" t="s">
        <v>4295</v>
      </c>
      <c r="B101" s="569" t="s">
        <v>4283</v>
      </c>
      <c r="C101">
        <v>200</v>
      </c>
      <c r="E101" s="598">
        <v>145380</v>
      </c>
    </row>
    <row r="102" spans="1:5" x14ac:dyDescent="0.3">
      <c r="A102" s="590" t="s">
        <v>4296</v>
      </c>
      <c r="B102" s="569" t="s">
        <v>4283</v>
      </c>
      <c r="C102">
        <v>220</v>
      </c>
      <c r="E102" s="598">
        <v>159920</v>
      </c>
    </row>
    <row r="103" spans="1:5" x14ac:dyDescent="0.3">
      <c r="A103" s="590" t="s">
        <v>4321</v>
      </c>
      <c r="B103" s="569" t="s">
        <v>4283</v>
      </c>
      <c r="C103">
        <v>70</v>
      </c>
      <c r="E103" s="598">
        <v>59100</v>
      </c>
    </row>
    <row r="104" spans="1:5" x14ac:dyDescent="0.3">
      <c r="A104" s="590" t="s">
        <v>4321</v>
      </c>
      <c r="B104" s="569" t="s">
        <v>4283</v>
      </c>
      <c r="C104">
        <v>80</v>
      </c>
      <c r="E104" s="598">
        <v>64910</v>
      </c>
    </row>
    <row r="105" spans="1:5" x14ac:dyDescent="0.3">
      <c r="A105" s="590" t="s">
        <v>4321</v>
      </c>
      <c r="B105" s="593" t="s">
        <v>4284</v>
      </c>
      <c r="C105">
        <v>70</v>
      </c>
      <c r="E105" s="598">
        <v>41060</v>
      </c>
    </row>
    <row r="106" spans="1:5" x14ac:dyDescent="0.3">
      <c r="A106" s="590" t="s">
        <v>4321</v>
      </c>
      <c r="B106" s="593" t="s">
        <v>4284</v>
      </c>
      <c r="C106">
        <v>80</v>
      </c>
      <c r="E106" s="598">
        <v>45090</v>
      </c>
    </row>
    <row r="107" spans="1:5" x14ac:dyDescent="0.3">
      <c r="A107" s="590" t="s">
        <v>4322</v>
      </c>
      <c r="B107" s="569" t="s">
        <v>4283</v>
      </c>
      <c r="C107">
        <v>70</v>
      </c>
      <c r="E107" s="598">
        <v>57910</v>
      </c>
    </row>
    <row r="108" spans="1:5" x14ac:dyDescent="0.3">
      <c r="A108" s="590" t="s">
        <v>4322</v>
      </c>
      <c r="B108" s="569" t="s">
        <v>4283</v>
      </c>
      <c r="C108">
        <v>80</v>
      </c>
      <c r="E108" s="598">
        <v>68670</v>
      </c>
    </row>
    <row r="109" spans="1:5" x14ac:dyDescent="0.3">
      <c r="A109" s="590" t="s">
        <v>4322</v>
      </c>
      <c r="B109" s="593" t="s">
        <v>4284</v>
      </c>
      <c r="C109">
        <v>70</v>
      </c>
      <c r="E109" s="598">
        <v>40220</v>
      </c>
    </row>
    <row r="110" spans="1:5" x14ac:dyDescent="0.3">
      <c r="A110" s="590" t="s">
        <v>4322</v>
      </c>
      <c r="B110" s="593" t="s">
        <v>4284</v>
      </c>
      <c r="C110">
        <v>80</v>
      </c>
      <c r="E110" s="598">
        <v>47700</v>
      </c>
    </row>
    <row r="111" spans="1:5" x14ac:dyDescent="0.3">
      <c r="A111" s="590" t="s">
        <v>4718</v>
      </c>
      <c r="B111" s="569" t="s">
        <v>4283</v>
      </c>
      <c r="C111">
        <v>70</v>
      </c>
      <c r="E111" s="598">
        <v>59640</v>
      </c>
    </row>
    <row r="112" spans="1:5" x14ac:dyDescent="0.3">
      <c r="A112" s="590" t="s">
        <v>4718</v>
      </c>
      <c r="B112" s="569" t="s">
        <v>4283</v>
      </c>
      <c r="C112">
        <v>80</v>
      </c>
      <c r="E112" s="598">
        <v>70730</v>
      </c>
    </row>
    <row r="113" spans="1:5" x14ac:dyDescent="0.3">
      <c r="A113" s="590" t="s">
        <v>4718</v>
      </c>
      <c r="B113" s="593" t="s">
        <v>4284</v>
      </c>
      <c r="C113">
        <v>70</v>
      </c>
      <c r="E113" s="598">
        <v>41430</v>
      </c>
    </row>
    <row r="114" spans="1:5" x14ac:dyDescent="0.3">
      <c r="A114" s="590" t="s">
        <v>4718</v>
      </c>
      <c r="B114" s="593" t="s">
        <v>4284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workbookViewId="0">
      <selection sqref="A1:XFD1"/>
    </sheetView>
  </sheetViews>
  <sheetFormatPr defaultRowHeight="16.5" x14ac:dyDescent="0.3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4746</v>
      </c>
    </row>
    <row r="2" spans="1:7" x14ac:dyDescent="0.3">
      <c r="A2" t="s">
        <v>4297</v>
      </c>
      <c r="B2" s="569" t="s">
        <v>4283</v>
      </c>
      <c r="C2">
        <v>80</v>
      </c>
      <c r="E2" s="601">
        <v>87140</v>
      </c>
      <c r="G2" s="624">
        <v>64</v>
      </c>
    </row>
    <row r="3" spans="1:7" x14ac:dyDescent="0.3">
      <c r="A3" t="s">
        <v>4297</v>
      </c>
      <c r="B3" s="569" t="s">
        <v>4283</v>
      </c>
      <c r="C3">
        <v>100</v>
      </c>
      <c r="E3" s="601">
        <v>88000</v>
      </c>
      <c r="G3" s="624">
        <v>80</v>
      </c>
    </row>
    <row r="4" spans="1:7" x14ac:dyDescent="0.3">
      <c r="A4" t="s">
        <v>4297</v>
      </c>
      <c r="B4" s="569" t="s">
        <v>4283</v>
      </c>
      <c r="C4">
        <v>120</v>
      </c>
      <c r="E4" s="601">
        <v>105590</v>
      </c>
      <c r="G4" s="624">
        <v>96</v>
      </c>
    </row>
    <row r="5" spans="1:7" x14ac:dyDescent="0.3">
      <c r="A5" t="s">
        <v>4297</v>
      </c>
      <c r="B5" s="569" t="s">
        <v>4283</v>
      </c>
      <c r="C5">
        <v>150</v>
      </c>
      <c r="E5" s="601">
        <v>134290</v>
      </c>
      <c r="G5" s="624">
        <v>125</v>
      </c>
    </row>
    <row r="6" spans="1:7" x14ac:dyDescent="0.3">
      <c r="A6" t="s">
        <v>4297</v>
      </c>
      <c r="B6" s="569" t="s">
        <v>4283</v>
      </c>
      <c r="C6">
        <v>180</v>
      </c>
      <c r="E6" s="601">
        <v>161150</v>
      </c>
      <c r="G6" s="624">
        <v>151</v>
      </c>
    </row>
    <row r="7" spans="1:7" x14ac:dyDescent="0.3">
      <c r="A7" t="s">
        <v>4297</v>
      </c>
      <c r="B7" s="569" t="s">
        <v>4283</v>
      </c>
      <c r="C7">
        <v>200</v>
      </c>
      <c r="E7" s="601">
        <v>179050</v>
      </c>
      <c r="G7" s="624">
        <v>178</v>
      </c>
    </row>
    <row r="8" spans="1:7" x14ac:dyDescent="0.3">
      <c r="A8" t="s">
        <v>4297</v>
      </c>
      <c r="B8" s="569" t="s">
        <v>4283</v>
      </c>
      <c r="C8">
        <v>250</v>
      </c>
      <c r="E8" s="601">
        <v>223810</v>
      </c>
      <c r="G8" s="624">
        <v>235</v>
      </c>
    </row>
    <row r="9" spans="1:7" x14ac:dyDescent="0.3">
      <c r="A9" t="s">
        <v>4297</v>
      </c>
      <c r="B9" s="569" t="s">
        <v>4283</v>
      </c>
      <c r="C9">
        <v>300</v>
      </c>
      <c r="E9" s="601">
        <v>268580</v>
      </c>
      <c r="G9" s="624">
        <v>290</v>
      </c>
    </row>
    <row r="10" spans="1:7" x14ac:dyDescent="0.3">
      <c r="A10" t="s">
        <v>4297</v>
      </c>
      <c r="B10" s="589" t="s">
        <v>4284</v>
      </c>
      <c r="C10">
        <v>80</v>
      </c>
      <c r="E10" s="601">
        <v>60530</v>
      </c>
      <c r="G10" s="624">
        <v>64</v>
      </c>
    </row>
    <row r="11" spans="1:7" x14ac:dyDescent="0.3">
      <c r="A11" t="s">
        <v>4297</v>
      </c>
      <c r="B11" s="589" t="s">
        <v>4284</v>
      </c>
      <c r="C11">
        <v>100</v>
      </c>
      <c r="E11" s="601">
        <v>61130</v>
      </c>
      <c r="G11" s="624">
        <v>80</v>
      </c>
    </row>
    <row r="12" spans="1:7" x14ac:dyDescent="0.3">
      <c r="A12" t="s">
        <v>4297</v>
      </c>
      <c r="B12" s="589" t="s">
        <v>4284</v>
      </c>
      <c r="C12">
        <v>120</v>
      </c>
      <c r="E12" s="601">
        <v>73350</v>
      </c>
      <c r="G12" s="624">
        <v>96</v>
      </c>
    </row>
    <row r="13" spans="1:7" x14ac:dyDescent="0.3">
      <c r="A13" t="s">
        <v>4297</v>
      </c>
      <c r="B13" s="589" t="s">
        <v>4284</v>
      </c>
      <c r="C13">
        <v>150</v>
      </c>
      <c r="E13" s="601">
        <v>111940</v>
      </c>
      <c r="G13" s="624">
        <v>125</v>
      </c>
    </row>
    <row r="14" spans="1:7" x14ac:dyDescent="0.3">
      <c r="A14" t="s">
        <v>4297</v>
      </c>
      <c r="B14" s="589" t="s">
        <v>4284</v>
      </c>
      <c r="C14">
        <v>180</v>
      </c>
      <c r="E14" s="601">
        <v>124380</v>
      </c>
      <c r="G14" s="624">
        <v>151</v>
      </c>
    </row>
    <row r="15" spans="1:7" x14ac:dyDescent="0.3">
      <c r="A15" t="s">
        <v>4297</v>
      </c>
      <c r="B15" s="589" t="s">
        <v>4284</v>
      </c>
      <c r="C15">
        <v>200</v>
      </c>
      <c r="E15" s="601">
        <v>124380</v>
      </c>
      <c r="G15" s="624">
        <v>178</v>
      </c>
    </row>
    <row r="16" spans="1:7" x14ac:dyDescent="0.3">
      <c r="A16" t="s">
        <v>4297</v>
      </c>
      <c r="B16" s="589" t="s">
        <v>4284</v>
      </c>
      <c r="C16">
        <v>250</v>
      </c>
      <c r="E16" s="601">
        <v>155470</v>
      </c>
      <c r="G16" s="624">
        <v>235</v>
      </c>
    </row>
    <row r="17" spans="1:7" x14ac:dyDescent="0.3">
      <c r="A17" t="s">
        <v>4297</v>
      </c>
      <c r="B17" s="589" t="s">
        <v>4284</v>
      </c>
      <c r="C17">
        <v>300</v>
      </c>
      <c r="E17" s="601">
        <v>186570</v>
      </c>
      <c r="G17" s="624">
        <v>290</v>
      </c>
    </row>
    <row r="18" spans="1:7" x14ac:dyDescent="0.3">
      <c r="A18" t="s">
        <v>4298</v>
      </c>
      <c r="B18" s="569" t="s">
        <v>4283</v>
      </c>
      <c r="C18">
        <v>80</v>
      </c>
      <c r="E18" s="601">
        <v>87140</v>
      </c>
      <c r="G18" s="624">
        <v>71</v>
      </c>
    </row>
    <row r="19" spans="1:7" x14ac:dyDescent="0.3">
      <c r="A19" t="s">
        <v>4298</v>
      </c>
      <c r="B19" s="569" t="s">
        <v>4283</v>
      </c>
      <c r="C19">
        <v>100</v>
      </c>
      <c r="E19" s="601">
        <v>88000</v>
      </c>
      <c r="G19" s="624">
        <v>92</v>
      </c>
    </row>
    <row r="20" spans="1:7" x14ac:dyDescent="0.3">
      <c r="A20" t="s">
        <v>4298</v>
      </c>
      <c r="B20" s="569" t="s">
        <v>4283</v>
      </c>
      <c r="C20">
        <v>120</v>
      </c>
      <c r="E20" s="601">
        <v>105590</v>
      </c>
      <c r="G20" s="624">
        <v>108</v>
      </c>
    </row>
    <row r="21" spans="1:7" x14ac:dyDescent="0.3">
      <c r="A21" t="s">
        <v>4298</v>
      </c>
      <c r="B21" s="569" t="s">
        <v>4283</v>
      </c>
      <c r="C21">
        <v>150</v>
      </c>
      <c r="E21" s="601">
        <v>134290</v>
      </c>
      <c r="G21" s="624">
        <v>140</v>
      </c>
    </row>
    <row r="22" spans="1:7" x14ac:dyDescent="0.3">
      <c r="A22" t="s">
        <v>4298</v>
      </c>
      <c r="B22" s="569" t="s">
        <v>4283</v>
      </c>
      <c r="C22">
        <v>180</v>
      </c>
      <c r="E22" s="601">
        <v>161150</v>
      </c>
      <c r="G22" s="624">
        <v>176</v>
      </c>
    </row>
    <row r="23" spans="1:7" x14ac:dyDescent="0.3">
      <c r="A23" t="s">
        <v>4298</v>
      </c>
      <c r="B23" s="569" t="s">
        <v>4283</v>
      </c>
      <c r="C23">
        <v>200</v>
      </c>
      <c r="E23" s="601">
        <v>179050</v>
      </c>
      <c r="G23" s="624">
        <v>200</v>
      </c>
    </row>
    <row r="24" spans="1:7" x14ac:dyDescent="0.3">
      <c r="A24" t="s">
        <v>4298</v>
      </c>
      <c r="B24" s="569" t="s">
        <v>4283</v>
      </c>
      <c r="C24">
        <v>250</v>
      </c>
      <c r="E24" s="601">
        <v>223810</v>
      </c>
      <c r="G24" s="624">
        <v>260</v>
      </c>
    </row>
    <row r="25" spans="1:7" x14ac:dyDescent="0.3">
      <c r="A25" t="s">
        <v>4298</v>
      </c>
      <c r="B25" s="569" t="s">
        <v>4283</v>
      </c>
      <c r="C25">
        <v>300</v>
      </c>
      <c r="E25" s="601">
        <v>268580</v>
      </c>
      <c r="G25" s="624">
        <v>320</v>
      </c>
    </row>
    <row r="26" spans="1:7" x14ac:dyDescent="0.3">
      <c r="A26" t="s">
        <v>4298</v>
      </c>
      <c r="B26" s="589" t="s">
        <v>4284</v>
      </c>
      <c r="C26">
        <v>80</v>
      </c>
      <c r="E26" s="601">
        <v>60530</v>
      </c>
      <c r="G26" s="624">
        <v>71</v>
      </c>
    </row>
    <row r="27" spans="1:7" x14ac:dyDescent="0.3">
      <c r="A27" t="s">
        <v>4298</v>
      </c>
      <c r="B27" s="589" t="s">
        <v>4284</v>
      </c>
      <c r="C27">
        <v>100</v>
      </c>
      <c r="E27" s="601">
        <v>61130</v>
      </c>
      <c r="G27" s="624">
        <v>92</v>
      </c>
    </row>
    <row r="28" spans="1:7" x14ac:dyDescent="0.3">
      <c r="A28" t="s">
        <v>4298</v>
      </c>
      <c r="B28" s="589" t="s">
        <v>4284</v>
      </c>
      <c r="C28">
        <v>120</v>
      </c>
      <c r="E28" s="601">
        <v>73350</v>
      </c>
      <c r="G28" s="624">
        <v>108</v>
      </c>
    </row>
    <row r="29" spans="1:7" x14ac:dyDescent="0.3">
      <c r="A29" t="s">
        <v>4298</v>
      </c>
      <c r="B29" s="589" t="s">
        <v>4284</v>
      </c>
      <c r="C29">
        <v>150</v>
      </c>
      <c r="E29" s="601">
        <v>111940</v>
      </c>
      <c r="G29" s="624">
        <v>140</v>
      </c>
    </row>
    <row r="30" spans="1:7" x14ac:dyDescent="0.3">
      <c r="A30" t="s">
        <v>4298</v>
      </c>
      <c r="B30" s="589" t="s">
        <v>4284</v>
      </c>
      <c r="C30">
        <v>180</v>
      </c>
      <c r="E30" s="601">
        <v>124380</v>
      </c>
      <c r="G30" s="624">
        <v>176</v>
      </c>
    </row>
    <row r="31" spans="1:7" x14ac:dyDescent="0.3">
      <c r="A31" t="s">
        <v>4298</v>
      </c>
      <c r="B31" s="589" t="s">
        <v>4284</v>
      </c>
      <c r="C31">
        <v>200</v>
      </c>
      <c r="E31" s="601">
        <v>124380</v>
      </c>
      <c r="G31" s="624">
        <v>200</v>
      </c>
    </row>
    <row r="32" spans="1:7" x14ac:dyDescent="0.3">
      <c r="A32" t="s">
        <v>4298</v>
      </c>
      <c r="B32" s="589" t="s">
        <v>4284</v>
      </c>
      <c r="C32">
        <v>250</v>
      </c>
      <c r="E32" s="601">
        <v>155470</v>
      </c>
      <c r="G32" s="624">
        <v>260</v>
      </c>
    </row>
    <row r="33" spans="1:7" x14ac:dyDescent="0.3">
      <c r="A33" t="s">
        <v>4298</v>
      </c>
      <c r="B33" s="589" t="s">
        <v>4284</v>
      </c>
      <c r="C33">
        <v>300</v>
      </c>
      <c r="E33" s="601">
        <v>186570</v>
      </c>
      <c r="G33" s="624">
        <v>320</v>
      </c>
    </row>
    <row r="34" spans="1:7" x14ac:dyDescent="0.3">
      <c r="A34" t="s">
        <v>4299</v>
      </c>
      <c r="B34" s="569" t="s">
        <v>4283</v>
      </c>
      <c r="C34">
        <v>70</v>
      </c>
      <c r="D34" t="s">
        <v>4300</v>
      </c>
      <c r="E34" s="601">
        <v>65010</v>
      </c>
      <c r="G34" s="624">
        <v>87</v>
      </c>
    </row>
    <row r="35" spans="1:7" x14ac:dyDescent="0.3">
      <c r="A35" t="s">
        <v>4299</v>
      </c>
      <c r="B35" s="569" t="s">
        <v>4283</v>
      </c>
      <c r="C35">
        <v>80</v>
      </c>
      <c r="D35" t="s">
        <v>4300</v>
      </c>
      <c r="E35" s="601">
        <v>71400</v>
      </c>
      <c r="G35" s="624">
        <v>94</v>
      </c>
    </row>
    <row r="36" spans="1:7" x14ac:dyDescent="0.3">
      <c r="A36" t="s">
        <v>4299</v>
      </c>
      <c r="B36" s="569" t="s">
        <v>4283</v>
      </c>
      <c r="C36">
        <v>100</v>
      </c>
      <c r="D36" t="s">
        <v>4300</v>
      </c>
      <c r="E36" s="601">
        <v>88470</v>
      </c>
      <c r="G36" s="624">
        <v>114</v>
      </c>
    </row>
    <row r="37" spans="1:7" x14ac:dyDescent="0.3">
      <c r="A37" t="s">
        <v>4299</v>
      </c>
      <c r="B37" s="569" t="s">
        <v>4283</v>
      </c>
      <c r="C37">
        <v>120</v>
      </c>
      <c r="D37" t="s">
        <v>4300</v>
      </c>
      <c r="E37" s="601">
        <v>106160</v>
      </c>
      <c r="G37" s="624">
        <v>135</v>
      </c>
    </row>
    <row r="38" spans="1:7" x14ac:dyDescent="0.3">
      <c r="A38" t="s">
        <v>4299</v>
      </c>
      <c r="B38" s="569" t="s">
        <v>4283</v>
      </c>
      <c r="C38">
        <v>150</v>
      </c>
      <c r="D38" t="s">
        <v>4300</v>
      </c>
      <c r="E38" s="601">
        <v>132700</v>
      </c>
      <c r="G38" s="624">
        <v>167</v>
      </c>
    </row>
    <row r="39" spans="1:7" x14ac:dyDescent="0.3">
      <c r="A39" t="s">
        <v>4299</v>
      </c>
      <c r="B39" s="569" t="s">
        <v>4283</v>
      </c>
      <c r="C39">
        <v>180</v>
      </c>
      <c r="D39" t="s">
        <v>4300</v>
      </c>
      <c r="E39" s="601">
        <v>159240</v>
      </c>
      <c r="G39" s="624">
        <v>201</v>
      </c>
    </row>
    <row r="40" spans="1:7" x14ac:dyDescent="0.3">
      <c r="A40" t="s">
        <v>4299</v>
      </c>
      <c r="B40" s="569" t="s">
        <v>4283</v>
      </c>
      <c r="C40">
        <v>220</v>
      </c>
      <c r="D40" t="s">
        <v>4300</v>
      </c>
      <c r="E40" s="601">
        <v>203370</v>
      </c>
      <c r="G40" s="624">
        <v>244</v>
      </c>
    </row>
    <row r="41" spans="1:7" x14ac:dyDescent="0.3">
      <c r="A41" t="s">
        <v>4299</v>
      </c>
      <c r="B41" s="569" t="s">
        <v>4283</v>
      </c>
      <c r="C41">
        <v>260</v>
      </c>
      <c r="D41" t="s">
        <v>4300</v>
      </c>
      <c r="E41" s="601">
        <v>240340</v>
      </c>
      <c r="G41" s="624">
        <v>285</v>
      </c>
    </row>
    <row r="42" spans="1:7" x14ac:dyDescent="0.3">
      <c r="A42" t="s">
        <v>4299</v>
      </c>
      <c r="B42" s="589" t="s">
        <v>4284</v>
      </c>
      <c r="C42">
        <v>70</v>
      </c>
      <c r="D42" t="s">
        <v>4301</v>
      </c>
      <c r="E42" s="601">
        <v>45160</v>
      </c>
      <c r="G42" s="624">
        <v>87</v>
      </c>
    </row>
    <row r="43" spans="1:7" x14ac:dyDescent="0.3">
      <c r="A43" t="s">
        <v>4299</v>
      </c>
      <c r="B43" s="589" t="s">
        <v>4284</v>
      </c>
      <c r="C43">
        <v>80</v>
      </c>
      <c r="D43" t="s">
        <v>4301</v>
      </c>
      <c r="E43" s="601">
        <v>49600</v>
      </c>
      <c r="G43" s="624">
        <v>94</v>
      </c>
    </row>
    <row r="44" spans="1:7" x14ac:dyDescent="0.3">
      <c r="A44" t="s">
        <v>4299</v>
      </c>
      <c r="B44" s="589" t="s">
        <v>4284</v>
      </c>
      <c r="C44">
        <v>100</v>
      </c>
      <c r="D44" t="s">
        <v>4301</v>
      </c>
      <c r="E44" s="601">
        <v>61460</v>
      </c>
      <c r="G44" s="624">
        <v>115</v>
      </c>
    </row>
    <row r="45" spans="1:7" x14ac:dyDescent="0.3">
      <c r="A45" t="s">
        <v>4299</v>
      </c>
      <c r="B45" s="589" t="s">
        <v>4284</v>
      </c>
      <c r="C45">
        <v>120</v>
      </c>
      <c r="D45" t="s">
        <v>4301</v>
      </c>
      <c r="E45" s="601">
        <v>73750</v>
      </c>
      <c r="G45" s="624">
        <v>135</v>
      </c>
    </row>
    <row r="46" spans="1:7" x14ac:dyDescent="0.3">
      <c r="A46" t="s">
        <v>4299</v>
      </c>
      <c r="B46" s="589" t="s">
        <v>4284</v>
      </c>
      <c r="C46">
        <v>150</v>
      </c>
      <c r="D46" t="s">
        <v>4301</v>
      </c>
      <c r="E46" s="601">
        <v>92180</v>
      </c>
      <c r="G46" s="624">
        <v>167</v>
      </c>
    </row>
    <row r="47" spans="1:7" x14ac:dyDescent="0.3">
      <c r="A47" t="s">
        <v>4299</v>
      </c>
      <c r="B47" s="589" t="s">
        <v>4284</v>
      </c>
      <c r="C47">
        <v>180</v>
      </c>
      <c r="D47" t="s">
        <v>4301</v>
      </c>
      <c r="E47" s="601">
        <v>110620</v>
      </c>
      <c r="G47" s="624">
        <v>201</v>
      </c>
    </row>
    <row r="48" spans="1:7" x14ac:dyDescent="0.3">
      <c r="A48" t="s">
        <v>4299</v>
      </c>
      <c r="B48" s="589" t="s">
        <v>4284</v>
      </c>
      <c r="C48">
        <v>220</v>
      </c>
      <c r="D48" t="s">
        <v>4301</v>
      </c>
      <c r="E48" s="601">
        <v>141270</v>
      </c>
      <c r="G48" s="624">
        <v>244</v>
      </c>
    </row>
    <row r="49" spans="1:7" ht="17.25" thickBot="1" x14ac:dyDescent="0.35">
      <c r="A49" t="s">
        <v>4299</v>
      </c>
      <c r="B49" s="589" t="s">
        <v>4284</v>
      </c>
      <c r="C49">
        <v>260</v>
      </c>
      <c r="D49" t="s">
        <v>4301</v>
      </c>
      <c r="E49" s="601">
        <v>166960</v>
      </c>
      <c r="G49" s="624">
        <v>285</v>
      </c>
    </row>
    <row r="50" spans="1:7" ht="17.25" thickBot="1" x14ac:dyDescent="0.35">
      <c r="A50" t="s">
        <v>4303</v>
      </c>
      <c r="B50" s="569" t="s">
        <v>4283</v>
      </c>
      <c r="C50">
        <v>105</v>
      </c>
      <c r="D50" t="s">
        <v>4302</v>
      </c>
      <c r="E50" s="602">
        <v>197010</v>
      </c>
      <c r="G50" s="624">
        <v>140</v>
      </c>
    </row>
    <row r="51" spans="1:7" ht="17.25" thickBot="1" x14ac:dyDescent="0.35">
      <c r="A51" t="s">
        <v>4303</v>
      </c>
      <c r="B51" s="569" t="s">
        <v>4283</v>
      </c>
      <c r="C51">
        <v>130</v>
      </c>
      <c r="D51" t="s">
        <v>4302</v>
      </c>
      <c r="E51" s="602">
        <v>243920</v>
      </c>
      <c r="G51" s="624">
        <v>170</v>
      </c>
    </row>
    <row r="52" spans="1:7" ht="17.25" thickBot="1" x14ac:dyDescent="0.35">
      <c r="A52" t="s">
        <v>4303</v>
      </c>
      <c r="B52" s="569" t="s">
        <v>4283</v>
      </c>
      <c r="C52">
        <v>160</v>
      </c>
      <c r="D52" t="s">
        <v>4302</v>
      </c>
      <c r="E52" s="602">
        <v>300210</v>
      </c>
      <c r="G52" s="624">
        <v>210</v>
      </c>
    </row>
    <row r="53" spans="1:7" ht="17.25" thickBot="1" x14ac:dyDescent="0.35">
      <c r="A53" t="s">
        <v>4303</v>
      </c>
      <c r="B53" s="569" t="s">
        <v>4283</v>
      </c>
      <c r="C53">
        <v>190</v>
      </c>
      <c r="D53" t="s">
        <v>4302</v>
      </c>
      <c r="E53" s="602">
        <v>356500</v>
      </c>
      <c r="G53" s="624">
        <v>260</v>
      </c>
    </row>
    <row r="54" spans="1:7" ht="17.25" thickBot="1" x14ac:dyDescent="0.35">
      <c r="A54" t="s">
        <v>4303</v>
      </c>
      <c r="B54" s="569" t="s">
        <v>4283</v>
      </c>
      <c r="C54">
        <v>210</v>
      </c>
      <c r="D54" t="s">
        <v>4302</v>
      </c>
      <c r="E54" s="602">
        <v>394030</v>
      </c>
      <c r="G54" s="624">
        <v>300</v>
      </c>
    </row>
    <row r="55" spans="1:7" ht="17.25" thickBot="1" x14ac:dyDescent="0.35">
      <c r="A55" t="s">
        <v>4303</v>
      </c>
      <c r="B55" s="569" t="s">
        <v>4283</v>
      </c>
      <c r="C55">
        <v>240</v>
      </c>
      <c r="D55" t="s">
        <v>4302</v>
      </c>
      <c r="E55" s="602">
        <v>450320</v>
      </c>
      <c r="G55" s="624">
        <v>330</v>
      </c>
    </row>
    <row r="56" spans="1:7" x14ac:dyDescent="0.3">
      <c r="A56" t="s">
        <v>4303</v>
      </c>
      <c r="B56" s="589" t="s">
        <v>4284</v>
      </c>
      <c r="C56">
        <v>105</v>
      </c>
      <c r="D56" t="s">
        <v>4302</v>
      </c>
      <c r="E56" s="601">
        <v>136860</v>
      </c>
      <c r="G56" s="624">
        <v>140</v>
      </c>
    </row>
    <row r="57" spans="1:7" x14ac:dyDescent="0.3">
      <c r="A57" t="s">
        <v>4303</v>
      </c>
      <c r="B57" s="589" t="s">
        <v>4284</v>
      </c>
      <c r="C57">
        <v>130</v>
      </c>
      <c r="D57" t="s">
        <v>4302</v>
      </c>
      <c r="E57" s="601">
        <v>169440</v>
      </c>
      <c r="G57" s="624">
        <v>170</v>
      </c>
    </row>
    <row r="58" spans="1:7" x14ac:dyDescent="0.3">
      <c r="A58" t="s">
        <v>4303</v>
      </c>
      <c r="B58" s="589" t="s">
        <v>4284</v>
      </c>
      <c r="C58">
        <v>160</v>
      </c>
      <c r="D58" t="s">
        <v>4302</v>
      </c>
      <c r="E58" s="601">
        <v>208540</v>
      </c>
      <c r="G58" s="624">
        <v>210</v>
      </c>
    </row>
    <row r="59" spans="1:7" x14ac:dyDescent="0.3">
      <c r="A59" t="s">
        <v>4303</v>
      </c>
      <c r="B59" s="589" t="s">
        <v>4284</v>
      </c>
      <c r="C59">
        <v>190</v>
      </c>
      <c r="D59" t="s">
        <v>4302</v>
      </c>
      <c r="E59" s="601">
        <v>247650</v>
      </c>
      <c r="G59" s="624">
        <v>260</v>
      </c>
    </row>
    <row r="60" spans="1:7" x14ac:dyDescent="0.3">
      <c r="A60" t="s">
        <v>4303</v>
      </c>
      <c r="B60" s="589" t="s">
        <v>4284</v>
      </c>
      <c r="C60">
        <v>210</v>
      </c>
      <c r="D60" t="s">
        <v>4302</v>
      </c>
      <c r="E60" s="601">
        <v>273710</v>
      </c>
      <c r="G60" s="624">
        <v>300</v>
      </c>
    </row>
    <row r="61" spans="1:7" x14ac:dyDescent="0.3">
      <c r="A61" t="s">
        <v>4303</v>
      </c>
      <c r="B61" s="589" t="s">
        <v>4284</v>
      </c>
      <c r="C61">
        <v>240</v>
      </c>
      <c r="D61" t="s">
        <v>4302</v>
      </c>
      <c r="E61" s="601">
        <v>312820</v>
      </c>
      <c r="G61" s="624">
        <v>330</v>
      </c>
    </row>
    <row r="62" spans="1:7" x14ac:dyDescent="0.3">
      <c r="A62" t="s">
        <v>4303</v>
      </c>
      <c r="B62" s="569" t="s">
        <v>4283</v>
      </c>
      <c r="C62">
        <v>105</v>
      </c>
      <c r="D62" t="s">
        <v>4304</v>
      </c>
      <c r="E62" s="601">
        <v>197010</v>
      </c>
      <c r="G62" s="624">
        <v>140</v>
      </c>
    </row>
    <row r="63" spans="1:7" x14ac:dyDescent="0.3">
      <c r="A63" t="s">
        <v>4303</v>
      </c>
      <c r="B63" s="569" t="s">
        <v>4283</v>
      </c>
      <c r="C63">
        <v>130</v>
      </c>
      <c r="D63" t="s">
        <v>4304</v>
      </c>
      <c r="E63" s="601">
        <v>243920</v>
      </c>
      <c r="G63" s="624">
        <v>170</v>
      </c>
    </row>
    <row r="64" spans="1:7" x14ac:dyDescent="0.3">
      <c r="A64" t="s">
        <v>4303</v>
      </c>
      <c r="B64" s="569" t="s">
        <v>4283</v>
      </c>
      <c r="C64">
        <v>160</v>
      </c>
      <c r="D64" t="s">
        <v>4304</v>
      </c>
      <c r="E64" s="601">
        <v>300210</v>
      </c>
      <c r="G64" s="624">
        <v>210</v>
      </c>
    </row>
    <row r="65" spans="1:7" x14ac:dyDescent="0.3">
      <c r="A65" t="s">
        <v>4303</v>
      </c>
      <c r="B65" s="569" t="s">
        <v>4283</v>
      </c>
      <c r="C65">
        <v>190</v>
      </c>
      <c r="D65" t="s">
        <v>4304</v>
      </c>
      <c r="E65" s="601">
        <v>356500</v>
      </c>
      <c r="G65" s="624">
        <v>260</v>
      </c>
    </row>
    <row r="66" spans="1:7" x14ac:dyDescent="0.3">
      <c r="A66" t="s">
        <v>4303</v>
      </c>
      <c r="B66" s="569" t="s">
        <v>4283</v>
      </c>
      <c r="C66">
        <v>210</v>
      </c>
      <c r="D66" t="s">
        <v>4304</v>
      </c>
      <c r="E66" s="601">
        <v>394030</v>
      </c>
      <c r="G66" s="624">
        <v>300</v>
      </c>
    </row>
    <row r="67" spans="1:7" x14ac:dyDescent="0.3">
      <c r="A67" t="s">
        <v>4303</v>
      </c>
      <c r="B67" s="589" t="s">
        <v>4284</v>
      </c>
      <c r="C67">
        <v>240</v>
      </c>
      <c r="D67" t="s">
        <v>4304</v>
      </c>
      <c r="E67" s="601">
        <v>450320</v>
      </c>
      <c r="G67" s="624">
        <v>330</v>
      </c>
    </row>
    <row r="68" spans="1:7" x14ac:dyDescent="0.3">
      <c r="A68" t="s">
        <v>4303</v>
      </c>
      <c r="B68" s="589" t="s">
        <v>4284</v>
      </c>
      <c r="C68">
        <v>105</v>
      </c>
      <c r="D68" t="s">
        <v>4304</v>
      </c>
      <c r="E68" s="601">
        <v>136860</v>
      </c>
      <c r="G68" s="624">
        <v>140</v>
      </c>
    </row>
    <row r="69" spans="1:7" x14ac:dyDescent="0.3">
      <c r="A69" t="s">
        <v>4303</v>
      </c>
      <c r="B69" s="589" t="s">
        <v>4284</v>
      </c>
      <c r="C69">
        <v>130</v>
      </c>
      <c r="D69" t="s">
        <v>4304</v>
      </c>
      <c r="E69" s="601">
        <v>169440</v>
      </c>
      <c r="G69" s="624">
        <v>170</v>
      </c>
    </row>
    <row r="70" spans="1:7" x14ac:dyDescent="0.3">
      <c r="A70" t="s">
        <v>4303</v>
      </c>
      <c r="B70" s="589" t="s">
        <v>4284</v>
      </c>
      <c r="C70">
        <v>160</v>
      </c>
      <c r="D70" t="s">
        <v>4304</v>
      </c>
      <c r="E70" s="601">
        <v>208540</v>
      </c>
      <c r="G70" s="624">
        <v>210</v>
      </c>
    </row>
    <row r="71" spans="1:7" x14ac:dyDescent="0.3">
      <c r="A71" t="s">
        <v>4303</v>
      </c>
      <c r="B71" s="589" t="s">
        <v>4284</v>
      </c>
      <c r="C71">
        <v>190</v>
      </c>
      <c r="D71" t="s">
        <v>4304</v>
      </c>
      <c r="E71" s="601">
        <v>247650</v>
      </c>
      <c r="G71" s="624">
        <v>260</v>
      </c>
    </row>
    <row r="72" spans="1:7" x14ac:dyDescent="0.3">
      <c r="A72" t="s">
        <v>4303</v>
      </c>
      <c r="B72" s="589" t="s">
        <v>4284</v>
      </c>
      <c r="C72">
        <v>210</v>
      </c>
      <c r="D72" t="s">
        <v>4304</v>
      </c>
      <c r="E72" s="601">
        <v>273710</v>
      </c>
      <c r="G72" s="624">
        <v>300</v>
      </c>
    </row>
    <row r="73" spans="1:7" x14ac:dyDescent="0.3">
      <c r="A73" t="s">
        <v>4303</v>
      </c>
      <c r="B73" s="589" t="s">
        <v>4284</v>
      </c>
      <c r="C73">
        <v>240</v>
      </c>
      <c r="D73" t="s">
        <v>4304</v>
      </c>
      <c r="E73" s="601">
        <v>312820</v>
      </c>
      <c r="G73" s="624">
        <v>330</v>
      </c>
    </row>
    <row r="74" spans="1:7" x14ac:dyDescent="0.3">
      <c r="A74" t="s">
        <v>4303</v>
      </c>
      <c r="B74" s="589" t="s">
        <v>4284</v>
      </c>
      <c r="C74">
        <v>310</v>
      </c>
      <c r="E74" s="601">
        <v>404050</v>
      </c>
    </row>
    <row r="75" spans="1:7" x14ac:dyDescent="0.3">
      <c r="A75" t="s">
        <v>4305</v>
      </c>
      <c r="B75" s="569" t="s">
        <v>4283</v>
      </c>
      <c r="C75">
        <v>200</v>
      </c>
      <c r="E75" s="601">
        <v>260000</v>
      </c>
      <c r="G75" s="624">
        <v>235</v>
      </c>
    </row>
    <row r="76" spans="1:7" x14ac:dyDescent="0.3">
      <c r="A76" t="s">
        <v>4305</v>
      </c>
      <c r="B76" s="569" t="s">
        <v>4283</v>
      </c>
      <c r="C76">
        <v>250</v>
      </c>
      <c r="E76" s="601">
        <v>321890</v>
      </c>
      <c r="G76" s="624">
        <v>295</v>
      </c>
    </row>
    <row r="77" spans="1:7" x14ac:dyDescent="0.3">
      <c r="A77" t="s">
        <v>4305</v>
      </c>
      <c r="B77" s="569" t="s">
        <v>4283</v>
      </c>
      <c r="C77">
        <v>300</v>
      </c>
      <c r="E77" s="601">
        <v>386260</v>
      </c>
      <c r="G77" s="624">
        <v>355</v>
      </c>
    </row>
    <row r="78" spans="1:7" x14ac:dyDescent="0.3">
      <c r="A78" t="s">
        <v>4305</v>
      </c>
      <c r="B78" s="569" t="s">
        <v>4283</v>
      </c>
      <c r="C78">
        <v>350</v>
      </c>
      <c r="E78" s="601">
        <v>450640</v>
      </c>
      <c r="G78" s="624">
        <v>415</v>
      </c>
    </row>
    <row r="79" spans="1:7" x14ac:dyDescent="0.3">
      <c r="A79" t="s">
        <v>4305</v>
      </c>
      <c r="B79" s="569" t="s">
        <v>4283</v>
      </c>
      <c r="C79">
        <v>400</v>
      </c>
      <c r="E79" s="601">
        <v>515020</v>
      </c>
      <c r="G79" s="624">
        <v>480</v>
      </c>
    </row>
    <row r="80" spans="1:7" x14ac:dyDescent="0.3">
      <c r="A80" t="s">
        <v>4305</v>
      </c>
      <c r="B80" s="589" t="s">
        <v>4284</v>
      </c>
      <c r="C80">
        <v>200</v>
      </c>
      <c r="E80" s="601">
        <v>180610</v>
      </c>
      <c r="G80" s="624">
        <v>235</v>
      </c>
    </row>
    <row r="81" spans="1:7" x14ac:dyDescent="0.3">
      <c r="A81" t="s">
        <v>4305</v>
      </c>
      <c r="B81" s="589" t="s">
        <v>4284</v>
      </c>
      <c r="C81">
        <v>250</v>
      </c>
      <c r="E81" s="601">
        <v>223600</v>
      </c>
      <c r="G81" s="624">
        <v>295</v>
      </c>
    </row>
    <row r="82" spans="1:7" x14ac:dyDescent="0.3">
      <c r="A82" t="s">
        <v>4305</v>
      </c>
      <c r="B82" s="589" t="s">
        <v>4284</v>
      </c>
      <c r="C82">
        <v>300</v>
      </c>
      <c r="E82" s="601">
        <v>268320</v>
      </c>
      <c r="G82" s="624">
        <v>355</v>
      </c>
    </row>
    <row r="83" spans="1:7" x14ac:dyDescent="0.3">
      <c r="A83" t="s">
        <v>4305</v>
      </c>
      <c r="B83" s="589" t="s">
        <v>4284</v>
      </c>
      <c r="C83">
        <v>350</v>
      </c>
      <c r="E83" s="601">
        <v>313040</v>
      </c>
      <c r="G83" s="624">
        <v>415</v>
      </c>
    </row>
    <row r="84" spans="1:7" ht="17.25" thickBot="1" x14ac:dyDescent="0.35">
      <c r="A84" t="s">
        <v>4305</v>
      </c>
      <c r="B84" s="589" t="s">
        <v>4284</v>
      </c>
      <c r="C84">
        <v>400</v>
      </c>
      <c r="E84" s="601">
        <v>357760</v>
      </c>
      <c r="G84" s="624">
        <v>480</v>
      </c>
    </row>
    <row r="85" spans="1:7" ht="17.25" thickBot="1" x14ac:dyDescent="0.35">
      <c r="A85" t="s">
        <v>4306</v>
      </c>
      <c r="B85" s="569" t="s">
        <v>4283</v>
      </c>
      <c r="C85">
        <v>300</v>
      </c>
      <c r="D85" t="s">
        <v>4307</v>
      </c>
      <c r="E85" s="603">
        <v>358760</v>
      </c>
      <c r="G85" s="624">
        <v>380</v>
      </c>
    </row>
    <row r="86" spans="1:7" x14ac:dyDescent="0.3">
      <c r="A86" t="s">
        <v>4306</v>
      </c>
      <c r="B86" s="569" t="s">
        <v>4283</v>
      </c>
      <c r="C86">
        <v>350</v>
      </c>
      <c r="D86" t="s">
        <v>4307</v>
      </c>
      <c r="E86" s="604">
        <v>418550</v>
      </c>
      <c r="G86" s="624">
        <v>455</v>
      </c>
    </row>
    <row r="87" spans="1:7" ht="17.25" thickBot="1" x14ac:dyDescent="0.35">
      <c r="A87" t="s">
        <v>4306</v>
      </c>
      <c r="B87" s="569" t="s">
        <v>4283</v>
      </c>
      <c r="C87">
        <v>400</v>
      </c>
      <c r="D87" t="s">
        <v>4307</v>
      </c>
      <c r="E87" s="604">
        <v>478340</v>
      </c>
      <c r="G87" s="624">
        <v>520</v>
      </c>
    </row>
    <row r="88" spans="1:7" ht="17.25" thickBot="1" x14ac:dyDescent="0.35">
      <c r="A88" t="s">
        <v>4306</v>
      </c>
      <c r="B88" s="589" t="s">
        <v>4284</v>
      </c>
      <c r="C88">
        <v>300</v>
      </c>
      <c r="D88" t="s">
        <v>4307</v>
      </c>
      <c r="E88" s="603">
        <v>249210</v>
      </c>
      <c r="G88" s="624">
        <v>380</v>
      </c>
    </row>
    <row r="89" spans="1:7" ht="17.25" thickBot="1" x14ac:dyDescent="0.35">
      <c r="A89" t="s">
        <v>4306</v>
      </c>
      <c r="B89" s="589" t="s">
        <v>4284</v>
      </c>
      <c r="C89">
        <v>350</v>
      </c>
      <c r="D89" t="s">
        <v>4307</v>
      </c>
      <c r="E89" s="603">
        <v>290750</v>
      </c>
      <c r="G89" s="624">
        <v>455</v>
      </c>
    </row>
    <row r="90" spans="1:7" ht="17.25" thickBot="1" x14ac:dyDescent="0.35">
      <c r="A90" t="s">
        <v>4306</v>
      </c>
      <c r="B90" s="589" t="s">
        <v>4284</v>
      </c>
      <c r="C90">
        <v>400</v>
      </c>
      <c r="D90" t="s">
        <v>4307</v>
      </c>
      <c r="E90" s="603">
        <v>332280</v>
      </c>
      <c r="G90" s="624">
        <v>520</v>
      </c>
    </row>
    <row r="91" spans="1:7" x14ac:dyDescent="0.3">
      <c r="A91" t="s">
        <v>4306</v>
      </c>
      <c r="B91" s="569" t="s">
        <v>4283</v>
      </c>
      <c r="C91">
        <v>250</v>
      </c>
      <c r="D91" t="s">
        <v>4308</v>
      </c>
      <c r="E91" s="601">
        <v>311260</v>
      </c>
      <c r="G91" s="624">
        <v>310</v>
      </c>
    </row>
    <row r="92" spans="1:7" x14ac:dyDescent="0.3">
      <c r="A92" t="s">
        <v>4306</v>
      </c>
      <c r="B92" s="569" t="s">
        <v>4283</v>
      </c>
      <c r="C92">
        <v>300</v>
      </c>
      <c r="D92" t="s">
        <v>4308</v>
      </c>
      <c r="E92" s="601">
        <v>364120</v>
      </c>
      <c r="G92" s="624">
        <v>380</v>
      </c>
    </row>
    <row r="93" spans="1:7" x14ac:dyDescent="0.3">
      <c r="A93" t="s">
        <v>4306</v>
      </c>
      <c r="B93" s="569" t="s">
        <v>4283</v>
      </c>
      <c r="C93">
        <v>350</v>
      </c>
      <c r="D93" t="s">
        <v>4308</v>
      </c>
      <c r="E93" s="601">
        <v>424810</v>
      </c>
      <c r="G93" s="624">
        <v>445</v>
      </c>
    </row>
    <row r="94" spans="1:7" ht="17.25" thickBot="1" x14ac:dyDescent="0.35">
      <c r="A94" t="s">
        <v>4306</v>
      </c>
      <c r="B94" s="569" t="s">
        <v>4283</v>
      </c>
      <c r="C94">
        <v>400</v>
      </c>
      <c r="D94" t="s">
        <v>4308</v>
      </c>
      <c r="E94" s="601">
        <v>485490</v>
      </c>
      <c r="G94" s="624">
        <v>505</v>
      </c>
    </row>
    <row r="95" spans="1:7" ht="17.25" thickBot="1" x14ac:dyDescent="0.35">
      <c r="A95" t="s">
        <v>4306</v>
      </c>
      <c r="B95" s="589" t="s">
        <v>4284</v>
      </c>
      <c r="C95">
        <v>250</v>
      </c>
      <c r="D95" t="s">
        <v>4308</v>
      </c>
      <c r="E95" s="603">
        <v>216220</v>
      </c>
      <c r="G95" s="624">
        <v>310</v>
      </c>
    </row>
    <row r="96" spans="1:7" ht="17.25" thickBot="1" x14ac:dyDescent="0.35">
      <c r="A96" t="s">
        <v>4306</v>
      </c>
      <c r="B96" s="589" t="s">
        <v>4284</v>
      </c>
      <c r="C96">
        <v>300</v>
      </c>
      <c r="D96" t="s">
        <v>4308</v>
      </c>
      <c r="E96" s="603">
        <v>252940</v>
      </c>
      <c r="G96" s="624">
        <v>380</v>
      </c>
    </row>
    <row r="97" spans="1:7" ht="17.25" thickBot="1" x14ac:dyDescent="0.35">
      <c r="A97" t="s">
        <v>4306</v>
      </c>
      <c r="B97" s="589" t="s">
        <v>4284</v>
      </c>
      <c r="C97">
        <v>350</v>
      </c>
      <c r="D97" t="s">
        <v>4308</v>
      </c>
      <c r="E97" s="603">
        <v>295100</v>
      </c>
      <c r="G97" s="624">
        <v>445</v>
      </c>
    </row>
    <row r="98" spans="1:7" ht="17.25" thickBot="1" x14ac:dyDescent="0.35">
      <c r="A98" t="s">
        <v>4306</v>
      </c>
      <c r="B98" s="589" t="s">
        <v>4284</v>
      </c>
      <c r="C98">
        <v>400</v>
      </c>
      <c r="D98" t="s">
        <v>4308</v>
      </c>
      <c r="E98" s="603">
        <v>337250</v>
      </c>
      <c r="G98" s="624">
        <v>505</v>
      </c>
    </row>
    <row r="99" spans="1:7" x14ac:dyDescent="0.3">
      <c r="A99" t="s">
        <v>4309</v>
      </c>
      <c r="B99" s="569" t="s">
        <v>4283</v>
      </c>
      <c r="C99">
        <v>105</v>
      </c>
      <c r="E99" s="604">
        <v>91370</v>
      </c>
      <c r="G99" s="624">
        <v>170</v>
      </c>
    </row>
    <row r="100" spans="1:7" x14ac:dyDescent="0.3">
      <c r="A100" t="s">
        <v>4309</v>
      </c>
      <c r="B100" s="569" t="s">
        <v>4283</v>
      </c>
      <c r="C100">
        <v>130</v>
      </c>
      <c r="E100" s="604">
        <v>112620</v>
      </c>
      <c r="G100" s="624">
        <v>205</v>
      </c>
    </row>
    <row r="101" spans="1:7" x14ac:dyDescent="0.3">
      <c r="A101" t="s">
        <v>4309</v>
      </c>
      <c r="B101" s="569" t="s">
        <v>4283</v>
      </c>
      <c r="C101">
        <v>170</v>
      </c>
      <c r="E101" s="604">
        <v>147270</v>
      </c>
      <c r="G101" s="624">
        <v>268</v>
      </c>
    </row>
    <row r="102" spans="1:7" ht="17.25" thickBot="1" x14ac:dyDescent="0.35">
      <c r="A102" t="s">
        <v>4309</v>
      </c>
      <c r="B102" s="569" t="s">
        <v>4283</v>
      </c>
      <c r="C102">
        <v>180</v>
      </c>
      <c r="E102" s="604">
        <v>155930</v>
      </c>
      <c r="G102" s="624">
        <v>275</v>
      </c>
    </row>
    <row r="103" spans="1:7" ht="17.25" thickBot="1" x14ac:dyDescent="0.35">
      <c r="A103" t="s">
        <v>4309</v>
      </c>
      <c r="B103" s="589" t="s">
        <v>4284</v>
      </c>
      <c r="C103">
        <v>105</v>
      </c>
      <c r="E103" s="603">
        <v>63470</v>
      </c>
      <c r="G103" s="624">
        <v>170</v>
      </c>
    </row>
    <row r="104" spans="1:7" ht="17.25" thickBot="1" x14ac:dyDescent="0.35">
      <c r="A104" t="s">
        <v>4309</v>
      </c>
      <c r="B104" s="589" t="s">
        <v>4284</v>
      </c>
      <c r="C104">
        <v>130</v>
      </c>
      <c r="E104" s="603">
        <v>78230</v>
      </c>
      <c r="G104" s="624">
        <v>205</v>
      </c>
    </row>
    <row r="105" spans="1:7" ht="17.25" thickBot="1" x14ac:dyDescent="0.35">
      <c r="A105" t="s">
        <v>4309</v>
      </c>
      <c r="B105" s="589" t="s">
        <v>4284</v>
      </c>
      <c r="C105">
        <v>170</v>
      </c>
      <c r="E105" s="603">
        <v>102300</v>
      </c>
      <c r="G105" s="624">
        <v>268</v>
      </c>
    </row>
    <row r="106" spans="1:7" ht="17.25" thickBot="1" x14ac:dyDescent="0.35">
      <c r="A106" t="s">
        <v>4309</v>
      </c>
      <c r="B106" s="589" t="s">
        <v>4284</v>
      </c>
      <c r="C106">
        <v>180</v>
      </c>
      <c r="E106" s="603">
        <v>108320</v>
      </c>
      <c r="G106" s="624">
        <v>275</v>
      </c>
    </row>
    <row r="107" spans="1:7" x14ac:dyDescent="0.3">
      <c r="A107" t="s">
        <v>4310</v>
      </c>
      <c r="B107" s="569" t="s">
        <v>4283</v>
      </c>
      <c r="C107">
        <v>200</v>
      </c>
      <c r="E107" s="604">
        <v>248850</v>
      </c>
    </row>
    <row r="108" spans="1:7" ht="17.25" thickBot="1" x14ac:dyDescent="0.35">
      <c r="A108" t="s">
        <v>4310</v>
      </c>
      <c r="B108" s="569" t="s">
        <v>4283</v>
      </c>
      <c r="C108">
        <v>220</v>
      </c>
      <c r="E108" s="604">
        <v>273740</v>
      </c>
    </row>
    <row r="109" spans="1:7" ht="17.25" thickBot="1" x14ac:dyDescent="0.35">
      <c r="A109" t="s">
        <v>4310</v>
      </c>
      <c r="B109" s="589" t="s">
        <v>4284</v>
      </c>
      <c r="C109">
        <v>200</v>
      </c>
      <c r="E109" s="603">
        <v>172870</v>
      </c>
    </row>
    <row r="110" spans="1:7" ht="17.25" thickBot="1" x14ac:dyDescent="0.35">
      <c r="A110" t="s">
        <v>4310</v>
      </c>
      <c r="B110" s="589" t="s">
        <v>4284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6.5" x14ac:dyDescent="0.3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4746</v>
      </c>
    </row>
    <row r="2" spans="1:7" ht="40.5" customHeight="1" x14ac:dyDescent="0.3">
      <c r="A2" s="791" t="s">
        <v>4330</v>
      </c>
      <c r="B2" s="789" t="s">
        <v>4328</v>
      </c>
      <c r="C2">
        <v>70</v>
      </c>
      <c r="D2" s="791" t="s">
        <v>4329</v>
      </c>
      <c r="E2" s="617">
        <v>148770</v>
      </c>
    </row>
    <row r="3" spans="1:7" x14ac:dyDescent="0.3">
      <c r="A3" s="790"/>
      <c r="B3" s="787"/>
      <c r="C3">
        <v>75</v>
      </c>
      <c r="D3" s="790"/>
      <c r="E3" s="617">
        <v>159390</v>
      </c>
    </row>
    <row r="4" spans="1:7" x14ac:dyDescent="0.3">
      <c r="A4" s="790"/>
      <c r="B4" s="787"/>
      <c r="C4">
        <v>90</v>
      </c>
      <c r="D4" s="790"/>
      <c r="E4" s="617">
        <v>180680</v>
      </c>
    </row>
    <row r="5" spans="1:7" x14ac:dyDescent="0.3">
      <c r="A5" s="790"/>
      <c r="B5" s="787"/>
      <c r="C5">
        <v>100</v>
      </c>
      <c r="D5" s="790"/>
      <c r="E5" s="617">
        <v>188740</v>
      </c>
    </row>
    <row r="6" spans="1:7" x14ac:dyDescent="0.3">
      <c r="A6" s="790"/>
      <c r="B6" s="787"/>
      <c r="C6">
        <v>110</v>
      </c>
      <c r="D6" s="790"/>
      <c r="E6" s="617">
        <v>207610</v>
      </c>
    </row>
    <row r="7" spans="1:7" x14ac:dyDescent="0.3">
      <c r="A7" s="790"/>
      <c r="B7" s="787"/>
      <c r="C7">
        <v>120</v>
      </c>
      <c r="D7" s="790"/>
      <c r="E7" s="617">
        <v>226480</v>
      </c>
    </row>
    <row r="8" spans="1:7" x14ac:dyDescent="0.3">
      <c r="A8" s="790"/>
      <c r="B8" s="787"/>
      <c r="C8">
        <v>140</v>
      </c>
      <c r="D8" s="790"/>
      <c r="E8" s="617">
        <v>256370</v>
      </c>
    </row>
    <row r="9" spans="1:7" x14ac:dyDescent="0.3">
      <c r="A9" s="790"/>
      <c r="B9" s="787"/>
      <c r="C9">
        <v>150</v>
      </c>
      <c r="D9" s="790"/>
      <c r="E9" s="617">
        <v>274680</v>
      </c>
    </row>
    <row r="10" spans="1:7" x14ac:dyDescent="0.3">
      <c r="A10" s="790"/>
      <c r="B10" s="787"/>
      <c r="C10">
        <v>200</v>
      </c>
      <c r="D10" s="790"/>
      <c r="E10" s="617">
        <v>366320</v>
      </c>
    </row>
    <row r="11" spans="1:7" x14ac:dyDescent="0.3">
      <c r="A11" s="790"/>
      <c r="B11" s="787"/>
      <c r="C11">
        <v>220</v>
      </c>
      <c r="D11" s="790"/>
      <c r="E11" s="617">
        <v>402960</v>
      </c>
    </row>
    <row r="12" spans="1:7" x14ac:dyDescent="0.3">
      <c r="A12" s="790"/>
      <c r="B12" s="787"/>
      <c r="C12">
        <v>350</v>
      </c>
      <c r="D12" t="s">
        <v>4331</v>
      </c>
      <c r="E12" s="617">
        <v>641070</v>
      </c>
    </row>
    <row r="13" spans="1:7" ht="16.5" customHeight="1" x14ac:dyDescent="0.3">
      <c r="A13" s="790" t="s">
        <v>4333</v>
      </c>
      <c r="B13" s="787"/>
      <c r="C13">
        <v>110</v>
      </c>
      <c r="D13" s="790" t="s">
        <v>4332</v>
      </c>
      <c r="E13" s="617">
        <v>223650</v>
      </c>
    </row>
    <row r="14" spans="1:7" x14ac:dyDescent="0.3">
      <c r="A14" s="790"/>
      <c r="B14" s="787"/>
      <c r="C14">
        <v>120</v>
      </c>
      <c r="D14" s="787"/>
      <c r="E14" s="617">
        <v>243980</v>
      </c>
    </row>
    <row r="15" spans="1:7" x14ac:dyDescent="0.3">
      <c r="A15" s="790"/>
      <c r="B15" s="787"/>
      <c r="C15">
        <v>150</v>
      </c>
      <c r="D15" s="787"/>
      <c r="E15" s="617">
        <v>290180</v>
      </c>
    </row>
    <row r="16" spans="1:7" x14ac:dyDescent="0.3">
      <c r="A16" s="790"/>
      <c r="B16" s="787"/>
      <c r="C16">
        <v>200</v>
      </c>
      <c r="D16" s="787"/>
      <c r="E16" s="617">
        <v>389600</v>
      </c>
    </row>
    <row r="17" spans="1:11" ht="33" customHeight="1" x14ac:dyDescent="0.3">
      <c r="A17" s="790" t="s">
        <v>4334</v>
      </c>
      <c r="B17" s="787"/>
      <c r="C17">
        <v>110</v>
      </c>
      <c r="D17" s="790" t="s">
        <v>4336</v>
      </c>
      <c r="E17" s="617">
        <v>240740</v>
      </c>
      <c r="K17" s="614"/>
    </row>
    <row r="18" spans="1:11" x14ac:dyDescent="0.3">
      <c r="A18" s="790"/>
      <c r="B18" s="787"/>
      <c r="C18">
        <v>120</v>
      </c>
      <c r="D18" s="787"/>
      <c r="E18" s="617">
        <v>262630</v>
      </c>
    </row>
    <row r="19" spans="1:11" x14ac:dyDescent="0.3">
      <c r="A19" s="790"/>
      <c r="B19" s="787"/>
      <c r="C19">
        <v>200</v>
      </c>
      <c r="D19" s="787"/>
      <c r="E19" s="617">
        <v>424470</v>
      </c>
    </row>
    <row r="20" spans="1:11" ht="33" customHeight="1" x14ac:dyDescent="0.3">
      <c r="A20" s="790" t="s">
        <v>4335</v>
      </c>
      <c r="B20" s="787"/>
      <c r="C20">
        <v>110</v>
      </c>
      <c r="D20" s="790" t="s">
        <v>4337</v>
      </c>
      <c r="E20" s="617">
        <v>274550</v>
      </c>
    </row>
    <row r="21" spans="1:11" x14ac:dyDescent="0.3">
      <c r="A21" s="790"/>
      <c r="B21" s="787"/>
      <c r="C21">
        <v>120</v>
      </c>
      <c r="D21" s="787"/>
      <c r="E21" s="617">
        <v>299510</v>
      </c>
    </row>
    <row r="22" spans="1:11" x14ac:dyDescent="0.3">
      <c r="A22" s="790"/>
      <c r="B22" s="787"/>
      <c r="C22">
        <v>200</v>
      </c>
      <c r="D22" s="787"/>
      <c r="E22" s="617">
        <v>486240</v>
      </c>
    </row>
    <row r="23" spans="1:11" ht="66" x14ac:dyDescent="0.3">
      <c r="A23" s="790" t="s">
        <v>4338</v>
      </c>
      <c r="B23" s="787"/>
      <c r="C23">
        <v>180</v>
      </c>
      <c r="D23" s="614" t="s">
        <v>4339</v>
      </c>
      <c r="E23" s="617">
        <v>420110</v>
      </c>
    </row>
    <row r="24" spans="1:11" x14ac:dyDescent="0.3">
      <c r="A24" s="790"/>
      <c r="B24" s="787"/>
      <c r="C24">
        <v>200</v>
      </c>
      <c r="D24" s="787" t="s">
        <v>4340</v>
      </c>
      <c r="E24" s="617">
        <v>466790</v>
      </c>
    </row>
    <row r="25" spans="1:11" x14ac:dyDescent="0.3">
      <c r="A25" s="790"/>
      <c r="B25" s="787"/>
      <c r="C25">
        <v>250</v>
      </c>
      <c r="D25" s="787"/>
      <c r="E25" s="617">
        <v>583490</v>
      </c>
    </row>
    <row r="26" spans="1:11" x14ac:dyDescent="0.3">
      <c r="A26" s="790"/>
      <c r="B26" s="787"/>
      <c r="C26">
        <v>300</v>
      </c>
      <c r="D26" s="787"/>
      <c r="E26" s="617">
        <v>560150</v>
      </c>
    </row>
    <row r="27" spans="1:11" x14ac:dyDescent="0.3">
      <c r="A27" s="790"/>
      <c r="B27" s="787"/>
      <c r="C27">
        <v>350</v>
      </c>
      <c r="D27" s="787"/>
      <c r="E27" s="617">
        <v>653510</v>
      </c>
    </row>
    <row r="28" spans="1:11" ht="33" x14ac:dyDescent="0.3">
      <c r="A28" s="615" t="s">
        <v>4341</v>
      </c>
      <c r="B28" s="787"/>
      <c r="C28">
        <v>180</v>
      </c>
      <c r="D28" t="s">
        <v>4342</v>
      </c>
      <c r="E28" s="617">
        <v>505930</v>
      </c>
    </row>
    <row r="29" spans="1:11" ht="33" x14ac:dyDescent="0.3">
      <c r="A29" s="615" t="s">
        <v>4343</v>
      </c>
      <c r="B29" s="787"/>
      <c r="C29">
        <v>180</v>
      </c>
      <c r="D29" t="s">
        <v>4344</v>
      </c>
      <c r="E29" s="617">
        <v>544650</v>
      </c>
    </row>
    <row r="30" spans="1:11" ht="33" customHeight="1" x14ac:dyDescent="0.3">
      <c r="A30" s="790" t="s">
        <v>4345</v>
      </c>
      <c r="B30" s="787"/>
      <c r="C30">
        <v>180</v>
      </c>
      <c r="D30" t="s">
        <v>4346</v>
      </c>
      <c r="E30" s="617">
        <v>589900</v>
      </c>
    </row>
    <row r="31" spans="1:11" x14ac:dyDescent="0.3">
      <c r="A31" s="790"/>
      <c r="B31" s="787"/>
      <c r="C31">
        <v>200</v>
      </c>
      <c r="D31" t="s">
        <v>4347</v>
      </c>
      <c r="E31" s="617">
        <v>655440</v>
      </c>
    </row>
    <row r="32" spans="1:11" x14ac:dyDescent="0.3">
      <c r="A32" s="787" t="s">
        <v>4348</v>
      </c>
      <c r="B32" s="787"/>
      <c r="C32">
        <v>90</v>
      </c>
      <c r="D32" s="790" t="s">
        <v>4349</v>
      </c>
      <c r="E32" s="617">
        <v>200240</v>
      </c>
    </row>
    <row r="33" spans="1:5" x14ac:dyDescent="0.3">
      <c r="A33" s="787"/>
      <c r="B33" s="787"/>
      <c r="C33">
        <v>120</v>
      </c>
      <c r="D33" s="787"/>
      <c r="E33" s="617">
        <v>246750</v>
      </c>
    </row>
    <row r="34" spans="1:5" x14ac:dyDescent="0.3">
      <c r="A34" s="787"/>
      <c r="B34" s="787"/>
      <c r="C34">
        <v>180</v>
      </c>
      <c r="D34" s="787"/>
      <c r="E34" s="617">
        <v>370120</v>
      </c>
    </row>
    <row r="35" spans="1:5" ht="33" customHeight="1" x14ac:dyDescent="0.3">
      <c r="A35" s="790" t="s">
        <v>4350</v>
      </c>
      <c r="B35" s="787"/>
      <c r="C35">
        <v>220</v>
      </c>
      <c r="D35" t="s">
        <v>4351</v>
      </c>
      <c r="E35" s="617">
        <v>490130</v>
      </c>
    </row>
    <row r="36" spans="1:5" x14ac:dyDescent="0.3">
      <c r="A36" s="790"/>
      <c r="B36" s="787"/>
      <c r="C36">
        <v>200</v>
      </c>
      <c r="D36" s="787" t="s">
        <v>4300</v>
      </c>
      <c r="E36" s="617">
        <v>455580</v>
      </c>
    </row>
    <row r="37" spans="1:5" x14ac:dyDescent="0.3">
      <c r="A37" s="790"/>
      <c r="B37" s="787"/>
      <c r="C37">
        <v>350</v>
      </c>
      <c r="D37" s="787"/>
      <c r="E37" s="617">
        <v>779760</v>
      </c>
    </row>
    <row r="38" spans="1:5" ht="33" x14ac:dyDescent="0.3">
      <c r="A38" s="615" t="s">
        <v>4353</v>
      </c>
      <c r="B38" s="787"/>
      <c r="C38">
        <v>180</v>
      </c>
      <c r="D38" t="s">
        <v>4352</v>
      </c>
      <c r="E38" s="617">
        <v>619400</v>
      </c>
    </row>
    <row r="39" spans="1:5" x14ac:dyDescent="0.3">
      <c r="A39" s="787" t="s">
        <v>4354</v>
      </c>
      <c r="B39" s="787"/>
      <c r="C39">
        <v>120</v>
      </c>
      <c r="D39" t="s">
        <v>4300</v>
      </c>
      <c r="E39" s="617">
        <v>243930</v>
      </c>
    </row>
    <row r="40" spans="1:5" x14ac:dyDescent="0.3">
      <c r="A40" s="787"/>
      <c r="B40" s="787"/>
      <c r="C40">
        <v>200</v>
      </c>
      <c r="E40" s="617">
        <v>406550</v>
      </c>
    </row>
    <row r="41" spans="1:5" x14ac:dyDescent="0.3">
      <c r="A41" s="787"/>
      <c r="B41" s="787"/>
      <c r="C41">
        <v>300</v>
      </c>
      <c r="E41" s="617">
        <v>609820</v>
      </c>
    </row>
    <row r="42" spans="1:5" x14ac:dyDescent="0.3">
      <c r="A42" s="787" t="s">
        <v>4355</v>
      </c>
      <c r="B42" s="787"/>
      <c r="C42">
        <v>120</v>
      </c>
      <c r="D42" t="s">
        <v>4300</v>
      </c>
      <c r="E42" s="617">
        <v>237020</v>
      </c>
    </row>
    <row r="43" spans="1:5" x14ac:dyDescent="0.3">
      <c r="A43" s="787"/>
      <c r="B43" s="787"/>
      <c r="C43">
        <v>220</v>
      </c>
      <c r="E43" s="617">
        <v>434530</v>
      </c>
    </row>
    <row r="44" spans="1:5" x14ac:dyDescent="0.3">
      <c r="A44" s="787" t="s">
        <v>4356</v>
      </c>
      <c r="B44" s="787"/>
      <c r="C44">
        <v>200</v>
      </c>
      <c r="D44" s="787" t="s">
        <v>4357</v>
      </c>
      <c r="E44" s="617">
        <v>261080</v>
      </c>
    </row>
    <row r="45" spans="1:5" x14ac:dyDescent="0.3">
      <c r="A45" s="787"/>
      <c r="B45" s="787"/>
      <c r="C45">
        <v>230</v>
      </c>
      <c r="D45" s="787"/>
      <c r="E45" s="617">
        <v>300240</v>
      </c>
    </row>
    <row r="46" spans="1:5" x14ac:dyDescent="0.3">
      <c r="A46" s="787" t="s">
        <v>4358</v>
      </c>
      <c r="B46" s="787"/>
      <c r="C46">
        <v>300</v>
      </c>
      <c r="D46" s="787" t="s">
        <v>4300</v>
      </c>
      <c r="E46" s="617">
        <v>379170</v>
      </c>
    </row>
    <row r="47" spans="1:5" x14ac:dyDescent="0.3">
      <c r="A47" s="787"/>
      <c r="B47" s="787"/>
      <c r="C47">
        <v>350</v>
      </c>
      <c r="D47" s="787"/>
      <c r="E47" s="617">
        <v>442360</v>
      </c>
    </row>
    <row r="48" spans="1:5" x14ac:dyDescent="0.3">
      <c r="A48" s="787"/>
      <c r="B48" t="s">
        <v>4284</v>
      </c>
      <c r="C48">
        <v>300</v>
      </c>
      <c r="D48" s="787"/>
      <c r="E48" s="617">
        <v>263390</v>
      </c>
    </row>
    <row r="49" spans="1:5" x14ac:dyDescent="0.3">
      <c r="A49" s="787"/>
      <c r="B49" t="s">
        <v>4284</v>
      </c>
      <c r="C49">
        <v>350</v>
      </c>
      <c r="D49" s="787"/>
      <c r="E49" s="617">
        <v>307290</v>
      </c>
    </row>
    <row r="50" spans="1:5" ht="27" customHeight="1" x14ac:dyDescent="0.3">
      <c r="A50" s="788" t="s">
        <v>4359</v>
      </c>
      <c r="B50" s="787" t="s">
        <v>4328</v>
      </c>
      <c r="C50">
        <v>90</v>
      </c>
      <c r="E50" s="617">
        <v>118770</v>
      </c>
    </row>
    <row r="51" spans="1:5" x14ac:dyDescent="0.3">
      <c r="A51" s="788"/>
      <c r="B51" s="787"/>
      <c r="C51">
        <v>130</v>
      </c>
      <c r="E51" s="617">
        <v>171550</v>
      </c>
    </row>
    <row r="52" spans="1:5" x14ac:dyDescent="0.3">
      <c r="A52" s="788"/>
      <c r="B52" s="787"/>
      <c r="C52">
        <v>160</v>
      </c>
      <c r="E52" s="617">
        <v>211140</v>
      </c>
    </row>
    <row r="53" spans="1:5" x14ac:dyDescent="0.3">
      <c r="A53" s="788"/>
      <c r="B53" s="787"/>
      <c r="C53">
        <v>220</v>
      </c>
      <c r="E53" s="617">
        <v>290320</v>
      </c>
    </row>
    <row r="54" spans="1:5" x14ac:dyDescent="0.3">
      <c r="A54" s="788"/>
      <c r="B54" s="787"/>
      <c r="C54">
        <v>300</v>
      </c>
      <c r="E54" s="617">
        <v>395900</v>
      </c>
    </row>
    <row r="55" spans="1:5" x14ac:dyDescent="0.3">
      <c r="A55" s="788"/>
      <c r="B55" s="787"/>
      <c r="C55">
        <v>350</v>
      </c>
      <c r="E55" s="617">
        <v>461880</v>
      </c>
    </row>
    <row r="56" spans="1:5" x14ac:dyDescent="0.3">
      <c r="A56" s="788"/>
      <c r="B56" s="787" t="s">
        <v>4284</v>
      </c>
      <c r="C56">
        <v>90</v>
      </c>
      <c r="E56" s="617">
        <v>82500</v>
      </c>
    </row>
    <row r="57" spans="1:5" x14ac:dyDescent="0.3">
      <c r="A57" s="788"/>
      <c r="B57" s="787"/>
      <c r="C57">
        <v>130</v>
      </c>
      <c r="E57" s="617">
        <v>119170</v>
      </c>
    </row>
    <row r="58" spans="1:5" x14ac:dyDescent="0.3">
      <c r="A58" s="788"/>
      <c r="B58" s="787"/>
      <c r="C58">
        <v>160</v>
      </c>
      <c r="E58" s="617">
        <v>146670</v>
      </c>
    </row>
    <row r="59" spans="1:5" x14ac:dyDescent="0.3">
      <c r="A59" s="788"/>
      <c r="B59" s="787"/>
      <c r="C59">
        <v>220</v>
      </c>
      <c r="E59" s="617">
        <v>201680</v>
      </c>
    </row>
    <row r="60" spans="1:5" x14ac:dyDescent="0.3">
      <c r="A60" s="788"/>
      <c r="B60" s="787"/>
      <c r="C60">
        <v>300</v>
      </c>
      <c r="E60" s="617">
        <v>275010</v>
      </c>
    </row>
    <row r="61" spans="1:5" x14ac:dyDescent="0.3">
      <c r="A61" s="788"/>
      <c r="B61" s="787"/>
      <c r="C61">
        <v>350</v>
      </c>
      <c r="E61" s="617">
        <v>320850</v>
      </c>
    </row>
    <row r="62" spans="1:5" ht="33" x14ac:dyDescent="0.3">
      <c r="A62" s="590" t="s">
        <v>4360</v>
      </c>
      <c r="B62" s="787" t="s">
        <v>4327</v>
      </c>
      <c r="C62">
        <v>200</v>
      </c>
      <c r="D62" s="614" t="s">
        <v>4361</v>
      </c>
      <c r="E62" s="617">
        <v>546140</v>
      </c>
    </row>
    <row r="63" spans="1:5" x14ac:dyDescent="0.3">
      <c r="A63" s="590" t="s">
        <v>4362</v>
      </c>
      <c r="B63" s="787"/>
      <c r="C63">
        <v>200</v>
      </c>
      <c r="D63" t="s">
        <v>4364</v>
      </c>
      <c r="E63" s="617">
        <v>641460</v>
      </c>
    </row>
    <row r="64" spans="1:5" x14ac:dyDescent="0.3">
      <c r="A64" s="590" t="s">
        <v>4363</v>
      </c>
      <c r="B64" s="787"/>
      <c r="C64">
        <v>200</v>
      </c>
      <c r="D64" t="s">
        <v>4365</v>
      </c>
      <c r="E64" s="617">
        <v>688220</v>
      </c>
    </row>
    <row r="65" spans="1:5" ht="115.5" x14ac:dyDescent="0.3">
      <c r="A65" s="787" t="s">
        <v>4366</v>
      </c>
      <c r="B65" t="s">
        <v>4328</v>
      </c>
      <c r="C65">
        <v>120</v>
      </c>
      <c r="D65" s="614" t="s">
        <v>4367</v>
      </c>
      <c r="E65" s="617">
        <v>219940</v>
      </c>
    </row>
    <row r="66" spans="1:5" ht="49.5" x14ac:dyDescent="0.3">
      <c r="A66" s="787"/>
      <c r="B66" t="s">
        <v>4328</v>
      </c>
      <c r="C66">
        <v>350</v>
      </c>
      <c r="D66" s="614" t="s">
        <v>4378</v>
      </c>
      <c r="E66" s="617">
        <v>641500</v>
      </c>
    </row>
    <row r="67" spans="1:5" ht="33" x14ac:dyDescent="0.3">
      <c r="A67" s="787" t="s">
        <v>4372</v>
      </c>
      <c r="B67" s="787" t="s">
        <v>4328</v>
      </c>
      <c r="C67">
        <v>120</v>
      </c>
      <c r="D67" s="614" t="s">
        <v>4373</v>
      </c>
      <c r="E67" s="617">
        <v>236480</v>
      </c>
    </row>
    <row r="68" spans="1:5" x14ac:dyDescent="0.3">
      <c r="A68" s="787"/>
      <c r="B68" s="787"/>
      <c r="C68">
        <v>350</v>
      </c>
      <c r="D68" s="614" t="s">
        <v>4379</v>
      </c>
      <c r="E68" s="617">
        <v>689740</v>
      </c>
    </row>
    <row r="69" spans="1:5" ht="49.5" x14ac:dyDescent="0.3">
      <c r="A69" s="787" t="s">
        <v>4374</v>
      </c>
      <c r="B69" s="787" t="s">
        <v>4328</v>
      </c>
      <c r="C69">
        <v>120</v>
      </c>
      <c r="D69" s="614" t="s">
        <v>4375</v>
      </c>
      <c r="E69" s="617">
        <v>254810</v>
      </c>
    </row>
    <row r="70" spans="1:5" ht="33" x14ac:dyDescent="0.3">
      <c r="A70" s="787"/>
      <c r="B70" s="787"/>
      <c r="C70">
        <v>350</v>
      </c>
      <c r="D70" s="614" t="s">
        <v>4380</v>
      </c>
      <c r="E70" s="617">
        <v>743200</v>
      </c>
    </row>
    <row r="71" spans="1:5" ht="49.5" x14ac:dyDescent="0.3">
      <c r="A71" s="787" t="s">
        <v>4376</v>
      </c>
      <c r="B71" s="787" t="s">
        <v>4328</v>
      </c>
      <c r="C71">
        <v>120</v>
      </c>
      <c r="D71" s="614" t="s">
        <v>4377</v>
      </c>
      <c r="E71" s="617">
        <v>291470</v>
      </c>
    </row>
    <row r="72" spans="1:5" ht="33" x14ac:dyDescent="0.3">
      <c r="A72" s="787"/>
      <c r="B72" s="787"/>
      <c r="C72">
        <v>350</v>
      </c>
      <c r="D72" s="614" t="s">
        <v>4381</v>
      </c>
      <c r="E72" s="617">
        <v>850110</v>
      </c>
    </row>
    <row r="73" spans="1:5" x14ac:dyDescent="0.3">
      <c r="A73" s="787" t="s">
        <v>4382</v>
      </c>
      <c r="C73">
        <v>110</v>
      </c>
      <c r="D73" s="614" t="s">
        <v>4383</v>
      </c>
      <c r="E73" s="617">
        <v>237730</v>
      </c>
    </row>
    <row r="74" spans="1:5" x14ac:dyDescent="0.3">
      <c r="A74" s="787"/>
      <c r="C74">
        <v>120</v>
      </c>
      <c r="E74" s="617">
        <v>259340</v>
      </c>
    </row>
    <row r="75" spans="1:5" x14ac:dyDescent="0.3">
      <c r="A75" s="787"/>
      <c r="C75">
        <v>150</v>
      </c>
      <c r="E75" s="617">
        <v>324170</v>
      </c>
    </row>
    <row r="76" spans="1:5" x14ac:dyDescent="0.3">
      <c r="A76" s="787"/>
      <c r="C76">
        <v>180</v>
      </c>
      <c r="E76" s="617">
        <v>389010</v>
      </c>
    </row>
    <row r="77" spans="1:5" x14ac:dyDescent="0.3">
      <c r="A77" s="787"/>
      <c r="C77">
        <v>200</v>
      </c>
      <c r="E77" s="617">
        <v>432230</v>
      </c>
    </row>
    <row r="78" spans="1:5" x14ac:dyDescent="0.3">
      <c r="A78" s="787"/>
      <c r="C78">
        <v>250</v>
      </c>
      <c r="E78" s="617">
        <v>540290</v>
      </c>
    </row>
    <row r="79" spans="1:5" x14ac:dyDescent="0.3">
      <c r="A79" s="787"/>
      <c r="C79">
        <v>300</v>
      </c>
      <c r="E79" s="617">
        <v>648350</v>
      </c>
    </row>
    <row r="80" spans="1:5" x14ac:dyDescent="0.3">
      <c r="A80" s="590" t="s">
        <v>4385</v>
      </c>
      <c r="C80">
        <v>300</v>
      </c>
      <c r="D80" t="s">
        <v>4384</v>
      </c>
      <c r="E80" s="617">
        <v>562600</v>
      </c>
    </row>
    <row r="81" spans="1:5" x14ac:dyDescent="0.3">
      <c r="C81">
        <v>350</v>
      </c>
      <c r="E81" s="617">
        <v>656360</v>
      </c>
    </row>
    <row r="82" spans="1:5" x14ac:dyDescent="0.3">
      <c r="C82">
        <v>400</v>
      </c>
      <c r="E82" s="617">
        <v>750130</v>
      </c>
    </row>
    <row r="83" spans="1:5" x14ac:dyDescent="0.3">
      <c r="A83" s="590" t="s">
        <v>4386</v>
      </c>
      <c r="C83">
        <v>120</v>
      </c>
      <c r="D83" t="s">
        <v>4387</v>
      </c>
      <c r="E83" s="617">
        <v>294080</v>
      </c>
    </row>
    <row r="84" spans="1:5" x14ac:dyDescent="0.3">
      <c r="C84">
        <v>200</v>
      </c>
      <c r="D84" t="s">
        <v>4388</v>
      </c>
      <c r="E84" s="617">
        <v>490130</v>
      </c>
    </row>
    <row r="85" spans="1:5" x14ac:dyDescent="0.3">
      <c r="C85">
        <v>250</v>
      </c>
      <c r="D85" t="s">
        <v>4351</v>
      </c>
      <c r="E85" s="617">
        <v>612670</v>
      </c>
    </row>
    <row r="86" spans="1:5" x14ac:dyDescent="0.3">
      <c r="C86">
        <v>120</v>
      </c>
      <c r="D86" t="s">
        <v>4389</v>
      </c>
      <c r="E86" s="617">
        <v>354150</v>
      </c>
    </row>
    <row r="87" spans="1:5" x14ac:dyDescent="0.3">
      <c r="C87">
        <v>120</v>
      </c>
      <c r="D87" t="s">
        <v>4390</v>
      </c>
      <c r="E87" s="617">
        <v>381250</v>
      </c>
    </row>
    <row r="88" spans="1:5" x14ac:dyDescent="0.3">
      <c r="C88">
        <v>120</v>
      </c>
      <c r="D88" t="s">
        <v>4391</v>
      </c>
      <c r="E88" s="617">
        <v>412930</v>
      </c>
    </row>
    <row r="89" spans="1:5" x14ac:dyDescent="0.3">
      <c r="A89" s="590" t="s">
        <v>4392</v>
      </c>
      <c r="C89">
        <v>70</v>
      </c>
      <c r="D89" t="s">
        <v>4393</v>
      </c>
      <c r="E89" s="617">
        <v>122350</v>
      </c>
    </row>
    <row r="90" spans="1:5" x14ac:dyDescent="0.3">
      <c r="C90">
        <v>90</v>
      </c>
      <c r="E90" s="617">
        <v>146050</v>
      </c>
    </row>
    <row r="91" spans="1:5" x14ac:dyDescent="0.3">
      <c r="A91" s="590" t="s">
        <v>4358</v>
      </c>
      <c r="C91">
        <v>300</v>
      </c>
      <c r="D91" t="s">
        <v>4300</v>
      </c>
      <c r="E91" s="598">
        <v>379170</v>
      </c>
    </row>
    <row r="92" spans="1:5" x14ac:dyDescent="0.3">
      <c r="B92" t="s">
        <v>4284</v>
      </c>
      <c r="C92">
        <v>300</v>
      </c>
      <c r="E92" s="617">
        <v>263390</v>
      </c>
    </row>
    <row r="93" spans="1:5" x14ac:dyDescent="0.3">
      <c r="B93" t="s">
        <v>4328</v>
      </c>
      <c r="C93">
        <v>350</v>
      </c>
      <c r="E93" s="617">
        <v>442360</v>
      </c>
    </row>
    <row r="94" spans="1:5" x14ac:dyDescent="0.3">
      <c r="B94" t="s">
        <v>4284</v>
      </c>
      <c r="C94">
        <v>350</v>
      </c>
      <c r="E94" s="617">
        <v>307290</v>
      </c>
    </row>
    <row r="95" spans="1:5" ht="49.5" x14ac:dyDescent="0.3">
      <c r="A95" s="590" t="s">
        <v>4394</v>
      </c>
      <c r="B95" t="s">
        <v>4396</v>
      </c>
      <c r="C95">
        <v>140</v>
      </c>
      <c r="D95" s="614" t="s">
        <v>4398</v>
      </c>
      <c r="E95" s="617">
        <v>208050</v>
      </c>
    </row>
    <row r="96" spans="1:5" x14ac:dyDescent="0.3">
      <c r="B96" t="s">
        <v>4397</v>
      </c>
      <c r="E96" s="617">
        <v>144520</v>
      </c>
    </row>
    <row r="97" spans="1:5" x14ac:dyDescent="0.3">
      <c r="B97" t="s">
        <v>4400</v>
      </c>
      <c r="E97" s="617" t="s">
        <v>4395</v>
      </c>
    </row>
    <row r="98" spans="1:5" x14ac:dyDescent="0.3">
      <c r="B98" t="s">
        <v>4396</v>
      </c>
      <c r="C98">
        <v>160</v>
      </c>
      <c r="E98" s="617">
        <v>237770</v>
      </c>
    </row>
    <row r="99" spans="1:5" x14ac:dyDescent="0.3">
      <c r="B99" t="s">
        <v>4397</v>
      </c>
      <c r="E99" s="617" t="s">
        <v>4399</v>
      </c>
    </row>
    <row r="100" spans="1:5" x14ac:dyDescent="0.3">
      <c r="B100" t="s">
        <v>4400</v>
      </c>
      <c r="E100" s="617">
        <v>298700</v>
      </c>
    </row>
    <row r="101" spans="1:5" x14ac:dyDescent="0.3">
      <c r="B101" t="s">
        <v>4396</v>
      </c>
      <c r="C101">
        <v>180</v>
      </c>
      <c r="E101" s="617">
        <v>267490</v>
      </c>
    </row>
    <row r="102" spans="1:5" x14ac:dyDescent="0.3">
      <c r="B102" t="s">
        <v>4397</v>
      </c>
      <c r="E102" s="617">
        <v>185820</v>
      </c>
    </row>
    <row r="103" spans="1:5" x14ac:dyDescent="0.3">
      <c r="B103" t="s">
        <v>4400</v>
      </c>
      <c r="E103" s="617">
        <v>336030</v>
      </c>
    </row>
    <row r="104" spans="1:5" x14ac:dyDescent="0.3">
      <c r="B104" t="s">
        <v>4396</v>
      </c>
      <c r="C104">
        <v>200</v>
      </c>
      <c r="E104" s="617">
        <v>297210</v>
      </c>
    </row>
    <row r="105" spans="1:5" x14ac:dyDescent="0.3">
      <c r="B105" t="s">
        <v>4397</v>
      </c>
      <c r="E105" s="617">
        <v>206460</v>
      </c>
    </row>
    <row r="106" spans="1:5" x14ac:dyDescent="0.3">
      <c r="B106" t="s">
        <v>4400</v>
      </c>
      <c r="E106" s="617">
        <v>373370</v>
      </c>
    </row>
    <row r="107" spans="1:5" x14ac:dyDescent="0.3">
      <c r="A107" s="787" t="s">
        <v>4405</v>
      </c>
      <c r="B107" s="618" t="s">
        <v>4401</v>
      </c>
      <c r="C107">
        <v>120</v>
      </c>
      <c r="D107" t="s">
        <v>4402</v>
      </c>
      <c r="E107" s="617">
        <v>491520</v>
      </c>
    </row>
    <row r="108" spans="1:5" x14ac:dyDescent="0.3">
      <c r="A108" s="787"/>
      <c r="C108">
        <v>200</v>
      </c>
      <c r="E108" s="617">
        <v>738370</v>
      </c>
    </row>
    <row r="109" spans="1:5" x14ac:dyDescent="0.3">
      <c r="A109" s="787"/>
      <c r="C109">
        <v>250</v>
      </c>
      <c r="E109" s="617">
        <v>891560</v>
      </c>
    </row>
    <row r="110" spans="1:5" x14ac:dyDescent="0.3">
      <c r="A110" s="787"/>
      <c r="C110">
        <v>120</v>
      </c>
      <c r="D110" t="s">
        <v>4403</v>
      </c>
      <c r="E110" s="617">
        <v>543940</v>
      </c>
    </row>
    <row r="111" spans="1:5" x14ac:dyDescent="0.3">
      <c r="A111" s="787"/>
      <c r="C111">
        <v>200</v>
      </c>
      <c r="E111" s="617">
        <v>800630</v>
      </c>
    </row>
    <row r="112" spans="1:5" x14ac:dyDescent="0.3">
      <c r="A112" s="787"/>
      <c r="C112">
        <v>250</v>
      </c>
      <c r="E112" s="617">
        <v>959820</v>
      </c>
    </row>
    <row r="113" spans="1:5" x14ac:dyDescent="0.3">
      <c r="A113" s="787"/>
      <c r="C113">
        <v>120</v>
      </c>
      <c r="D113" t="s">
        <v>4404</v>
      </c>
      <c r="E113" s="617">
        <v>596370</v>
      </c>
    </row>
    <row r="114" spans="1:5" x14ac:dyDescent="0.3">
      <c r="A114" s="787"/>
      <c r="C114">
        <v>200</v>
      </c>
      <c r="E114" s="617">
        <v>890190</v>
      </c>
    </row>
    <row r="115" spans="1:5" x14ac:dyDescent="0.3">
      <c r="A115" s="787"/>
      <c r="C115">
        <v>250</v>
      </c>
      <c r="E115" s="617">
        <v>1071780</v>
      </c>
    </row>
    <row r="116" spans="1:5" x14ac:dyDescent="0.3">
      <c r="A116" s="590" t="s">
        <v>4406</v>
      </c>
      <c r="C116">
        <v>120</v>
      </c>
      <c r="D116" t="s">
        <v>4407</v>
      </c>
      <c r="E116" s="617">
        <v>511180</v>
      </c>
    </row>
    <row r="117" spans="1:5" x14ac:dyDescent="0.3">
      <c r="C117">
        <v>200</v>
      </c>
      <c r="E117" s="617">
        <v>771130</v>
      </c>
    </row>
    <row r="118" spans="1:5" x14ac:dyDescent="0.3">
      <c r="C118">
        <v>250</v>
      </c>
      <c r="E118" s="617">
        <v>932520</v>
      </c>
    </row>
    <row r="119" spans="1:5" x14ac:dyDescent="0.3">
      <c r="C119">
        <v>120</v>
      </c>
      <c r="D119" t="s">
        <v>4408</v>
      </c>
      <c r="E119" s="617">
        <v>616030</v>
      </c>
    </row>
    <row r="120" spans="1:5" x14ac:dyDescent="0.3">
      <c r="C120">
        <v>200</v>
      </c>
      <c r="E120" s="617">
        <v>922960</v>
      </c>
    </row>
    <row r="121" spans="1:5" x14ac:dyDescent="0.3">
      <c r="C121">
        <v>250</v>
      </c>
      <c r="E121" s="617">
        <v>1112740</v>
      </c>
    </row>
    <row r="122" spans="1:5" ht="33" x14ac:dyDescent="0.3">
      <c r="A122" s="787" t="s">
        <v>4409</v>
      </c>
      <c r="C122">
        <v>125</v>
      </c>
      <c r="D122" s="614" t="s">
        <v>4410</v>
      </c>
      <c r="E122" s="617">
        <v>171460</v>
      </c>
    </row>
    <row r="123" spans="1:5" x14ac:dyDescent="0.3">
      <c r="A123" s="787"/>
      <c r="C123">
        <v>155</v>
      </c>
      <c r="E123" s="617">
        <v>212610</v>
      </c>
    </row>
    <row r="124" spans="1:5" x14ac:dyDescent="0.3">
      <c r="A124" s="787"/>
      <c r="C124">
        <v>185</v>
      </c>
      <c r="E124" s="617">
        <v>253770</v>
      </c>
    </row>
    <row r="125" spans="1:5" x14ac:dyDescent="0.3">
      <c r="A125" s="787"/>
      <c r="C125">
        <v>205</v>
      </c>
      <c r="E125" s="617">
        <v>281200</v>
      </c>
    </row>
    <row r="126" spans="1:5" x14ac:dyDescent="0.3">
      <c r="A126" s="787"/>
      <c r="C126">
        <v>230</v>
      </c>
      <c r="E126" s="617">
        <v>315490</v>
      </c>
    </row>
    <row r="127" spans="1:5" x14ac:dyDescent="0.3">
      <c r="A127" s="787"/>
      <c r="C127">
        <v>300</v>
      </c>
      <c r="E127" s="617">
        <v>411510</v>
      </c>
    </row>
    <row r="128" spans="1:5" x14ac:dyDescent="0.3">
      <c r="A128" s="787"/>
      <c r="C128">
        <v>350</v>
      </c>
      <c r="E128" s="617">
        <v>480100</v>
      </c>
    </row>
    <row r="129" spans="1:5" x14ac:dyDescent="0.3">
      <c r="A129" s="787"/>
      <c r="C129">
        <v>400</v>
      </c>
      <c r="E129" s="617">
        <v>548680</v>
      </c>
    </row>
    <row r="130" spans="1:5" x14ac:dyDescent="0.3">
      <c r="A130" s="787"/>
      <c r="B130" t="s">
        <v>4284</v>
      </c>
      <c r="C130">
        <v>125</v>
      </c>
      <c r="E130" s="617">
        <v>119110</v>
      </c>
    </row>
    <row r="131" spans="1:5" x14ac:dyDescent="0.3">
      <c r="A131" s="787"/>
      <c r="C131">
        <v>155</v>
      </c>
      <c r="E131" s="617">
        <v>147690</v>
      </c>
    </row>
    <row r="132" spans="1:5" x14ac:dyDescent="0.3">
      <c r="A132" s="787"/>
      <c r="C132">
        <v>185</v>
      </c>
      <c r="E132" s="617">
        <v>176280</v>
      </c>
    </row>
    <row r="133" spans="1:5" x14ac:dyDescent="0.3">
      <c r="A133" s="787"/>
      <c r="C133">
        <v>205</v>
      </c>
      <c r="E133" s="617">
        <v>195340</v>
      </c>
    </row>
    <row r="134" spans="1:5" x14ac:dyDescent="0.3">
      <c r="A134" s="787"/>
      <c r="C134">
        <v>230</v>
      </c>
      <c r="E134" s="617">
        <v>219160</v>
      </c>
    </row>
    <row r="135" spans="1:5" x14ac:dyDescent="0.3">
      <c r="A135" s="787"/>
      <c r="C135">
        <v>300</v>
      </c>
      <c r="E135" s="617">
        <v>285860</v>
      </c>
    </row>
    <row r="136" spans="1:5" x14ac:dyDescent="0.3">
      <c r="A136" s="787"/>
      <c r="C136">
        <v>350</v>
      </c>
      <c r="E136" s="617">
        <v>333500</v>
      </c>
    </row>
    <row r="137" spans="1:5" x14ac:dyDescent="0.3">
      <c r="A137" s="787"/>
      <c r="C137">
        <v>400</v>
      </c>
      <c r="E137" s="617">
        <v>381150</v>
      </c>
    </row>
    <row r="138" spans="1:5" ht="33" x14ac:dyDescent="0.3">
      <c r="B138" t="s">
        <v>4396</v>
      </c>
      <c r="C138">
        <v>300</v>
      </c>
      <c r="D138" s="614" t="s">
        <v>4411</v>
      </c>
      <c r="E138" s="617">
        <v>499770</v>
      </c>
    </row>
    <row r="139" spans="1:5" x14ac:dyDescent="0.3">
      <c r="C139">
        <v>350</v>
      </c>
      <c r="E139" s="617">
        <v>583060</v>
      </c>
    </row>
    <row r="140" spans="1:5" x14ac:dyDescent="0.3">
      <c r="C140">
        <v>400</v>
      </c>
      <c r="E140" s="617">
        <v>666360</v>
      </c>
    </row>
    <row r="141" spans="1:5" x14ac:dyDescent="0.3">
      <c r="B141" t="s">
        <v>4284</v>
      </c>
      <c r="C141">
        <v>300</v>
      </c>
      <c r="E141" s="617">
        <v>347170</v>
      </c>
    </row>
    <row r="142" spans="1:5" x14ac:dyDescent="0.3">
      <c r="C142">
        <v>350</v>
      </c>
      <c r="E142" s="617">
        <v>405030</v>
      </c>
    </row>
    <row r="143" spans="1:5" x14ac:dyDescent="0.3">
      <c r="C143">
        <v>400</v>
      </c>
      <c r="E143" s="617">
        <v>462980</v>
      </c>
    </row>
    <row r="144" spans="1:5" x14ac:dyDescent="0.3">
      <c r="A144" s="787" t="s">
        <v>4412</v>
      </c>
      <c r="B144" t="s">
        <v>4396</v>
      </c>
      <c r="C144">
        <v>90</v>
      </c>
      <c r="D144" t="s">
        <v>4413</v>
      </c>
      <c r="E144" s="617">
        <v>118770</v>
      </c>
    </row>
    <row r="145" spans="1:5" x14ac:dyDescent="0.3">
      <c r="A145" s="787"/>
      <c r="C145">
        <v>130</v>
      </c>
      <c r="E145" s="617">
        <v>171550</v>
      </c>
    </row>
    <row r="146" spans="1:5" x14ac:dyDescent="0.3">
      <c r="A146" s="787"/>
      <c r="C146">
        <v>160</v>
      </c>
      <c r="E146" s="617">
        <v>211140</v>
      </c>
    </row>
    <row r="147" spans="1:5" x14ac:dyDescent="0.3">
      <c r="A147" s="787"/>
      <c r="C147">
        <v>220</v>
      </c>
      <c r="E147" s="617">
        <v>290320</v>
      </c>
    </row>
    <row r="148" spans="1:5" x14ac:dyDescent="0.3">
      <c r="A148" s="787"/>
      <c r="C148">
        <v>300</v>
      </c>
      <c r="E148" s="617">
        <v>395900</v>
      </c>
    </row>
    <row r="149" spans="1:5" x14ac:dyDescent="0.3">
      <c r="A149" s="787"/>
      <c r="C149">
        <v>350</v>
      </c>
      <c r="E149" s="617">
        <v>461880</v>
      </c>
    </row>
    <row r="150" spans="1:5" x14ac:dyDescent="0.3">
      <c r="A150" s="787"/>
      <c r="B150" t="s">
        <v>4284</v>
      </c>
      <c r="C150">
        <v>90</v>
      </c>
      <c r="E150" s="617">
        <v>82500</v>
      </c>
    </row>
    <row r="151" spans="1:5" x14ac:dyDescent="0.3">
      <c r="A151" s="787"/>
      <c r="C151">
        <v>130</v>
      </c>
      <c r="E151" s="617">
        <v>119170</v>
      </c>
    </row>
    <row r="152" spans="1:5" x14ac:dyDescent="0.3">
      <c r="A152" s="787"/>
      <c r="C152">
        <v>160</v>
      </c>
      <c r="E152" s="617">
        <v>211140</v>
      </c>
    </row>
    <row r="153" spans="1:5" x14ac:dyDescent="0.3">
      <c r="A153" s="787"/>
      <c r="C153">
        <v>220</v>
      </c>
      <c r="E153" s="617">
        <v>201680</v>
      </c>
    </row>
    <row r="154" spans="1:5" x14ac:dyDescent="0.3">
      <c r="A154" s="787"/>
      <c r="C154">
        <v>300</v>
      </c>
      <c r="E154" s="617">
        <v>275010</v>
      </c>
    </row>
    <row r="155" spans="1:5" x14ac:dyDescent="0.3">
      <c r="A155" s="787"/>
      <c r="C155">
        <v>350</v>
      </c>
      <c r="E155" s="617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309"/>
  <sheetViews>
    <sheetView topLeftCell="A278" workbookViewId="0">
      <selection activeCell="K295" sqref="K295"/>
    </sheetView>
  </sheetViews>
  <sheetFormatPr defaultRowHeight="16.5" x14ac:dyDescent="0.3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7" max="7" width="9" style="624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4746</v>
      </c>
    </row>
    <row r="2" spans="1:15" x14ac:dyDescent="0.3">
      <c r="A2" t="s">
        <v>4414</v>
      </c>
      <c r="B2" t="s">
        <v>4415</v>
      </c>
      <c r="C2">
        <v>125</v>
      </c>
      <c r="D2" t="s">
        <v>4416</v>
      </c>
      <c r="E2" s="620">
        <v>1760000</v>
      </c>
    </row>
    <row r="3" spans="1:15" x14ac:dyDescent="0.3">
      <c r="C3">
        <v>355</v>
      </c>
      <c r="E3" s="620">
        <v>3000000</v>
      </c>
      <c r="M3" s="619"/>
      <c r="N3" s="620"/>
      <c r="O3" s="620"/>
    </row>
    <row r="4" spans="1:15" ht="33" x14ac:dyDescent="0.3">
      <c r="B4" t="s">
        <v>4417</v>
      </c>
      <c r="C4">
        <v>125</v>
      </c>
      <c r="D4" s="614" t="s">
        <v>4418</v>
      </c>
      <c r="E4" s="620">
        <v>1760000</v>
      </c>
      <c r="M4" s="619"/>
      <c r="N4" s="620"/>
      <c r="O4" s="620"/>
    </row>
    <row r="5" spans="1:15" x14ac:dyDescent="0.3">
      <c r="C5">
        <v>355</v>
      </c>
      <c r="E5" s="620">
        <v>3000000</v>
      </c>
    </row>
    <row r="6" spans="1:15" x14ac:dyDescent="0.3">
      <c r="C6">
        <v>125</v>
      </c>
      <c r="D6" t="s">
        <v>4419</v>
      </c>
      <c r="E6" s="620">
        <v>1865000</v>
      </c>
    </row>
    <row r="7" spans="1:15" x14ac:dyDescent="0.3">
      <c r="C7">
        <v>355</v>
      </c>
      <c r="E7" s="620">
        <v>3275000</v>
      </c>
    </row>
    <row r="8" spans="1:15" ht="33" x14ac:dyDescent="0.3">
      <c r="C8">
        <v>125</v>
      </c>
      <c r="D8" s="614" t="s">
        <v>4420</v>
      </c>
      <c r="E8" s="620">
        <v>2035000</v>
      </c>
    </row>
    <row r="9" spans="1:15" x14ac:dyDescent="0.3">
      <c r="C9">
        <v>355</v>
      </c>
      <c r="E9" s="620">
        <v>3725000</v>
      </c>
    </row>
    <row r="10" spans="1:15" x14ac:dyDescent="0.3">
      <c r="A10" t="s">
        <v>4421</v>
      </c>
      <c r="B10" t="s">
        <v>4422</v>
      </c>
      <c r="C10">
        <v>120</v>
      </c>
      <c r="D10" t="s">
        <v>4423</v>
      </c>
      <c r="E10" s="620">
        <v>345000</v>
      </c>
    </row>
    <row r="11" spans="1:15" x14ac:dyDescent="0.3">
      <c r="C11">
        <v>160</v>
      </c>
      <c r="E11" s="620">
        <v>510000</v>
      </c>
    </row>
    <row r="12" spans="1:15" x14ac:dyDescent="0.3">
      <c r="C12">
        <v>250</v>
      </c>
      <c r="E12" s="620">
        <v>780000</v>
      </c>
    </row>
    <row r="13" spans="1:15" x14ac:dyDescent="0.3">
      <c r="C13">
        <v>300</v>
      </c>
      <c r="E13" s="620">
        <v>960000</v>
      </c>
    </row>
    <row r="14" spans="1:15" x14ac:dyDescent="0.3">
      <c r="C14">
        <v>350</v>
      </c>
      <c r="E14" s="620">
        <v>1320000</v>
      </c>
    </row>
    <row r="15" spans="1:15" x14ac:dyDescent="0.3">
      <c r="C15">
        <v>120</v>
      </c>
      <c r="D15" t="s">
        <v>4424</v>
      </c>
      <c r="E15" s="620">
        <v>600000</v>
      </c>
    </row>
    <row r="16" spans="1:15" x14ac:dyDescent="0.3">
      <c r="C16">
        <v>250</v>
      </c>
      <c r="E16" s="620">
        <v>1170000</v>
      </c>
    </row>
    <row r="17" spans="1:5" x14ac:dyDescent="0.3">
      <c r="C17">
        <v>300</v>
      </c>
      <c r="E17" s="620">
        <v>1380000</v>
      </c>
    </row>
    <row r="18" spans="1:5" x14ac:dyDescent="0.3">
      <c r="C18">
        <v>350</v>
      </c>
      <c r="E18" s="620">
        <v>1650000</v>
      </c>
    </row>
    <row r="19" spans="1:5" x14ac:dyDescent="0.3">
      <c r="A19" t="s">
        <v>4425</v>
      </c>
      <c r="B19" t="s">
        <v>4417</v>
      </c>
      <c r="C19">
        <v>135</v>
      </c>
      <c r="D19" t="s">
        <v>4426</v>
      </c>
      <c r="E19" s="620">
        <v>690000</v>
      </c>
    </row>
    <row r="20" spans="1:5" x14ac:dyDescent="0.3">
      <c r="C20">
        <v>300</v>
      </c>
      <c r="E20" s="620">
        <v>1440000</v>
      </c>
    </row>
    <row r="21" spans="1:5" x14ac:dyDescent="0.3">
      <c r="C21">
        <v>135</v>
      </c>
      <c r="D21" t="s">
        <v>4427</v>
      </c>
      <c r="E21" s="620">
        <v>840000</v>
      </c>
    </row>
    <row r="22" spans="1:5" x14ac:dyDescent="0.3">
      <c r="C22">
        <v>300</v>
      </c>
      <c r="E22" s="620">
        <v>1740000</v>
      </c>
    </row>
    <row r="23" spans="1:5" x14ac:dyDescent="0.3">
      <c r="C23">
        <v>300</v>
      </c>
      <c r="D23" t="s">
        <v>4428</v>
      </c>
      <c r="E23" s="620">
        <v>1740000</v>
      </c>
    </row>
    <row r="24" spans="1:5" x14ac:dyDescent="0.3">
      <c r="A24" t="s">
        <v>4429</v>
      </c>
      <c r="B24" t="s">
        <v>4417</v>
      </c>
      <c r="C24">
        <v>120</v>
      </c>
      <c r="D24" t="s">
        <v>4430</v>
      </c>
      <c r="E24" s="620">
        <v>645000</v>
      </c>
    </row>
    <row r="25" spans="1:5" x14ac:dyDescent="0.3">
      <c r="C25">
        <v>300</v>
      </c>
      <c r="E25" s="620">
        <v>1440000</v>
      </c>
    </row>
    <row r="26" spans="1:5" x14ac:dyDescent="0.3">
      <c r="B26" t="s">
        <v>4397</v>
      </c>
      <c r="C26">
        <v>90</v>
      </c>
      <c r="D26" t="s">
        <v>4431</v>
      </c>
      <c r="E26" s="620">
        <v>400000</v>
      </c>
    </row>
    <row r="27" spans="1:5" x14ac:dyDescent="0.3">
      <c r="B27" t="s">
        <v>4417</v>
      </c>
      <c r="C27">
        <v>120</v>
      </c>
      <c r="E27" s="620">
        <v>645000</v>
      </c>
    </row>
    <row r="28" spans="1:5" x14ac:dyDescent="0.3">
      <c r="C28">
        <v>300</v>
      </c>
      <c r="E28" s="620">
        <v>1440000</v>
      </c>
    </row>
    <row r="29" spans="1:5" x14ac:dyDescent="0.3">
      <c r="C29">
        <v>120</v>
      </c>
      <c r="D29" t="s">
        <v>4432</v>
      </c>
      <c r="E29" s="620">
        <v>645000</v>
      </c>
    </row>
    <row r="30" spans="1:5" x14ac:dyDescent="0.3">
      <c r="C30">
        <v>300</v>
      </c>
      <c r="E30" s="620">
        <v>1440000</v>
      </c>
    </row>
    <row r="31" spans="1:5" x14ac:dyDescent="0.3">
      <c r="C31">
        <v>120</v>
      </c>
      <c r="D31" t="s">
        <v>4433</v>
      </c>
      <c r="E31" s="620">
        <v>690000</v>
      </c>
    </row>
    <row r="32" spans="1:5" x14ac:dyDescent="0.3">
      <c r="C32">
        <v>320</v>
      </c>
      <c r="E32" s="621">
        <v>1650000</v>
      </c>
    </row>
    <row r="33" spans="1:5" x14ac:dyDescent="0.3">
      <c r="C33">
        <v>120</v>
      </c>
      <c r="D33" t="s">
        <v>4434</v>
      </c>
      <c r="E33" s="620">
        <v>960000</v>
      </c>
    </row>
    <row r="34" spans="1:5" x14ac:dyDescent="0.3">
      <c r="C34">
        <v>320</v>
      </c>
      <c r="E34" s="620">
        <v>2460000</v>
      </c>
    </row>
    <row r="35" spans="1:5" x14ac:dyDescent="0.3">
      <c r="C35">
        <v>120</v>
      </c>
      <c r="D35" t="s">
        <v>4435</v>
      </c>
      <c r="E35" s="620">
        <v>1110000</v>
      </c>
    </row>
    <row r="36" spans="1:5" x14ac:dyDescent="0.3">
      <c r="C36">
        <v>320</v>
      </c>
      <c r="E36" s="620">
        <v>2790000</v>
      </c>
    </row>
    <row r="37" spans="1:5" x14ac:dyDescent="0.3">
      <c r="A37" t="s">
        <v>4436</v>
      </c>
      <c r="B37" t="s">
        <v>4437</v>
      </c>
      <c r="C37">
        <v>120</v>
      </c>
      <c r="D37" s="620" t="s">
        <v>4438</v>
      </c>
      <c r="E37" s="620">
        <v>630000</v>
      </c>
    </row>
    <row r="38" spans="1:5" x14ac:dyDescent="0.3">
      <c r="C38">
        <v>120</v>
      </c>
      <c r="D38" t="s">
        <v>4428</v>
      </c>
      <c r="E38" s="620">
        <v>840000</v>
      </c>
    </row>
    <row r="39" spans="1:5" x14ac:dyDescent="0.3">
      <c r="B39" t="s">
        <v>4417</v>
      </c>
      <c r="C39">
        <v>300</v>
      </c>
      <c r="D39">
        <v>50</v>
      </c>
      <c r="E39" s="620">
        <v>1380000</v>
      </c>
    </row>
    <row r="40" spans="1:5" x14ac:dyDescent="0.3">
      <c r="C40">
        <v>300</v>
      </c>
      <c r="D40" t="s">
        <v>4428</v>
      </c>
      <c r="E40" s="620">
        <v>1710000</v>
      </c>
    </row>
    <row r="41" spans="1:5" x14ac:dyDescent="0.3">
      <c r="A41" t="s">
        <v>4439</v>
      </c>
      <c r="B41" t="s">
        <v>4440</v>
      </c>
      <c r="C41">
        <v>100</v>
      </c>
      <c r="D41">
        <v>50</v>
      </c>
      <c r="E41" s="620">
        <v>690000</v>
      </c>
    </row>
    <row r="42" spans="1:5" x14ac:dyDescent="0.3">
      <c r="B42" t="s">
        <v>4417</v>
      </c>
      <c r="C42">
        <v>200</v>
      </c>
      <c r="D42">
        <v>50</v>
      </c>
      <c r="E42" s="620">
        <v>1650000</v>
      </c>
    </row>
    <row r="43" spans="1:5" x14ac:dyDescent="0.3">
      <c r="B43" t="s">
        <v>4440</v>
      </c>
      <c r="C43">
        <v>100</v>
      </c>
      <c r="D43">
        <v>10</v>
      </c>
      <c r="E43" s="620">
        <v>1050000</v>
      </c>
    </row>
    <row r="44" spans="1:5" x14ac:dyDescent="0.3">
      <c r="B44" t="s">
        <v>4417</v>
      </c>
      <c r="C44">
        <v>200</v>
      </c>
      <c r="E44" s="620">
        <v>2340000</v>
      </c>
    </row>
    <row r="45" spans="1:5" x14ac:dyDescent="0.3">
      <c r="B45" t="s">
        <v>4417</v>
      </c>
      <c r="C45">
        <v>100</v>
      </c>
      <c r="D45" t="s">
        <v>4428</v>
      </c>
      <c r="E45" s="620">
        <v>1050000</v>
      </c>
    </row>
    <row r="46" spans="1:5" x14ac:dyDescent="0.3">
      <c r="A46" t="s">
        <v>4441</v>
      </c>
      <c r="B46" t="s">
        <v>4415</v>
      </c>
      <c r="C46">
        <v>170</v>
      </c>
      <c r="D46" t="s">
        <v>4442</v>
      </c>
      <c r="E46" s="620">
        <v>900000</v>
      </c>
    </row>
    <row r="47" spans="1:5" x14ac:dyDescent="0.3">
      <c r="C47">
        <v>240</v>
      </c>
      <c r="E47" s="620">
        <v>1260000</v>
      </c>
    </row>
    <row r="48" spans="1:5" x14ac:dyDescent="0.3">
      <c r="C48">
        <v>320</v>
      </c>
      <c r="E48" s="620">
        <v>1710000</v>
      </c>
    </row>
    <row r="49" spans="1:5" ht="49.5" x14ac:dyDescent="0.3">
      <c r="C49">
        <v>240</v>
      </c>
      <c r="D49" s="614" t="s">
        <v>4443</v>
      </c>
      <c r="E49" s="620">
        <v>1320000</v>
      </c>
    </row>
    <row r="50" spans="1:5" x14ac:dyDescent="0.3">
      <c r="C50">
        <v>320</v>
      </c>
      <c r="E50" s="620">
        <v>1800000</v>
      </c>
    </row>
    <row r="51" spans="1:5" ht="33" x14ac:dyDescent="0.3">
      <c r="C51">
        <v>240</v>
      </c>
      <c r="D51" s="614" t="s">
        <v>4444</v>
      </c>
      <c r="E51" s="620">
        <v>1560000</v>
      </c>
    </row>
    <row r="52" spans="1:5" x14ac:dyDescent="0.3">
      <c r="C52">
        <v>320</v>
      </c>
      <c r="E52" s="620">
        <v>2070000</v>
      </c>
    </row>
    <row r="53" spans="1:5" x14ac:dyDescent="0.3">
      <c r="C53">
        <v>320</v>
      </c>
      <c r="D53" t="s">
        <v>4445</v>
      </c>
      <c r="E53" s="620">
        <v>2070000</v>
      </c>
    </row>
    <row r="54" spans="1:5" ht="33" x14ac:dyDescent="0.3">
      <c r="A54" t="s">
        <v>4446</v>
      </c>
      <c r="C54">
        <v>120</v>
      </c>
      <c r="D54" s="614" t="s">
        <v>4447</v>
      </c>
      <c r="E54" s="620">
        <v>600000</v>
      </c>
    </row>
    <row r="55" spans="1:5" x14ac:dyDescent="0.3">
      <c r="C55">
        <v>300</v>
      </c>
      <c r="E55" s="620">
        <v>1320000</v>
      </c>
    </row>
    <row r="56" spans="1:5" ht="33" x14ac:dyDescent="0.3">
      <c r="C56">
        <v>120</v>
      </c>
      <c r="D56" s="614" t="s">
        <v>4448</v>
      </c>
      <c r="E56" s="620">
        <v>600000</v>
      </c>
    </row>
    <row r="57" spans="1:5" x14ac:dyDescent="0.3">
      <c r="C57">
        <v>300</v>
      </c>
      <c r="E57" s="620">
        <v>1320000</v>
      </c>
    </row>
    <row r="58" spans="1:5" x14ac:dyDescent="0.3">
      <c r="B58" t="s">
        <v>4449</v>
      </c>
      <c r="C58">
        <v>600</v>
      </c>
      <c r="E58" s="620">
        <v>2700000</v>
      </c>
    </row>
    <row r="59" spans="1:5" ht="33" x14ac:dyDescent="0.3">
      <c r="A59" t="s">
        <v>4450</v>
      </c>
      <c r="B59" t="s">
        <v>4417</v>
      </c>
      <c r="C59">
        <v>135</v>
      </c>
      <c r="D59" s="614" t="s">
        <v>4451</v>
      </c>
      <c r="E59" s="620">
        <v>720000</v>
      </c>
    </row>
    <row r="60" spans="1:5" x14ac:dyDescent="0.3">
      <c r="C60">
        <v>240</v>
      </c>
      <c r="E60" s="620">
        <v>1200000</v>
      </c>
    </row>
    <row r="61" spans="1:5" x14ac:dyDescent="0.3">
      <c r="C61">
        <v>350</v>
      </c>
      <c r="E61" s="620">
        <v>1710000</v>
      </c>
    </row>
    <row r="62" spans="1:5" x14ac:dyDescent="0.3">
      <c r="C62">
        <v>135</v>
      </c>
      <c r="D62" t="s">
        <v>4452</v>
      </c>
      <c r="E62" s="620">
        <v>900000</v>
      </c>
    </row>
    <row r="63" spans="1:5" x14ac:dyDescent="0.3">
      <c r="C63">
        <v>240</v>
      </c>
      <c r="E63" s="620">
        <v>1530000</v>
      </c>
    </row>
    <row r="64" spans="1:5" x14ac:dyDescent="0.3">
      <c r="C64">
        <v>350</v>
      </c>
      <c r="E64" s="620">
        <v>2190000</v>
      </c>
    </row>
    <row r="65" spans="1:5" x14ac:dyDescent="0.3">
      <c r="C65">
        <v>135</v>
      </c>
      <c r="D65" t="s">
        <v>4453</v>
      </c>
      <c r="E65" s="620">
        <v>960000</v>
      </c>
    </row>
    <row r="66" spans="1:5" x14ac:dyDescent="0.3">
      <c r="C66">
        <v>240</v>
      </c>
      <c r="E66" s="620">
        <v>1650000</v>
      </c>
    </row>
    <row r="67" spans="1:5" x14ac:dyDescent="0.3">
      <c r="C67">
        <v>350</v>
      </c>
      <c r="E67" s="620">
        <v>2370000</v>
      </c>
    </row>
    <row r="68" spans="1:5" x14ac:dyDescent="0.3">
      <c r="A68" t="s">
        <v>4454</v>
      </c>
      <c r="B68" t="s">
        <v>4415</v>
      </c>
      <c r="C68">
        <v>120</v>
      </c>
      <c r="D68" t="s">
        <v>4455</v>
      </c>
      <c r="E68" s="620">
        <v>600000</v>
      </c>
    </row>
    <row r="69" spans="1:5" x14ac:dyDescent="0.3">
      <c r="C69">
        <v>170</v>
      </c>
      <c r="E69" s="620">
        <v>900000</v>
      </c>
    </row>
    <row r="70" spans="1:5" x14ac:dyDescent="0.3">
      <c r="C70">
        <v>240</v>
      </c>
      <c r="E70" s="620">
        <v>1200000</v>
      </c>
    </row>
    <row r="71" spans="1:5" x14ac:dyDescent="0.3">
      <c r="C71">
        <v>300</v>
      </c>
      <c r="E71" s="598">
        <v>1500000</v>
      </c>
    </row>
    <row r="72" spans="1:5" x14ac:dyDescent="0.3">
      <c r="B72" t="s">
        <v>4397</v>
      </c>
      <c r="C72">
        <v>300</v>
      </c>
      <c r="E72" s="620">
        <v>1290000</v>
      </c>
    </row>
    <row r="73" spans="1:5" x14ac:dyDescent="0.3">
      <c r="C73">
        <v>90</v>
      </c>
      <c r="D73" t="s">
        <v>4456</v>
      </c>
      <c r="E73" s="620">
        <v>420000</v>
      </c>
    </row>
    <row r="74" spans="1:5" x14ac:dyDescent="0.3">
      <c r="B74" t="s">
        <v>4415</v>
      </c>
      <c r="C74">
        <v>120</v>
      </c>
      <c r="E74" s="620">
        <v>600000</v>
      </c>
    </row>
    <row r="75" spans="1:5" x14ac:dyDescent="0.3">
      <c r="C75">
        <v>170</v>
      </c>
      <c r="E75" s="620">
        <v>900000</v>
      </c>
    </row>
    <row r="76" spans="1:5" x14ac:dyDescent="0.3">
      <c r="C76">
        <v>240</v>
      </c>
      <c r="E76" s="620">
        <v>1200000</v>
      </c>
    </row>
    <row r="77" spans="1:5" x14ac:dyDescent="0.3">
      <c r="C77">
        <v>300</v>
      </c>
      <c r="E77" s="598">
        <v>1500000</v>
      </c>
    </row>
    <row r="78" spans="1:5" x14ac:dyDescent="0.3">
      <c r="A78" t="s">
        <v>4457</v>
      </c>
      <c r="B78" t="s">
        <v>4417</v>
      </c>
      <c r="C78">
        <v>100</v>
      </c>
      <c r="D78" t="s">
        <v>4458</v>
      </c>
      <c r="E78">
        <v>630000</v>
      </c>
    </row>
    <row r="79" spans="1:5" x14ac:dyDescent="0.3">
      <c r="C79">
        <v>200</v>
      </c>
      <c r="E79" s="620">
        <v>990000</v>
      </c>
    </row>
    <row r="80" spans="1:5" x14ac:dyDescent="0.3">
      <c r="C80">
        <v>300</v>
      </c>
      <c r="E80" s="620">
        <v>1410000</v>
      </c>
    </row>
    <row r="81" spans="1:5" x14ac:dyDescent="0.3">
      <c r="C81">
        <v>100</v>
      </c>
      <c r="D81" t="s">
        <v>4459</v>
      </c>
      <c r="E81" s="620">
        <v>690000</v>
      </c>
    </row>
    <row r="82" spans="1:5" x14ac:dyDescent="0.3">
      <c r="C82">
        <v>200</v>
      </c>
      <c r="E82" s="620">
        <v>1140000</v>
      </c>
    </row>
    <row r="83" spans="1:5" x14ac:dyDescent="0.3">
      <c r="C83">
        <v>300</v>
      </c>
      <c r="E83" s="620">
        <v>1650000</v>
      </c>
    </row>
    <row r="84" spans="1:5" x14ac:dyDescent="0.3">
      <c r="C84">
        <v>100</v>
      </c>
      <c r="D84" t="s">
        <v>4428</v>
      </c>
      <c r="E84" s="620">
        <v>750000</v>
      </c>
    </row>
    <row r="85" spans="1:5" x14ac:dyDescent="0.3">
      <c r="C85">
        <v>200</v>
      </c>
      <c r="E85" s="620">
        <v>1200000</v>
      </c>
    </row>
    <row r="86" spans="1:5" x14ac:dyDescent="0.3">
      <c r="C86">
        <v>300</v>
      </c>
      <c r="E86" s="620">
        <v>1740000</v>
      </c>
    </row>
    <row r="87" spans="1:5" x14ac:dyDescent="0.3">
      <c r="A87" t="s">
        <v>4460</v>
      </c>
      <c r="B87" t="s">
        <v>4417</v>
      </c>
      <c r="C87">
        <v>110</v>
      </c>
      <c r="D87" t="s">
        <v>4461</v>
      </c>
      <c r="E87" s="620">
        <v>1500000</v>
      </c>
    </row>
    <row r="88" spans="1:5" x14ac:dyDescent="0.3">
      <c r="B88" t="s">
        <v>4396</v>
      </c>
      <c r="C88">
        <v>240</v>
      </c>
      <c r="E88" s="620">
        <v>2160000</v>
      </c>
    </row>
    <row r="89" spans="1:5" x14ac:dyDescent="0.3">
      <c r="B89" t="s">
        <v>4417</v>
      </c>
      <c r="C89">
        <v>310</v>
      </c>
      <c r="E89" s="620">
        <v>2520000</v>
      </c>
    </row>
    <row r="90" spans="1:5" x14ac:dyDescent="0.3">
      <c r="C90">
        <v>110</v>
      </c>
      <c r="D90" t="s">
        <v>4462</v>
      </c>
      <c r="E90" s="620">
        <v>1650000</v>
      </c>
    </row>
    <row r="91" spans="1:5" x14ac:dyDescent="0.3">
      <c r="C91">
        <v>310</v>
      </c>
      <c r="E91" s="620">
        <v>2810000</v>
      </c>
    </row>
    <row r="92" spans="1:5" x14ac:dyDescent="0.3">
      <c r="C92">
        <v>130</v>
      </c>
      <c r="D92" t="s">
        <v>4463</v>
      </c>
      <c r="E92" s="620">
        <v>1650000</v>
      </c>
    </row>
    <row r="93" spans="1:5" x14ac:dyDescent="0.3">
      <c r="C93">
        <v>310</v>
      </c>
      <c r="E93" s="620">
        <v>2810000</v>
      </c>
    </row>
    <row r="94" spans="1:5" x14ac:dyDescent="0.3">
      <c r="C94">
        <v>110</v>
      </c>
      <c r="D94" t="s">
        <v>4464</v>
      </c>
      <c r="E94" s="620">
        <v>1740000</v>
      </c>
    </row>
    <row r="95" spans="1:5" x14ac:dyDescent="0.3">
      <c r="C95">
        <v>310</v>
      </c>
      <c r="E95" s="620">
        <v>3060000</v>
      </c>
    </row>
    <row r="96" spans="1:5" x14ac:dyDescent="0.3">
      <c r="C96">
        <v>110</v>
      </c>
      <c r="D96" t="s">
        <v>4465</v>
      </c>
      <c r="E96" s="620">
        <v>1920000</v>
      </c>
    </row>
    <row r="97" spans="1:5" x14ac:dyDescent="0.3">
      <c r="C97">
        <v>310</v>
      </c>
      <c r="E97" s="620">
        <v>3510000</v>
      </c>
    </row>
    <row r="98" spans="1:5" x14ac:dyDescent="0.3">
      <c r="A98" t="s">
        <v>4466</v>
      </c>
      <c r="B98" t="s">
        <v>4396</v>
      </c>
      <c r="C98">
        <v>135</v>
      </c>
      <c r="D98" t="s">
        <v>4458</v>
      </c>
      <c r="E98" s="620">
        <v>810000</v>
      </c>
    </row>
    <row r="99" spans="1:5" x14ac:dyDescent="0.3">
      <c r="C99">
        <v>250</v>
      </c>
      <c r="E99" s="620">
        <v>1380000</v>
      </c>
    </row>
    <row r="100" spans="1:5" x14ac:dyDescent="0.3">
      <c r="C100">
        <v>350</v>
      </c>
      <c r="E100" s="620">
        <v>1980000</v>
      </c>
    </row>
    <row r="101" spans="1:5" x14ac:dyDescent="0.3">
      <c r="A101" t="s">
        <v>4467</v>
      </c>
      <c r="C101">
        <v>115</v>
      </c>
      <c r="D101" t="s">
        <v>4773</v>
      </c>
      <c r="E101" s="620">
        <v>450000</v>
      </c>
    </row>
    <row r="102" spans="1:5" x14ac:dyDescent="0.3">
      <c r="C102">
        <v>135</v>
      </c>
      <c r="E102" s="620">
        <v>750000</v>
      </c>
    </row>
    <row r="103" spans="1:5" x14ac:dyDescent="0.3">
      <c r="C103">
        <v>250</v>
      </c>
      <c r="E103" s="620">
        <v>1320000</v>
      </c>
    </row>
    <row r="104" spans="1:5" x14ac:dyDescent="0.3">
      <c r="C104">
        <v>350</v>
      </c>
      <c r="E104" s="620">
        <v>1830000</v>
      </c>
    </row>
    <row r="105" spans="1:5" x14ac:dyDescent="0.3">
      <c r="B105" t="s">
        <v>4415</v>
      </c>
      <c r="C105">
        <v>115</v>
      </c>
      <c r="D105" t="s">
        <v>4773</v>
      </c>
      <c r="E105" s="620">
        <v>360000</v>
      </c>
    </row>
    <row r="106" spans="1:5" x14ac:dyDescent="0.3">
      <c r="C106">
        <v>350</v>
      </c>
      <c r="E106" s="620">
        <v>1560000</v>
      </c>
    </row>
    <row r="107" spans="1:5" x14ac:dyDescent="0.3">
      <c r="A107" t="s">
        <v>4468</v>
      </c>
      <c r="B107" t="s">
        <v>4396</v>
      </c>
      <c r="C107">
        <v>135</v>
      </c>
      <c r="E107" s="620">
        <v>540000</v>
      </c>
    </row>
    <row r="108" spans="1:5" x14ac:dyDescent="0.3">
      <c r="C108">
        <v>200</v>
      </c>
      <c r="E108" s="620">
        <v>780000</v>
      </c>
    </row>
    <row r="109" spans="1:5" x14ac:dyDescent="0.3">
      <c r="C109">
        <v>250</v>
      </c>
      <c r="E109" s="620">
        <v>990000</v>
      </c>
    </row>
    <row r="110" spans="1:5" x14ac:dyDescent="0.3">
      <c r="C110">
        <v>350</v>
      </c>
      <c r="E110" s="620">
        <v>1440000</v>
      </c>
    </row>
    <row r="111" spans="1:5" x14ac:dyDescent="0.3">
      <c r="B111" t="s">
        <v>4284</v>
      </c>
      <c r="C111">
        <v>135</v>
      </c>
      <c r="D111" t="s">
        <v>4773</v>
      </c>
      <c r="E111" s="620">
        <v>300000</v>
      </c>
    </row>
    <row r="112" spans="1:5" x14ac:dyDescent="0.3">
      <c r="C112">
        <v>200</v>
      </c>
      <c r="D112" t="s">
        <v>4773</v>
      </c>
      <c r="E112" s="620">
        <v>420000</v>
      </c>
    </row>
    <row r="113" spans="1:5" x14ac:dyDescent="0.3">
      <c r="C113">
        <v>250</v>
      </c>
      <c r="D113" t="s">
        <v>4773</v>
      </c>
      <c r="E113" s="620">
        <v>690000</v>
      </c>
    </row>
    <row r="114" spans="1:5" x14ac:dyDescent="0.3">
      <c r="B114" t="s">
        <v>4774</v>
      </c>
      <c r="C114">
        <v>250</v>
      </c>
      <c r="E114" s="620">
        <v>690000</v>
      </c>
    </row>
    <row r="115" spans="1:5" x14ac:dyDescent="0.3">
      <c r="B115" t="s">
        <v>4397</v>
      </c>
      <c r="C115">
        <v>350</v>
      </c>
      <c r="E115" s="620">
        <v>990000</v>
      </c>
    </row>
    <row r="116" spans="1:5" x14ac:dyDescent="0.3">
      <c r="A116" t="s">
        <v>4469</v>
      </c>
      <c r="B116" t="s">
        <v>4396</v>
      </c>
      <c r="C116">
        <v>135</v>
      </c>
      <c r="D116" t="s">
        <v>4773</v>
      </c>
      <c r="E116" s="620">
        <v>810000</v>
      </c>
    </row>
    <row r="117" spans="1:5" x14ac:dyDescent="0.3">
      <c r="C117">
        <v>250</v>
      </c>
      <c r="E117" s="620">
        <v>1380000</v>
      </c>
    </row>
    <row r="118" spans="1:5" x14ac:dyDescent="0.3">
      <c r="C118">
        <v>350</v>
      </c>
      <c r="E118" s="620">
        <v>1980000</v>
      </c>
    </row>
    <row r="119" spans="1:5" x14ac:dyDescent="0.3">
      <c r="A119" t="s">
        <v>4470</v>
      </c>
      <c r="B119" t="s">
        <v>4397</v>
      </c>
      <c r="C119">
        <v>240</v>
      </c>
      <c r="D119" t="s">
        <v>4471</v>
      </c>
      <c r="E119" s="620">
        <v>1080000</v>
      </c>
    </row>
    <row r="120" spans="1:5" x14ac:dyDescent="0.3">
      <c r="B120" t="s">
        <v>4472</v>
      </c>
      <c r="C120">
        <v>240</v>
      </c>
      <c r="E120" s="620">
        <v>1500000</v>
      </c>
    </row>
    <row r="121" spans="1:5" x14ac:dyDescent="0.3">
      <c r="C121">
        <v>300</v>
      </c>
      <c r="E121" s="620">
        <v>1860000</v>
      </c>
    </row>
    <row r="122" spans="1:5" x14ac:dyDescent="0.3">
      <c r="B122" t="s">
        <v>4417</v>
      </c>
      <c r="C122">
        <v>480</v>
      </c>
      <c r="E122" s="620">
        <v>3420000</v>
      </c>
    </row>
    <row r="123" spans="1:5" x14ac:dyDescent="0.3">
      <c r="C123">
        <v>600</v>
      </c>
      <c r="E123" s="620">
        <v>4320000</v>
      </c>
    </row>
    <row r="124" spans="1:5" x14ac:dyDescent="0.3">
      <c r="C124">
        <v>900</v>
      </c>
      <c r="E124" s="620">
        <v>7200000</v>
      </c>
    </row>
    <row r="125" spans="1:5" x14ac:dyDescent="0.3">
      <c r="B125" t="s">
        <v>4472</v>
      </c>
      <c r="C125">
        <v>300</v>
      </c>
      <c r="D125" t="s">
        <v>4473</v>
      </c>
      <c r="E125" s="620">
        <v>1860000</v>
      </c>
    </row>
    <row r="126" spans="1:5" x14ac:dyDescent="0.3">
      <c r="C126">
        <v>600</v>
      </c>
      <c r="E126" s="620">
        <v>4320000</v>
      </c>
    </row>
    <row r="127" spans="1:5" x14ac:dyDescent="0.3">
      <c r="A127" t="s">
        <v>4474</v>
      </c>
      <c r="B127" t="s">
        <v>4396</v>
      </c>
      <c r="C127">
        <v>135</v>
      </c>
      <c r="E127" s="620">
        <v>540000</v>
      </c>
    </row>
    <row r="128" spans="1:5" x14ac:dyDescent="0.3">
      <c r="C128">
        <v>160</v>
      </c>
      <c r="E128" s="620">
        <v>630000</v>
      </c>
    </row>
    <row r="129" spans="1:5" x14ac:dyDescent="0.3">
      <c r="C129">
        <v>200</v>
      </c>
      <c r="E129" s="620">
        <v>780000</v>
      </c>
    </row>
    <row r="130" spans="1:5" x14ac:dyDescent="0.3">
      <c r="C130">
        <v>250</v>
      </c>
      <c r="E130" s="620">
        <v>990000</v>
      </c>
    </row>
    <row r="131" spans="1:5" x14ac:dyDescent="0.3">
      <c r="C131">
        <v>350</v>
      </c>
      <c r="E131" s="620">
        <v>1440000</v>
      </c>
    </row>
    <row r="132" spans="1:5" x14ac:dyDescent="0.3">
      <c r="B132" t="s">
        <v>4284</v>
      </c>
      <c r="C132">
        <v>135</v>
      </c>
      <c r="D132" t="s">
        <v>4773</v>
      </c>
      <c r="E132" s="620">
        <v>330000</v>
      </c>
    </row>
    <row r="133" spans="1:5" x14ac:dyDescent="0.3">
      <c r="C133">
        <v>160</v>
      </c>
      <c r="D133" t="s">
        <v>4773</v>
      </c>
      <c r="E133" s="620">
        <v>390000</v>
      </c>
    </row>
    <row r="134" spans="1:5" x14ac:dyDescent="0.3">
      <c r="C134">
        <v>200</v>
      </c>
      <c r="D134" t="s">
        <v>4773</v>
      </c>
      <c r="E134" s="620">
        <v>450000</v>
      </c>
    </row>
    <row r="135" spans="1:5" x14ac:dyDescent="0.3">
      <c r="C135">
        <v>250</v>
      </c>
      <c r="E135" s="620">
        <v>690000</v>
      </c>
    </row>
    <row r="136" spans="1:5" x14ac:dyDescent="0.3">
      <c r="C136">
        <v>350</v>
      </c>
      <c r="E136" s="620">
        <v>990000</v>
      </c>
    </row>
    <row r="137" spans="1:5" x14ac:dyDescent="0.3">
      <c r="A137" t="s">
        <v>4475</v>
      </c>
      <c r="B137" t="s">
        <v>4396</v>
      </c>
      <c r="C137">
        <v>135</v>
      </c>
      <c r="E137" s="620">
        <v>750000</v>
      </c>
    </row>
    <row r="138" spans="1:5" x14ac:dyDescent="0.3">
      <c r="C138">
        <v>250</v>
      </c>
      <c r="E138" s="620">
        <v>1320000</v>
      </c>
    </row>
    <row r="139" spans="1:5" x14ac:dyDescent="0.3">
      <c r="C139">
        <v>350</v>
      </c>
      <c r="E139" s="620">
        <v>1830000</v>
      </c>
    </row>
    <row r="140" spans="1:5" x14ac:dyDescent="0.3">
      <c r="B140" t="s">
        <v>4284</v>
      </c>
      <c r="C140">
        <v>250</v>
      </c>
      <c r="D140" t="s">
        <v>4773</v>
      </c>
      <c r="E140" s="620">
        <v>870000</v>
      </c>
    </row>
    <row r="141" spans="1:5" x14ac:dyDescent="0.3">
      <c r="A141" t="s">
        <v>4476</v>
      </c>
      <c r="B141" t="s">
        <v>4477</v>
      </c>
      <c r="C141">
        <v>120</v>
      </c>
      <c r="D141" t="s">
        <v>4478</v>
      </c>
      <c r="E141" s="620">
        <v>570000</v>
      </c>
    </row>
    <row r="142" spans="1:5" x14ac:dyDescent="0.3">
      <c r="B142" t="s">
        <v>4396</v>
      </c>
      <c r="C142">
        <v>240</v>
      </c>
      <c r="E142" s="620">
        <v>1110000</v>
      </c>
    </row>
    <row r="143" spans="1:5" x14ac:dyDescent="0.3">
      <c r="C143">
        <v>300</v>
      </c>
      <c r="E143" s="620">
        <v>1320000</v>
      </c>
    </row>
    <row r="144" spans="1:5" ht="49.5" x14ac:dyDescent="0.3">
      <c r="B144" t="s">
        <v>4477</v>
      </c>
      <c r="C144">
        <v>120</v>
      </c>
      <c r="D144" s="614" t="s">
        <v>4479</v>
      </c>
      <c r="E144" s="620">
        <v>615000</v>
      </c>
    </row>
    <row r="145" spans="1:5" x14ac:dyDescent="0.3">
      <c r="B145" t="s">
        <v>4396</v>
      </c>
      <c r="C145">
        <v>240</v>
      </c>
      <c r="E145" s="620">
        <v>1200000</v>
      </c>
    </row>
    <row r="146" spans="1:5" x14ac:dyDescent="0.3">
      <c r="C146">
        <v>300</v>
      </c>
      <c r="E146" s="620">
        <v>1440000</v>
      </c>
    </row>
    <row r="147" spans="1:5" ht="33" x14ac:dyDescent="0.3">
      <c r="B147" t="s">
        <v>4477</v>
      </c>
      <c r="C147">
        <v>120</v>
      </c>
      <c r="D147" s="614" t="s">
        <v>4480</v>
      </c>
      <c r="E147" s="620">
        <v>615000</v>
      </c>
    </row>
    <row r="148" spans="1:5" x14ac:dyDescent="0.3">
      <c r="B148" t="s">
        <v>4396</v>
      </c>
      <c r="C148">
        <v>300</v>
      </c>
      <c r="E148" s="620">
        <v>1440000</v>
      </c>
    </row>
    <row r="149" spans="1:5" ht="49.5" x14ac:dyDescent="0.3">
      <c r="B149" t="s">
        <v>4477</v>
      </c>
      <c r="C149">
        <v>120</v>
      </c>
      <c r="D149" s="614" t="s">
        <v>4481</v>
      </c>
      <c r="E149" s="620">
        <v>870000</v>
      </c>
    </row>
    <row r="150" spans="1:5" x14ac:dyDescent="0.3">
      <c r="B150" t="s">
        <v>4396</v>
      </c>
      <c r="C150">
        <v>240</v>
      </c>
      <c r="E150" s="620">
        <v>1710000</v>
      </c>
    </row>
    <row r="151" spans="1:5" x14ac:dyDescent="0.3">
      <c r="C151">
        <v>300</v>
      </c>
      <c r="E151" s="620">
        <v>2010000</v>
      </c>
    </row>
    <row r="152" spans="1:5" ht="33" x14ac:dyDescent="0.3">
      <c r="B152" t="s">
        <v>4477</v>
      </c>
      <c r="C152">
        <v>120</v>
      </c>
      <c r="D152" s="614" t="s">
        <v>4482</v>
      </c>
      <c r="E152" s="620">
        <v>870000</v>
      </c>
    </row>
    <row r="153" spans="1:5" x14ac:dyDescent="0.3">
      <c r="B153" t="s">
        <v>4396</v>
      </c>
      <c r="C153">
        <v>300</v>
      </c>
      <c r="E153" s="620">
        <v>2010000</v>
      </c>
    </row>
    <row r="154" spans="1:5" x14ac:dyDescent="0.3">
      <c r="A154" t="s">
        <v>4483</v>
      </c>
      <c r="B154" t="s">
        <v>4417</v>
      </c>
      <c r="C154">
        <v>130</v>
      </c>
      <c r="D154" t="s">
        <v>4484</v>
      </c>
      <c r="E154" s="620">
        <v>1440000</v>
      </c>
    </row>
    <row r="155" spans="1:5" x14ac:dyDescent="0.3">
      <c r="B155" t="s">
        <v>4328</v>
      </c>
      <c r="C155">
        <v>240</v>
      </c>
      <c r="E155" s="620">
        <v>2340000</v>
      </c>
    </row>
    <row r="156" spans="1:5" x14ac:dyDescent="0.3">
      <c r="B156" t="s">
        <v>4417</v>
      </c>
      <c r="C156">
        <v>310</v>
      </c>
      <c r="E156" s="620">
        <v>2550000</v>
      </c>
    </row>
    <row r="157" spans="1:5" ht="33" x14ac:dyDescent="0.3">
      <c r="B157" t="s">
        <v>4417</v>
      </c>
      <c r="C157">
        <v>130</v>
      </c>
      <c r="D157" s="614" t="s">
        <v>4485</v>
      </c>
      <c r="E157" s="620">
        <v>1530000</v>
      </c>
    </row>
    <row r="158" spans="1:5" x14ac:dyDescent="0.3">
      <c r="B158" t="s">
        <v>4328</v>
      </c>
      <c r="C158">
        <v>240</v>
      </c>
      <c r="E158" s="620">
        <v>2460000</v>
      </c>
    </row>
    <row r="159" spans="1:5" x14ac:dyDescent="0.3">
      <c r="B159" t="s">
        <v>4417</v>
      </c>
      <c r="C159">
        <v>310</v>
      </c>
      <c r="E159" s="620">
        <v>2700000</v>
      </c>
    </row>
    <row r="160" spans="1:5" x14ac:dyDescent="0.3">
      <c r="C160">
        <v>130</v>
      </c>
      <c r="D160" t="s">
        <v>4486</v>
      </c>
      <c r="E160" s="620">
        <v>1530000</v>
      </c>
    </row>
    <row r="161" spans="1:5" x14ac:dyDescent="0.3">
      <c r="C161">
        <v>310</v>
      </c>
      <c r="E161" s="620">
        <v>2700000</v>
      </c>
    </row>
    <row r="162" spans="1:5" x14ac:dyDescent="0.3">
      <c r="C162">
        <v>110</v>
      </c>
      <c r="D162" t="s">
        <v>4487</v>
      </c>
      <c r="E162" s="620">
        <v>1740000</v>
      </c>
    </row>
    <row r="163" spans="1:5" x14ac:dyDescent="0.3">
      <c r="B163" t="s">
        <v>4396</v>
      </c>
      <c r="C163">
        <v>240</v>
      </c>
      <c r="E163" s="620">
        <v>3200000</v>
      </c>
    </row>
    <row r="164" spans="1:5" x14ac:dyDescent="0.3">
      <c r="B164" t="s">
        <v>4417</v>
      </c>
      <c r="C164">
        <v>310</v>
      </c>
      <c r="E164" s="620">
        <v>3540000</v>
      </c>
    </row>
    <row r="165" spans="1:5" ht="33" x14ac:dyDescent="0.3">
      <c r="C165">
        <v>130</v>
      </c>
      <c r="D165" s="614" t="s">
        <v>4488</v>
      </c>
      <c r="E165" s="620">
        <v>1740000</v>
      </c>
    </row>
    <row r="166" spans="1:5" x14ac:dyDescent="0.3">
      <c r="C166">
        <v>310</v>
      </c>
      <c r="E166" s="620">
        <v>3540000</v>
      </c>
    </row>
    <row r="167" spans="1:5" x14ac:dyDescent="0.3">
      <c r="A167" t="s">
        <v>4489</v>
      </c>
      <c r="B167" t="s">
        <v>4437</v>
      </c>
      <c r="C167">
        <v>120</v>
      </c>
      <c r="D167" t="s">
        <v>4490</v>
      </c>
      <c r="E167" s="620">
        <v>630000</v>
      </c>
    </row>
    <row r="168" spans="1:5" x14ac:dyDescent="0.3">
      <c r="B168" t="s">
        <v>4437</v>
      </c>
      <c r="C168">
        <v>120</v>
      </c>
      <c r="D168" t="s">
        <v>4428</v>
      </c>
      <c r="E168" s="620">
        <v>870000</v>
      </c>
    </row>
    <row r="169" spans="1:5" ht="33" x14ac:dyDescent="0.3">
      <c r="A169" t="s">
        <v>4491</v>
      </c>
      <c r="B169" t="s">
        <v>4417</v>
      </c>
      <c r="C169">
        <v>110</v>
      </c>
      <c r="D169" s="614" t="s">
        <v>4492</v>
      </c>
      <c r="E169" s="620">
        <v>1650000</v>
      </c>
    </row>
    <row r="170" spans="1:5" x14ac:dyDescent="0.3">
      <c r="B170" t="s">
        <v>4396</v>
      </c>
      <c r="C170">
        <v>240</v>
      </c>
      <c r="E170" s="620">
        <v>2320000</v>
      </c>
    </row>
    <row r="171" spans="1:5" x14ac:dyDescent="0.3">
      <c r="B171" t="s">
        <v>4417</v>
      </c>
      <c r="C171">
        <v>310</v>
      </c>
      <c r="E171" s="620">
        <v>2810000</v>
      </c>
    </row>
    <row r="172" spans="1:5" x14ac:dyDescent="0.3">
      <c r="B172" t="s">
        <v>4396</v>
      </c>
      <c r="C172">
        <v>240</v>
      </c>
      <c r="D172" t="s">
        <v>4775</v>
      </c>
      <c r="E172" s="620">
        <v>3000000</v>
      </c>
    </row>
    <row r="173" spans="1:5" ht="33" x14ac:dyDescent="0.3">
      <c r="A173" t="s">
        <v>4493</v>
      </c>
      <c r="C173">
        <v>120</v>
      </c>
      <c r="D173" s="614" t="s">
        <v>4494</v>
      </c>
      <c r="E173" s="620">
        <v>1440000</v>
      </c>
    </row>
    <row r="174" spans="1:5" x14ac:dyDescent="0.3">
      <c r="C174">
        <v>300</v>
      </c>
      <c r="E174" s="620">
        <v>2100000</v>
      </c>
    </row>
    <row r="175" spans="1:5" x14ac:dyDescent="0.3">
      <c r="C175">
        <v>300</v>
      </c>
      <c r="D175" t="s">
        <v>4495</v>
      </c>
      <c r="E175" s="620">
        <v>2760000</v>
      </c>
    </row>
    <row r="176" spans="1:5" x14ac:dyDescent="0.3">
      <c r="C176">
        <v>100</v>
      </c>
      <c r="D176" t="s">
        <v>4496</v>
      </c>
      <c r="E176" s="620">
        <v>1650000</v>
      </c>
    </row>
    <row r="177" spans="1:5" x14ac:dyDescent="0.3">
      <c r="C177">
        <v>300</v>
      </c>
      <c r="E177" s="620">
        <v>2760000</v>
      </c>
    </row>
    <row r="178" spans="1:5" x14ac:dyDescent="0.3">
      <c r="C178">
        <v>120</v>
      </c>
      <c r="D178" t="s">
        <v>4497</v>
      </c>
      <c r="E178" s="620">
        <v>1650000</v>
      </c>
    </row>
    <row r="179" spans="1:5" x14ac:dyDescent="0.3">
      <c r="C179">
        <v>300</v>
      </c>
      <c r="E179" s="620">
        <v>2760000</v>
      </c>
    </row>
    <row r="180" spans="1:5" x14ac:dyDescent="0.3">
      <c r="A180" t="s">
        <v>4498</v>
      </c>
      <c r="C180">
        <v>330</v>
      </c>
      <c r="D180" t="s">
        <v>4499</v>
      </c>
      <c r="E180" s="620">
        <v>1800000</v>
      </c>
    </row>
    <row r="181" spans="1:5" x14ac:dyDescent="0.3">
      <c r="C181">
        <v>530</v>
      </c>
      <c r="E181" s="620">
        <v>2810000</v>
      </c>
    </row>
    <row r="182" spans="1:5" x14ac:dyDescent="0.3">
      <c r="C182">
        <v>330</v>
      </c>
      <c r="D182" t="s">
        <v>4424</v>
      </c>
      <c r="E182" s="620">
        <v>2130000</v>
      </c>
    </row>
    <row r="183" spans="1:5" x14ac:dyDescent="0.3">
      <c r="C183">
        <v>530</v>
      </c>
      <c r="E183" s="620">
        <v>3240000</v>
      </c>
    </row>
    <row r="184" spans="1:5" x14ac:dyDescent="0.3">
      <c r="A184" t="s">
        <v>4500</v>
      </c>
      <c r="C184">
        <v>120</v>
      </c>
      <c r="D184" t="s">
        <v>4501</v>
      </c>
      <c r="E184" s="620">
        <v>600000</v>
      </c>
    </row>
    <row r="185" spans="1:5" x14ac:dyDescent="0.3">
      <c r="C185">
        <v>240</v>
      </c>
      <c r="E185" s="620">
        <v>1170000</v>
      </c>
    </row>
    <row r="186" spans="1:5" x14ac:dyDescent="0.3">
      <c r="C186">
        <v>300</v>
      </c>
      <c r="E186" s="620">
        <v>1410000</v>
      </c>
    </row>
    <row r="187" spans="1:5" ht="49.5" x14ac:dyDescent="0.3">
      <c r="C187">
        <v>120</v>
      </c>
      <c r="D187" s="614" t="s">
        <v>4502</v>
      </c>
      <c r="E187" s="620">
        <v>630000</v>
      </c>
    </row>
    <row r="188" spans="1:5" x14ac:dyDescent="0.3">
      <c r="C188">
        <v>240</v>
      </c>
      <c r="E188" s="620">
        <v>1200000</v>
      </c>
    </row>
    <row r="189" spans="1:5" x14ac:dyDescent="0.3">
      <c r="C189">
        <v>300</v>
      </c>
      <c r="E189" s="620">
        <v>1470000</v>
      </c>
    </row>
    <row r="190" spans="1:5" x14ac:dyDescent="0.3">
      <c r="C190">
        <v>120</v>
      </c>
      <c r="D190" t="s">
        <v>4503</v>
      </c>
      <c r="E190" s="620">
        <v>840000</v>
      </c>
    </row>
    <row r="191" spans="1:5" x14ac:dyDescent="0.3">
      <c r="C191">
        <v>240</v>
      </c>
      <c r="E191" s="620">
        <v>1530000</v>
      </c>
    </row>
    <row r="192" spans="1:5" x14ac:dyDescent="0.3">
      <c r="C192">
        <v>300</v>
      </c>
      <c r="E192" s="620">
        <v>1950000</v>
      </c>
    </row>
    <row r="193" spans="1:5" x14ac:dyDescent="0.3">
      <c r="A193" t="s">
        <v>4504</v>
      </c>
      <c r="B193" t="s">
        <v>4749</v>
      </c>
      <c r="C193">
        <v>150</v>
      </c>
      <c r="D193" t="s">
        <v>4505</v>
      </c>
      <c r="E193" t="s">
        <v>4750</v>
      </c>
    </row>
    <row r="194" spans="1:5" x14ac:dyDescent="0.3">
      <c r="A194" t="s">
        <v>4504</v>
      </c>
      <c r="B194" t="s">
        <v>4449</v>
      </c>
      <c r="C194">
        <v>150</v>
      </c>
      <c r="E194" s="620">
        <v>3750000</v>
      </c>
    </row>
    <row r="195" spans="1:5" x14ac:dyDescent="0.3">
      <c r="A195" t="s">
        <v>4506</v>
      </c>
      <c r="B195" t="s">
        <v>4749</v>
      </c>
      <c r="C195">
        <v>160</v>
      </c>
      <c r="E195" s="620" t="s">
        <v>4752</v>
      </c>
    </row>
    <row r="196" spans="1:5" x14ac:dyDescent="0.3">
      <c r="A196" t="s">
        <v>4506</v>
      </c>
      <c r="B196" t="s">
        <v>4449</v>
      </c>
      <c r="C196">
        <v>160</v>
      </c>
      <c r="E196" s="620">
        <v>4250000</v>
      </c>
    </row>
    <row r="197" spans="1:5" x14ac:dyDescent="0.3">
      <c r="A197" t="s">
        <v>4507</v>
      </c>
      <c r="B197" t="s">
        <v>4749</v>
      </c>
      <c r="C197">
        <v>160</v>
      </c>
      <c r="E197" s="620" t="s">
        <v>4751</v>
      </c>
    </row>
    <row r="198" spans="1:5" x14ac:dyDescent="0.3">
      <c r="A198" t="s">
        <v>4507</v>
      </c>
      <c r="B198" t="s">
        <v>4449</v>
      </c>
      <c r="C198">
        <v>160</v>
      </c>
      <c r="E198" s="620">
        <v>4750000</v>
      </c>
    </row>
    <row r="199" spans="1:5" x14ac:dyDescent="0.3">
      <c r="A199" t="s">
        <v>4508</v>
      </c>
      <c r="B199" t="s">
        <v>4749</v>
      </c>
      <c r="C199">
        <v>185</v>
      </c>
      <c r="E199" s="620" t="s">
        <v>4750</v>
      </c>
    </row>
    <row r="200" spans="1:5" x14ac:dyDescent="0.3">
      <c r="A200" t="s">
        <v>4508</v>
      </c>
      <c r="B200" t="s">
        <v>4449</v>
      </c>
      <c r="C200">
        <v>185</v>
      </c>
      <c r="E200" s="620">
        <v>3750000</v>
      </c>
    </row>
    <row r="201" spans="1:5" x14ac:dyDescent="0.3">
      <c r="A201" t="s">
        <v>4509</v>
      </c>
      <c r="B201" t="s">
        <v>4749</v>
      </c>
      <c r="C201">
        <v>150</v>
      </c>
      <c r="E201" s="620" t="s">
        <v>4750</v>
      </c>
    </row>
    <row r="202" spans="1:5" x14ac:dyDescent="0.3">
      <c r="A202" t="s">
        <v>4509</v>
      </c>
      <c r="B202" t="s">
        <v>4449</v>
      </c>
      <c r="C202">
        <v>150</v>
      </c>
      <c r="E202" s="620">
        <v>3750000</v>
      </c>
    </row>
    <row r="203" spans="1:5" x14ac:dyDescent="0.3">
      <c r="A203" t="s">
        <v>4510</v>
      </c>
      <c r="B203" t="s">
        <v>4749</v>
      </c>
      <c r="C203">
        <v>140</v>
      </c>
      <c r="D203" t="s">
        <v>4511</v>
      </c>
      <c r="E203" s="620" t="s">
        <v>4754</v>
      </c>
    </row>
    <row r="204" spans="1:5" x14ac:dyDescent="0.3">
      <c r="B204" t="s">
        <v>4449</v>
      </c>
      <c r="C204">
        <v>140</v>
      </c>
      <c r="D204" t="s">
        <v>4511</v>
      </c>
      <c r="E204" s="620">
        <v>2000000</v>
      </c>
    </row>
    <row r="205" spans="1:5" x14ac:dyDescent="0.3">
      <c r="B205" t="s">
        <v>4749</v>
      </c>
      <c r="C205">
        <v>140</v>
      </c>
      <c r="D205" t="s">
        <v>4428</v>
      </c>
      <c r="E205" s="620" t="s">
        <v>4753</v>
      </c>
    </row>
    <row r="206" spans="1:5" x14ac:dyDescent="0.3">
      <c r="B206" t="s">
        <v>4449</v>
      </c>
      <c r="C206">
        <v>140</v>
      </c>
      <c r="D206" t="s">
        <v>4428</v>
      </c>
      <c r="E206" s="620">
        <v>2500000</v>
      </c>
    </row>
    <row r="207" spans="1:5" x14ac:dyDescent="0.3">
      <c r="A207" t="s">
        <v>4512</v>
      </c>
      <c r="B207" t="s">
        <v>4513</v>
      </c>
      <c r="C207">
        <v>300</v>
      </c>
      <c r="D207" t="s">
        <v>4514</v>
      </c>
      <c r="E207" s="620">
        <v>3120000</v>
      </c>
    </row>
    <row r="208" spans="1:5" x14ac:dyDescent="0.3">
      <c r="C208">
        <v>300</v>
      </c>
      <c r="D208" t="s">
        <v>4515</v>
      </c>
      <c r="E208" s="620">
        <v>3510000</v>
      </c>
    </row>
    <row r="209" spans="1:5" x14ac:dyDescent="0.3">
      <c r="A209" t="s">
        <v>4516</v>
      </c>
      <c r="B209" t="s">
        <v>4749</v>
      </c>
      <c r="C209">
        <v>185</v>
      </c>
      <c r="D209" t="s">
        <v>4505</v>
      </c>
      <c r="E209" s="620" t="s">
        <v>4755</v>
      </c>
    </row>
    <row r="210" spans="1:5" x14ac:dyDescent="0.3">
      <c r="A210" t="s">
        <v>4516</v>
      </c>
      <c r="B210" t="s">
        <v>4449</v>
      </c>
      <c r="C210">
        <v>185</v>
      </c>
      <c r="D210" t="s">
        <v>4505</v>
      </c>
      <c r="E210" s="620">
        <v>5250000</v>
      </c>
    </row>
    <row r="211" spans="1:5" x14ac:dyDescent="0.3">
      <c r="A211" t="s">
        <v>4517</v>
      </c>
      <c r="B211" t="s">
        <v>4749</v>
      </c>
      <c r="C211">
        <v>140</v>
      </c>
      <c r="E211" s="620" t="s">
        <v>4753</v>
      </c>
    </row>
    <row r="212" spans="1:5" x14ac:dyDescent="0.3">
      <c r="A212" t="s">
        <v>4517</v>
      </c>
      <c r="B212" t="s">
        <v>4449</v>
      </c>
      <c r="C212">
        <v>140</v>
      </c>
      <c r="E212" s="620">
        <v>2500000</v>
      </c>
    </row>
    <row r="213" spans="1:5" x14ac:dyDescent="0.3">
      <c r="A213" t="s">
        <v>4518</v>
      </c>
      <c r="B213" t="s">
        <v>4756</v>
      </c>
      <c r="C213" t="s">
        <v>4519</v>
      </c>
      <c r="E213" s="620" t="s">
        <v>4757</v>
      </c>
    </row>
    <row r="214" spans="1:5" x14ac:dyDescent="0.3">
      <c r="A214" t="s">
        <v>4518</v>
      </c>
      <c r="B214" t="s">
        <v>4449</v>
      </c>
      <c r="C214" t="s">
        <v>4519</v>
      </c>
      <c r="E214" s="620">
        <v>5000000</v>
      </c>
    </row>
    <row r="215" spans="1:5" x14ac:dyDescent="0.3">
      <c r="A215" t="s">
        <v>4520</v>
      </c>
      <c r="C215" t="s">
        <v>4521</v>
      </c>
      <c r="E215" s="620" t="s">
        <v>4758</v>
      </c>
    </row>
    <row r="216" spans="1:5" x14ac:dyDescent="0.3">
      <c r="A216" t="s">
        <v>4520</v>
      </c>
      <c r="C216" t="s">
        <v>4521</v>
      </c>
      <c r="E216" s="620">
        <v>5500000</v>
      </c>
    </row>
    <row r="217" spans="1:5" x14ac:dyDescent="0.3">
      <c r="A217" t="s">
        <v>4522</v>
      </c>
      <c r="B217" t="s">
        <v>4756</v>
      </c>
      <c r="C217" t="s">
        <v>4523</v>
      </c>
      <c r="D217" t="s">
        <v>4524</v>
      </c>
      <c r="E217" s="620" t="s">
        <v>4759</v>
      </c>
    </row>
    <row r="218" spans="1:5" x14ac:dyDescent="0.3">
      <c r="A218" t="s">
        <v>4522</v>
      </c>
      <c r="B218" t="s">
        <v>4449</v>
      </c>
      <c r="C218" t="s">
        <v>4523</v>
      </c>
      <c r="E218" s="620">
        <v>4000000</v>
      </c>
    </row>
    <row r="219" spans="1:5" x14ac:dyDescent="0.3">
      <c r="A219" t="s">
        <v>4522</v>
      </c>
      <c r="B219" t="s">
        <v>4756</v>
      </c>
      <c r="C219" t="s">
        <v>4523</v>
      </c>
      <c r="D219" t="s">
        <v>4428</v>
      </c>
      <c r="E219" s="620" t="s">
        <v>4760</v>
      </c>
    </row>
    <row r="220" spans="1:5" x14ac:dyDescent="0.3">
      <c r="A220" t="s">
        <v>4522</v>
      </c>
      <c r="B220" t="s">
        <v>4449</v>
      </c>
      <c r="C220" t="s">
        <v>4523</v>
      </c>
      <c r="D220" t="s">
        <v>4428</v>
      </c>
      <c r="E220" s="620">
        <v>4500000</v>
      </c>
    </row>
    <row r="221" spans="1:5" x14ac:dyDescent="0.3">
      <c r="A221" t="s">
        <v>4525</v>
      </c>
      <c r="B221" t="s">
        <v>4762</v>
      </c>
      <c r="C221" t="s">
        <v>4526</v>
      </c>
      <c r="D221" t="s">
        <v>4505</v>
      </c>
      <c r="E221" s="620" t="s">
        <v>4761</v>
      </c>
    </row>
    <row r="222" spans="1:5" x14ac:dyDescent="0.3">
      <c r="A222" t="s">
        <v>4525</v>
      </c>
      <c r="B222" t="s">
        <v>4449</v>
      </c>
      <c r="C222" t="s">
        <v>4526</v>
      </c>
      <c r="D222" t="s">
        <v>4505</v>
      </c>
      <c r="E222" s="620">
        <v>5500000</v>
      </c>
    </row>
    <row r="223" spans="1:5" x14ac:dyDescent="0.3">
      <c r="A223" t="s">
        <v>4527</v>
      </c>
      <c r="B223" t="s">
        <v>4756</v>
      </c>
      <c r="C223" t="s">
        <v>4528</v>
      </c>
      <c r="D223" t="s">
        <v>4529</v>
      </c>
      <c r="E223" s="620" t="s">
        <v>4759</v>
      </c>
    </row>
    <row r="224" spans="1:5" x14ac:dyDescent="0.3">
      <c r="A224" t="s">
        <v>4527</v>
      </c>
      <c r="B224" t="s">
        <v>4449</v>
      </c>
      <c r="C224" t="s">
        <v>4528</v>
      </c>
      <c r="E224" s="620">
        <v>4000000</v>
      </c>
    </row>
    <row r="225" spans="1:5" x14ac:dyDescent="0.3">
      <c r="A225" t="s">
        <v>4527</v>
      </c>
      <c r="B225" t="s">
        <v>4756</v>
      </c>
      <c r="C225" t="s">
        <v>4528</v>
      </c>
      <c r="D225" t="s">
        <v>4428</v>
      </c>
      <c r="E225" s="620" t="s">
        <v>4760</v>
      </c>
    </row>
    <row r="226" spans="1:5" x14ac:dyDescent="0.3">
      <c r="A226" t="s">
        <v>4527</v>
      </c>
      <c r="B226" t="s">
        <v>4449</v>
      </c>
      <c r="C226" t="s">
        <v>4528</v>
      </c>
      <c r="D226" t="s">
        <v>4428</v>
      </c>
      <c r="E226" s="620">
        <v>4500000</v>
      </c>
    </row>
    <row r="227" spans="1:5" x14ac:dyDescent="0.3">
      <c r="A227" t="s">
        <v>4530</v>
      </c>
      <c r="B227" t="s">
        <v>4756</v>
      </c>
      <c r="C227" t="s">
        <v>4523</v>
      </c>
      <c r="D227" t="s">
        <v>4531</v>
      </c>
      <c r="E227" s="620" t="s">
        <v>4759</v>
      </c>
    </row>
    <row r="228" spans="1:5" x14ac:dyDescent="0.3">
      <c r="A228" t="s">
        <v>4530</v>
      </c>
      <c r="B228" t="s">
        <v>4449</v>
      </c>
      <c r="C228" t="s">
        <v>4523</v>
      </c>
      <c r="D228" t="s">
        <v>4531</v>
      </c>
      <c r="E228" s="620">
        <v>4000000</v>
      </c>
    </row>
    <row r="229" spans="1:5" x14ac:dyDescent="0.3">
      <c r="A229" t="s">
        <v>4530</v>
      </c>
      <c r="B229" t="s">
        <v>4756</v>
      </c>
      <c r="C229" t="s">
        <v>4523</v>
      </c>
      <c r="D229" t="s">
        <v>4428</v>
      </c>
      <c r="E229" s="620" t="s">
        <v>4760</v>
      </c>
    </row>
    <row r="230" spans="1:5" x14ac:dyDescent="0.3">
      <c r="A230" t="s">
        <v>4530</v>
      </c>
      <c r="B230" t="s">
        <v>4449</v>
      </c>
      <c r="C230" t="s">
        <v>4523</v>
      </c>
      <c r="D230" t="s">
        <v>4428</v>
      </c>
      <c r="E230" s="620">
        <v>4500000</v>
      </c>
    </row>
    <row r="231" spans="1:5" x14ac:dyDescent="0.3">
      <c r="A231" t="s">
        <v>4532</v>
      </c>
      <c r="B231" t="s">
        <v>4756</v>
      </c>
      <c r="C231" t="s">
        <v>4519</v>
      </c>
      <c r="D231" t="s">
        <v>4505</v>
      </c>
      <c r="E231" s="620" t="s">
        <v>4758</v>
      </c>
    </row>
    <row r="232" spans="1:5" x14ac:dyDescent="0.3">
      <c r="A232" t="s">
        <v>4532</v>
      </c>
      <c r="B232" t="s">
        <v>4449</v>
      </c>
      <c r="C232" t="s">
        <v>4519</v>
      </c>
      <c r="D232" t="s">
        <v>4505</v>
      </c>
      <c r="E232" s="620">
        <v>5500000</v>
      </c>
    </row>
    <row r="233" spans="1:5" x14ac:dyDescent="0.3">
      <c r="A233" t="s">
        <v>4533</v>
      </c>
      <c r="B233" t="s">
        <v>4756</v>
      </c>
      <c r="C233" t="s">
        <v>4523</v>
      </c>
      <c r="E233" s="620" t="s">
        <v>4758</v>
      </c>
    </row>
    <row r="234" spans="1:5" x14ac:dyDescent="0.3">
      <c r="A234" t="s">
        <v>4533</v>
      </c>
      <c r="B234" t="s">
        <v>4449</v>
      </c>
      <c r="C234" t="s">
        <v>4523</v>
      </c>
      <c r="E234" s="620">
        <v>5500000</v>
      </c>
    </row>
    <row r="235" spans="1:5" x14ac:dyDescent="0.3">
      <c r="A235" t="s">
        <v>4534</v>
      </c>
      <c r="B235" t="s">
        <v>4756</v>
      </c>
      <c r="C235" t="s">
        <v>4523</v>
      </c>
      <c r="E235" s="620" t="s">
        <v>4758</v>
      </c>
    </row>
    <row r="236" spans="1:5" x14ac:dyDescent="0.3">
      <c r="A236" t="s">
        <v>4534</v>
      </c>
      <c r="B236" t="s">
        <v>4449</v>
      </c>
      <c r="C236" t="s">
        <v>4523</v>
      </c>
      <c r="E236" s="620">
        <v>5500000</v>
      </c>
    </row>
    <row r="237" spans="1:5" x14ac:dyDescent="0.3">
      <c r="A237" t="s">
        <v>4535</v>
      </c>
      <c r="B237" t="s">
        <v>4762</v>
      </c>
      <c r="C237" t="s">
        <v>4526</v>
      </c>
      <c r="E237" s="620" t="s">
        <v>4761</v>
      </c>
    </row>
    <row r="238" spans="1:5" x14ac:dyDescent="0.3">
      <c r="A238" t="s">
        <v>4535</v>
      </c>
      <c r="B238" t="s">
        <v>4449</v>
      </c>
      <c r="C238" t="s">
        <v>4526</v>
      </c>
      <c r="E238" s="620">
        <v>5500000</v>
      </c>
    </row>
    <row r="239" spans="1:5" x14ac:dyDescent="0.3">
      <c r="A239" t="s">
        <v>4536</v>
      </c>
      <c r="B239" t="s">
        <v>4756</v>
      </c>
      <c r="C239" t="s">
        <v>4521</v>
      </c>
      <c r="E239" s="620" t="s">
        <v>4758</v>
      </c>
    </row>
    <row r="240" spans="1:5" x14ac:dyDescent="0.3">
      <c r="A240" t="s">
        <v>4536</v>
      </c>
      <c r="B240" t="s">
        <v>4449</v>
      </c>
      <c r="C240" t="s">
        <v>4521</v>
      </c>
      <c r="E240" s="620">
        <v>5500000</v>
      </c>
    </row>
    <row r="241" spans="1:5" x14ac:dyDescent="0.3">
      <c r="A241" t="s">
        <v>4537</v>
      </c>
      <c r="B241" t="s">
        <v>4756</v>
      </c>
      <c r="C241" t="s">
        <v>4519</v>
      </c>
      <c r="E241" s="620" t="s">
        <v>4758</v>
      </c>
    </row>
    <row r="242" spans="1:5" x14ac:dyDescent="0.3">
      <c r="A242" t="s">
        <v>4537</v>
      </c>
      <c r="B242" t="s">
        <v>4449</v>
      </c>
      <c r="C242" t="s">
        <v>4519</v>
      </c>
      <c r="E242" s="620">
        <v>5500000</v>
      </c>
    </row>
    <row r="243" spans="1:5" x14ac:dyDescent="0.3">
      <c r="A243" t="s">
        <v>4538</v>
      </c>
      <c r="B243" t="s">
        <v>4756</v>
      </c>
      <c r="C243" t="s">
        <v>4521</v>
      </c>
      <c r="E243" s="620" t="s">
        <v>4758</v>
      </c>
    </row>
    <row r="244" spans="1:5" x14ac:dyDescent="0.3">
      <c r="A244" t="s">
        <v>4538</v>
      </c>
      <c r="B244" t="s">
        <v>4449</v>
      </c>
      <c r="C244" t="s">
        <v>4521</v>
      </c>
      <c r="E244" s="620">
        <v>5500000</v>
      </c>
    </row>
    <row r="245" spans="1:5" x14ac:dyDescent="0.3">
      <c r="A245" t="s">
        <v>4539</v>
      </c>
      <c r="B245" t="s">
        <v>4756</v>
      </c>
      <c r="C245" t="s">
        <v>4523</v>
      </c>
      <c r="E245" s="620" t="s">
        <v>4757</v>
      </c>
    </row>
    <row r="246" spans="1:5" x14ac:dyDescent="0.3">
      <c r="A246" t="s">
        <v>4539</v>
      </c>
      <c r="B246" t="s">
        <v>4449</v>
      </c>
      <c r="C246" t="s">
        <v>4523</v>
      </c>
      <c r="E246" s="620">
        <v>5000000</v>
      </c>
    </row>
    <row r="247" spans="1:5" x14ac:dyDescent="0.3">
      <c r="A247" t="s">
        <v>4540</v>
      </c>
      <c r="B247" t="s">
        <v>4756</v>
      </c>
      <c r="C247" t="s">
        <v>4519</v>
      </c>
      <c r="E247" s="620" t="s">
        <v>4757</v>
      </c>
    </row>
    <row r="248" spans="1:5" x14ac:dyDescent="0.3">
      <c r="A248" t="s">
        <v>4540</v>
      </c>
      <c r="B248" t="s">
        <v>4449</v>
      </c>
      <c r="C248" t="s">
        <v>4519</v>
      </c>
      <c r="E248" s="620">
        <v>5000000</v>
      </c>
    </row>
    <row r="249" spans="1:5" x14ac:dyDescent="0.3">
      <c r="A249" t="s">
        <v>4541</v>
      </c>
      <c r="B249" t="s">
        <v>4756</v>
      </c>
      <c r="C249" t="s">
        <v>4519</v>
      </c>
      <c r="E249" s="620" t="s">
        <v>4757</v>
      </c>
    </row>
    <row r="250" spans="1:5" x14ac:dyDescent="0.3">
      <c r="A250" t="s">
        <v>4541</v>
      </c>
      <c r="B250" t="s">
        <v>4449</v>
      </c>
      <c r="C250" t="s">
        <v>4519</v>
      </c>
      <c r="E250" s="620">
        <v>5000000</v>
      </c>
    </row>
    <row r="251" spans="1:5" x14ac:dyDescent="0.3">
      <c r="A251" t="s">
        <v>4542</v>
      </c>
      <c r="B251" t="s">
        <v>4756</v>
      </c>
      <c r="C251" t="s">
        <v>4519</v>
      </c>
      <c r="E251" s="620" t="s">
        <v>4758</v>
      </c>
    </row>
    <row r="252" spans="1:5" x14ac:dyDescent="0.3">
      <c r="A252" t="s">
        <v>4542</v>
      </c>
      <c r="B252" t="s">
        <v>4449</v>
      </c>
      <c r="C252" t="s">
        <v>4519</v>
      </c>
      <c r="E252" s="620">
        <v>5500000</v>
      </c>
    </row>
    <row r="253" spans="1:5" x14ac:dyDescent="0.3">
      <c r="A253" t="s">
        <v>4543</v>
      </c>
      <c r="B253" t="s">
        <v>4762</v>
      </c>
      <c r="C253" t="s">
        <v>4526</v>
      </c>
      <c r="E253" s="620" t="s">
        <v>4761</v>
      </c>
    </row>
    <row r="254" spans="1:5" x14ac:dyDescent="0.3">
      <c r="A254" t="s">
        <v>4543</v>
      </c>
      <c r="B254" t="s">
        <v>4449</v>
      </c>
      <c r="C254" t="s">
        <v>4526</v>
      </c>
      <c r="E254" s="620">
        <v>5500000</v>
      </c>
    </row>
    <row r="255" spans="1:5" ht="33" x14ac:dyDescent="0.3">
      <c r="A255" t="s">
        <v>4544</v>
      </c>
      <c r="C255" t="s">
        <v>4545</v>
      </c>
      <c r="D255" s="614" t="s">
        <v>4548</v>
      </c>
      <c r="E255" s="620" t="s">
        <v>4763</v>
      </c>
    </row>
    <row r="256" spans="1:5" ht="33" x14ac:dyDescent="0.3">
      <c r="A256" t="s">
        <v>4544</v>
      </c>
      <c r="C256" t="s">
        <v>4545</v>
      </c>
      <c r="D256" s="614" t="s">
        <v>4548</v>
      </c>
      <c r="E256" s="620">
        <v>5250000</v>
      </c>
    </row>
    <row r="257" spans="1:16" x14ac:dyDescent="0.3">
      <c r="A257" t="s">
        <v>4546</v>
      </c>
      <c r="C257" t="s">
        <v>4550</v>
      </c>
      <c r="D257" t="s">
        <v>4547</v>
      </c>
      <c r="E257" s="620" t="s">
        <v>4764</v>
      </c>
    </row>
    <row r="258" spans="1:16" x14ac:dyDescent="0.3">
      <c r="A258" t="s">
        <v>4546</v>
      </c>
      <c r="C258" t="s">
        <v>4550</v>
      </c>
      <c r="E258" s="620">
        <v>8250000</v>
      </c>
    </row>
    <row r="259" spans="1:16" ht="33" x14ac:dyDescent="0.3">
      <c r="A259" t="s">
        <v>4549</v>
      </c>
      <c r="C259" t="s">
        <v>4551</v>
      </c>
      <c r="D259" s="614" t="s">
        <v>4554</v>
      </c>
      <c r="E259" s="620" t="s">
        <v>4764</v>
      </c>
    </row>
    <row r="260" spans="1:16" ht="33" x14ac:dyDescent="0.3">
      <c r="A260" t="s">
        <v>4549</v>
      </c>
      <c r="C260" t="s">
        <v>4551</v>
      </c>
      <c r="D260" s="614" t="s">
        <v>4554</v>
      </c>
      <c r="E260" s="620">
        <v>6250000</v>
      </c>
      <c r="P260" s="598"/>
    </row>
    <row r="261" spans="1:16" ht="49.5" x14ac:dyDescent="0.3">
      <c r="C261" t="s">
        <v>4552</v>
      </c>
      <c r="D261" s="614" t="s">
        <v>4555</v>
      </c>
      <c r="E261" s="620" t="s">
        <v>4764</v>
      </c>
      <c r="P261" s="598"/>
    </row>
    <row r="262" spans="1:16" ht="49.5" x14ac:dyDescent="0.3">
      <c r="C262" t="s">
        <v>4552</v>
      </c>
      <c r="D262" s="614" t="s">
        <v>4555</v>
      </c>
      <c r="E262" s="620">
        <v>8250000</v>
      </c>
    </row>
    <row r="263" spans="1:16" ht="33" x14ac:dyDescent="0.3">
      <c r="C263" t="s">
        <v>4553</v>
      </c>
      <c r="D263" s="614" t="s">
        <v>4556</v>
      </c>
      <c r="E263" s="620" t="s">
        <v>4764</v>
      </c>
    </row>
    <row r="264" spans="1:16" ht="33" x14ac:dyDescent="0.3">
      <c r="C264" t="s">
        <v>4553</v>
      </c>
      <c r="D264" s="614" t="s">
        <v>4556</v>
      </c>
      <c r="E264" s="620">
        <v>8250000</v>
      </c>
    </row>
    <row r="265" spans="1:16" x14ac:dyDescent="0.3">
      <c r="A265" t="s">
        <v>4557</v>
      </c>
      <c r="B265" t="s">
        <v>4765</v>
      </c>
      <c r="C265" t="s">
        <v>4559</v>
      </c>
      <c r="D265" s="614" t="s">
        <v>4561</v>
      </c>
      <c r="E265" s="620" t="s">
        <v>4767</v>
      </c>
    </row>
    <row r="266" spans="1:16" x14ac:dyDescent="0.3">
      <c r="B266" t="s">
        <v>4766</v>
      </c>
      <c r="C266" t="s">
        <v>4559</v>
      </c>
      <c r="D266" s="614" t="s">
        <v>4561</v>
      </c>
      <c r="E266" s="620" t="s">
        <v>4768</v>
      </c>
    </row>
    <row r="267" spans="1:16" x14ac:dyDescent="0.3">
      <c r="A267" t="s">
        <v>4557</v>
      </c>
      <c r="B267" t="s">
        <v>4558</v>
      </c>
      <c r="C267" t="s">
        <v>4559</v>
      </c>
      <c r="D267" s="614" t="s">
        <v>4561</v>
      </c>
      <c r="E267" s="620">
        <v>4250000</v>
      </c>
    </row>
    <row r="268" spans="1:16" ht="33" x14ac:dyDescent="0.3">
      <c r="B268" t="s">
        <v>4765</v>
      </c>
      <c r="C268" t="s">
        <v>4559</v>
      </c>
      <c r="D268" s="614" t="s">
        <v>4562</v>
      </c>
      <c r="E268" s="620" t="s">
        <v>4769</v>
      </c>
    </row>
    <row r="269" spans="1:16" ht="33" x14ac:dyDescent="0.3">
      <c r="B269" t="s">
        <v>4766</v>
      </c>
      <c r="C269" t="s">
        <v>4559</v>
      </c>
      <c r="D269" s="614" t="s">
        <v>4562</v>
      </c>
      <c r="E269" s="620" t="s">
        <v>4770</v>
      </c>
    </row>
    <row r="270" spans="1:16" ht="33" x14ac:dyDescent="0.3">
      <c r="B270" t="s">
        <v>4558</v>
      </c>
      <c r="C270" t="s">
        <v>4559</v>
      </c>
      <c r="D270" s="614" t="s">
        <v>4562</v>
      </c>
      <c r="E270" s="620">
        <v>4750000</v>
      </c>
    </row>
    <row r="271" spans="1:16" ht="33" x14ac:dyDescent="0.3">
      <c r="B271" t="s">
        <v>4765</v>
      </c>
      <c r="C271" t="s">
        <v>4559</v>
      </c>
      <c r="D271" s="614" t="s">
        <v>4563</v>
      </c>
      <c r="E271" s="620" t="s">
        <v>4767</v>
      </c>
    </row>
    <row r="272" spans="1:16" ht="33" x14ac:dyDescent="0.3">
      <c r="B272" t="s">
        <v>4766</v>
      </c>
      <c r="C272" t="s">
        <v>4559</v>
      </c>
      <c r="D272" s="614" t="s">
        <v>4563</v>
      </c>
      <c r="E272" s="620" t="s">
        <v>4768</v>
      </c>
    </row>
    <row r="273" spans="1:9" ht="33" x14ac:dyDescent="0.3">
      <c r="B273" t="s">
        <v>4558</v>
      </c>
      <c r="C273" t="s">
        <v>4559</v>
      </c>
      <c r="D273" s="614" t="s">
        <v>4563</v>
      </c>
      <c r="E273" s="620">
        <v>4250000</v>
      </c>
    </row>
    <row r="274" spans="1:9" ht="66" x14ac:dyDescent="0.3">
      <c r="B274" t="s">
        <v>4765</v>
      </c>
      <c r="C274" t="s">
        <v>4559</v>
      </c>
      <c r="D274" s="614" t="s">
        <v>4564</v>
      </c>
      <c r="E274" s="620" t="s">
        <v>4769</v>
      </c>
    </row>
    <row r="275" spans="1:9" ht="66" x14ac:dyDescent="0.3">
      <c r="B275" t="s">
        <v>4766</v>
      </c>
      <c r="C275" t="s">
        <v>4559</v>
      </c>
      <c r="D275" s="614" t="s">
        <v>4564</v>
      </c>
      <c r="E275" s="620" t="s">
        <v>4770</v>
      </c>
    </row>
    <row r="276" spans="1:9" ht="66" x14ac:dyDescent="0.3">
      <c r="B276" t="s">
        <v>4558</v>
      </c>
      <c r="C276" t="s">
        <v>4559</v>
      </c>
      <c r="D276" s="614" t="s">
        <v>4564</v>
      </c>
      <c r="E276" s="620">
        <v>4750000</v>
      </c>
    </row>
    <row r="277" spans="1:9" x14ac:dyDescent="0.3">
      <c r="A277" t="s">
        <v>4560</v>
      </c>
      <c r="B277" t="s">
        <v>4762</v>
      </c>
      <c r="C277" t="s">
        <v>4566</v>
      </c>
      <c r="D277" s="614" t="s">
        <v>4565</v>
      </c>
      <c r="E277" s="620" t="s">
        <v>4771</v>
      </c>
    </row>
    <row r="278" spans="1:9" x14ac:dyDescent="0.3">
      <c r="A278" t="s">
        <v>4560</v>
      </c>
      <c r="B278" t="s">
        <v>4558</v>
      </c>
      <c r="C278" t="s">
        <v>4566</v>
      </c>
      <c r="D278" s="614" t="s">
        <v>4565</v>
      </c>
      <c r="E278" s="620">
        <v>15000000</v>
      </c>
      <c r="I278" s="598"/>
    </row>
    <row r="279" spans="1:9" x14ac:dyDescent="0.3">
      <c r="A279" t="s">
        <v>4560</v>
      </c>
      <c r="B279" t="s">
        <v>4762</v>
      </c>
      <c r="C279" t="s">
        <v>4566</v>
      </c>
      <c r="D279" s="614" t="s">
        <v>4428</v>
      </c>
      <c r="E279" s="620" t="s">
        <v>4772</v>
      </c>
      <c r="I279" s="598"/>
    </row>
    <row r="280" spans="1:9" x14ac:dyDescent="0.3">
      <c r="A280" t="s">
        <v>4560</v>
      </c>
      <c r="B280" t="s">
        <v>4558</v>
      </c>
      <c r="C280" t="s">
        <v>4566</v>
      </c>
      <c r="D280" s="614" t="s">
        <v>4428</v>
      </c>
      <c r="E280" s="620">
        <v>20000000</v>
      </c>
    </row>
    <row r="281" spans="1:9" x14ac:dyDescent="0.3">
      <c r="A281" t="s">
        <v>4567</v>
      </c>
      <c r="B281" t="s">
        <v>4568</v>
      </c>
      <c r="C281" t="s">
        <v>4569</v>
      </c>
      <c r="D281" s="614" t="s">
        <v>4576</v>
      </c>
      <c r="E281" s="620">
        <v>1020000</v>
      </c>
    </row>
    <row r="282" spans="1:9" x14ac:dyDescent="0.3">
      <c r="C282" t="s">
        <v>4570</v>
      </c>
      <c r="E282" s="620">
        <v>1020000</v>
      </c>
    </row>
    <row r="283" spans="1:9" x14ac:dyDescent="0.3">
      <c r="C283" t="s">
        <v>4571</v>
      </c>
      <c r="E283" s="620">
        <v>1320000</v>
      </c>
    </row>
    <row r="284" spans="1:9" x14ac:dyDescent="0.3">
      <c r="C284" t="s">
        <v>4572</v>
      </c>
      <c r="E284" s="620">
        <v>1560000</v>
      </c>
    </row>
    <row r="285" spans="1:9" x14ac:dyDescent="0.3">
      <c r="C285" t="s">
        <v>4573</v>
      </c>
      <c r="E285" s="620">
        <v>1800000</v>
      </c>
    </row>
    <row r="286" spans="1:9" x14ac:dyDescent="0.3">
      <c r="C286" t="s">
        <v>4574</v>
      </c>
      <c r="E286" s="620">
        <v>2190000</v>
      </c>
    </row>
    <row r="287" spans="1:9" x14ac:dyDescent="0.3">
      <c r="C287" t="s">
        <v>4575</v>
      </c>
      <c r="D287" t="s">
        <v>4577</v>
      </c>
      <c r="E287" s="620">
        <v>1830000</v>
      </c>
    </row>
    <row r="288" spans="1:9" x14ac:dyDescent="0.3">
      <c r="A288" t="s">
        <v>4578</v>
      </c>
      <c r="B288" t="s">
        <v>4579</v>
      </c>
      <c r="C288" t="s">
        <v>4580</v>
      </c>
      <c r="D288" t="s">
        <v>4424</v>
      </c>
      <c r="E288" s="620">
        <v>2520000</v>
      </c>
    </row>
    <row r="289" spans="1:5" x14ac:dyDescent="0.3">
      <c r="C289" t="s">
        <v>4581</v>
      </c>
      <c r="E289" s="620">
        <v>3630000</v>
      </c>
    </row>
    <row r="290" spans="1:5" x14ac:dyDescent="0.3">
      <c r="C290" t="s">
        <v>4582</v>
      </c>
      <c r="E290" s="620">
        <v>4860000</v>
      </c>
    </row>
    <row r="291" spans="1:5" x14ac:dyDescent="0.3">
      <c r="B291" t="s">
        <v>4568</v>
      </c>
      <c r="C291" t="s">
        <v>4580</v>
      </c>
      <c r="E291" s="620">
        <v>2520000</v>
      </c>
    </row>
    <row r="292" spans="1:5" x14ac:dyDescent="0.3">
      <c r="C292" t="s">
        <v>4581</v>
      </c>
      <c r="E292" s="620">
        <v>3630000</v>
      </c>
    </row>
    <row r="293" spans="1:5" x14ac:dyDescent="0.3">
      <c r="C293" t="s">
        <v>4583</v>
      </c>
      <c r="E293" s="620">
        <v>4860000</v>
      </c>
    </row>
    <row r="294" spans="1:5" x14ac:dyDescent="0.3">
      <c r="B294" t="s">
        <v>4579</v>
      </c>
      <c r="C294" t="s">
        <v>4584</v>
      </c>
      <c r="D294" t="s">
        <v>4458</v>
      </c>
      <c r="E294" s="620">
        <v>3060000</v>
      </c>
    </row>
    <row r="295" spans="1:5" x14ac:dyDescent="0.3">
      <c r="C295" t="s">
        <v>4584</v>
      </c>
      <c r="D295" t="s">
        <v>4428</v>
      </c>
      <c r="E295" s="620">
        <v>4290000</v>
      </c>
    </row>
    <row r="296" spans="1:5" x14ac:dyDescent="0.3">
      <c r="A296" t="s">
        <v>4585</v>
      </c>
      <c r="B296" t="s">
        <v>4396</v>
      </c>
      <c r="C296" t="s">
        <v>4586</v>
      </c>
      <c r="D296" t="s">
        <v>4589</v>
      </c>
      <c r="E296" s="620">
        <v>1470000</v>
      </c>
    </row>
    <row r="297" spans="1:5" x14ac:dyDescent="0.3">
      <c r="C297" t="s">
        <v>4587</v>
      </c>
      <c r="E297" s="598">
        <v>1680000</v>
      </c>
    </row>
    <row r="298" spans="1:5" x14ac:dyDescent="0.3">
      <c r="C298" t="s">
        <v>4588</v>
      </c>
      <c r="E298" s="620">
        <v>1860000</v>
      </c>
    </row>
    <row r="299" spans="1:5" ht="33" x14ac:dyDescent="0.3">
      <c r="A299" s="614" t="s">
        <v>4590</v>
      </c>
      <c r="B299" t="s">
        <v>4594</v>
      </c>
      <c r="C299">
        <v>350</v>
      </c>
      <c r="D299" t="s">
        <v>4505</v>
      </c>
      <c r="E299" t="s">
        <v>4595</v>
      </c>
    </row>
    <row r="300" spans="1:5" x14ac:dyDescent="0.3">
      <c r="B300" t="s">
        <v>4591</v>
      </c>
      <c r="C300">
        <v>350</v>
      </c>
      <c r="E300" t="s">
        <v>4596</v>
      </c>
    </row>
    <row r="301" spans="1:5" x14ac:dyDescent="0.3">
      <c r="B301" t="s">
        <v>4592</v>
      </c>
      <c r="C301">
        <v>350</v>
      </c>
      <c r="E301" t="s">
        <v>4597</v>
      </c>
    </row>
    <row r="302" spans="1:5" x14ac:dyDescent="0.3">
      <c r="B302" t="s">
        <v>4593</v>
      </c>
      <c r="C302">
        <v>350</v>
      </c>
      <c r="E302" t="s">
        <v>4598</v>
      </c>
    </row>
    <row r="303" spans="1:5" x14ac:dyDescent="0.3">
      <c r="A303" t="s">
        <v>4599</v>
      </c>
      <c r="B303" t="s">
        <v>4396</v>
      </c>
      <c r="C303">
        <v>250</v>
      </c>
      <c r="D303" t="s">
        <v>4600</v>
      </c>
      <c r="E303" s="620">
        <v>540000</v>
      </c>
    </row>
    <row r="304" spans="1:5" x14ac:dyDescent="0.3">
      <c r="C304">
        <v>300</v>
      </c>
      <c r="E304" s="620">
        <v>630000</v>
      </c>
    </row>
    <row r="305" spans="2:5" x14ac:dyDescent="0.3">
      <c r="C305">
        <v>350</v>
      </c>
      <c r="E305" s="620">
        <v>750000</v>
      </c>
    </row>
    <row r="306" spans="2:5" x14ac:dyDescent="0.3">
      <c r="B306" t="s">
        <v>4601</v>
      </c>
      <c r="C306">
        <v>128</v>
      </c>
      <c r="D306" t="s">
        <v>4424</v>
      </c>
      <c r="E306" s="620">
        <v>345000</v>
      </c>
    </row>
    <row r="307" spans="2:5" x14ac:dyDescent="0.3">
      <c r="C307">
        <v>245</v>
      </c>
      <c r="E307" s="620">
        <v>675000</v>
      </c>
    </row>
    <row r="308" spans="2:5" x14ac:dyDescent="0.3">
      <c r="C308">
        <v>295</v>
      </c>
      <c r="E308" s="620">
        <v>810000</v>
      </c>
    </row>
    <row r="309" spans="2:5" x14ac:dyDescent="0.3">
      <c r="C309">
        <v>395</v>
      </c>
      <c r="E309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390"/>
  <sheetViews>
    <sheetView workbookViewId="0">
      <selection activeCell="D24" sqref="D24"/>
    </sheetView>
  </sheetViews>
  <sheetFormatPr defaultRowHeight="16.5" x14ac:dyDescent="0.3"/>
  <cols>
    <col min="1" max="1" width="32.875" bestFit="1" customWidth="1"/>
    <col min="4" max="4" width="41.875" customWidth="1"/>
    <col min="5" max="5" width="12.1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5" t="s">
        <v>4746</v>
      </c>
    </row>
    <row r="2" spans="1:7" x14ac:dyDescent="0.3">
      <c r="A2" t="s">
        <v>4747</v>
      </c>
      <c r="B2" t="s">
        <v>4284</v>
      </c>
      <c r="C2">
        <v>83</v>
      </c>
      <c r="D2" t="s">
        <v>4605</v>
      </c>
      <c r="E2" s="620">
        <v>98350</v>
      </c>
    </row>
    <row r="3" spans="1:7" x14ac:dyDescent="0.3">
      <c r="C3">
        <v>90</v>
      </c>
      <c r="E3" s="620">
        <v>106650</v>
      </c>
      <c r="G3" s="624">
        <v>119</v>
      </c>
    </row>
    <row r="4" spans="1:7" x14ac:dyDescent="0.3">
      <c r="C4">
        <v>100</v>
      </c>
      <c r="E4" s="620">
        <v>118500</v>
      </c>
      <c r="G4" s="624">
        <v>142</v>
      </c>
    </row>
    <row r="5" spans="1:7" x14ac:dyDescent="0.3">
      <c r="C5">
        <v>130</v>
      </c>
      <c r="E5" s="620">
        <v>154050</v>
      </c>
      <c r="G5" s="624">
        <v>184</v>
      </c>
    </row>
    <row r="6" spans="1:7" x14ac:dyDescent="0.3">
      <c r="C6">
        <v>160</v>
      </c>
      <c r="E6" s="598">
        <v>189600</v>
      </c>
      <c r="G6" s="624">
        <v>229</v>
      </c>
    </row>
    <row r="7" spans="1:7" x14ac:dyDescent="0.3">
      <c r="C7">
        <v>190</v>
      </c>
      <c r="E7" s="620">
        <v>225150</v>
      </c>
      <c r="G7" s="624">
        <v>267</v>
      </c>
    </row>
    <row r="8" spans="1:7" x14ac:dyDescent="0.3">
      <c r="C8">
        <v>210</v>
      </c>
      <c r="E8" s="620">
        <v>248850</v>
      </c>
      <c r="G8" s="624">
        <v>289</v>
      </c>
    </row>
    <row r="9" spans="1:7" x14ac:dyDescent="0.3">
      <c r="C9">
        <v>240</v>
      </c>
      <c r="E9" s="620">
        <v>284400</v>
      </c>
      <c r="G9" s="624">
        <v>323</v>
      </c>
    </row>
    <row r="10" spans="1:7" x14ac:dyDescent="0.3">
      <c r="B10" t="s">
        <v>4396</v>
      </c>
      <c r="C10">
        <v>83</v>
      </c>
      <c r="E10" s="620">
        <v>141590</v>
      </c>
    </row>
    <row r="11" spans="1:7" x14ac:dyDescent="0.3">
      <c r="C11">
        <v>90</v>
      </c>
      <c r="E11" s="620">
        <v>153530</v>
      </c>
      <c r="G11" s="624">
        <v>119</v>
      </c>
    </row>
    <row r="12" spans="1:7" x14ac:dyDescent="0.3">
      <c r="C12">
        <v>100</v>
      </c>
      <c r="E12" s="620">
        <v>170590</v>
      </c>
      <c r="G12" s="624">
        <v>142</v>
      </c>
    </row>
    <row r="13" spans="1:7" x14ac:dyDescent="0.3">
      <c r="C13">
        <v>130</v>
      </c>
      <c r="E13" s="620">
        <v>221760</v>
      </c>
      <c r="G13" s="624">
        <v>184</v>
      </c>
    </row>
    <row r="14" spans="1:7" x14ac:dyDescent="0.3">
      <c r="C14">
        <v>160</v>
      </c>
      <c r="E14" s="620">
        <v>272940</v>
      </c>
      <c r="G14" s="624">
        <v>229</v>
      </c>
    </row>
    <row r="15" spans="1:7" x14ac:dyDescent="0.3">
      <c r="C15">
        <v>190</v>
      </c>
      <c r="E15" s="620">
        <v>324120</v>
      </c>
      <c r="G15" s="624">
        <v>267</v>
      </c>
    </row>
    <row r="16" spans="1:7" x14ac:dyDescent="0.3">
      <c r="C16">
        <v>210</v>
      </c>
      <c r="E16" s="598">
        <v>358240</v>
      </c>
      <c r="G16" s="624">
        <v>289</v>
      </c>
    </row>
    <row r="17" spans="1:7" x14ac:dyDescent="0.3">
      <c r="C17">
        <v>240</v>
      </c>
      <c r="E17" s="598">
        <v>409420</v>
      </c>
      <c r="G17" s="624">
        <v>323</v>
      </c>
    </row>
    <row r="18" spans="1:7" x14ac:dyDescent="0.3">
      <c r="A18" t="s">
        <v>4603</v>
      </c>
      <c r="B18" t="s">
        <v>4284</v>
      </c>
      <c r="C18">
        <v>85</v>
      </c>
      <c r="D18" t="s">
        <v>4602</v>
      </c>
      <c r="E18" s="620">
        <v>87560</v>
      </c>
    </row>
    <row r="19" spans="1:7" x14ac:dyDescent="0.3">
      <c r="C19">
        <v>105</v>
      </c>
      <c r="E19" s="620">
        <v>108160</v>
      </c>
      <c r="G19" s="624">
        <v>118</v>
      </c>
    </row>
    <row r="20" spans="1:7" x14ac:dyDescent="0.3">
      <c r="C20">
        <v>128</v>
      </c>
      <c r="E20" s="598">
        <v>131860</v>
      </c>
      <c r="G20" s="624">
        <v>141</v>
      </c>
    </row>
    <row r="21" spans="1:7" x14ac:dyDescent="0.3">
      <c r="C21">
        <v>157</v>
      </c>
      <c r="E21" s="620">
        <v>161730</v>
      </c>
      <c r="G21" s="624">
        <v>170</v>
      </c>
    </row>
    <row r="22" spans="1:7" x14ac:dyDescent="0.3">
      <c r="C22">
        <v>209</v>
      </c>
      <c r="E22" s="620">
        <v>215300</v>
      </c>
      <c r="G22" s="624">
        <v>224</v>
      </c>
    </row>
    <row r="23" spans="1:7" x14ac:dyDescent="0.3">
      <c r="C23">
        <v>233</v>
      </c>
      <c r="E23" s="620">
        <v>240030</v>
      </c>
      <c r="G23" s="624">
        <v>249</v>
      </c>
    </row>
    <row r="24" spans="1:7" x14ac:dyDescent="0.3">
      <c r="C24">
        <v>262</v>
      </c>
      <c r="E24" s="620">
        <v>269900</v>
      </c>
      <c r="G24" s="624">
        <v>280</v>
      </c>
    </row>
    <row r="25" spans="1:7" x14ac:dyDescent="0.3">
      <c r="C25">
        <v>300</v>
      </c>
      <c r="E25" s="620">
        <v>309050</v>
      </c>
      <c r="G25" s="624">
        <v>330</v>
      </c>
    </row>
    <row r="26" spans="1:7" x14ac:dyDescent="0.3">
      <c r="C26">
        <v>350</v>
      </c>
      <c r="E26" s="620">
        <v>360560</v>
      </c>
      <c r="G26" s="624">
        <v>385</v>
      </c>
    </row>
    <row r="27" spans="1:7" x14ac:dyDescent="0.3">
      <c r="C27">
        <v>400</v>
      </c>
      <c r="E27" s="620">
        <v>412070</v>
      </c>
      <c r="G27" s="624">
        <v>440</v>
      </c>
    </row>
    <row r="28" spans="1:7" x14ac:dyDescent="0.3">
      <c r="B28" t="s">
        <v>4396</v>
      </c>
      <c r="C28">
        <v>85</v>
      </c>
      <c r="E28" s="620">
        <v>126050</v>
      </c>
    </row>
    <row r="29" spans="1:7" x14ac:dyDescent="0.3">
      <c r="C29">
        <v>105</v>
      </c>
      <c r="E29" s="620">
        <v>155710</v>
      </c>
      <c r="G29" s="624">
        <v>118</v>
      </c>
    </row>
    <row r="30" spans="1:7" x14ac:dyDescent="0.3">
      <c r="C30">
        <v>128</v>
      </c>
      <c r="E30" s="620">
        <v>189820</v>
      </c>
      <c r="G30" s="624">
        <v>141</v>
      </c>
    </row>
    <row r="31" spans="1:7" x14ac:dyDescent="0.3">
      <c r="C31">
        <v>157</v>
      </c>
      <c r="E31" s="620">
        <v>232830</v>
      </c>
      <c r="G31" s="624">
        <v>170</v>
      </c>
    </row>
    <row r="32" spans="1:7" x14ac:dyDescent="0.3">
      <c r="C32">
        <v>209</v>
      </c>
      <c r="E32" s="620">
        <v>309940</v>
      </c>
      <c r="G32" s="624">
        <v>224</v>
      </c>
    </row>
    <row r="33" spans="1:7" x14ac:dyDescent="0.3">
      <c r="C33">
        <v>233</v>
      </c>
      <c r="E33" s="620">
        <v>345530</v>
      </c>
      <c r="G33" s="624">
        <v>249</v>
      </c>
    </row>
    <row r="34" spans="1:7" x14ac:dyDescent="0.3">
      <c r="C34">
        <v>262</v>
      </c>
      <c r="E34" s="620">
        <v>388540</v>
      </c>
      <c r="G34" s="624">
        <v>280</v>
      </c>
    </row>
    <row r="35" spans="1:7" x14ac:dyDescent="0.3">
      <c r="C35">
        <v>300</v>
      </c>
      <c r="E35" s="620">
        <v>444890</v>
      </c>
      <c r="G35" s="624">
        <v>330</v>
      </c>
    </row>
    <row r="36" spans="1:7" x14ac:dyDescent="0.3">
      <c r="C36">
        <v>350</v>
      </c>
      <c r="E36" s="620">
        <v>519040</v>
      </c>
      <c r="G36" s="624">
        <v>385</v>
      </c>
    </row>
    <row r="37" spans="1:7" x14ac:dyDescent="0.3">
      <c r="C37">
        <v>400</v>
      </c>
      <c r="E37" s="620">
        <v>593190</v>
      </c>
      <c r="G37" s="624">
        <v>440</v>
      </c>
    </row>
    <row r="38" spans="1:7" x14ac:dyDescent="0.3">
      <c r="A38" t="s">
        <v>4604</v>
      </c>
      <c r="B38" t="s">
        <v>4284</v>
      </c>
      <c r="C38">
        <v>128</v>
      </c>
      <c r="E38" s="620">
        <v>131860</v>
      </c>
      <c r="G38" s="624">
        <v>155</v>
      </c>
    </row>
    <row r="39" spans="1:7" x14ac:dyDescent="0.3">
      <c r="C39">
        <v>157</v>
      </c>
      <c r="E39" s="620">
        <v>161730</v>
      </c>
    </row>
    <row r="40" spans="1:7" x14ac:dyDescent="0.3">
      <c r="C40">
        <v>186</v>
      </c>
      <c r="E40" s="620">
        <v>191610</v>
      </c>
    </row>
    <row r="41" spans="1:7" x14ac:dyDescent="0.3">
      <c r="C41">
        <v>233</v>
      </c>
      <c r="E41" s="620">
        <v>240030</v>
      </c>
    </row>
    <row r="42" spans="1:7" x14ac:dyDescent="0.3">
      <c r="B42" t="s">
        <v>4396</v>
      </c>
      <c r="C42">
        <v>128</v>
      </c>
      <c r="E42" s="620">
        <v>189820</v>
      </c>
    </row>
    <row r="43" spans="1:7" x14ac:dyDescent="0.3">
      <c r="C43">
        <v>157</v>
      </c>
      <c r="E43" s="620">
        <v>232830</v>
      </c>
    </row>
    <row r="44" spans="1:7" x14ac:dyDescent="0.3">
      <c r="C44">
        <v>186</v>
      </c>
      <c r="E44" s="620">
        <v>275830</v>
      </c>
    </row>
    <row r="45" spans="1:7" x14ac:dyDescent="0.3">
      <c r="C45">
        <v>233</v>
      </c>
      <c r="E45" s="620">
        <v>345530</v>
      </c>
    </row>
    <row r="46" spans="1:7" x14ac:dyDescent="0.3">
      <c r="A46" t="s">
        <v>4606</v>
      </c>
      <c r="B46" t="s">
        <v>4284</v>
      </c>
      <c r="C46">
        <v>112</v>
      </c>
      <c r="D46" t="s">
        <v>4605</v>
      </c>
      <c r="E46" s="620">
        <v>132720</v>
      </c>
    </row>
    <row r="47" spans="1:7" x14ac:dyDescent="0.3">
      <c r="C47">
        <v>122</v>
      </c>
      <c r="E47" s="620">
        <v>144570</v>
      </c>
    </row>
    <row r="48" spans="1:7" x14ac:dyDescent="0.3">
      <c r="C48">
        <v>145</v>
      </c>
      <c r="E48" s="620">
        <v>171820</v>
      </c>
    </row>
    <row r="49" spans="1:5" x14ac:dyDescent="0.3">
      <c r="C49">
        <v>174</v>
      </c>
      <c r="E49" s="620">
        <v>206190</v>
      </c>
    </row>
    <row r="50" spans="1:5" x14ac:dyDescent="0.3">
      <c r="C50">
        <v>203</v>
      </c>
      <c r="E50" s="620">
        <v>240560</v>
      </c>
    </row>
    <row r="51" spans="1:5" x14ac:dyDescent="0.3">
      <c r="C51">
        <v>222</v>
      </c>
      <c r="E51" s="620">
        <v>263070</v>
      </c>
    </row>
    <row r="52" spans="1:5" x14ac:dyDescent="0.3">
      <c r="C52">
        <v>251</v>
      </c>
      <c r="E52" s="620">
        <v>297440</v>
      </c>
    </row>
    <row r="53" spans="1:5" x14ac:dyDescent="0.3">
      <c r="B53" t="s">
        <v>4396</v>
      </c>
      <c r="C53">
        <v>112</v>
      </c>
      <c r="E53" s="620">
        <v>191060</v>
      </c>
    </row>
    <row r="54" spans="1:5" x14ac:dyDescent="0.3">
      <c r="C54">
        <v>122</v>
      </c>
      <c r="E54" s="620">
        <v>208120</v>
      </c>
    </row>
    <row r="55" spans="1:5" x14ac:dyDescent="0.3">
      <c r="C55">
        <v>145</v>
      </c>
      <c r="E55" s="620">
        <v>247350</v>
      </c>
    </row>
    <row r="56" spans="1:5" x14ac:dyDescent="0.3">
      <c r="C56">
        <v>174</v>
      </c>
      <c r="E56" s="620">
        <v>296820</v>
      </c>
    </row>
    <row r="57" spans="1:5" x14ac:dyDescent="0.3">
      <c r="C57">
        <v>203</v>
      </c>
      <c r="E57" s="620">
        <v>346300</v>
      </c>
    </row>
    <row r="58" spans="1:5" x14ac:dyDescent="0.3">
      <c r="C58">
        <v>222</v>
      </c>
      <c r="E58" s="620">
        <v>378710</v>
      </c>
    </row>
    <row r="59" spans="1:5" x14ac:dyDescent="0.3">
      <c r="C59">
        <v>251</v>
      </c>
      <c r="E59" s="620">
        <v>428180</v>
      </c>
    </row>
    <row r="60" spans="1:5" x14ac:dyDescent="0.3">
      <c r="A60" t="s">
        <v>4607</v>
      </c>
      <c r="B60" t="s">
        <v>4284</v>
      </c>
      <c r="C60">
        <v>90</v>
      </c>
      <c r="E60" s="620">
        <v>106650</v>
      </c>
    </row>
    <row r="61" spans="1:5" x14ac:dyDescent="0.3">
      <c r="C61">
        <v>100</v>
      </c>
      <c r="E61" s="620">
        <v>118500</v>
      </c>
    </row>
    <row r="62" spans="1:5" x14ac:dyDescent="0.3">
      <c r="C62">
        <v>130</v>
      </c>
      <c r="E62" s="620">
        <v>154050</v>
      </c>
    </row>
    <row r="63" spans="1:5" x14ac:dyDescent="0.3">
      <c r="C63">
        <v>160</v>
      </c>
      <c r="E63" s="620">
        <v>189600</v>
      </c>
    </row>
    <row r="64" spans="1:5" x14ac:dyDescent="0.3">
      <c r="C64">
        <v>190</v>
      </c>
      <c r="E64" s="620">
        <v>225150</v>
      </c>
    </row>
    <row r="65" spans="1:5" x14ac:dyDescent="0.3">
      <c r="C65">
        <v>210</v>
      </c>
      <c r="E65" s="620">
        <v>248850</v>
      </c>
    </row>
    <row r="66" spans="1:5" x14ac:dyDescent="0.3">
      <c r="C66">
        <v>230</v>
      </c>
      <c r="E66" s="620">
        <v>272550</v>
      </c>
    </row>
    <row r="67" spans="1:5" x14ac:dyDescent="0.3">
      <c r="C67">
        <v>260</v>
      </c>
      <c r="E67" s="620">
        <v>308100</v>
      </c>
    </row>
    <row r="68" spans="1:5" x14ac:dyDescent="0.3">
      <c r="B68" t="s">
        <v>4396</v>
      </c>
      <c r="C68">
        <v>90</v>
      </c>
      <c r="E68" s="620">
        <v>153530</v>
      </c>
    </row>
    <row r="69" spans="1:5" x14ac:dyDescent="0.3">
      <c r="C69">
        <v>100</v>
      </c>
      <c r="E69" s="620">
        <v>170590</v>
      </c>
    </row>
    <row r="70" spans="1:5" x14ac:dyDescent="0.3">
      <c r="C70">
        <v>130</v>
      </c>
      <c r="E70" s="620">
        <v>221760</v>
      </c>
    </row>
    <row r="71" spans="1:5" x14ac:dyDescent="0.3">
      <c r="C71">
        <v>160</v>
      </c>
      <c r="E71" s="620">
        <v>272940</v>
      </c>
    </row>
    <row r="72" spans="1:5" x14ac:dyDescent="0.3">
      <c r="C72">
        <v>190</v>
      </c>
      <c r="E72" s="620">
        <v>324120</v>
      </c>
    </row>
    <row r="73" spans="1:5" x14ac:dyDescent="0.3">
      <c r="C73">
        <v>210</v>
      </c>
      <c r="E73" s="620">
        <v>358240</v>
      </c>
    </row>
    <row r="74" spans="1:5" x14ac:dyDescent="0.3">
      <c r="C74">
        <v>230</v>
      </c>
      <c r="E74" s="620">
        <v>392360</v>
      </c>
    </row>
    <row r="75" spans="1:5" x14ac:dyDescent="0.3">
      <c r="C75">
        <v>260</v>
      </c>
      <c r="E75" s="620">
        <v>443530</v>
      </c>
    </row>
    <row r="76" spans="1:5" x14ac:dyDescent="0.3">
      <c r="A76" t="s">
        <v>4608</v>
      </c>
      <c r="B76" t="s">
        <v>4284</v>
      </c>
      <c r="C76">
        <v>300</v>
      </c>
      <c r="D76" t="s">
        <v>4602</v>
      </c>
      <c r="E76" s="620">
        <v>283290</v>
      </c>
    </row>
    <row r="77" spans="1:5" x14ac:dyDescent="0.3">
      <c r="C77">
        <v>350</v>
      </c>
      <c r="E77" s="620">
        <v>330510</v>
      </c>
    </row>
    <row r="78" spans="1:5" x14ac:dyDescent="0.3">
      <c r="C78">
        <v>400</v>
      </c>
      <c r="E78" s="620">
        <v>377730</v>
      </c>
    </row>
    <row r="79" spans="1:5" x14ac:dyDescent="0.3">
      <c r="B79" t="s">
        <v>4396</v>
      </c>
      <c r="C79">
        <v>300</v>
      </c>
      <c r="E79" s="620">
        <v>407820</v>
      </c>
    </row>
    <row r="80" spans="1:5" x14ac:dyDescent="0.3">
      <c r="C80">
        <v>350</v>
      </c>
      <c r="E80" s="620">
        <v>475790</v>
      </c>
    </row>
    <row r="81" spans="1:7" x14ac:dyDescent="0.3">
      <c r="C81">
        <v>400</v>
      </c>
      <c r="E81" s="620">
        <v>543760</v>
      </c>
    </row>
    <row r="82" spans="1:7" x14ac:dyDescent="0.3">
      <c r="A82" t="s">
        <v>4609</v>
      </c>
      <c r="B82" t="s">
        <v>4284</v>
      </c>
      <c r="C82">
        <v>300</v>
      </c>
      <c r="E82" s="620">
        <v>321050</v>
      </c>
    </row>
    <row r="83" spans="1:7" x14ac:dyDescent="0.3">
      <c r="C83">
        <v>350</v>
      </c>
      <c r="E83" s="620">
        <v>374560</v>
      </c>
    </row>
    <row r="84" spans="1:7" x14ac:dyDescent="0.3">
      <c r="C84">
        <v>400</v>
      </c>
      <c r="E84" s="620">
        <v>428070</v>
      </c>
    </row>
    <row r="85" spans="1:7" x14ac:dyDescent="0.3">
      <c r="B85" t="s">
        <v>4396</v>
      </c>
      <c r="C85">
        <v>300</v>
      </c>
      <c r="E85" s="620">
        <v>462170</v>
      </c>
    </row>
    <row r="86" spans="1:7" x14ac:dyDescent="0.3">
      <c r="C86">
        <v>350</v>
      </c>
      <c r="E86" s="620">
        <v>539200</v>
      </c>
    </row>
    <row r="87" spans="1:7" x14ac:dyDescent="0.3">
      <c r="C87">
        <v>400</v>
      </c>
      <c r="E87" s="598">
        <v>616230</v>
      </c>
    </row>
    <row r="88" spans="1:7" x14ac:dyDescent="0.3">
      <c r="A88" t="s">
        <v>4613</v>
      </c>
      <c r="C88">
        <v>45</v>
      </c>
      <c r="D88" t="s">
        <v>4300</v>
      </c>
      <c r="E88" s="620">
        <v>81780</v>
      </c>
    </row>
    <row r="89" spans="1:7" x14ac:dyDescent="0.3">
      <c r="C89">
        <v>75</v>
      </c>
      <c r="D89" t="s">
        <v>4610</v>
      </c>
      <c r="E89" s="620">
        <v>130910</v>
      </c>
    </row>
    <row r="90" spans="1:7" x14ac:dyDescent="0.3">
      <c r="C90">
        <v>90</v>
      </c>
      <c r="D90" t="s">
        <v>4611</v>
      </c>
      <c r="E90" s="620">
        <v>145860</v>
      </c>
    </row>
    <row r="91" spans="1:7" ht="82.5" x14ac:dyDescent="0.3">
      <c r="C91">
        <v>120</v>
      </c>
      <c r="D91" s="614" t="s">
        <v>4612</v>
      </c>
      <c r="E91" s="620">
        <v>219700</v>
      </c>
      <c r="G91" s="624">
        <v>120</v>
      </c>
    </row>
    <row r="92" spans="1:7" x14ac:dyDescent="0.3">
      <c r="C92">
        <v>150</v>
      </c>
      <c r="E92" s="620">
        <v>274630</v>
      </c>
    </row>
    <row r="93" spans="1:7" x14ac:dyDescent="0.3">
      <c r="C93">
        <v>200</v>
      </c>
      <c r="E93" s="620">
        <v>366170</v>
      </c>
    </row>
    <row r="94" spans="1:7" ht="33" x14ac:dyDescent="0.3">
      <c r="A94" t="s">
        <v>4614</v>
      </c>
      <c r="C94">
        <v>120</v>
      </c>
      <c r="D94" s="614" t="s">
        <v>4615</v>
      </c>
      <c r="E94" s="620">
        <v>236210</v>
      </c>
      <c r="G94" s="624">
        <v>120</v>
      </c>
    </row>
    <row r="95" spans="1:7" x14ac:dyDescent="0.3">
      <c r="C95">
        <v>150</v>
      </c>
      <c r="E95" s="620">
        <v>295260</v>
      </c>
    </row>
    <row r="96" spans="1:7" x14ac:dyDescent="0.3">
      <c r="C96">
        <v>200</v>
      </c>
      <c r="E96" s="620">
        <v>393680</v>
      </c>
    </row>
    <row r="97" spans="1:7" ht="82.5" x14ac:dyDescent="0.3">
      <c r="A97" t="s">
        <v>4616</v>
      </c>
      <c r="C97">
        <v>120</v>
      </c>
      <c r="D97" s="614" t="s">
        <v>4617</v>
      </c>
      <c r="E97" s="620">
        <v>254520</v>
      </c>
      <c r="G97" s="624">
        <v>120</v>
      </c>
    </row>
    <row r="98" spans="1:7" x14ac:dyDescent="0.3">
      <c r="C98">
        <v>150</v>
      </c>
      <c r="E98" s="620">
        <v>318160</v>
      </c>
    </row>
    <row r="99" spans="1:7" x14ac:dyDescent="0.3">
      <c r="C99">
        <v>200</v>
      </c>
      <c r="E99" s="620">
        <v>424210</v>
      </c>
    </row>
    <row r="100" spans="1:7" ht="82.5" x14ac:dyDescent="0.3">
      <c r="A100" t="s">
        <v>4618</v>
      </c>
      <c r="C100">
        <v>120</v>
      </c>
      <c r="D100" s="614" t="s">
        <v>4619</v>
      </c>
      <c r="E100" s="620">
        <v>289090</v>
      </c>
      <c r="G100" s="624">
        <v>120</v>
      </c>
    </row>
    <row r="101" spans="1:7" x14ac:dyDescent="0.3">
      <c r="C101">
        <v>150</v>
      </c>
      <c r="E101" s="620">
        <v>361370</v>
      </c>
    </row>
    <row r="102" spans="1:7" x14ac:dyDescent="0.3">
      <c r="C102">
        <v>200</v>
      </c>
      <c r="E102" s="620">
        <v>481830</v>
      </c>
    </row>
    <row r="103" spans="1:7" x14ac:dyDescent="0.3">
      <c r="A103" t="s">
        <v>4620</v>
      </c>
      <c r="C103">
        <v>80</v>
      </c>
      <c r="D103" t="s">
        <v>4621</v>
      </c>
      <c r="E103" s="620">
        <v>172710</v>
      </c>
    </row>
    <row r="104" spans="1:7" x14ac:dyDescent="0.3">
      <c r="C104">
        <v>100</v>
      </c>
      <c r="E104" s="620">
        <v>215880</v>
      </c>
    </row>
    <row r="105" spans="1:7" x14ac:dyDescent="0.3">
      <c r="C105">
        <v>120</v>
      </c>
      <c r="E105" s="620">
        <v>259060</v>
      </c>
      <c r="G105" s="624">
        <v>120</v>
      </c>
    </row>
    <row r="106" spans="1:7" x14ac:dyDescent="0.3">
      <c r="C106">
        <v>150</v>
      </c>
      <c r="E106" s="620">
        <v>323830</v>
      </c>
    </row>
    <row r="107" spans="1:7" x14ac:dyDescent="0.3">
      <c r="C107">
        <v>200</v>
      </c>
      <c r="E107" s="620">
        <v>431770</v>
      </c>
    </row>
    <row r="108" spans="1:7" x14ac:dyDescent="0.3">
      <c r="C108">
        <v>250</v>
      </c>
      <c r="E108" s="620">
        <v>540060</v>
      </c>
    </row>
    <row r="109" spans="1:7" x14ac:dyDescent="0.3">
      <c r="C109">
        <v>300</v>
      </c>
      <c r="E109" s="620">
        <v>648080</v>
      </c>
    </row>
    <row r="110" spans="1:7" x14ac:dyDescent="0.3">
      <c r="C110">
        <v>350</v>
      </c>
      <c r="E110" s="620">
        <v>756090</v>
      </c>
    </row>
    <row r="111" spans="1:7" x14ac:dyDescent="0.3">
      <c r="A111" t="s">
        <v>4622</v>
      </c>
      <c r="C111">
        <v>120</v>
      </c>
      <c r="D111" t="s">
        <v>4623</v>
      </c>
      <c r="E111" s="621">
        <v>205690</v>
      </c>
    </row>
    <row r="112" spans="1:7" x14ac:dyDescent="0.3">
      <c r="C112">
        <v>140</v>
      </c>
      <c r="E112" s="621">
        <v>232800</v>
      </c>
    </row>
    <row r="113" spans="1:5" x14ac:dyDescent="0.3">
      <c r="C113">
        <v>150</v>
      </c>
      <c r="E113" s="621">
        <v>249430</v>
      </c>
    </row>
    <row r="114" spans="1:5" x14ac:dyDescent="0.3">
      <c r="C114">
        <v>180</v>
      </c>
      <c r="E114" s="621">
        <v>299320</v>
      </c>
    </row>
    <row r="115" spans="1:5" x14ac:dyDescent="0.3">
      <c r="C115">
        <v>210</v>
      </c>
      <c r="E115" s="621">
        <v>349200</v>
      </c>
    </row>
    <row r="116" spans="1:5" x14ac:dyDescent="0.3">
      <c r="C116">
        <v>240</v>
      </c>
      <c r="E116" s="621">
        <v>399090</v>
      </c>
    </row>
    <row r="117" spans="1:5" x14ac:dyDescent="0.3">
      <c r="C117">
        <v>300</v>
      </c>
      <c r="E117" s="621">
        <v>498860</v>
      </c>
    </row>
    <row r="118" spans="1:5" ht="99" x14ac:dyDescent="0.3">
      <c r="A118" t="s">
        <v>4624</v>
      </c>
      <c r="C118">
        <v>75</v>
      </c>
      <c r="D118" s="614" t="s">
        <v>4625</v>
      </c>
      <c r="E118" s="621">
        <v>159270</v>
      </c>
    </row>
    <row r="119" spans="1:5" x14ac:dyDescent="0.3">
      <c r="C119">
        <v>110</v>
      </c>
      <c r="E119" s="621">
        <v>207420</v>
      </c>
    </row>
    <row r="120" spans="1:5" x14ac:dyDescent="0.3">
      <c r="C120">
        <v>120</v>
      </c>
      <c r="E120" s="621">
        <v>226240</v>
      </c>
    </row>
    <row r="121" spans="1:5" x14ac:dyDescent="0.3">
      <c r="C121">
        <v>150</v>
      </c>
      <c r="E121" s="621">
        <v>274380</v>
      </c>
    </row>
    <row r="122" spans="1:5" x14ac:dyDescent="0.3">
      <c r="C122">
        <v>180</v>
      </c>
      <c r="E122" s="621">
        <v>329250</v>
      </c>
    </row>
    <row r="123" spans="1:5" x14ac:dyDescent="0.3">
      <c r="C123">
        <v>200</v>
      </c>
      <c r="E123" s="621">
        <v>366040</v>
      </c>
    </row>
    <row r="124" spans="1:5" x14ac:dyDescent="0.3">
      <c r="C124">
        <v>250</v>
      </c>
      <c r="E124" s="621">
        <v>457550</v>
      </c>
    </row>
    <row r="125" spans="1:5" x14ac:dyDescent="0.3">
      <c r="C125">
        <v>300</v>
      </c>
      <c r="E125" s="621">
        <v>549060</v>
      </c>
    </row>
    <row r="126" spans="1:5" x14ac:dyDescent="0.3">
      <c r="C126">
        <v>350</v>
      </c>
      <c r="E126" s="621">
        <v>640580</v>
      </c>
    </row>
    <row r="127" spans="1:5" x14ac:dyDescent="0.3">
      <c r="C127">
        <v>420</v>
      </c>
      <c r="E127" s="621">
        <v>768690</v>
      </c>
    </row>
    <row r="128" spans="1:5" x14ac:dyDescent="0.3">
      <c r="A128" t="s">
        <v>4626</v>
      </c>
      <c r="C128">
        <v>75</v>
      </c>
      <c r="D128" t="s">
        <v>4627</v>
      </c>
      <c r="E128" s="621">
        <v>171060</v>
      </c>
    </row>
    <row r="129" spans="1:5" x14ac:dyDescent="0.3">
      <c r="C129">
        <v>110</v>
      </c>
      <c r="E129" s="621">
        <v>222930</v>
      </c>
    </row>
    <row r="130" spans="1:5" x14ac:dyDescent="0.3">
      <c r="C130">
        <v>120</v>
      </c>
      <c r="E130" s="621">
        <v>243720</v>
      </c>
    </row>
    <row r="131" spans="1:5" x14ac:dyDescent="0.3">
      <c r="C131">
        <v>150</v>
      </c>
      <c r="E131" s="621">
        <v>289870</v>
      </c>
    </row>
    <row r="132" spans="1:5" x14ac:dyDescent="0.3">
      <c r="C132">
        <v>180</v>
      </c>
      <c r="E132" s="621">
        <v>347840</v>
      </c>
    </row>
    <row r="133" spans="1:5" x14ac:dyDescent="0.3">
      <c r="C133">
        <v>200</v>
      </c>
      <c r="E133" s="621">
        <v>389210</v>
      </c>
    </row>
    <row r="134" spans="1:5" x14ac:dyDescent="0.3">
      <c r="C134">
        <v>250</v>
      </c>
      <c r="E134" s="621">
        <v>486510</v>
      </c>
    </row>
    <row r="135" spans="1:5" x14ac:dyDescent="0.3">
      <c r="C135">
        <v>300</v>
      </c>
      <c r="E135" s="621">
        <v>583820</v>
      </c>
    </row>
    <row r="136" spans="1:5" x14ac:dyDescent="0.3">
      <c r="C136">
        <v>350</v>
      </c>
      <c r="E136" s="621">
        <v>681120</v>
      </c>
    </row>
    <row r="137" spans="1:5" x14ac:dyDescent="0.3">
      <c r="C137">
        <v>420</v>
      </c>
      <c r="E137" s="621">
        <v>817350</v>
      </c>
    </row>
    <row r="138" spans="1:5" ht="49.5" x14ac:dyDescent="0.3">
      <c r="A138" t="s">
        <v>4628</v>
      </c>
      <c r="C138">
        <v>75</v>
      </c>
      <c r="D138" s="614" t="s">
        <v>4629</v>
      </c>
      <c r="E138" s="620">
        <v>181520</v>
      </c>
    </row>
    <row r="139" spans="1:5" x14ac:dyDescent="0.3">
      <c r="C139">
        <v>110</v>
      </c>
      <c r="E139" s="620">
        <v>236220</v>
      </c>
    </row>
    <row r="140" spans="1:5" x14ac:dyDescent="0.3">
      <c r="C140">
        <v>120</v>
      </c>
      <c r="E140" s="620">
        <v>257340</v>
      </c>
    </row>
    <row r="141" spans="1:5" x14ac:dyDescent="0.3">
      <c r="C141">
        <v>150</v>
      </c>
      <c r="E141" s="620">
        <v>309300</v>
      </c>
    </row>
    <row r="142" spans="1:5" x14ac:dyDescent="0.3">
      <c r="C142">
        <v>180</v>
      </c>
      <c r="E142" s="620">
        <v>371160</v>
      </c>
    </row>
    <row r="143" spans="1:5" x14ac:dyDescent="0.3">
      <c r="C143">
        <v>200</v>
      </c>
      <c r="E143" s="620">
        <v>416340</v>
      </c>
    </row>
    <row r="144" spans="1:5" x14ac:dyDescent="0.3">
      <c r="C144">
        <v>250</v>
      </c>
      <c r="E144" s="620">
        <v>520430</v>
      </c>
    </row>
    <row r="145" spans="1:5" x14ac:dyDescent="0.3">
      <c r="C145">
        <v>300</v>
      </c>
      <c r="E145" s="620">
        <v>624520</v>
      </c>
    </row>
    <row r="146" spans="1:5" x14ac:dyDescent="0.3">
      <c r="C146">
        <v>350</v>
      </c>
      <c r="E146" s="620">
        <v>728600</v>
      </c>
    </row>
    <row r="147" spans="1:5" x14ac:dyDescent="0.3">
      <c r="C147">
        <v>420</v>
      </c>
      <c r="E147" s="620">
        <v>874330</v>
      </c>
    </row>
    <row r="148" spans="1:5" ht="49.5" x14ac:dyDescent="0.3">
      <c r="A148" t="s">
        <v>4630</v>
      </c>
      <c r="C148">
        <v>75</v>
      </c>
      <c r="D148" s="614" t="s">
        <v>4631</v>
      </c>
      <c r="E148" s="620">
        <v>221720</v>
      </c>
    </row>
    <row r="149" spans="1:5" x14ac:dyDescent="0.3">
      <c r="C149">
        <v>110</v>
      </c>
      <c r="E149" s="620">
        <v>274080</v>
      </c>
    </row>
    <row r="150" spans="1:5" x14ac:dyDescent="0.3">
      <c r="C150">
        <v>120</v>
      </c>
      <c r="E150" s="620">
        <v>298780</v>
      </c>
    </row>
    <row r="151" spans="1:5" x14ac:dyDescent="0.3">
      <c r="C151">
        <v>150</v>
      </c>
      <c r="E151" s="620">
        <v>357220</v>
      </c>
    </row>
    <row r="152" spans="1:5" x14ac:dyDescent="0.3">
      <c r="C152">
        <v>180</v>
      </c>
      <c r="E152" s="620">
        <v>428670</v>
      </c>
    </row>
    <row r="153" spans="1:5" x14ac:dyDescent="0.3">
      <c r="C153">
        <v>200</v>
      </c>
      <c r="E153" s="620">
        <v>484820</v>
      </c>
    </row>
    <row r="154" spans="1:5" x14ac:dyDescent="0.3">
      <c r="C154">
        <v>250</v>
      </c>
      <c r="E154" s="620">
        <v>606020</v>
      </c>
    </row>
    <row r="155" spans="1:5" x14ac:dyDescent="0.3">
      <c r="C155">
        <v>300</v>
      </c>
      <c r="E155" s="620">
        <v>727230</v>
      </c>
    </row>
    <row r="156" spans="1:5" x14ac:dyDescent="0.3">
      <c r="C156">
        <v>350</v>
      </c>
      <c r="E156" s="620">
        <v>848440</v>
      </c>
    </row>
    <row r="157" spans="1:5" x14ac:dyDescent="0.3">
      <c r="C157">
        <v>420</v>
      </c>
      <c r="E157" s="620">
        <v>1018120</v>
      </c>
    </row>
    <row r="158" spans="1:5" ht="49.5" x14ac:dyDescent="0.3">
      <c r="A158" t="s">
        <v>4632</v>
      </c>
      <c r="C158">
        <v>120</v>
      </c>
      <c r="D158" s="614" t="s">
        <v>4633</v>
      </c>
      <c r="E158" s="620">
        <v>293860</v>
      </c>
    </row>
    <row r="159" spans="1:5" x14ac:dyDescent="0.3">
      <c r="C159">
        <v>200</v>
      </c>
      <c r="D159" t="s">
        <v>4634</v>
      </c>
      <c r="E159" s="620">
        <v>489760</v>
      </c>
    </row>
    <row r="160" spans="1:5" x14ac:dyDescent="0.3">
      <c r="C160">
        <v>250</v>
      </c>
      <c r="D160" t="s">
        <v>4635</v>
      </c>
      <c r="E160" s="620">
        <v>612200</v>
      </c>
    </row>
    <row r="161" spans="1:5" x14ac:dyDescent="0.3">
      <c r="C161">
        <v>300</v>
      </c>
      <c r="E161" s="620">
        <v>587700</v>
      </c>
    </row>
    <row r="162" spans="1:5" x14ac:dyDescent="0.3">
      <c r="C162">
        <v>350</v>
      </c>
      <c r="E162" s="620">
        <v>685650</v>
      </c>
    </row>
    <row r="163" spans="1:5" ht="33" x14ac:dyDescent="0.3">
      <c r="A163" t="s">
        <v>4636</v>
      </c>
      <c r="C163">
        <v>120</v>
      </c>
      <c r="D163" s="614" t="s">
        <v>4637</v>
      </c>
      <c r="E163" s="620">
        <v>353910</v>
      </c>
    </row>
    <row r="164" spans="1:5" x14ac:dyDescent="0.3">
      <c r="C164">
        <v>300</v>
      </c>
      <c r="E164" s="620">
        <v>707810</v>
      </c>
    </row>
    <row r="165" spans="1:5" x14ac:dyDescent="0.3">
      <c r="C165">
        <v>350</v>
      </c>
      <c r="E165" s="620">
        <v>825780</v>
      </c>
    </row>
    <row r="166" spans="1:5" x14ac:dyDescent="0.3">
      <c r="A166" t="s">
        <v>4638</v>
      </c>
      <c r="C166">
        <v>120</v>
      </c>
      <c r="D166" t="s">
        <v>4639</v>
      </c>
      <c r="E166" s="620">
        <v>381110</v>
      </c>
    </row>
    <row r="167" spans="1:5" x14ac:dyDescent="0.3">
      <c r="C167">
        <v>300</v>
      </c>
      <c r="E167" s="620">
        <v>762200</v>
      </c>
    </row>
    <row r="168" spans="1:5" x14ac:dyDescent="0.3">
      <c r="C168">
        <v>350</v>
      </c>
      <c r="E168" s="620">
        <v>889240</v>
      </c>
    </row>
    <row r="169" spans="1:5" x14ac:dyDescent="0.3">
      <c r="A169" t="s">
        <v>4640</v>
      </c>
      <c r="C169">
        <v>120</v>
      </c>
      <c r="D169" t="s">
        <v>4641</v>
      </c>
      <c r="E169" s="620">
        <v>412760</v>
      </c>
    </row>
    <row r="170" spans="1:5" x14ac:dyDescent="0.3">
      <c r="C170">
        <v>300</v>
      </c>
      <c r="E170" s="620">
        <v>825520</v>
      </c>
    </row>
    <row r="171" spans="1:5" x14ac:dyDescent="0.3">
      <c r="C171">
        <v>350</v>
      </c>
      <c r="E171" s="620">
        <v>963110</v>
      </c>
    </row>
    <row r="172" spans="1:5" ht="66" x14ac:dyDescent="0.3">
      <c r="A172" t="s">
        <v>4643</v>
      </c>
      <c r="C172">
        <v>180</v>
      </c>
      <c r="D172" s="614" t="s">
        <v>4642</v>
      </c>
      <c r="E172" s="621">
        <v>408350</v>
      </c>
    </row>
    <row r="173" spans="1:5" x14ac:dyDescent="0.3">
      <c r="C173">
        <v>200</v>
      </c>
      <c r="E173" s="621">
        <v>453720</v>
      </c>
    </row>
    <row r="174" spans="1:5" x14ac:dyDescent="0.3">
      <c r="C174">
        <v>220</v>
      </c>
      <c r="E174" s="621">
        <v>499100</v>
      </c>
    </row>
    <row r="175" spans="1:5" x14ac:dyDescent="0.3">
      <c r="C175">
        <v>250</v>
      </c>
      <c r="E175" s="621">
        <v>567160</v>
      </c>
    </row>
    <row r="176" spans="1:5" x14ac:dyDescent="0.3">
      <c r="C176">
        <v>280</v>
      </c>
      <c r="E176" s="621">
        <v>635210</v>
      </c>
    </row>
    <row r="177" spans="1:5" x14ac:dyDescent="0.3">
      <c r="C177">
        <v>300</v>
      </c>
      <c r="E177" s="621">
        <v>544460</v>
      </c>
    </row>
    <row r="178" spans="1:5" x14ac:dyDescent="0.3">
      <c r="C178">
        <v>350</v>
      </c>
      <c r="E178" s="621">
        <v>635210</v>
      </c>
    </row>
    <row r="179" spans="1:5" ht="33" x14ac:dyDescent="0.3">
      <c r="A179" t="s">
        <v>4644</v>
      </c>
      <c r="C179">
        <v>180</v>
      </c>
      <c r="D179" s="614" t="s">
        <v>4645</v>
      </c>
      <c r="E179" s="620">
        <v>491800</v>
      </c>
    </row>
    <row r="180" spans="1:5" x14ac:dyDescent="0.3">
      <c r="C180">
        <v>200</v>
      </c>
      <c r="E180" s="620">
        <v>546440</v>
      </c>
    </row>
    <row r="181" spans="1:5" x14ac:dyDescent="0.3">
      <c r="C181">
        <v>220</v>
      </c>
      <c r="E181" s="620">
        <v>601090</v>
      </c>
    </row>
    <row r="182" spans="1:5" x14ac:dyDescent="0.3">
      <c r="C182">
        <v>250</v>
      </c>
      <c r="E182" s="620">
        <v>683050</v>
      </c>
    </row>
    <row r="183" spans="1:5" x14ac:dyDescent="0.3">
      <c r="C183">
        <v>280</v>
      </c>
      <c r="E183" s="620">
        <v>765020</v>
      </c>
    </row>
    <row r="184" spans="1:5" x14ac:dyDescent="0.3">
      <c r="C184">
        <v>300</v>
      </c>
      <c r="E184" s="620">
        <v>655720</v>
      </c>
    </row>
    <row r="185" spans="1:5" x14ac:dyDescent="0.3">
      <c r="C185">
        <v>350</v>
      </c>
      <c r="E185" s="620">
        <v>765010</v>
      </c>
    </row>
    <row r="186" spans="1:5" ht="33" x14ac:dyDescent="0.3">
      <c r="A186" t="s">
        <v>4646</v>
      </c>
      <c r="C186">
        <v>180</v>
      </c>
      <c r="D186" s="614" t="s">
        <v>4647</v>
      </c>
      <c r="E186" s="621">
        <v>529590</v>
      </c>
    </row>
    <row r="187" spans="1:5" x14ac:dyDescent="0.3">
      <c r="C187">
        <v>200</v>
      </c>
      <c r="E187" s="621">
        <v>588440</v>
      </c>
    </row>
    <row r="188" spans="1:5" x14ac:dyDescent="0.3">
      <c r="C188">
        <v>220</v>
      </c>
      <c r="E188" s="621">
        <v>647280</v>
      </c>
    </row>
    <row r="189" spans="1:5" x14ac:dyDescent="0.3">
      <c r="C189">
        <v>250</v>
      </c>
      <c r="E189" s="621">
        <v>735550</v>
      </c>
    </row>
    <row r="190" spans="1:5" x14ac:dyDescent="0.3">
      <c r="C190">
        <v>280</v>
      </c>
      <c r="E190" s="621">
        <v>823820</v>
      </c>
    </row>
    <row r="191" spans="1:5" x14ac:dyDescent="0.3">
      <c r="C191">
        <v>300</v>
      </c>
      <c r="E191" s="621">
        <v>706120</v>
      </c>
    </row>
    <row r="192" spans="1:5" x14ac:dyDescent="0.3">
      <c r="C192">
        <v>350</v>
      </c>
      <c r="E192" s="621">
        <v>823810</v>
      </c>
    </row>
    <row r="193" spans="1:5" ht="33" x14ac:dyDescent="0.3">
      <c r="A193" t="s">
        <v>4648</v>
      </c>
      <c r="C193">
        <v>180</v>
      </c>
      <c r="D193" s="614" t="s">
        <v>4649</v>
      </c>
      <c r="E193" s="621">
        <v>589660</v>
      </c>
    </row>
    <row r="194" spans="1:5" x14ac:dyDescent="0.3">
      <c r="C194">
        <v>200</v>
      </c>
      <c r="E194" s="621">
        <v>655180</v>
      </c>
    </row>
    <row r="195" spans="1:5" x14ac:dyDescent="0.3">
      <c r="C195">
        <v>220</v>
      </c>
      <c r="E195" s="621">
        <v>720700</v>
      </c>
    </row>
    <row r="196" spans="1:5" x14ac:dyDescent="0.3">
      <c r="C196">
        <v>250</v>
      </c>
      <c r="E196" s="621">
        <v>818970</v>
      </c>
    </row>
    <row r="197" spans="1:5" x14ac:dyDescent="0.3">
      <c r="C197">
        <v>280</v>
      </c>
      <c r="E197" s="621">
        <v>917250</v>
      </c>
    </row>
    <row r="198" spans="1:5" x14ac:dyDescent="0.3">
      <c r="C198">
        <v>300</v>
      </c>
      <c r="E198" s="621">
        <v>786220</v>
      </c>
    </row>
    <row r="199" spans="1:5" x14ac:dyDescent="0.3">
      <c r="C199">
        <v>350</v>
      </c>
      <c r="E199" s="621">
        <v>917250</v>
      </c>
    </row>
    <row r="200" spans="1:5" ht="33" x14ac:dyDescent="0.3">
      <c r="A200" t="s">
        <v>4650</v>
      </c>
      <c r="C200">
        <v>180</v>
      </c>
      <c r="D200" s="614" t="s">
        <v>4651</v>
      </c>
      <c r="E200" s="620">
        <v>457960</v>
      </c>
    </row>
    <row r="201" spans="1:5" x14ac:dyDescent="0.3">
      <c r="C201">
        <v>200</v>
      </c>
      <c r="E201" s="620">
        <v>508850</v>
      </c>
    </row>
    <row r="202" spans="1:5" x14ac:dyDescent="0.3">
      <c r="C202">
        <v>250</v>
      </c>
      <c r="E202" s="620">
        <v>636060</v>
      </c>
    </row>
    <row r="203" spans="1:5" x14ac:dyDescent="0.3">
      <c r="A203" t="s">
        <v>4652</v>
      </c>
      <c r="C203">
        <v>180</v>
      </c>
      <c r="D203" t="s">
        <v>4653</v>
      </c>
      <c r="E203" s="598">
        <v>551550</v>
      </c>
    </row>
    <row r="204" spans="1:5" x14ac:dyDescent="0.3">
      <c r="C204">
        <v>200</v>
      </c>
      <c r="E204" s="598">
        <v>612840</v>
      </c>
    </row>
    <row r="205" spans="1:5" x14ac:dyDescent="0.3">
      <c r="C205">
        <v>250</v>
      </c>
      <c r="E205" s="598">
        <v>766050</v>
      </c>
    </row>
    <row r="206" spans="1:5" x14ac:dyDescent="0.3">
      <c r="A206" t="s">
        <v>4654</v>
      </c>
      <c r="C206">
        <v>180</v>
      </c>
      <c r="D206" t="s">
        <v>4655</v>
      </c>
      <c r="E206" s="598">
        <v>593940</v>
      </c>
    </row>
    <row r="207" spans="1:5" x14ac:dyDescent="0.3">
      <c r="C207">
        <v>200</v>
      </c>
      <c r="E207" s="598">
        <v>659930</v>
      </c>
    </row>
    <row r="208" spans="1:5" x14ac:dyDescent="0.3">
      <c r="C208">
        <v>250</v>
      </c>
      <c r="E208" s="598">
        <v>824920</v>
      </c>
    </row>
    <row r="209" spans="1:5" x14ac:dyDescent="0.3">
      <c r="A209" t="s">
        <v>4656</v>
      </c>
      <c r="C209">
        <v>180</v>
      </c>
      <c r="D209" t="s">
        <v>4657</v>
      </c>
      <c r="E209" s="598">
        <v>707590</v>
      </c>
    </row>
    <row r="210" spans="1:5" x14ac:dyDescent="0.3">
      <c r="C210">
        <v>200</v>
      </c>
      <c r="E210" s="598">
        <v>786220</v>
      </c>
    </row>
    <row r="211" spans="1:5" x14ac:dyDescent="0.3">
      <c r="C211">
        <v>250</v>
      </c>
      <c r="E211" s="598">
        <v>982770</v>
      </c>
    </row>
    <row r="212" spans="1:5" x14ac:dyDescent="0.3">
      <c r="A212" t="s">
        <v>4658</v>
      </c>
      <c r="C212">
        <v>90</v>
      </c>
      <c r="D212" t="s">
        <v>4660</v>
      </c>
      <c r="E212" s="598">
        <v>181890</v>
      </c>
    </row>
    <row r="213" spans="1:5" x14ac:dyDescent="0.3">
      <c r="C213">
        <v>110</v>
      </c>
      <c r="E213" s="598">
        <v>206170</v>
      </c>
    </row>
    <row r="214" spans="1:5" x14ac:dyDescent="0.3">
      <c r="C214">
        <v>200</v>
      </c>
      <c r="E214" s="598">
        <v>370950</v>
      </c>
    </row>
    <row r="215" spans="1:5" x14ac:dyDescent="0.3">
      <c r="C215">
        <v>120</v>
      </c>
      <c r="D215" t="s">
        <v>4659</v>
      </c>
      <c r="E215" s="598">
        <v>224300</v>
      </c>
    </row>
    <row r="216" spans="1:5" ht="33" x14ac:dyDescent="0.3">
      <c r="A216" t="s">
        <v>4661</v>
      </c>
      <c r="C216">
        <v>120</v>
      </c>
      <c r="D216" s="614" t="s">
        <v>4662</v>
      </c>
      <c r="E216" s="598">
        <v>491880</v>
      </c>
    </row>
    <row r="217" spans="1:5" x14ac:dyDescent="0.3">
      <c r="C217">
        <v>220</v>
      </c>
      <c r="E217" s="598">
        <v>800680</v>
      </c>
    </row>
    <row r="218" spans="1:5" x14ac:dyDescent="0.3">
      <c r="C218">
        <v>250</v>
      </c>
      <c r="D218" t="s">
        <v>4663</v>
      </c>
      <c r="E218" s="598">
        <v>909870</v>
      </c>
    </row>
    <row r="219" spans="1:5" x14ac:dyDescent="0.3">
      <c r="C219">
        <v>350</v>
      </c>
      <c r="E219" s="598">
        <v>1062510</v>
      </c>
    </row>
    <row r="220" spans="1:5" ht="33" x14ac:dyDescent="0.3">
      <c r="A220" t="s">
        <v>4664</v>
      </c>
      <c r="C220">
        <v>120</v>
      </c>
      <c r="D220" s="614" t="s">
        <v>4665</v>
      </c>
      <c r="E220" s="598">
        <v>543290</v>
      </c>
    </row>
    <row r="221" spans="1:5" x14ac:dyDescent="0.3">
      <c r="C221">
        <v>220</v>
      </c>
      <c r="E221" s="598">
        <v>854430</v>
      </c>
    </row>
    <row r="222" spans="1:5" x14ac:dyDescent="0.3">
      <c r="C222">
        <v>250</v>
      </c>
      <c r="D222" t="s">
        <v>4666</v>
      </c>
      <c r="E222" s="598">
        <v>970950</v>
      </c>
    </row>
    <row r="223" spans="1:5" x14ac:dyDescent="0.3">
      <c r="C223">
        <v>350</v>
      </c>
      <c r="E223" s="598">
        <v>1136340</v>
      </c>
    </row>
    <row r="224" spans="1:5" x14ac:dyDescent="0.3">
      <c r="A224" t="s">
        <v>4667</v>
      </c>
      <c r="C224">
        <v>120</v>
      </c>
      <c r="D224" t="s">
        <v>4668</v>
      </c>
      <c r="E224" s="620">
        <v>594590</v>
      </c>
    </row>
    <row r="225" spans="1:5" x14ac:dyDescent="0.3">
      <c r="C225">
        <v>220</v>
      </c>
      <c r="E225" s="620">
        <v>955530</v>
      </c>
    </row>
    <row r="226" spans="1:5" x14ac:dyDescent="0.3">
      <c r="C226">
        <v>250</v>
      </c>
      <c r="D226" t="s">
        <v>4669</v>
      </c>
      <c r="E226" s="620">
        <v>1085830</v>
      </c>
    </row>
    <row r="227" spans="1:5" x14ac:dyDescent="0.3">
      <c r="C227">
        <v>350</v>
      </c>
      <c r="E227" s="620">
        <v>1168430</v>
      </c>
    </row>
    <row r="228" spans="1:5" x14ac:dyDescent="0.3">
      <c r="A228" t="s">
        <v>4670</v>
      </c>
      <c r="C228">
        <v>120</v>
      </c>
      <c r="D228" t="s">
        <v>4671</v>
      </c>
      <c r="E228" s="620">
        <v>654020</v>
      </c>
    </row>
    <row r="229" spans="1:5" x14ac:dyDescent="0.3">
      <c r="C229">
        <v>220</v>
      </c>
      <c r="E229" s="620">
        <v>1051050</v>
      </c>
    </row>
    <row r="230" spans="1:5" x14ac:dyDescent="0.3">
      <c r="C230">
        <v>250</v>
      </c>
      <c r="E230" s="620">
        <v>1194380</v>
      </c>
    </row>
    <row r="231" spans="1:5" x14ac:dyDescent="0.3">
      <c r="C231">
        <v>350</v>
      </c>
      <c r="E231" s="620">
        <v>1307530</v>
      </c>
    </row>
    <row r="232" spans="1:5" x14ac:dyDescent="0.3">
      <c r="A232" t="s">
        <v>4672</v>
      </c>
      <c r="C232">
        <v>120</v>
      </c>
      <c r="D232" t="s">
        <v>4673</v>
      </c>
      <c r="E232" s="620">
        <v>524330</v>
      </c>
    </row>
    <row r="233" spans="1:5" x14ac:dyDescent="0.3">
      <c r="C233">
        <v>370</v>
      </c>
      <c r="E233" s="620">
        <v>1191250</v>
      </c>
    </row>
    <row r="234" spans="1:5" x14ac:dyDescent="0.3">
      <c r="A234" t="s">
        <v>4675</v>
      </c>
      <c r="C234">
        <v>120</v>
      </c>
      <c r="D234" t="s">
        <v>4674</v>
      </c>
      <c r="E234" s="620">
        <v>579520</v>
      </c>
    </row>
    <row r="235" spans="1:5" x14ac:dyDescent="0.3">
      <c r="C235">
        <v>250</v>
      </c>
      <c r="E235" s="620">
        <v>1057870</v>
      </c>
    </row>
    <row r="236" spans="1:5" x14ac:dyDescent="0.3">
      <c r="C236">
        <v>370</v>
      </c>
      <c r="E236" s="620">
        <v>1361430</v>
      </c>
    </row>
    <row r="237" spans="1:5" x14ac:dyDescent="0.3">
      <c r="A237" t="s">
        <v>4676</v>
      </c>
      <c r="C237">
        <v>250</v>
      </c>
      <c r="D237" t="s">
        <v>4673</v>
      </c>
      <c r="E237" s="620">
        <v>1057870</v>
      </c>
    </row>
    <row r="238" spans="1:5" x14ac:dyDescent="0.3">
      <c r="A238" t="s">
        <v>4677</v>
      </c>
      <c r="C238">
        <v>250</v>
      </c>
      <c r="D238" t="s">
        <v>4678</v>
      </c>
      <c r="E238" s="620">
        <v>1172850</v>
      </c>
    </row>
    <row r="239" spans="1:5" ht="49.5" x14ac:dyDescent="0.3">
      <c r="A239" t="s">
        <v>4679</v>
      </c>
      <c r="C239">
        <v>250</v>
      </c>
      <c r="D239" s="614" t="s">
        <v>4680</v>
      </c>
      <c r="E239" s="620">
        <v>480600</v>
      </c>
    </row>
    <row r="240" spans="1:5" x14ac:dyDescent="0.3">
      <c r="C240">
        <v>350</v>
      </c>
      <c r="E240" s="620">
        <v>672850</v>
      </c>
    </row>
    <row r="241" spans="1:5" x14ac:dyDescent="0.3">
      <c r="A241" t="s">
        <v>4681</v>
      </c>
      <c r="C241">
        <v>250</v>
      </c>
      <c r="D241" t="s">
        <v>4682</v>
      </c>
      <c r="E241" s="620">
        <v>516700</v>
      </c>
    </row>
    <row r="242" spans="1:5" x14ac:dyDescent="0.3">
      <c r="C242">
        <v>350</v>
      </c>
      <c r="E242" s="620">
        <v>723380</v>
      </c>
    </row>
    <row r="243" spans="1:5" ht="33" x14ac:dyDescent="0.3">
      <c r="A243" t="s">
        <v>4683</v>
      </c>
      <c r="C243">
        <v>250</v>
      </c>
      <c r="D243" s="614" t="s">
        <v>4684</v>
      </c>
      <c r="E243" s="620">
        <v>556760</v>
      </c>
    </row>
    <row r="244" spans="1:5" x14ac:dyDescent="0.3">
      <c r="C244">
        <v>350</v>
      </c>
      <c r="E244" s="620">
        <v>779470</v>
      </c>
    </row>
    <row r="245" spans="1:5" x14ac:dyDescent="0.3">
      <c r="A245" t="s">
        <v>4685</v>
      </c>
      <c r="C245">
        <v>250</v>
      </c>
      <c r="D245" t="s">
        <v>4686</v>
      </c>
      <c r="E245" s="620">
        <v>632400</v>
      </c>
    </row>
    <row r="246" spans="1:5" x14ac:dyDescent="0.3">
      <c r="C246">
        <v>350</v>
      </c>
      <c r="E246" s="620">
        <v>885360</v>
      </c>
    </row>
    <row r="247" spans="1:5" x14ac:dyDescent="0.3">
      <c r="A247" t="s">
        <v>4687</v>
      </c>
      <c r="C247">
        <v>350</v>
      </c>
      <c r="D247" t="s">
        <v>4688</v>
      </c>
      <c r="E247" s="620">
        <v>804110</v>
      </c>
    </row>
    <row r="248" spans="1:5" x14ac:dyDescent="0.3">
      <c r="A248" t="s">
        <v>4689</v>
      </c>
      <c r="C248">
        <v>250</v>
      </c>
      <c r="D248" t="s">
        <v>4458</v>
      </c>
      <c r="E248" s="620">
        <v>504630</v>
      </c>
    </row>
    <row r="249" spans="1:5" x14ac:dyDescent="0.3">
      <c r="C249">
        <v>350</v>
      </c>
      <c r="E249" s="620">
        <v>706490</v>
      </c>
    </row>
    <row r="250" spans="1:5" x14ac:dyDescent="0.3">
      <c r="A250" t="s">
        <v>4692</v>
      </c>
      <c r="C250">
        <v>350</v>
      </c>
      <c r="D250" t="s">
        <v>4693</v>
      </c>
      <c r="E250" s="620">
        <v>706490</v>
      </c>
    </row>
    <row r="251" spans="1:5" x14ac:dyDescent="0.3">
      <c r="A251" t="s">
        <v>4690</v>
      </c>
      <c r="C251">
        <v>350</v>
      </c>
      <c r="D251" t="s">
        <v>4694</v>
      </c>
      <c r="E251" s="620">
        <v>759550</v>
      </c>
    </row>
    <row r="252" spans="1:5" x14ac:dyDescent="0.3">
      <c r="A252" t="s">
        <v>4691</v>
      </c>
      <c r="C252">
        <v>350</v>
      </c>
      <c r="D252" t="s">
        <v>4695</v>
      </c>
      <c r="E252" s="620">
        <v>929620</v>
      </c>
    </row>
    <row r="253" spans="1:5" x14ac:dyDescent="0.3">
      <c r="A253" t="s">
        <v>4696</v>
      </c>
      <c r="C253">
        <v>120</v>
      </c>
      <c r="D253" t="s">
        <v>4697</v>
      </c>
      <c r="E253" s="620">
        <v>152520</v>
      </c>
    </row>
    <row r="254" spans="1:5" x14ac:dyDescent="0.3">
      <c r="C254">
        <v>170</v>
      </c>
      <c r="E254" s="620">
        <v>216080</v>
      </c>
    </row>
    <row r="255" spans="1:5" x14ac:dyDescent="0.3">
      <c r="C255">
        <v>195</v>
      </c>
      <c r="E255" s="620">
        <v>247860</v>
      </c>
    </row>
    <row r="256" spans="1:5" x14ac:dyDescent="0.3">
      <c r="C256">
        <v>230</v>
      </c>
      <c r="E256" s="620">
        <v>292340</v>
      </c>
    </row>
    <row r="257" spans="1:5" x14ac:dyDescent="0.3">
      <c r="A257" t="s">
        <v>4698</v>
      </c>
      <c r="C257">
        <v>200</v>
      </c>
      <c r="D257" t="s">
        <v>4635</v>
      </c>
      <c r="E257" s="620">
        <v>261000</v>
      </c>
    </row>
    <row r="258" spans="1:5" x14ac:dyDescent="0.3">
      <c r="C258">
        <v>230</v>
      </c>
      <c r="E258" s="620">
        <v>300150</v>
      </c>
    </row>
    <row r="259" spans="1:5" x14ac:dyDescent="0.3">
      <c r="A259" t="s">
        <v>4700</v>
      </c>
      <c r="C259">
        <v>200</v>
      </c>
      <c r="D259" t="s">
        <v>4699</v>
      </c>
      <c r="E259" s="620">
        <v>302610</v>
      </c>
    </row>
    <row r="260" spans="1:5" x14ac:dyDescent="0.3">
      <c r="A260" t="s">
        <v>4701</v>
      </c>
      <c r="C260">
        <v>110</v>
      </c>
      <c r="D260" s="614" t="s">
        <v>4702</v>
      </c>
      <c r="E260" s="598">
        <v>207420</v>
      </c>
    </row>
    <row r="261" spans="1:5" x14ac:dyDescent="0.3">
      <c r="C261">
        <v>120</v>
      </c>
      <c r="E261" s="598">
        <v>226240</v>
      </c>
    </row>
    <row r="262" spans="1:5" x14ac:dyDescent="0.3">
      <c r="C262">
        <v>220</v>
      </c>
      <c r="E262" s="598">
        <v>402560</v>
      </c>
    </row>
    <row r="263" spans="1:5" x14ac:dyDescent="0.3">
      <c r="C263">
        <v>280</v>
      </c>
      <c r="E263" s="598">
        <v>512460</v>
      </c>
    </row>
    <row r="264" spans="1:5" x14ac:dyDescent="0.3">
      <c r="C264">
        <v>300</v>
      </c>
      <c r="E264" s="598">
        <v>549060</v>
      </c>
    </row>
    <row r="265" spans="1:5" x14ac:dyDescent="0.3">
      <c r="C265">
        <v>350</v>
      </c>
      <c r="E265" s="598">
        <v>640580</v>
      </c>
    </row>
    <row r="266" spans="1:5" x14ac:dyDescent="0.3">
      <c r="C266">
        <v>400</v>
      </c>
      <c r="E266" s="598">
        <v>732090</v>
      </c>
    </row>
    <row r="267" spans="1:5" x14ac:dyDescent="0.3">
      <c r="C267">
        <v>420</v>
      </c>
      <c r="E267" s="598">
        <v>768690</v>
      </c>
    </row>
    <row r="268" spans="1:5" x14ac:dyDescent="0.3">
      <c r="A268" t="s">
        <v>4703</v>
      </c>
      <c r="C268">
        <v>350</v>
      </c>
      <c r="D268" t="s">
        <v>4704</v>
      </c>
      <c r="E268" s="598">
        <v>726000</v>
      </c>
    </row>
    <row r="269" spans="1:5" ht="33" x14ac:dyDescent="0.3">
      <c r="A269" t="s">
        <v>4705</v>
      </c>
      <c r="C269">
        <v>110</v>
      </c>
      <c r="D269" s="614" t="s">
        <v>4706</v>
      </c>
      <c r="E269" s="598">
        <v>274080</v>
      </c>
    </row>
    <row r="270" spans="1:5" x14ac:dyDescent="0.3">
      <c r="C270">
        <v>120</v>
      </c>
      <c r="E270" s="598">
        <v>298780</v>
      </c>
    </row>
    <row r="271" spans="1:5" x14ac:dyDescent="0.3">
      <c r="C271">
        <v>220</v>
      </c>
      <c r="E271" s="598">
        <v>533300</v>
      </c>
    </row>
    <row r="272" spans="1:5" x14ac:dyDescent="0.3">
      <c r="C272">
        <v>280</v>
      </c>
      <c r="E272" s="598">
        <v>678750</v>
      </c>
    </row>
    <row r="273" spans="1:5" x14ac:dyDescent="0.3">
      <c r="C273">
        <v>300</v>
      </c>
      <c r="E273" s="598">
        <v>727230</v>
      </c>
    </row>
    <row r="274" spans="1:5" x14ac:dyDescent="0.3">
      <c r="C274">
        <v>350</v>
      </c>
      <c r="E274" s="598">
        <v>848440</v>
      </c>
    </row>
    <row r="275" spans="1:5" x14ac:dyDescent="0.3">
      <c r="C275">
        <v>400</v>
      </c>
      <c r="E275" s="598">
        <v>969640</v>
      </c>
    </row>
    <row r="276" spans="1:5" x14ac:dyDescent="0.3">
      <c r="C276">
        <v>420</v>
      </c>
      <c r="E276" s="598">
        <v>1018120</v>
      </c>
    </row>
    <row r="277" spans="1:5" x14ac:dyDescent="0.3">
      <c r="A277" t="s">
        <v>4707</v>
      </c>
      <c r="C277">
        <v>120</v>
      </c>
      <c r="D277" t="s">
        <v>4708</v>
      </c>
      <c r="E277" s="598">
        <v>226240</v>
      </c>
    </row>
    <row r="278" spans="1:5" x14ac:dyDescent="0.3">
      <c r="C278">
        <v>220</v>
      </c>
      <c r="E278" s="598">
        <v>402650</v>
      </c>
    </row>
    <row r="279" spans="1:5" x14ac:dyDescent="0.3">
      <c r="A279" t="s">
        <v>4709</v>
      </c>
      <c r="C279">
        <v>220</v>
      </c>
      <c r="D279" t="s">
        <v>4710</v>
      </c>
      <c r="E279" s="598">
        <v>457980</v>
      </c>
    </row>
    <row r="280" spans="1:5" x14ac:dyDescent="0.3">
      <c r="A280" t="s">
        <v>4711</v>
      </c>
      <c r="C280">
        <v>120</v>
      </c>
      <c r="D280" t="s">
        <v>4712</v>
      </c>
      <c r="E280" s="598">
        <v>298780</v>
      </c>
    </row>
    <row r="281" spans="1:5" x14ac:dyDescent="0.3">
      <c r="C281">
        <v>220</v>
      </c>
      <c r="E281" s="598">
        <v>533300</v>
      </c>
    </row>
    <row r="282" spans="1:5" x14ac:dyDescent="0.3">
      <c r="A282" t="s">
        <v>4713</v>
      </c>
      <c r="C282">
        <v>100</v>
      </c>
      <c r="D282" t="s">
        <v>4300</v>
      </c>
      <c r="E282" s="598">
        <v>176240</v>
      </c>
    </row>
    <row r="283" spans="1:5" x14ac:dyDescent="0.3">
      <c r="C283">
        <v>200</v>
      </c>
      <c r="E283" s="598">
        <v>352470</v>
      </c>
    </row>
    <row r="284" spans="1:5" ht="49.5" x14ac:dyDescent="0.3">
      <c r="A284" t="s">
        <v>4714</v>
      </c>
      <c r="C284">
        <v>120</v>
      </c>
      <c r="D284" s="614" t="s">
        <v>4715</v>
      </c>
      <c r="E284" s="620">
        <v>226240</v>
      </c>
    </row>
    <row r="285" spans="1:5" x14ac:dyDescent="0.3">
      <c r="C285">
        <v>220</v>
      </c>
      <c r="E285" s="620">
        <v>402650</v>
      </c>
    </row>
    <row r="286" spans="1:5" x14ac:dyDescent="0.3">
      <c r="C286">
        <v>400</v>
      </c>
      <c r="E286" s="620">
        <v>732090</v>
      </c>
    </row>
    <row r="287" spans="1:5" x14ac:dyDescent="0.3">
      <c r="A287" t="s">
        <v>4716</v>
      </c>
      <c r="C287">
        <v>120</v>
      </c>
      <c r="D287" t="s">
        <v>4717</v>
      </c>
      <c r="E287" s="620">
        <v>289780</v>
      </c>
    </row>
    <row r="288" spans="1:5" x14ac:dyDescent="0.3">
      <c r="C288">
        <v>220</v>
      </c>
      <c r="E288" s="620">
        <v>533300</v>
      </c>
    </row>
    <row r="289" spans="1:5" x14ac:dyDescent="0.3">
      <c r="C289">
        <v>400</v>
      </c>
      <c r="E289" s="620">
        <v>969640</v>
      </c>
    </row>
    <row r="290" spans="1:5" x14ac:dyDescent="0.3">
      <c r="A290" t="s">
        <v>4719</v>
      </c>
      <c r="C290">
        <v>120</v>
      </c>
      <c r="D290" t="s">
        <v>4712</v>
      </c>
      <c r="E290" s="620">
        <v>298780</v>
      </c>
    </row>
    <row r="291" spans="1:5" x14ac:dyDescent="0.3">
      <c r="C291">
        <v>220</v>
      </c>
      <c r="E291" s="620">
        <v>533300</v>
      </c>
    </row>
    <row r="292" spans="1:5" x14ac:dyDescent="0.3">
      <c r="C292">
        <v>400</v>
      </c>
      <c r="E292" s="598">
        <v>969640</v>
      </c>
    </row>
    <row r="293" spans="1:5" x14ac:dyDescent="0.3">
      <c r="A293" t="s">
        <v>4720</v>
      </c>
      <c r="C293">
        <v>110</v>
      </c>
      <c r="D293" t="s">
        <v>4721</v>
      </c>
      <c r="E293">
        <v>223410</v>
      </c>
    </row>
    <row r="294" spans="1:5" x14ac:dyDescent="0.3">
      <c r="C294">
        <v>150</v>
      </c>
      <c r="E294" s="620">
        <v>304650</v>
      </c>
    </row>
    <row r="295" spans="1:5" x14ac:dyDescent="0.3">
      <c r="C295">
        <v>160</v>
      </c>
      <c r="E295" s="620">
        <v>324960</v>
      </c>
    </row>
    <row r="296" spans="1:5" x14ac:dyDescent="0.3">
      <c r="C296">
        <v>200</v>
      </c>
      <c r="E296" s="620">
        <v>406210</v>
      </c>
    </row>
    <row r="297" spans="1:5" x14ac:dyDescent="0.3">
      <c r="C297">
        <v>250</v>
      </c>
      <c r="E297" s="620">
        <v>507760</v>
      </c>
    </row>
    <row r="298" spans="1:5" x14ac:dyDescent="0.3">
      <c r="A298" t="s">
        <v>4723</v>
      </c>
      <c r="C298">
        <v>110</v>
      </c>
      <c r="D298" t="s">
        <v>4722</v>
      </c>
      <c r="E298" s="620">
        <v>292920</v>
      </c>
    </row>
    <row r="299" spans="1:5" x14ac:dyDescent="0.3">
      <c r="C299">
        <v>150</v>
      </c>
      <c r="E299" s="598">
        <v>399440</v>
      </c>
    </row>
    <row r="300" spans="1:5" x14ac:dyDescent="0.3">
      <c r="C300">
        <v>160</v>
      </c>
      <c r="E300" s="620">
        <v>532580</v>
      </c>
    </row>
    <row r="301" spans="1:5" x14ac:dyDescent="0.3">
      <c r="C301">
        <v>200</v>
      </c>
      <c r="E301" s="620">
        <v>665730</v>
      </c>
    </row>
    <row r="302" spans="1:5" x14ac:dyDescent="0.3">
      <c r="C302">
        <v>250</v>
      </c>
      <c r="E302" s="620">
        <v>798880</v>
      </c>
    </row>
    <row r="303" spans="1:5" x14ac:dyDescent="0.3">
      <c r="A303" t="s">
        <v>4724</v>
      </c>
      <c r="C303">
        <v>120</v>
      </c>
      <c r="D303" t="s">
        <v>4725</v>
      </c>
      <c r="E303" s="620">
        <v>276310</v>
      </c>
    </row>
    <row r="304" spans="1:5" x14ac:dyDescent="0.3">
      <c r="C304">
        <v>220</v>
      </c>
      <c r="E304" s="620">
        <v>490070</v>
      </c>
    </row>
    <row r="305" spans="1:5" x14ac:dyDescent="0.3">
      <c r="C305">
        <v>300</v>
      </c>
      <c r="E305" s="620">
        <v>668280</v>
      </c>
    </row>
    <row r="306" spans="1:5" x14ac:dyDescent="0.3">
      <c r="C306">
        <v>350</v>
      </c>
      <c r="E306" s="620">
        <v>670520</v>
      </c>
    </row>
    <row r="307" spans="1:5" x14ac:dyDescent="0.3">
      <c r="A307" t="s">
        <v>4726</v>
      </c>
      <c r="C307">
        <v>120</v>
      </c>
      <c r="D307" t="s">
        <v>4727</v>
      </c>
      <c r="E307" s="620">
        <v>257730</v>
      </c>
    </row>
    <row r="308" spans="1:5" x14ac:dyDescent="0.3">
      <c r="C308">
        <v>200</v>
      </c>
      <c r="E308" s="620">
        <v>429550</v>
      </c>
    </row>
    <row r="309" spans="1:5" x14ac:dyDescent="0.3">
      <c r="A309" t="s">
        <v>4728</v>
      </c>
      <c r="C309">
        <v>140</v>
      </c>
      <c r="D309" t="s">
        <v>4300</v>
      </c>
      <c r="E309" s="620">
        <v>270310</v>
      </c>
    </row>
    <row r="310" spans="1:5" x14ac:dyDescent="0.3">
      <c r="C310">
        <v>300</v>
      </c>
      <c r="E310" s="620">
        <v>499330</v>
      </c>
    </row>
    <row r="311" spans="1:5" x14ac:dyDescent="0.3">
      <c r="C311">
        <v>350</v>
      </c>
      <c r="E311" s="620">
        <v>582550</v>
      </c>
    </row>
    <row r="312" spans="1:5" x14ac:dyDescent="0.3">
      <c r="A312" t="s">
        <v>4729</v>
      </c>
      <c r="C312">
        <v>160</v>
      </c>
      <c r="D312" t="s">
        <v>4300</v>
      </c>
      <c r="E312" s="620">
        <v>308930</v>
      </c>
    </row>
    <row r="313" spans="1:5" x14ac:dyDescent="0.3">
      <c r="C313">
        <v>350</v>
      </c>
      <c r="E313" s="620">
        <v>582550</v>
      </c>
    </row>
    <row r="314" spans="1:5" x14ac:dyDescent="0.3">
      <c r="A314" t="s">
        <v>4730</v>
      </c>
      <c r="C314">
        <v>140</v>
      </c>
      <c r="D314" t="s">
        <v>4300</v>
      </c>
      <c r="E314" s="620">
        <v>232810</v>
      </c>
    </row>
    <row r="315" spans="1:5" x14ac:dyDescent="0.3">
      <c r="C315">
        <v>300</v>
      </c>
      <c r="E315" s="620">
        <v>430060</v>
      </c>
    </row>
    <row r="316" spans="1:5" x14ac:dyDescent="0.3">
      <c r="C316">
        <v>350</v>
      </c>
      <c r="E316" s="620">
        <v>501740</v>
      </c>
    </row>
    <row r="317" spans="1:5" x14ac:dyDescent="0.3">
      <c r="A317" t="s">
        <v>4731</v>
      </c>
      <c r="C317">
        <v>350</v>
      </c>
      <c r="D317" t="s">
        <v>4732</v>
      </c>
      <c r="E317" s="620">
        <v>536410</v>
      </c>
    </row>
    <row r="318" spans="1:5" ht="49.5" x14ac:dyDescent="0.3">
      <c r="A318" t="s">
        <v>4733</v>
      </c>
      <c r="C318">
        <v>120</v>
      </c>
      <c r="D318" s="614" t="s">
        <v>4734</v>
      </c>
      <c r="E318" s="620">
        <v>491880</v>
      </c>
    </row>
    <row r="319" spans="1:5" x14ac:dyDescent="0.3">
      <c r="C319">
        <v>220</v>
      </c>
      <c r="E319" s="620">
        <v>800680</v>
      </c>
    </row>
    <row r="320" spans="1:5" x14ac:dyDescent="0.3">
      <c r="C320">
        <v>370</v>
      </c>
      <c r="E320" s="620">
        <v>1123230</v>
      </c>
    </row>
    <row r="321" spans="1:5" x14ac:dyDescent="0.3">
      <c r="C321">
        <v>400</v>
      </c>
      <c r="E321" s="620">
        <v>1214300</v>
      </c>
    </row>
    <row r="322" spans="1:5" x14ac:dyDescent="0.3">
      <c r="A322" t="s">
        <v>4735</v>
      </c>
      <c r="C322">
        <v>120</v>
      </c>
      <c r="D322" t="s">
        <v>4704</v>
      </c>
      <c r="E322" s="620">
        <v>594590</v>
      </c>
    </row>
    <row r="323" spans="1:5" x14ac:dyDescent="0.3">
      <c r="C323">
        <v>220</v>
      </c>
      <c r="E323" s="620">
        <v>955530</v>
      </c>
    </row>
    <row r="324" spans="1:5" x14ac:dyDescent="0.3">
      <c r="C324">
        <v>370</v>
      </c>
      <c r="E324" s="620">
        <v>1235190</v>
      </c>
    </row>
    <row r="325" spans="1:5" x14ac:dyDescent="0.3">
      <c r="C325">
        <v>400</v>
      </c>
      <c r="E325" s="620">
        <v>1335350</v>
      </c>
    </row>
    <row r="326" spans="1:5" ht="33" x14ac:dyDescent="0.3">
      <c r="A326" t="s">
        <v>4736</v>
      </c>
      <c r="C326">
        <v>120</v>
      </c>
      <c r="D326" s="614" t="s">
        <v>4737</v>
      </c>
      <c r="E326" s="620">
        <v>654020</v>
      </c>
    </row>
    <row r="327" spans="1:5" x14ac:dyDescent="0.3">
      <c r="C327">
        <v>220</v>
      </c>
      <c r="E327" s="620">
        <v>1051050</v>
      </c>
    </row>
    <row r="328" spans="1:5" x14ac:dyDescent="0.3">
      <c r="C328">
        <v>370</v>
      </c>
      <c r="E328" s="620">
        <v>1382100</v>
      </c>
    </row>
    <row r="329" spans="1:5" x14ac:dyDescent="0.3">
      <c r="C329">
        <v>400</v>
      </c>
      <c r="E329" s="620">
        <v>1494170</v>
      </c>
    </row>
    <row r="330" spans="1:5" x14ac:dyDescent="0.3">
      <c r="A330" t="s">
        <v>4738</v>
      </c>
      <c r="C330">
        <v>120</v>
      </c>
      <c r="D330" t="s">
        <v>4739</v>
      </c>
      <c r="E330" s="620">
        <v>605170</v>
      </c>
    </row>
    <row r="331" spans="1:5" x14ac:dyDescent="0.3">
      <c r="C331">
        <v>220</v>
      </c>
      <c r="E331" s="620">
        <v>972530</v>
      </c>
    </row>
    <row r="332" spans="1:5" x14ac:dyDescent="0.3">
      <c r="C332">
        <v>370</v>
      </c>
      <c r="E332" s="620">
        <v>1257170</v>
      </c>
    </row>
    <row r="333" spans="1:5" x14ac:dyDescent="0.3">
      <c r="C333">
        <v>400</v>
      </c>
      <c r="E333" s="620">
        <v>1359110</v>
      </c>
    </row>
    <row r="334" spans="1:5" x14ac:dyDescent="0.3">
      <c r="A334" t="s">
        <v>4740</v>
      </c>
      <c r="C334">
        <v>120</v>
      </c>
      <c r="D334" t="s">
        <v>4741</v>
      </c>
      <c r="E334" s="620">
        <v>248860</v>
      </c>
    </row>
    <row r="335" spans="1:5" x14ac:dyDescent="0.3">
      <c r="C335">
        <v>220</v>
      </c>
      <c r="E335" s="620">
        <v>442910</v>
      </c>
    </row>
    <row r="336" spans="1:5" x14ac:dyDescent="0.3">
      <c r="C336">
        <v>350</v>
      </c>
      <c r="E336" s="620">
        <v>704630</v>
      </c>
    </row>
    <row r="337" spans="1:7" x14ac:dyDescent="0.3">
      <c r="A337" t="s">
        <v>4742</v>
      </c>
      <c r="C337">
        <v>200</v>
      </c>
      <c r="D337">
        <v>0</v>
      </c>
      <c r="E337" s="620">
        <v>256110</v>
      </c>
      <c r="G337" s="634"/>
    </row>
    <row r="338" spans="1:7" x14ac:dyDescent="0.3">
      <c r="C338">
        <v>220</v>
      </c>
      <c r="D338">
        <v>0</v>
      </c>
      <c r="E338" s="620">
        <v>273700</v>
      </c>
      <c r="G338" s="634"/>
    </row>
    <row r="339" spans="1:7" x14ac:dyDescent="0.3">
      <c r="C339">
        <v>230</v>
      </c>
      <c r="D339">
        <v>0</v>
      </c>
      <c r="E339" s="620">
        <v>280570</v>
      </c>
      <c r="G339" s="634"/>
    </row>
    <row r="340" spans="1:7" x14ac:dyDescent="0.3">
      <c r="C340">
        <v>240</v>
      </c>
      <c r="D340">
        <v>0</v>
      </c>
      <c r="E340" s="620">
        <v>286960</v>
      </c>
      <c r="G340" s="634"/>
    </row>
    <row r="341" spans="1:7" x14ac:dyDescent="0.3">
      <c r="C341">
        <v>260</v>
      </c>
      <c r="D341">
        <v>0</v>
      </c>
      <c r="E341" s="620">
        <v>312030</v>
      </c>
      <c r="G341" s="634"/>
    </row>
    <row r="342" spans="1:7" x14ac:dyDescent="0.3">
      <c r="C342">
        <v>280</v>
      </c>
      <c r="D342">
        <v>0</v>
      </c>
      <c r="E342" s="620">
        <v>334320</v>
      </c>
      <c r="G342" s="634"/>
    </row>
    <row r="343" spans="1:7" x14ac:dyDescent="0.3">
      <c r="C343">
        <v>300</v>
      </c>
      <c r="D343">
        <v>0</v>
      </c>
      <c r="E343" s="620">
        <v>359390</v>
      </c>
      <c r="G343" s="634"/>
    </row>
    <row r="344" spans="1:7" x14ac:dyDescent="0.3">
      <c r="C344">
        <v>350</v>
      </c>
      <c r="D344">
        <v>0</v>
      </c>
      <c r="E344" s="620">
        <v>420690</v>
      </c>
      <c r="G344" s="634"/>
    </row>
    <row r="345" spans="1:7" x14ac:dyDescent="0.3">
      <c r="C345">
        <v>400</v>
      </c>
      <c r="D345">
        <v>0</v>
      </c>
      <c r="E345" s="620">
        <v>479190</v>
      </c>
      <c r="G345" s="634"/>
    </row>
    <row r="346" spans="1:7" x14ac:dyDescent="0.3">
      <c r="C346">
        <v>450</v>
      </c>
      <c r="D346">
        <v>0</v>
      </c>
      <c r="E346" s="620">
        <v>540480</v>
      </c>
      <c r="G346" s="634"/>
    </row>
    <row r="347" spans="1:7" x14ac:dyDescent="0.3">
      <c r="C347">
        <v>500</v>
      </c>
      <c r="D347">
        <v>0</v>
      </c>
      <c r="E347" s="620">
        <v>598990</v>
      </c>
      <c r="G347" s="634"/>
    </row>
    <row r="348" spans="1:7" x14ac:dyDescent="0.3">
      <c r="B348" t="s">
        <v>4284</v>
      </c>
      <c r="C348">
        <v>200</v>
      </c>
      <c r="D348" t="s">
        <v>4743</v>
      </c>
      <c r="E348" s="620">
        <v>177746</v>
      </c>
      <c r="F348" s="598"/>
    </row>
    <row r="349" spans="1:7" x14ac:dyDescent="0.3">
      <c r="C349">
        <v>220</v>
      </c>
      <c r="D349" t="s">
        <v>4743</v>
      </c>
      <c r="E349" s="620">
        <v>189954</v>
      </c>
      <c r="F349" s="598"/>
    </row>
    <row r="350" spans="1:7" x14ac:dyDescent="0.3">
      <c r="C350">
        <v>230</v>
      </c>
      <c r="D350" t="s">
        <v>4743</v>
      </c>
      <c r="E350" s="598">
        <v>194722.02808612707</v>
      </c>
    </row>
    <row r="351" spans="1:7" x14ac:dyDescent="0.3">
      <c r="C351">
        <v>240</v>
      </c>
      <c r="D351" t="s">
        <v>4743</v>
      </c>
      <c r="E351" s="598">
        <v>199156.83494170799</v>
      </c>
    </row>
    <row r="352" spans="1:7" x14ac:dyDescent="0.3">
      <c r="C352">
        <v>260</v>
      </c>
      <c r="D352" t="s">
        <v>4743</v>
      </c>
      <c r="E352" s="598">
        <v>216555.99110280577</v>
      </c>
    </row>
    <row r="353" spans="1:7" x14ac:dyDescent="0.3">
      <c r="C353">
        <v>280</v>
      </c>
      <c r="D353" t="s">
        <v>4743</v>
      </c>
      <c r="E353" s="598">
        <v>232025.76337368213</v>
      </c>
    </row>
    <row r="354" spans="1:7" x14ac:dyDescent="0.3">
      <c r="C354">
        <v>300</v>
      </c>
      <c r="D354" t="s">
        <v>4743</v>
      </c>
      <c r="E354" s="598">
        <v>249424.91953477994</v>
      </c>
    </row>
    <row r="355" spans="1:7" x14ac:dyDescent="0.3">
      <c r="C355">
        <v>350</v>
      </c>
      <c r="D355" t="s">
        <v>4743</v>
      </c>
      <c r="E355" s="598">
        <v>291968.52833714499</v>
      </c>
    </row>
    <row r="356" spans="1:7" x14ac:dyDescent="0.3">
      <c r="C356">
        <v>400</v>
      </c>
      <c r="D356" t="s">
        <v>4743</v>
      </c>
      <c r="E356" s="598">
        <v>332568.87278964685</v>
      </c>
    </row>
    <row r="357" spans="1:7" x14ac:dyDescent="0.3">
      <c r="C357">
        <v>450</v>
      </c>
      <c r="D357" t="s">
        <v>4743</v>
      </c>
      <c r="E357" s="598">
        <v>375105.54136219108</v>
      </c>
    </row>
    <row r="358" spans="1:7" x14ac:dyDescent="0.3">
      <c r="C358">
        <v>500</v>
      </c>
      <c r="D358" t="s">
        <v>4743</v>
      </c>
      <c r="E358" s="598">
        <v>415712.82604451373</v>
      </c>
      <c r="G358" s="635"/>
    </row>
    <row r="359" spans="1:7" x14ac:dyDescent="0.3">
      <c r="A359" t="s">
        <v>4744</v>
      </c>
      <c r="B359" t="s">
        <v>4396</v>
      </c>
      <c r="C359">
        <v>260</v>
      </c>
      <c r="E359" s="617">
        <v>208520</v>
      </c>
      <c r="F359" s="622"/>
      <c r="G359" s="635"/>
    </row>
    <row r="360" spans="1:7" x14ac:dyDescent="0.3">
      <c r="C360">
        <v>280</v>
      </c>
      <c r="E360" s="617">
        <v>220070</v>
      </c>
      <c r="F360" s="622"/>
      <c r="G360" s="635"/>
    </row>
    <row r="361" spans="1:7" x14ac:dyDescent="0.3">
      <c r="C361">
        <v>300</v>
      </c>
      <c r="E361" s="617">
        <v>235060</v>
      </c>
      <c r="F361" s="622"/>
      <c r="G361" s="635"/>
    </row>
    <row r="362" spans="1:7" x14ac:dyDescent="0.3">
      <c r="C362">
        <v>350</v>
      </c>
      <c r="E362" s="617">
        <v>272400</v>
      </c>
      <c r="F362" s="622"/>
      <c r="G362" s="635"/>
    </row>
    <row r="363" spans="1:7" x14ac:dyDescent="0.3">
      <c r="C363">
        <v>400</v>
      </c>
      <c r="E363" s="617">
        <v>307340</v>
      </c>
      <c r="F363" s="622"/>
      <c r="G363" s="635"/>
    </row>
    <row r="364" spans="1:7" x14ac:dyDescent="0.3">
      <c r="C364">
        <v>450</v>
      </c>
      <c r="E364" s="617">
        <v>343750</v>
      </c>
      <c r="F364" s="622"/>
      <c r="G364" s="635"/>
    </row>
    <row r="365" spans="1:7" x14ac:dyDescent="0.3">
      <c r="C365">
        <v>500</v>
      </c>
      <c r="E365" s="617">
        <v>375900</v>
      </c>
      <c r="F365" s="622"/>
      <c r="G365" s="635"/>
    </row>
    <row r="366" spans="1:7" x14ac:dyDescent="0.3">
      <c r="B366" t="s">
        <v>4284</v>
      </c>
      <c r="C366">
        <v>260</v>
      </c>
      <c r="D366" t="s">
        <v>4743</v>
      </c>
      <c r="E366" s="622">
        <v>144850.3190385573</v>
      </c>
    </row>
    <row r="367" spans="1:7" x14ac:dyDescent="0.3">
      <c r="C367">
        <v>280</v>
      </c>
      <c r="D367" t="s">
        <v>4743</v>
      </c>
      <c r="E367" s="622">
        <v>152873.63183778679</v>
      </c>
    </row>
    <row r="368" spans="1:7" x14ac:dyDescent="0.3">
      <c r="C368">
        <v>300</v>
      </c>
      <c r="D368" t="s">
        <v>4743</v>
      </c>
      <c r="E368" s="622">
        <v>163286.5719988647</v>
      </c>
    </row>
    <row r="369" spans="1:7" x14ac:dyDescent="0.3">
      <c r="C369">
        <v>350</v>
      </c>
      <c r="D369" t="s">
        <v>4743</v>
      </c>
      <c r="E369" s="622">
        <v>189225.14342078936</v>
      </c>
    </row>
    <row r="370" spans="1:7" x14ac:dyDescent="0.3">
      <c r="C370">
        <v>400</v>
      </c>
      <c r="D370" t="s">
        <v>4743</v>
      </c>
      <c r="E370" s="622">
        <v>213496.53296235466</v>
      </c>
    </row>
    <row r="371" spans="1:7" x14ac:dyDescent="0.3">
      <c r="C371">
        <v>450</v>
      </c>
      <c r="D371" t="s">
        <v>4743</v>
      </c>
      <c r="E371" s="622">
        <v>238789.07140564002</v>
      </c>
    </row>
    <row r="372" spans="1:7" x14ac:dyDescent="0.3">
      <c r="C372">
        <v>500</v>
      </c>
      <c r="D372" t="s">
        <v>4743</v>
      </c>
      <c r="E372" s="598">
        <v>261122.36201128751</v>
      </c>
    </row>
    <row r="373" spans="1:7" x14ac:dyDescent="0.3">
      <c r="A373" t="s">
        <v>4745</v>
      </c>
      <c r="B373" t="s">
        <v>4396</v>
      </c>
      <c r="C373">
        <v>180</v>
      </c>
      <c r="E373" s="598">
        <v>130340</v>
      </c>
      <c r="G373" s="635"/>
    </row>
    <row r="374" spans="1:7" x14ac:dyDescent="0.3">
      <c r="C374">
        <v>240</v>
      </c>
      <c r="E374" s="622">
        <v>153740</v>
      </c>
      <c r="G374" s="635"/>
    </row>
    <row r="375" spans="1:7" x14ac:dyDescent="0.3">
      <c r="C375">
        <v>260</v>
      </c>
      <c r="E375" s="622">
        <v>163580</v>
      </c>
      <c r="G375" s="635"/>
    </row>
    <row r="376" spans="1:7" x14ac:dyDescent="0.3">
      <c r="C376">
        <v>280</v>
      </c>
      <c r="E376" s="622">
        <v>171150</v>
      </c>
      <c r="G376" s="635"/>
    </row>
    <row r="377" spans="1:7" x14ac:dyDescent="0.3">
      <c r="C377">
        <v>300</v>
      </c>
      <c r="E377" s="622">
        <v>181640</v>
      </c>
      <c r="G377" s="635"/>
    </row>
    <row r="378" spans="1:7" x14ac:dyDescent="0.3">
      <c r="C378">
        <v>350</v>
      </c>
      <c r="E378" s="622">
        <v>211490</v>
      </c>
      <c r="G378" s="635"/>
    </row>
    <row r="379" spans="1:7" x14ac:dyDescent="0.3">
      <c r="C379">
        <v>400</v>
      </c>
      <c r="E379" s="622">
        <v>237220</v>
      </c>
      <c r="G379" s="635"/>
    </row>
    <row r="380" spans="1:7" x14ac:dyDescent="0.3">
      <c r="C380">
        <v>450</v>
      </c>
      <c r="E380" s="622">
        <v>264040</v>
      </c>
      <c r="G380" s="635"/>
    </row>
    <row r="381" spans="1:7" x14ac:dyDescent="0.3">
      <c r="C381">
        <v>500</v>
      </c>
      <c r="E381" s="622">
        <v>289170</v>
      </c>
      <c r="G381" s="635"/>
    </row>
    <row r="382" spans="1:7" x14ac:dyDescent="0.3">
      <c r="B382" t="s">
        <v>4284</v>
      </c>
      <c r="C382">
        <v>180</v>
      </c>
      <c r="D382" t="s">
        <v>4743</v>
      </c>
      <c r="E382" s="598">
        <v>90541.869285850524</v>
      </c>
    </row>
    <row r="383" spans="1:7" x14ac:dyDescent="0.3">
      <c r="C383">
        <v>240</v>
      </c>
      <c r="D383" t="s">
        <v>4743</v>
      </c>
      <c r="E383" s="598">
        <v>106796.89261935446</v>
      </c>
    </row>
    <row r="384" spans="1:7" x14ac:dyDescent="0.3">
      <c r="C384">
        <v>260</v>
      </c>
      <c r="D384" t="s">
        <v>4743</v>
      </c>
      <c r="E384" s="598">
        <v>113632.33832882791</v>
      </c>
    </row>
    <row r="385" spans="3:5" x14ac:dyDescent="0.3">
      <c r="C385">
        <v>280</v>
      </c>
      <c r="D385" t="s">
        <v>4743</v>
      </c>
      <c r="E385" s="598">
        <v>118890.90784312811</v>
      </c>
    </row>
    <row r="386" spans="3:5" x14ac:dyDescent="0.3">
      <c r="C386">
        <v>300</v>
      </c>
      <c r="D386" t="s">
        <v>4743</v>
      </c>
      <c r="E386" s="598">
        <v>126177.88197853223</v>
      </c>
    </row>
    <row r="387" spans="3:5" x14ac:dyDescent="0.3">
      <c r="C387">
        <v>350</v>
      </c>
      <c r="D387" t="s">
        <v>4743</v>
      </c>
      <c r="E387" s="598">
        <v>146913.45661550201</v>
      </c>
    </row>
    <row r="388" spans="3:5" x14ac:dyDescent="0.3">
      <c r="C388">
        <v>400</v>
      </c>
      <c r="D388" t="s">
        <v>4743</v>
      </c>
      <c r="E388" s="598">
        <v>164787.03569118815</v>
      </c>
    </row>
    <row r="389" spans="3:5" x14ac:dyDescent="0.3">
      <c r="C389">
        <v>450</v>
      </c>
      <c r="D389" t="s">
        <v>4743</v>
      </c>
      <c r="E389" s="598">
        <v>183417.79320420418</v>
      </c>
    </row>
    <row r="390" spans="3:5" x14ac:dyDescent="0.3">
      <c r="C390">
        <v>500</v>
      </c>
      <c r="D390" t="s">
        <v>4743</v>
      </c>
      <c r="E390" s="598">
        <v>200874.57680980055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abSelected="1" workbookViewId="0">
      <selection activeCell="J84" sqref="J84"/>
    </sheetView>
  </sheetViews>
  <sheetFormatPr defaultRowHeight="16.5" x14ac:dyDescent="0.3"/>
  <cols>
    <col min="1" max="1" width="18.625" bestFit="1" customWidth="1"/>
    <col min="5" max="5" width="9" style="598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4746</v>
      </c>
    </row>
    <row r="2" spans="1:7" x14ac:dyDescent="0.3">
      <c r="A2" t="s">
        <v>4776</v>
      </c>
      <c r="B2" t="s">
        <v>4328</v>
      </c>
      <c r="C2">
        <v>75</v>
      </c>
      <c r="E2" s="598">
        <v>71030</v>
      </c>
    </row>
    <row r="3" spans="1:7" x14ac:dyDescent="0.3">
      <c r="B3" t="s">
        <v>4284</v>
      </c>
      <c r="C3">
        <v>75</v>
      </c>
      <c r="E3" s="598">
        <v>49340</v>
      </c>
    </row>
    <row r="4" spans="1:7" x14ac:dyDescent="0.3">
      <c r="A4" t="s">
        <v>4777</v>
      </c>
      <c r="B4" t="s">
        <v>4328</v>
      </c>
      <c r="C4">
        <v>75</v>
      </c>
      <c r="E4" s="598">
        <v>72400</v>
      </c>
    </row>
    <row r="5" spans="1:7" x14ac:dyDescent="0.3">
      <c r="B5" t="s">
        <v>4284</v>
      </c>
      <c r="C5">
        <v>75</v>
      </c>
      <c r="E5" s="598">
        <v>50290</v>
      </c>
    </row>
    <row r="6" spans="1:7" x14ac:dyDescent="0.3">
      <c r="A6" t="s">
        <v>4778</v>
      </c>
      <c r="B6" t="s">
        <v>4328</v>
      </c>
      <c r="C6">
        <v>65</v>
      </c>
      <c r="E6" s="598">
        <v>63410</v>
      </c>
    </row>
    <row r="7" spans="1:7" x14ac:dyDescent="0.3">
      <c r="C7">
        <v>70</v>
      </c>
      <c r="E7" s="598">
        <v>66930</v>
      </c>
    </row>
    <row r="8" spans="1:7" x14ac:dyDescent="0.3">
      <c r="C8">
        <v>75</v>
      </c>
      <c r="E8" s="598">
        <v>70310</v>
      </c>
    </row>
    <row r="9" spans="1:7" x14ac:dyDescent="0.3">
      <c r="C9">
        <v>80</v>
      </c>
      <c r="E9" s="598">
        <v>73490</v>
      </c>
    </row>
    <row r="10" spans="1:7" x14ac:dyDescent="0.3">
      <c r="C10">
        <v>100</v>
      </c>
      <c r="E10" s="598">
        <v>91060</v>
      </c>
    </row>
    <row r="11" spans="1:7" x14ac:dyDescent="0.3">
      <c r="B11" t="s">
        <v>4284</v>
      </c>
      <c r="C11">
        <v>65</v>
      </c>
      <c r="E11" s="598">
        <v>44050</v>
      </c>
    </row>
    <row r="12" spans="1:7" x14ac:dyDescent="0.3">
      <c r="C12">
        <v>70</v>
      </c>
      <c r="E12" s="598">
        <v>46490</v>
      </c>
    </row>
    <row r="13" spans="1:7" x14ac:dyDescent="0.3">
      <c r="C13">
        <v>75</v>
      </c>
      <c r="E13" s="598">
        <v>48840</v>
      </c>
    </row>
    <row r="14" spans="1:7" x14ac:dyDescent="0.3">
      <c r="C14">
        <v>80</v>
      </c>
      <c r="E14" s="598">
        <v>51050</v>
      </c>
    </row>
    <row r="15" spans="1:7" x14ac:dyDescent="0.3">
      <c r="C15">
        <v>100</v>
      </c>
      <c r="E15" s="598">
        <v>63260</v>
      </c>
    </row>
    <row r="16" spans="1:7" x14ac:dyDescent="0.3">
      <c r="A16" t="s">
        <v>4779</v>
      </c>
      <c r="B16" t="s">
        <v>4328</v>
      </c>
      <c r="C16">
        <v>70</v>
      </c>
      <c r="E16" s="598">
        <v>67300</v>
      </c>
    </row>
    <row r="17" spans="1:5" x14ac:dyDescent="0.3">
      <c r="B17" t="s">
        <v>4284</v>
      </c>
      <c r="C17">
        <v>70</v>
      </c>
      <c r="E17" s="598">
        <v>46750</v>
      </c>
    </row>
    <row r="18" spans="1:5" x14ac:dyDescent="0.3">
      <c r="A18" t="s">
        <v>4780</v>
      </c>
      <c r="B18" t="s">
        <v>4328</v>
      </c>
      <c r="C18">
        <v>65</v>
      </c>
      <c r="E18" s="598">
        <v>64000</v>
      </c>
    </row>
    <row r="19" spans="1:5" x14ac:dyDescent="0.3">
      <c r="B19" t="s">
        <v>4284</v>
      </c>
      <c r="C19">
        <v>65</v>
      </c>
      <c r="E19" s="598">
        <v>44460</v>
      </c>
    </row>
    <row r="20" spans="1:5" x14ac:dyDescent="0.3">
      <c r="A20" t="s">
        <v>4781</v>
      </c>
      <c r="B20" t="s">
        <v>4328</v>
      </c>
      <c r="C20">
        <v>70</v>
      </c>
      <c r="E20" s="598">
        <v>52230</v>
      </c>
    </row>
    <row r="21" spans="1:5" x14ac:dyDescent="0.3">
      <c r="B21" t="s">
        <v>4328</v>
      </c>
      <c r="C21">
        <v>80</v>
      </c>
      <c r="E21" s="598">
        <v>56390</v>
      </c>
    </row>
    <row r="22" spans="1:5" x14ac:dyDescent="0.3">
      <c r="B22" t="s">
        <v>4284</v>
      </c>
      <c r="C22">
        <v>70</v>
      </c>
      <c r="E22" s="598">
        <v>36280</v>
      </c>
    </row>
    <row r="23" spans="1:5" x14ac:dyDescent="0.3">
      <c r="B23" t="s">
        <v>4284</v>
      </c>
      <c r="C23">
        <v>80</v>
      </c>
      <c r="E23" s="598">
        <v>39170</v>
      </c>
    </row>
    <row r="24" spans="1:5" x14ac:dyDescent="0.3">
      <c r="A24" t="s">
        <v>4782</v>
      </c>
      <c r="B24" t="s">
        <v>4328</v>
      </c>
      <c r="C24">
        <v>65</v>
      </c>
      <c r="E24" s="598">
        <v>63190</v>
      </c>
    </row>
    <row r="25" spans="1:5" x14ac:dyDescent="0.3">
      <c r="B25" t="s">
        <v>4328</v>
      </c>
      <c r="C25">
        <v>70</v>
      </c>
      <c r="E25" s="598">
        <v>63820</v>
      </c>
    </row>
    <row r="26" spans="1:5" x14ac:dyDescent="0.3">
      <c r="B26" t="s">
        <v>4328</v>
      </c>
      <c r="C26">
        <v>80</v>
      </c>
      <c r="E26" s="598">
        <v>70670</v>
      </c>
    </row>
    <row r="27" spans="1:5" x14ac:dyDescent="0.3">
      <c r="B27" t="s">
        <v>4284</v>
      </c>
      <c r="C27">
        <v>65</v>
      </c>
      <c r="E27" s="598">
        <v>43900</v>
      </c>
    </row>
    <row r="28" spans="1:5" x14ac:dyDescent="0.3">
      <c r="B28" t="s">
        <v>4284</v>
      </c>
      <c r="C28">
        <v>70</v>
      </c>
      <c r="E28" s="598">
        <v>44330</v>
      </c>
    </row>
    <row r="29" spans="1:5" x14ac:dyDescent="0.3">
      <c r="B29" t="s">
        <v>4284</v>
      </c>
      <c r="C29">
        <v>80</v>
      </c>
      <c r="E29" s="598">
        <v>49090</v>
      </c>
    </row>
    <row r="30" spans="1:5" x14ac:dyDescent="0.3">
      <c r="A30" t="s">
        <v>4783</v>
      </c>
      <c r="B30" t="s">
        <v>4328</v>
      </c>
      <c r="C30">
        <v>65</v>
      </c>
      <c r="E30" s="598">
        <v>65400</v>
      </c>
    </row>
    <row r="31" spans="1:5" x14ac:dyDescent="0.3">
      <c r="B31" t="s">
        <v>4328</v>
      </c>
      <c r="C31">
        <v>70</v>
      </c>
      <c r="E31" s="598">
        <v>65800</v>
      </c>
    </row>
    <row r="32" spans="1:5" x14ac:dyDescent="0.3">
      <c r="B32" t="s">
        <v>4328</v>
      </c>
      <c r="C32">
        <v>80</v>
      </c>
      <c r="E32" s="598">
        <v>72480</v>
      </c>
    </row>
    <row r="33" spans="1:5" x14ac:dyDescent="0.3">
      <c r="B33" t="s">
        <v>4328</v>
      </c>
      <c r="C33">
        <v>95</v>
      </c>
      <c r="E33" s="598">
        <v>85530</v>
      </c>
    </row>
    <row r="34" spans="1:5" x14ac:dyDescent="0.3">
      <c r="B34" t="s">
        <v>4284</v>
      </c>
      <c r="C34">
        <v>65</v>
      </c>
      <c r="E34" s="598">
        <v>45430</v>
      </c>
    </row>
    <row r="35" spans="1:5" x14ac:dyDescent="0.3">
      <c r="B35" t="s">
        <v>4284</v>
      </c>
      <c r="C35">
        <v>70</v>
      </c>
      <c r="E35" s="598">
        <v>45710</v>
      </c>
    </row>
    <row r="36" spans="1:5" x14ac:dyDescent="0.3">
      <c r="B36" t="s">
        <v>4284</v>
      </c>
      <c r="C36">
        <v>80</v>
      </c>
      <c r="E36" s="598">
        <v>50350</v>
      </c>
    </row>
    <row r="37" spans="1:5" x14ac:dyDescent="0.3">
      <c r="B37" t="s">
        <v>4284</v>
      </c>
      <c r="C37">
        <v>95</v>
      </c>
      <c r="E37" s="598">
        <v>59410</v>
      </c>
    </row>
    <row r="38" spans="1:5" x14ac:dyDescent="0.3">
      <c r="A38" t="s">
        <v>4784</v>
      </c>
      <c r="B38" t="s">
        <v>4328</v>
      </c>
      <c r="C38">
        <v>75</v>
      </c>
      <c r="E38" s="598">
        <v>58930</v>
      </c>
    </row>
    <row r="39" spans="1:5" x14ac:dyDescent="0.3">
      <c r="B39" t="s">
        <v>4328</v>
      </c>
      <c r="C39">
        <v>80</v>
      </c>
      <c r="E39" s="598">
        <v>61440</v>
      </c>
    </row>
    <row r="40" spans="1:5" x14ac:dyDescent="0.3">
      <c r="B40" t="s">
        <v>4284</v>
      </c>
      <c r="C40">
        <v>75</v>
      </c>
      <c r="E40" s="598">
        <v>40940</v>
      </c>
    </row>
    <row r="41" spans="1:5" x14ac:dyDescent="0.3">
      <c r="B41" t="s">
        <v>4284</v>
      </c>
      <c r="C41">
        <v>80</v>
      </c>
      <c r="E41" s="598">
        <v>42680</v>
      </c>
    </row>
    <row r="42" spans="1:5" ht="49.5" x14ac:dyDescent="0.3">
      <c r="A42" s="614" t="s">
        <v>4785</v>
      </c>
      <c r="B42" t="s">
        <v>4328</v>
      </c>
      <c r="C42">
        <v>70</v>
      </c>
      <c r="E42" s="598">
        <v>63830</v>
      </c>
    </row>
    <row r="43" spans="1:5" x14ac:dyDescent="0.3">
      <c r="B43" t="s">
        <v>4328</v>
      </c>
      <c r="C43">
        <v>80</v>
      </c>
      <c r="E43" s="598">
        <v>72830</v>
      </c>
    </row>
    <row r="44" spans="1:5" x14ac:dyDescent="0.3">
      <c r="B44" t="s">
        <v>4284</v>
      </c>
      <c r="C44">
        <v>70</v>
      </c>
      <c r="E44" s="598">
        <v>44340</v>
      </c>
    </row>
    <row r="45" spans="1:5" x14ac:dyDescent="0.3">
      <c r="B45" t="s">
        <v>4284</v>
      </c>
      <c r="C45">
        <v>80</v>
      </c>
      <c r="E45" s="598">
        <v>50590</v>
      </c>
    </row>
    <row r="46" spans="1:5" ht="33" x14ac:dyDescent="0.3">
      <c r="A46" s="614" t="s">
        <v>4786</v>
      </c>
      <c r="B46" t="s">
        <v>4328</v>
      </c>
      <c r="C46">
        <v>90</v>
      </c>
      <c r="E46" s="598">
        <v>79320</v>
      </c>
    </row>
    <row r="47" spans="1:5" x14ac:dyDescent="0.3">
      <c r="B47" t="s">
        <v>4328</v>
      </c>
      <c r="C47">
        <v>100</v>
      </c>
      <c r="E47" s="598">
        <v>87920</v>
      </c>
    </row>
    <row r="48" spans="1:5" x14ac:dyDescent="0.3">
      <c r="B48" t="s">
        <v>4284</v>
      </c>
      <c r="C48">
        <v>90</v>
      </c>
      <c r="E48" s="598">
        <v>55100</v>
      </c>
    </row>
    <row r="49" spans="1:5" x14ac:dyDescent="0.3">
      <c r="B49" t="s">
        <v>4284</v>
      </c>
      <c r="C49">
        <v>100</v>
      </c>
      <c r="E49" s="598">
        <v>61070</v>
      </c>
    </row>
    <row r="50" spans="1:5" x14ac:dyDescent="0.3">
      <c r="A50" t="s">
        <v>4787</v>
      </c>
      <c r="B50" t="s">
        <v>4328</v>
      </c>
      <c r="C50">
        <v>70</v>
      </c>
      <c r="E50" s="598">
        <v>65160</v>
      </c>
    </row>
    <row r="51" spans="1:5" x14ac:dyDescent="0.3">
      <c r="B51" t="s">
        <v>4328</v>
      </c>
      <c r="C51">
        <v>80</v>
      </c>
      <c r="E51" s="598">
        <v>74890</v>
      </c>
    </row>
    <row r="52" spans="1:5" x14ac:dyDescent="0.3">
      <c r="B52" t="s">
        <v>4328</v>
      </c>
      <c r="C52">
        <v>90</v>
      </c>
      <c r="E52" s="598">
        <v>80920</v>
      </c>
    </row>
    <row r="53" spans="1:5" x14ac:dyDescent="0.3">
      <c r="B53" t="s">
        <v>4284</v>
      </c>
      <c r="C53">
        <v>70</v>
      </c>
      <c r="E53" s="598">
        <v>45260</v>
      </c>
    </row>
    <row r="54" spans="1:5" x14ac:dyDescent="0.3">
      <c r="B54" t="s">
        <v>4284</v>
      </c>
      <c r="C54">
        <v>80</v>
      </c>
      <c r="E54" s="598">
        <v>52020</v>
      </c>
    </row>
    <row r="55" spans="1:5" x14ac:dyDescent="0.3">
      <c r="B55" t="s">
        <v>4284</v>
      </c>
      <c r="C55">
        <v>90</v>
      </c>
      <c r="E55" s="598">
        <v>56210</v>
      </c>
    </row>
    <row r="56" spans="1:5" x14ac:dyDescent="0.3">
      <c r="A56" t="s">
        <v>4788</v>
      </c>
      <c r="B56" t="s">
        <v>4328</v>
      </c>
      <c r="C56">
        <v>50</v>
      </c>
      <c r="E56" s="598">
        <v>53390</v>
      </c>
    </row>
    <row r="57" spans="1:5" x14ac:dyDescent="0.3">
      <c r="B57" t="s">
        <v>4328</v>
      </c>
      <c r="C57">
        <v>60</v>
      </c>
      <c r="E57" s="598">
        <v>56100</v>
      </c>
    </row>
    <row r="58" spans="1:5" x14ac:dyDescent="0.3">
      <c r="B58" t="s">
        <v>4284</v>
      </c>
      <c r="C58">
        <v>50</v>
      </c>
      <c r="E58" s="598">
        <v>37090</v>
      </c>
    </row>
    <row r="59" spans="1:5" x14ac:dyDescent="0.3">
      <c r="B59" t="s">
        <v>4284</v>
      </c>
      <c r="C59">
        <v>60</v>
      </c>
      <c r="E59" s="598">
        <v>38970</v>
      </c>
    </row>
    <row r="60" spans="1:5" x14ac:dyDescent="0.3">
      <c r="A60" t="s">
        <v>4789</v>
      </c>
      <c r="B60" t="s">
        <v>4328</v>
      </c>
      <c r="C60">
        <v>60</v>
      </c>
      <c r="E60" s="598">
        <v>43430</v>
      </c>
    </row>
    <row r="61" spans="1:5" x14ac:dyDescent="0.3">
      <c r="B61" t="s">
        <v>4328</v>
      </c>
      <c r="C61">
        <v>70</v>
      </c>
      <c r="E61" s="598">
        <v>49860</v>
      </c>
    </row>
    <row r="62" spans="1:5" x14ac:dyDescent="0.3">
      <c r="B62" t="s">
        <v>4284</v>
      </c>
      <c r="C62">
        <v>60</v>
      </c>
      <c r="E62" s="598">
        <v>30170</v>
      </c>
    </row>
    <row r="63" spans="1:5" x14ac:dyDescent="0.3">
      <c r="B63" t="s">
        <v>4284</v>
      </c>
      <c r="C63">
        <v>70</v>
      </c>
      <c r="E63" s="598">
        <v>34640</v>
      </c>
    </row>
    <row r="64" spans="1:5" x14ac:dyDescent="0.3">
      <c r="A64" t="s">
        <v>4790</v>
      </c>
      <c r="B64" t="s">
        <v>4328</v>
      </c>
      <c r="C64">
        <v>60</v>
      </c>
      <c r="E64" s="598">
        <v>37910</v>
      </c>
    </row>
    <row r="65" spans="1:5" x14ac:dyDescent="0.3">
      <c r="B65" t="s">
        <v>4328</v>
      </c>
      <c r="C65">
        <v>70</v>
      </c>
      <c r="E65" s="598">
        <v>43490</v>
      </c>
    </row>
    <row r="66" spans="1:5" x14ac:dyDescent="0.3">
      <c r="B66" t="s">
        <v>4284</v>
      </c>
      <c r="C66">
        <v>60</v>
      </c>
      <c r="E66" s="598">
        <v>26330</v>
      </c>
    </row>
    <row r="67" spans="1:5" x14ac:dyDescent="0.3">
      <c r="B67" t="s">
        <v>4284</v>
      </c>
      <c r="C67">
        <v>70</v>
      </c>
      <c r="E67" s="598">
        <v>30210</v>
      </c>
    </row>
    <row r="68" spans="1:5" x14ac:dyDescent="0.3">
      <c r="A68" t="s">
        <v>4791</v>
      </c>
      <c r="B68" t="s">
        <v>4328</v>
      </c>
      <c r="C68">
        <v>65</v>
      </c>
      <c r="E68" s="598">
        <v>47060</v>
      </c>
    </row>
    <row r="69" spans="1:5" x14ac:dyDescent="0.3">
      <c r="B69" t="s">
        <v>4284</v>
      </c>
      <c r="C69">
        <v>65</v>
      </c>
      <c r="E69" s="598">
        <v>32690</v>
      </c>
    </row>
    <row r="70" spans="1:5" x14ac:dyDescent="0.3">
      <c r="A70" t="s">
        <v>4792</v>
      </c>
      <c r="B70" t="s">
        <v>4328</v>
      </c>
      <c r="C70">
        <v>70</v>
      </c>
      <c r="E70" s="598">
        <v>37090</v>
      </c>
    </row>
    <row r="71" spans="1:5" x14ac:dyDescent="0.3">
      <c r="B71" t="s">
        <v>4284</v>
      </c>
      <c r="C71">
        <v>70</v>
      </c>
      <c r="E71" s="598">
        <v>25760</v>
      </c>
    </row>
    <row r="72" spans="1:5" x14ac:dyDescent="0.3">
      <c r="A72" t="s">
        <v>4793</v>
      </c>
      <c r="B72" t="s">
        <v>4328</v>
      </c>
      <c r="C72">
        <v>70</v>
      </c>
      <c r="E72" s="598">
        <v>43490</v>
      </c>
    </row>
    <row r="73" spans="1:5" x14ac:dyDescent="0.3">
      <c r="B73" t="s">
        <v>4328</v>
      </c>
      <c r="C73">
        <v>80</v>
      </c>
      <c r="E73" s="598">
        <v>48840</v>
      </c>
    </row>
    <row r="74" spans="1:5" x14ac:dyDescent="0.3">
      <c r="B74" t="s">
        <v>4284</v>
      </c>
      <c r="C74">
        <v>70</v>
      </c>
      <c r="E74" s="598">
        <v>30210</v>
      </c>
    </row>
    <row r="75" spans="1:5" x14ac:dyDescent="0.3">
      <c r="B75" t="s">
        <v>4284</v>
      </c>
      <c r="C75">
        <v>80</v>
      </c>
      <c r="E75" s="598">
        <v>33930</v>
      </c>
    </row>
    <row r="76" spans="1:5" x14ac:dyDescent="0.3">
      <c r="A76" t="s">
        <v>4794</v>
      </c>
      <c r="B76" t="s">
        <v>4328</v>
      </c>
      <c r="C76">
        <v>54</v>
      </c>
      <c r="E76" s="598">
        <v>25960</v>
      </c>
    </row>
    <row r="77" spans="1:5" x14ac:dyDescent="0.3">
      <c r="B77" t="s">
        <v>4284</v>
      </c>
      <c r="C77">
        <v>54</v>
      </c>
      <c r="E77" s="598">
        <v>18030</v>
      </c>
    </row>
    <row r="78" spans="1:5" x14ac:dyDescent="0.3">
      <c r="A78" t="s">
        <v>4795</v>
      </c>
      <c r="B78" t="s">
        <v>4328</v>
      </c>
      <c r="C78">
        <v>54</v>
      </c>
      <c r="E78" s="598">
        <v>26440</v>
      </c>
    </row>
    <row r="79" spans="1:5" x14ac:dyDescent="0.3">
      <c r="B79" t="s">
        <v>4284</v>
      </c>
      <c r="C79">
        <v>54</v>
      </c>
      <c r="E79" s="598">
        <v>18370</v>
      </c>
    </row>
    <row r="80" spans="1:5" x14ac:dyDescent="0.3">
      <c r="A80" t="s">
        <v>4796</v>
      </c>
      <c r="B80" t="s">
        <v>4328</v>
      </c>
      <c r="C80">
        <v>60</v>
      </c>
      <c r="E80" s="598">
        <v>35240</v>
      </c>
    </row>
    <row r="81" spans="1:5" x14ac:dyDescent="0.3">
      <c r="B81" t="s">
        <v>4284</v>
      </c>
      <c r="C81">
        <v>60</v>
      </c>
      <c r="E81" s="598">
        <v>22480</v>
      </c>
    </row>
    <row r="82" spans="1:5" x14ac:dyDescent="0.3">
      <c r="A82" t="s">
        <v>4797</v>
      </c>
      <c r="B82" t="s">
        <v>4328</v>
      </c>
      <c r="C82">
        <v>80</v>
      </c>
      <c r="E82" s="598">
        <v>50890</v>
      </c>
    </row>
    <row r="83" spans="1:5" x14ac:dyDescent="0.3">
      <c r="B83" t="s">
        <v>4328</v>
      </c>
      <c r="C83">
        <v>100</v>
      </c>
      <c r="E83" s="598">
        <v>63610</v>
      </c>
    </row>
    <row r="84" spans="1:5" x14ac:dyDescent="0.3">
      <c r="B84" t="s">
        <v>4328</v>
      </c>
      <c r="C84">
        <v>120</v>
      </c>
      <c r="E84" s="598">
        <v>98000</v>
      </c>
    </row>
    <row r="85" spans="1:5" x14ac:dyDescent="0.3">
      <c r="B85" t="s">
        <v>4284</v>
      </c>
      <c r="C85">
        <v>80</v>
      </c>
      <c r="E85" s="598">
        <v>35352</v>
      </c>
    </row>
    <row r="86" spans="1:5" x14ac:dyDescent="0.3">
      <c r="B86" t="s">
        <v>4284</v>
      </c>
      <c r="C86">
        <v>100</v>
      </c>
      <c r="E86" s="598">
        <v>44190</v>
      </c>
    </row>
    <row r="87" spans="1:5" x14ac:dyDescent="0.3">
      <c r="B87" t="s">
        <v>4284</v>
      </c>
      <c r="C87">
        <v>120</v>
      </c>
      <c r="E87" s="598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2025-08-05T08:37:25Z</dcterms:modified>
</cp:coreProperties>
</file>